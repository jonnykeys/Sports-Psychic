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TUAL PLAYOFFS" sheetId="1" r:id="rId5"/>
    <sheet state="visible" name="Week 1" sheetId="2" r:id="rId6"/>
    <sheet state="visible" name="Week 2" sheetId="3" r:id="rId7"/>
    <sheet state="visible" name="Week 3" sheetId="4" r:id="rId8"/>
    <sheet state="visible" name="Week 4" sheetId="5" r:id="rId9"/>
    <sheet state="visible" name="Week 5" sheetId="6" r:id="rId10"/>
    <sheet state="visible" name="Week 6" sheetId="7" r:id="rId11"/>
    <sheet state="visible" name="Week 7" sheetId="8" r:id="rId12"/>
    <sheet state="visible" name="Week 8" sheetId="9" r:id="rId13"/>
    <sheet state="visible" name="Week 9" sheetId="10" r:id="rId14"/>
    <sheet state="visible" name="Week 10" sheetId="11" r:id="rId15"/>
    <sheet state="visible" name="Week 11" sheetId="12" r:id="rId16"/>
    <sheet state="visible" name="Week 12" sheetId="13" r:id="rId17"/>
    <sheet state="visible" name="Week 13" sheetId="14" r:id="rId18"/>
    <sheet state="visible" name="Week 14" sheetId="15" r:id="rId19"/>
    <sheet state="visible" name="Week 15" sheetId="16" r:id="rId20"/>
    <sheet state="visible" name="Week 16" sheetId="17" r:id="rId21"/>
    <sheet state="visible" name="Week 17" sheetId="18" r:id="rId22"/>
    <sheet state="visible" name="Week 18" sheetId="19" r:id="rId23"/>
    <sheet state="visible" name="Actual NFL Standings" sheetId="20" r:id="rId24"/>
    <sheet state="visible" name="Actual NFL Stats" sheetId="21" r:id="rId25"/>
    <sheet state="visible" name="Jon" sheetId="22" r:id="rId26"/>
    <sheet state="visible" name="Alisha" sheetId="23" r:id="rId27"/>
    <sheet state="visible" name="Carson" sheetId="24" r:id="rId28"/>
    <sheet state="visible" name="Nok" sheetId="25" r:id="rId29"/>
    <sheet state="visible" name="Mango" sheetId="26" r:id="rId30"/>
    <sheet state="visible" name="Caleb" sheetId="27" r:id="rId31"/>
    <sheet state="visible" name="Ross" sheetId="28" r:id="rId32"/>
    <sheet state="visible" name="Dishman" sheetId="29" r:id="rId33"/>
    <sheet state="visible" name="Ethan" sheetId="30" r:id="rId34"/>
    <sheet state="visible" name="Brett" sheetId="31" r:id="rId35"/>
    <sheet state="visible" name="Wells" sheetId="32" r:id="rId36"/>
    <sheet state="visible" name="Rob" sheetId="33" r:id="rId37"/>
    <sheet state="visible" name="Scoring &amp; Winnings" sheetId="34" r:id="rId38"/>
    <sheet state="visible" name="Legend" sheetId="35" r:id="rId39"/>
  </sheets>
  <definedNames/>
  <calcPr/>
</workbook>
</file>

<file path=xl/sharedStrings.xml><?xml version="1.0" encoding="utf-8"?>
<sst xmlns="http://schemas.openxmlformats.org/spreadsheetml/2006/main" count="7233" uniqueCount="587">
  <si>
    <t>Date &amp; Time (EST)</t>
  </si>
  <si>
    <t>Date &amp; Time (CT)</t>
  </si>
  <si>
    <t>Week 2 Matchup</t>
  </si>
  <si>
    <t>Week 1 Matchup</t>
  </si>
  <si>
    <t>Week 3 Matchup</t>
  </si>
  <si>
    <t>Actual</t>
  </si>
  <si>
    <t>Jon</t>
  </si>
  <si>
    <t>Alisha</t>
  </si>
  <si>
    <t>Carson</t>
  </si>
  <si>
    <t>Nok</t>
  </si>
  <si>
    <t>Mango</t>
  </si>
  <si>
    <t>Caleb</t>
  </si>
  <si>
    <t>Ross</t>
  </si>
  <si>
    <t>Dishman</t>
  </si>
  <si>
    <t>Ethan</t>
  </si>
  <si>
    <t>Brett</t>
  </si>
  <si>
    <t>Wells</t>
  </si>
  <si>
    <t>Rob</t>
  </si>
  <si>
    <t xml:space="preserve">Thu 9/17 @ 7:15pm (TNF) </t>
  </si>
  <si>
    <t>Wed 9/9 @ 7:20pm</t>
  </si>
  <si>
    <t>DET @ BUF</t>
  </si>
  <si>
    <t>NE @ SEA</t>
  </si>
  <si>
    <t>Thu 9/24 @ 7:15pm (TNF)</t>
  </si>
  <si>
    <t>BUF</t>
  </si>
  <si>
    <t>SEA</t>
  </si>
  <si>
    <t>ATL @ GB</t>
  </si>
  <si>
    <t>GB</t>
  </si>
  <si>
    <t>DET</t>
  </si>
  <si>
    <t>NE</t>
  </si>
  <si>
    <t>ATL</t>
  </si>
  <si>
    <t>Week 4 Matchup</t>
  </si>
  <si>
    <t>Thu 10/1 @ 7:15pm (TNF)</t>
  </si>
  <si>
    <t>PIT @ CLE</t>
  </si>
  <si>
    <t>PIT</t>
  </si>
  <si>
    <t>CLE</t>
  </si>
  <si>
    <t>Sun 9/20 @ 12:00pm</t>
  </si>
  <si>
    <t>CAR @ ATL</t>
  </si>
  <si>
    <t>Thu 9/10 @ 7:35pm (INTL)</t>
  </si>
  <si>
    <t>SF @ LAR</t>
  </si>
  <si>
    <t>LAR</t>
  </si>
  <si>
    <t>SF</t>
  </si>
  <si>
    <t>CAR</t>
  </si>
  <si>
    <t>MIN @ CHI</t>
  </si>
  <si>
    <t>Sun 9/13 @ 12:00pm</t>
  </si>
  <si>
    <t>CHI</t>
  </si>
  <si>
    <t>TB @ CIN</t>
  </si>
  <si>
    <t>CIN</t>
  </si>
  <si>
    <t>Sun 9/27 @ 12:00pm</t>
  </si>
  <si>
    <t>TB</t>
  </si>
  <si>
    <t>LAC @ BUF</t>
  </si>
  <si>
    <t>LAC</t>
  </si>
  <si>
    <t>MIN</t>
  </si>
  <si>
    <t>PHI @ TEN</t>
  </si>
  <si>
    <t>NO @ DET</t>
  </si>
  <si>
    <t>PHI</t>
  </si>
  <si>
    <t>TEN</t>
  </si>
  <si>
    <t>PIT @ NE</t>
  </si>
  <si>
    <t>NYJ @ TEN</t>
  </si>
  <si>
    <t>NYJ</t>
  </si>
  <si>
    <t>BAL @ IND</t>
  </si>
  <si>
    <t>GB @ NYJ</t>
  </si>
  <si>
    <t>BAL</t>
  </si>
  <si>
    <t>CAR @ CLE</t>
  </si>
  <si>
    <t>CLE @ TB</t>
  </si>
  <si>
    <t>ATL @ PIT</t>
  </si>
  <si>
    <t>NO @ BAL</t>
  </si>
  <si>
    <t>CHI @ CAR</t>
  </si>
  <si>
    <t>NYJ @ DET</t>
  </si>
  <si>
    <t>CIN @ HOU</t>
  </si>
  <si>
    <t>HOU</t>
  </si>
  <si>
    <t>CLE @ JAX</t>
  </si>
  <si>
    <t>JAX</t>
  </si>
  <si>
    <t>Sun 9/20 @ 3:05pm</t>
  </si>
  <si>
    <t>JAX @ DEN</t>
  </si>
  <si>
    <t>DEN</t>
  </si>
  <si>
    <t>HOU @ IND</t>
  </si>
  <si>
    <t>IND</t>
  </si>
  <si>
    <t>BUF @ HOU</t>
  </si>
  <si>
    <t>LV @ LAC</t>
  </si>
  <si>
    <t>LV</t>
  </si>
  <si>
    <t>Sun 9/20 @ 3:25pm</t>
  </si>
  <si>
    <t>WSH @ DAL</t>
  </si>
  <si>
    <t>Sun 9/13 @ 3:25pm</t>
  </si>
  <si>
    <t>MIA @ LV</t>
  </si>
  <si>
    <t>DAL</t>
  </si>
  <si>
    <t>WSH</t>
  </si>
  <si>
    <t>KC @ MIA</t>
  </si>
  <si>
    <t>MIA</t>
  </si>
  <si>
    <t>KC</t>
  </si>
  <si>
    <t>SEA @ AZ</t>
  </si>
  <si>
    <t>GB @ MIN</t>
  </si>
  <si>
    <t>TEN @ NYG</t>
  </si>
  <si>
    <t>NYG</t>
  </si>
  <si>
    <t>AZ</t>
  </si>
  <si>
    <t>MIA @ SF</t>
  </si>
  <si>
    <t>WSH @ PHI</t>
  </si>
  <si>
    <t>Sun 10/4 @ 8:30am (INTL)</t>
  </si>
  <si>
    <t>IND @ WSH</t>
  </si>
  <si>
    <t>CIN @ PIT</t>
  </si>
  <si>
    <t>Sun 9/20 @ 7:20pm (SNF)</t>
  </si>
  <si>
    <t>IND @ KC</t>
  </si>
  <si>
    <t>AZ @ LAC</t>
  </si>
  <si>
    <t>Mon 9/21 @ 7:15pm (MNF)</t>
  </si>
  <si>
    <t>NYG @ LAR</t>
  </si>
  <si>
    <t>Sun 9/13 @ 7:20pm (SNF)</t>
  </si>
  <si>
    <t>DAL @ NYG</t>
  </si>
  <si>
    <t>Sun 10/4 @ 12:00pm</t>
  </si>
  <si>
    <t>NE @ BUF</t>
  </si>
  <si>
    <t>SEA @ WSH</t>
  </si>
  <si>
    <t>Mon 9/14 @ 7:15pm (MNF)</t>
  </si>
  <si>
    <t>DEN @ KC</t>
  </si>
  <si>
    <t>LAR @ PHI</t>
  </si>
  <si>
    <t>NE @ JAX</t>
  </si>
  <si>
    <t>NYJ @ CHI</t>
  </si>
  <si>
    <t>Sun 9/27 @ 3:05pm</t>
  </si>
  <si>
    <t>AZ @ SF</t>
  </si>
  <si>
    <t>JAX @ CIN</t>
  </si>
  <si>
    <t>GB @ TB</t>
  </si>
  <si>
    <t>MIN @ TB</t>
  </si>
  <si>
    <t>DAL @ HOU</t>
  </si>
  <si>
    <t>Sun 9/27 @ 3:25pm (INTL)</t>
  </si>
  <si>
    <t>BAL @ DAL</t>
  </si>
  <si>
    <t>TEN @ BAL</t>
  </si>
  <si>
    <t>AZ @ NYG</t>
  </si>
  <si>
    <t>Sun 9/27 @ 3:25pm</t>
  </si>
  <si>
    <t>LV @ NO</t>
  </si>
  <si>
    <t>NO</t>
  </si>
  <si>
    <t>Sun 10/4 @ 3:05pm</t>
  </si>
  <si>
    <t>MIA @ MIN</t>
  </si>
  <si>
    <t>Sun 9/27 @ 7:20pm (SNF)</t>
  </si>
  <si>
    <t>LAR @ DEN</t>
  </si>
  <si>
    <t>Sun 10/4 @ 3:25pm</t>
  </si>
  <si>
    <t>LAC @ SEA</t>
  </si>
  <si>
    <t>Mon 9/28 @ 7:15pm (MNF)</t>
  </si>
  <si>
    <t>PHI @ CHI</t>
  </si>
  <si>
    <t>DEN @ SF</t>
  </si>
  <si>
    <t>KC @ LV</t>
  </si>
  <si>
    <t>Sun 10/4 @ 7:20pm (SNF)</t>
  </si>
  <si>
    <t>DET @ CAR</t>
  </si>
  <si>
    <t>Mon 10/5 @ 7:15pm (MNF)</t>
  </si>
  <si>
    <t>ATL @ NO</t>
  </si>
  <si>
    <t>Points</t>
  </si>
  <si>
    <t>Correct Predictions</t>
  </si>
  <si>
    <t>Wrong Predictions</t>
  </si>
  <si>
    <t>Season Total Points</t>
  </si>
  <si>
    <t>Season W-L Record</t>
  </si>
  <si>
    <t>Week 5 Matchup</t>
  </si>
  <si>
    <t>Thu 10/8 @ 7:15pm (TNF)</t>
  </si>
  <si>
    <t>TB @ DAL</t>
  </si>
  <si>
    <t>Week 6 Matchup</t>
  </si>
  <si>
    <t>Thu 10/15 @ 7:15pm (TNF)</t>
  </si>
  <si>
    <t>SEA @ DEN</t>
  </si>
  <si>
    <t>Week 7 Matchup</t>
  </si>
  <si>
    <t>Thu 10/22 @ 7:15pm (TNF)</t>
  </si>
  <si>
    <t>NE @ CHI</t>
  </si>
  <si>
    <t>Week 8 Matchup</t>
  </si>
  <si>
    <t>Thu 10/29 @ 7:15pm (TNF)</t>
  </si>
  <si>
    <t>CAR @ GB</t>
  </si>
  <si>
    <t>Sun 10/11 @ 8:30am (INTL)</t>
  </si>
  <si>
    <t>PHI @ JAX</t>
  </si>
  <si>
    <t>Sun 10/11 @ 12:00pm</t>
  </si>
  <si>
    <t>LV @ NE</t>
  </si>
  <si>
    <t>CIN @ MIA</t>
  </si>
  <si>
    <t>MIN @ NO</t>
  </si>
  <si>
    <t>HOU @ TEN</t>
  </si>
  <si>
    <t>IND @ PIT</t>
  </si>
  <si>
    <t>CLE @ NYJ</t>
  </si>
  <si>
    <t>NYG @ WSH</t>
  </si>
  <si>
    <t>Sun 10/11 @ 3:05pm</t>
  </si>
  <si>
    <t>DEN @ LAC</t>
  </si>
  <si>
    <t>Sun 10/25 @ 8:30am (INTL)</t>
  </si>
  <si>
    <t>PIT @ NO</t>
  </si>
  <si>
    <t>Sun 10/11 @ 3:25pm</t>
  </si>
  <si>
    <t>SF @ SEA</t>
  </si>
  <si>
    <t>CHI @ GB</t>
  </si>
  <si>
    <t>Sun 10/25 @ 12:00pm</t>
  </si>
  <si>
    <t>SF @ ATL</t>
  </si>
  <si>
    <t>DET @ AZ</t>
  </si>
  <si>
    <t>Sun 10/18 @ 8:30am (INTL)</t>
  </si>
  <si>
    <t>CIN @ BAL</t>
  </si>
  <si>
    <t>HOU @ JAX</t>
  </si>
  <si>
    <t>Sun 10/11 @ 7:20pm (SNF)</t>
  </si>
  <si>
    <t>BAL @ ATL</t>
  </si>
  <si>
    <t>TB @ CAR</t>
  </si>
  <si>
    <t>Sun 10/18 @ 12:00pm</t>
  </si>
  <si>
    <t>CHI @ ATL</t>
  </si>
  <si>
    <t>NYG @ HOU</t>
  </si>
  <si>
    <t>Mon 10/12 @ 7:15pm (MNF)</t>
  </si>
  <si>
    <t>BUF @ LAR</t>
  </si>
  <si>
    <t>IND @ MIN</t>
  </si>
  <si>
    <t>BAL @ CLE</t>
  </si>
  <si>
    <t>MIA @ NYJ</t>
  </si>
  <si>
    <t>Sun 11/1 @ 12:00pm</t>
  </si>
  <si>
    <t>TEN @ CIN</t>
  </si>
  <si>
    <t>TEN @ IND</t>
  </si>
  <si>
    <t>CLE @ TEN</t>
  </si>
  <si>
    <t>ATL @ TB</t>
  </si>
  <si>
    <t>NYJ @ NE</t>
  </si>
  <si>
    <t>Sun 10/25 @ 3:05pm</t>
  </si>
  <si>
    <t>DEN @ AZ</t>
  </si>
  <si>
    <t>MIN @ DET</t>
  </si>
  <si>
    <t>NO @ NYG</t>
  </si>
  <si>
    <t>Sun 10/25 @ 3:25pm</t>
  </si>
  <si>
    <t>GB @ DET</t>
  </si>
  <si>
    <t>BAL @ BUF</t>
  </si>
  <si>
    <t>CAR @ PHI</t>
  </si>
  <si>
    <t>LAR @ LV</t>
  </si>
  <si>
    <t>IND @ JAX</t>
  </si>
  <si>
    <t>PIT @ TB</t>
  </si>
  <si>
    <t>Sun 10/25 @ 7:20pm (SNF)</t>
  </si>
  <si>
    <t>KC @ SEA</t>
  </si>
  <si>
    <t>CLE @ PIT</t>
  </si>
  <si>
    <t>Sun 10/18 @ 3:05pm</t>
  </si>
  <si>
    <t>AZ @ LAR</t>
  </si>
  <si>
    <t>Mon 10/26 @ 7:15pm (MNF)</t>
  </si>
  <si>
    <t>DAL @ PHI</t>
  </si>
  <si>
    <t>LV @ NYJ</t>
  </si>
  <si>
    <t>Sun 10/18 @ 3:25pm</t>
  </si>
  <si>
    <t>LAC @ KC</t>
  </si>
  <si>
    <t>AZ @ DAL</t>
  </si>
  <si>
    <t>BUF @ LV</t>
  </si>
  <si>
    <t>Sun 11/1 @ 3:05pm</t>
  </si>
  <si>
    <t>LAC @ LAR</t>
  </si>
  <si>
    <t>Sun 10/18 @ 7:20pm (SNF)</t>
  </si>
  <si>
    <t>DAL @ GB</t>
  </si>
  <si>
    <t>Sun 11/1 @ 3:25pm</t>
  </si>
  <si>
    <t>NE @ MIA</t>
  </si>
  <si>
    <t>Mon 10/19 @ 7:15pm (MNF)</t>
  </si>
  <si>
    <t>WSH @ SF</t>
  </si>
  <si>
    <t>KC @ DEN</t>
  </si>
  <si>
    <t>Sun 11/1 @ 7:20pm (SNF)</t>
  </si>
  <si>
    <t>PHI @ WSH</t>
  </si>
  <si>
    <t>Mon 11/2 @ 7:15pm (MNF)</t>
  </si>
  <si>
    <t>CHI @ SEA</t>
  </si>
  <si>
    <t>BYE WEEK</t>
  </si>
  <si>
    <t>Week 9 Matchup</t>
  </si>
  <si>
    <t>Thu 11/5 @ 7:15pm (TNF)</t>
  </si>
  <si>
    <t>JAX @ BAL</t>
  </si>
  <si>
    <t>Week 10 Matchup</t>
  </si>
  <si>
    <t>Thu 11/12 @ 7:15pm (TNF)</t>
  </si>
  <si>
    <t>WSH @ NYG</t>
  </si>
  <si>
    <t>Week 11 Matchup</t>
  </si>
  <si>
    <t>Thu 11/19 @ 7:15pm (TNF)</t>
  </si>
  <si>
    <t>IND @ HOU</t>
  </si>
  <si>
    <t>Sun 11/8 @ 8:30am (INTL)</t>
  </si>
  <si>
    <t>CIN @ ATL</t>
  </si>
  <si>
    <t>Sun 11/8 @ 12:00pm</t>
  </si>
  <si>
    <t>LAR @ WSH</t>
  </si>
  <si>
    <t>DEN @ CAR</t>
  </si>
  <si>
    <t>DET @ MIA</t>
  </si>
  <si>
    <t>Sun 11/15 @ 8:30am (INTL)</t>
  </si>
  <si>
    <t>NE @ DET</t>
  </si>
  <si>
    <t>CLE @ NO</t>
  </si>
  <si>
    <t>Sun 11/15 @ 12:00pm</t>
  </si>
  <si>
    <t>KC @ ATL</t>
  </si>
  <si>
    <t>Week 12 Matchup</t>
  </si>
  <si>
    <t>DAL @ IND</t>
  </si>
  <si>
    <t>Wed 11/25 @ 7:00pm</t>
  </si>
  <si>
    <t>GB @ LAR</t>
  </si>
  <si>
    <t>HOU @ CLE</t>
  </si>
  <si>
    <t>NYJ @ KC</t>
  </si>
  <si>
    <t>NYG @ PHI</t>
  </si>
  <si>
    <t>MIN @ GB</t>
  </si>
  <si>
    <t>Sun 11/22 @ 12:00pm</t>
  </si>
  <si>
    <t>BAL @ CAR</t>
  </si>
  <si>
    <t>Sun 11/8 @ 3:05pm</t>
  </si>
  <si>
    <t>LV @ SF</t>
  </si>
  <si>
    <t>MIA @ IND</t>
  </si>
  <si>
    <t>NO @ CHI</t>
  </si>
  <si>
    <t>CAR @ NO</t>
  </si>
  <si>
    <t>HOU @ LAC</t>
  </si>
  <si>
    <t>TB @ DET</t>
  </si>
  <si>
    <t>BUF @ NYJ</t>
  </si>
  <si>
    <t>Sun 11/8 @ 3:25pm</t>
  </si>
  <si>
    <t>AZ @ SEA</t>
  </si>
  <si>
    <t>MIA @ BUF</t>
  </si>
  <si>
    <t>JAX @ TEN</t>
  </si>
  <si>
    <t>GB @ NE</t>
  </si>
  <si>
    <t>JAX @ NYG</t>
  </si>
  <si>
    <t>Sun 11/8 @ 7:20pm (SNF)</t>
  </si>
  <si>
    <t>TB @ CHI</t>
  </si>
  <si>
    <t>Sun 11/15 @ 3:05pm</t>
  </si>
  <si>
    <t>LAR @ AZ</t>
  </si>
  <si>
    <t>TEN @ DAL</t>
  </si>
  <si>
    <t>Mon 11/9 @ 7:15pm (MNF)</t>
  </si>
  <si>
    <t>BUF @ MIN</t>
  </si>
  <si>
    <t>SEA @ LV</t>
  </si>
  <si>
    <t>AZ @ KC</t>
  </si>
  <si>
    <t>Sun 11/15 @ 3:25pm</t>
  </si>
  <si>
    <t>SF @ DAL</t>
  </si>
  <si>
    <t>Sun 11/22 @ 3:05pm</t>
  </si>
  <si>
    <t>NYJ @ LAC</t>
  </si>
  <si>
    <t>Sun 11/15 @ 7:20pm (SNF)</t>
  </si>
  <si>
    <t>PIT @ CIN</t>
  </si>
  <si>
    <t>Sun 11/22 @ 3:25pm</t>
  </si>
  <si>
    <t>PIT @ PHI</t>
  </si>
  <si>
    <t>Mon 11/16 @ 7:15pm (MNF)</t>
  </si>
  <si>
    <t>LV @ DEN</t>
  </si>
  <si>
    <t>LAC @ BAL</t>
  </si>
  <si>
    <t>Sun 11/22 @ 7:20pm (SNF)</t>
  </si>
  <si>
    <t>MIN @ SF</t>
  </si>
  <si>
    <t>Mon 11/23 @ 7:15pm (MNF)</t>
  </si>
  <si>
    <t>CIN @ WSH</t>
  </si>
  <si>
    <t>Thu 11/26 @ 12:00pm</t>
  </si>
  <si>
    <t>CHI @ DET</t>
  </si>
  <si>
    <t>Thu 11/26 @ 3:30pm</t>
  </si>
  <si>
    <t>PHI @ DAL</t>
  </si>
  <si>
    <t>Thu 11/26 @ 7:20pm (TNF)</t>
  </si>
  <si>
    <t>KC @ BUF</t>
  </si>
  <si>
    <t>Fri 11/27 @ 2:00pm</t>
  </si>
  <si>
    <t>DEN @ PIT</t>
  </si>
  <si>
    <t>Sun 11/29 @ 12:00pm</t>
  </si>
  <si>
    <t>NO @ CIN</t>
  </si>
  <si>
    <t>BAL @ HOU</t>
  </si>
  <si>
    <t>NYG @ IND</t>
  </si>
  <si>
    <t>LV @ CLE</t>
  </si>
  <si>
    <t>ATL @ MIN</t>
  </si>
  <si>
    <t>NYJ @ MIA</t>
  </si>
  <si>
    <t>Sun 11/29 @ 3:05pm</t>
  </si>
  <si>
    <t>TEN @ JAX</t>
  </si>
  <si>
    <t>Sun 11/29 @ 3:25pm</t>
  </si>
  <si>
    <t>SEA @ SF</t>
  </si>
  <si>
    <t>WSH @ AZ</t>
  </si>
  <si>
    <t>Sun 11/29 @ 7:20pm (SNF)</t>
  </si>
  <si>
    <t>NE @ LAC</t>
  </si>
  <si>
    <t>Mon 11/30 @ 7:15pm (MNF)</t>
  </si>
  <si>
    <t>CAR @ TB</t>
  </si>
  <si>
    <t>Week 13 Matchup</t>
  </si>
  <si>
    <t>Thu 12/3 @ 7:15pm (TNF)</t>
  </si>
  <si>
    <t>KC @ LAR</t>
  </si>
  <si>
    <t>Week 14 Matchup</t>
  </si>
  <si>
    <t>Thu 12/10 @ 7:15pm (TNF)</t>
  </si>
  <si>
    <t>MIN @ NE</t>
  </si>
  <si>
    <t>Week 15 Matchup</t>
  </si>
  <si>
    <t>Thu 12/17 @ 7:15 PM (TNF)</t>
  </si>
  <si>
    <t>SF @ LAC</t>
  </si>
  <si>
    <t>Sun 12/6 @ 12:00pm</t>
  </si>
  <si>
    <t>DET @ ATL</t>
  </si>
  <si>
    <t>JAX @ CHI</t>
  </si>
  <si>
    <t>Sun 12/13 @ 12:00pm</t>
  </si>
  <si>
    <t>TB @ BAL</t>
  </si>
  <si>
    <t>Sat 12/19 @ 4:00 PM</t>
  </si>
  <si>
    <t>SEA @ PHI</t>
  </si>
  <si>
    <t>CIN @ CLE</t>
  </si>
  <si>
    <t>NO @ CAR</t>
  </si>
  <si>
    <t>Week 16 Matchup</t>
  </si>
  <si>
    <t>Sat 12/19 @ 7:20 PM</t>
  </si>
  <si>
    <t>CHI @ BUF</t>
  </si>
  <si>
    <t>GB @ NO</t>
  </si>
  <si>
    <t>Thu 12/24 @ 7:15 PM (TNF)</t>
  </si>
  <si>
    <t>HOU @ PHI</t>
  </si>
  <si>
    <t>ATL @ CLE</t>
  </si>
  <si>
    <t>Sun 12/20 @ 12:00 PM</t>
  </si>
  <si>
    <t>CIN @ CAR</t>
  </si>
  <si>
    <t>SF @ NYG</t>
  </si>
  <si>
    <t>TEN @ DET</t>
  </si>
  <si>
    <t>LAC @ TB</t>
  </si>
  <si>
    <t>NO @ TB</t>
  </si>
  <si>
    <t>CHI @ MIA</t>
  </si>
  <si>
    <t>WSH @ TEN</t>
  </si>
  <si>
    <t>JAX @ HOU</t>
  </si>
  <si>
    <t>DEN @ NYJ</t>
  </si>
  <si>
    <t>Sun 12/6 @ 3:05pm</t>
  </si>
  <si>
    <t>PHI @ AZ</t>
  </si>
  <si>
    <t>IND @ TEN</t>
  </si>
  <si>
    <t>IND @ PHI</t>
  </si>
  <si>
    <t>MIA @ DEN</t>
  </si>
  <si>
    <t>BAL @ PIT</t>
  </si>
  <si>
    <t>Sun 12/6 @ 3:25pm</t>
  </si>
  <si>
    <t>CAR @ MIN</t>
  </si>
  <si>
    <t>HOU @ WSH</t>
  </si>
  <si>
    <t>CLE @ NYG</t>
  </si>
  <si>
    <t>BUF @ NE</t>
  </si>
  <si>
    <t>Sun 12/13 @ 3:05pm</t>
  </si>
  <si>
    <t>LAC @ LV</t>
  </si>
  <si>
    <t>Sun 12/6 @ 7:20pm (SNF)</t>
  </si>
  <si>
    <t>HOU @ PIT</t>
  </si>
  <si>
    <t>ATL @ WSH</t>
  </si>
  <si>
    <t>Sun 12/13 @ 3:25pm</t>
  </si>
  <si>
    <t>KC @ CIN</t>
  </si>
  <si>
    <t>Mon 12/7 @ 7:15pm (MNF)</t>
  </si>
  <si>
    <t>DAL @ SEA</t>
  </si>
  <si>
    <t>MIA @ GB</t>
  </si>
  <si>
    <t>NYG @ SEA</t>
  </si>
  <si>
    <t>Sun 12/20 @ 3:05 PM</t>
  </si>
  <si>
    <t>NYJ @ AZ</t>
  </si>
  <si>
    <t>Sun 12/20 @ 3:25 PM</t>
  </si>
  <si>
    <t>DAL @ LAR</t>
  </si>
  <si>
    <t>LAR @ SF</t>
  </si>
  <si>
    <t>DEN @ LV</t>
  </si>
  <si>
    <t>Sun 12/13 @ 7:20pm (SNF)</t>
  </si>
  <si>
    <t>BUF @ GB</t>
  </si>
  <si>
    <t>Sun 12/20 @ 7:20 PM (SNF)</t>
  </si>
  <si>
    <t>DET @ MIN</t>
  </si>
  <si>
    <t>Mon 12/14 @ 7:15pm (MNF)</t>
  </si>
  <si>
    <t>PIT @ JAX</t>
  </si>
  <si>
    <t>Mon 12/21 @ 7:15 PM (MNF)</t>
  </si>
  <si>
    <t>NE @ KC</t>
  </si>
  <si>
    <t>Fri 12/25 @ 12:00 PM (XMAS)</t>
  </si>
  <si>
    <t>GB @ CHI</t>
  </si>
  <si>
    <t>Fri 12/25 @ 3:30 PM (XMAS)</t>
  </si>
  <si>
    <t>BUF @ DEN</t>
  </si>
  <si>
    <t>Fri 12/25 @ 7:15 PM (XMAS)</t>
  </si>
  <si>
    <t>LAR @ SEA</t>
  </si>
  <si>
    <t>Sun 12/27 @ 12:00 PM</t>
  </si>
  <si>
    <t>TB @ ATL</t>
  </si>
  <si>
    <t>CIN @ IND</t>
  </si>
  <si>
    <t>WSH @ MIN</t>
  </si>
  <si>
    <t>CAR @ PIT</t>
  </si>
  <si>
    <t>LAC @ MIA</t>
  </si>
  <si>
    <t>AZ @ NO</t>
  </si>
  <si>
    <t>NE @ NYJ</t>
  </si>
  <si>
    <t>CLE @ BAL</t>
  </si>
  <si>
    <t>Sun 12/27 @ 3:05 PM</t>
  </si>
  <si>
    <t>TEN @ LV</t>
  </si>
  <si>
    <t>Sun 12/27 @ 3:25 PM</t>
  </si>
  <si>
    <t>SF @ KC</t>
  </si>
  <si>
    <t>Sun 12/27 @ 7:20 PM (SNF)</t>
  </si>
  <si>
    <t>JAX @ DAL</t>
  </si>
  <si>
    <t>Mon 12/28 @ 7:15 PM (MNF)</t>
  </si>
  <si>
    <t>NYG @ DET</t>
  </si>
  <si>
    <t>Week 17 Matchup</t>
  </si>
  <si>
    <t>Thu 12/31 @ 7:15pm (TNF)</t>
  </si>
  <si>
    <t>BAL @ CIN</t>
  </si>
  <si>
    <t>Week 18 Matchup</t>
  </si>
  <si>
    <t>Sun 1/10 @ TBD</t>
  </si>
  <si>
    <t>SF @ AZ</t>
  </si>
  <si>
    <t>Sun 1/3 @ 12:00pm</t>
  </si>
  <si>
    <t>SEA @ CAR</t>
  </si>
  <si>
    <t>NO @ ATL</t>
  </si>
  <si>
    <t>BUF @ MIA</t>
  </si>
  <si>
    <t>IND @ CLE</t>
  </si>
  <si>
    <t>PIT @ TEN</t>
  </si>
  <si>
    <t>MIN @ NYJ</t>
  </si>
  <si>
    <t>NYG @ DAL</t>
  </si>
  <si>
    <t>Sun 1/3 @ 3:05pm</t>
  </si>
  <si>
    <t>LV @ AZ</t>
  </si>
  <si>
    <t>Sun 1/3 @ 3:25pm</t>
  </si>
  <si>
    <t>DET @ CHI</t>
  </si>
  <si>
    <t>Sun 1/3 @ 7:20pm (SNF)</t>
  </si>
  <si>
    <t>PHI @ SF</t>
  </si>
  <si>
    <t>Mon 1/4 @ 7:15pm (MNF)</t>
  </si>
  <si>
    <t>HOU @ GB</t>
  </si>
  <si>
    <t>DEN @ NE</t>
  </si>
  <si>
    <t>Date/Time TBD</t>
  </si>
  <si>
    <t>KC @ LAC</t>
  </si>
  <si>
    <t>LAR @ TB</t>
  </si>
  <si>
    <t>WSH @ JAX</t>
  </si>
  <si>
    <t>ATL @ CAR</t>
  </si>
  <si>
    <t>PIT @ BAL</t>
  </si>
  <si>
    <t>NYJ @ BUF</t>
  </si>
  <si>
    <t>CHI @ MIN</t>
  </si>
  <si>
    <t>CLE @ CIN</t>
  </si>
  <si>
    <t>DAL @ WSH</t>
  </si>
  <si>
    <t>LAC @ DEN</t>
  </si>
  <si>
    <t>DET @ GB</t>
  </si>
  <si>
    <t>TEN @ HOU</t>
  </si>
  <si>
    <t>AFC West</t>
  </si>
  <si>
    <t>Record</t>
  </si>
  <si>
    <t>Div Record</t>
  </si>
  <si>
    <t>NFC West</t>
  </si>
  <si>
    <t>JAX @ IND</t>
  </si>
  <si>
    <t>10 - 7</t>
  </si>
  <si>
    <t>3 - 3</t>
  </si>
  <si>
    <t>4 - 2</t>
  </si>
  <si>
    <t>7 - 10</t>
  </si>
  <si>
    <t>2 - 4</t>
  </si>
  <si>
    <t>13 - 4</t>
  </si>
  <si>
    <t>12 - 5</t>
  </si>
  <si>
    <t>8 - 9</t>
  </si>
  <si>
    <t>5 - 12</t>
  </si>
  <si>
    <t>1 - 5</t>
  </si>
  <si>
    <t>AFC East</t>
  </si>
  <si>
    <t>NFC East</t>
  </si>
  <si>
    <t>11 - 6</t>
  </si>
  <si>
    <t>5 - 1</t>
  </si>
  <si>
    <t>3 - 14</t>
  </si>
  <si>
    <t>4 - 13</t>
  </si>
  <si>
    <t>LV @ KC</t>
  </si>
  <si>
    <t>0 - 6</t>
  </si>
  <si>
    <t>6 - 11</t>
  </si>
  <si>
    <t>AFC North</t>
  </si>
  <si>
    <t>NFC North</t>
  </si>
  <si>
    <t>9 - 8</t>
  </si>
  <si>
    <t>AFC South</t>
  </si>
  <si>
    <t>NFC South</t>
  </si>
  <si>
    <t>14 - 3</t>
  </si>
  <si>
    <t>6 - 0</t>
  </si>
  <si>
    <t>SEA @ LAR</t>
  </si>
  <si>
    <t>AFC Playoff Picture</t>
  </si>
  <si>
    <t>NFC Playoff Picture</t>
  </si>
  <si>
    <t>MIA @ NE</t>
  </si>
  <si>
    <t>Regular Season MVP</t>
  </si>
  <si>
    <t>Matthew Stafford</t>
  </si>
  <si>
    <t>Josh Allen</t>
  </si>
  <si>
    <t>AFC Wild Card</t>
  </si>
  <si>
    <t>Winner</t>
  </si>
  <si>
    <t>Score</t>
  </si>
  <si>
    <t>AFC Divisional Round</t>
  </si>
  <si>
    <t>AFC Championship Game</t>
  </si>
  <si>
    <t>TB @ NO</t>
  </si>
  <si>
    <t>BYE</t>
  </si>
  <si>
    <t>Super Bowl LXI</t>
  </si>
  <si>
    <t>SB MVP</t>
  </si>
  <si>
    <t>PHI @ NYG</t>
  </si>
  <si>
    <t>NFC Wild Card</t>
  </si>
  <si>
    <t>NFC Divisional Round</t>
  </si>
  <si>
    <t>NFC Championship Game</t>
  </si>
  <si>
    <t>2 - 15</t>
  </si>
  <si>
    <t>Lamar Jackson</t>
  </si>
  <si>
    <t>Jalen Hurts</t>
  </si>
  <si>
    <t>16 - 1</t>
  </si>
  <si>
    <t>15 - 2</t>
  </si>
  <si>
    <t>1 - 16</t>
  </si>
  <si>
    <t>0 - 17</t>
  </si>
  <si>
    <t>Joe Burrow</t>
  </si>
  <si>
    <t>Bo Nix</t>
  </si>
  <si>
    <t>Dak Prescott</t>
  </si>
  <si>
    <t>CJ STROUD</t>
  </si>
  <si>
    <t>Matt Stafford</t>
  </si>
  <si>
    <t>AMON-RA ST. BROWN</t>
  </si>
  <si>
    <t>bo nix</t>
  </si>
  <si>
    <t>joe burrow</t>
  </si>
  <si>
    <t>Patrick Mahomes</t>
  </si>
  <si>
    <t>Caleb Williams</t>
  </si>
  <si>
    <t>REGULAR SEASON POINTS</t>
  </si>
  <si>
    <t>For every game, ALL players will receive 10 points if they pick the correct winning team</t>
  </si>
  <si>
    <t>10 additional points will be given for each of the 272 games in the regular season</t>
  </si>
  <si>
    <t>Scores will act as your tie-breaker for each game to earn the additional points</t>
  </si>
  <si>
    <t>Picking the exact score of a game will grant you 50 points</t>
  </si>
  <si>
    <t>Only 1 player will be given 10 points for each game, except in cases where two players have the exact same score prediction AND win the point for that game</t>
  </si>
  <si>
    <t>In the case above, both players would receive 5, or 25 if both predict exact score</t>
  </si>
  <si>
    <t>You will see a column with check boxes in each week. You may select ONE game per week that will grant you 3x the points if you win that game</t>
  </si>
  <si>
    <t>This means you will receive 30 points on a standard win, 15 points on games you split with other players, and yes… 150 POINTS if you guess exact score!</t>
  </si>
  <si>
    <t>END OF REGULAR SEASON POINTS</t>
  </si>
  <si>
    <t>When the season concludes, you will be rewarded 10 points for every team who's record you guessed correctly</t>
  </si>
  <si>
    <t>You will also receive 10 points for every divisional record you guess correctly</t>
  </si>
  <si>
    <t>You will receive 50 points if you correctly predict Regular Season MVP</t>
  </si>
  <si>
    <t>PLAYOFF POINTS</t>
  </si>
  <si>
    <t>You will receive 10 points for each playoff team you pick correctly</t>
  </si>
  <si>
    <t>You will receive 30 points for every team who falls in the exact playoff seed you predicted</t>
  </si>
  <si>
    <t>If you manage to have a playoff game matchup in your bracket prediction, you will have the ability to get points for that game same as the regular season.</t>
  </si>
  <si>
    <t>BOTH of the teams in that matchup must be predicted or you will not be eligible for points</t>
  </si>
  <si>
    <t>You will receive 30 points for predicting a Super Bowl appearing team (total of 60 points if you guess both teams)</t>
  </si>
  <si>
    <t>50 points will be rewarded for predicting the Super Bowl winner</t>
  </si>
  <si>
    <t xml:space="preserve">100 points will be rewarded if you predict the Super Bowl winner and the correct score, even if the losing team does not match your prediction </t>
  </si>
  <si>
    <t>250 points will be rewarded if you guess both Super Bowl teams AND the exact score</t>
  </si>
  <si>
    <t>50 points will be rewarded for predicting Super Bowl MVP</t>
  </si>
  <si>
    <t>WAGERS AND WINNINGS</t>
  </si>
  <si>
    <t>This season we will be doing $30 wagers! Venmo: @jonnycolbert</t>
  </si>
  <si>
    <t>We have 12 players locked in right now, for a total of $360 in potential winnings</t>
  </si>
  <si>
    <t>Winnings will be dispersed as follows:</t>
  </si>
  <si>
    <t>1st Place - $150</t>
  </si>
  <si>
    <t>2nd Place - $75</t>
  </si>
  <si>
    <t>3rd Place - $35</t>
  </si>
  <si>
    <t>^Includes Playoffs^</t>
  </si>
  <si>
    <t>Regular Season Winner (leading in points at end of Week 18, MVP pick not included) - $50</t>
  </si>
  <si>
    <t>Best Win/Loss Record - $50</t>
  </si>
  <si>
    <t>(Your win/loss record will be recorded throughout the season regardless of whether you won the point for the game or not)</t>
  </si>
  <si>
    <t>CONTESTANTS</t>
  </si>
  <si>
    <t>Jon Colbert</t>
  </si>
  <si>
    <t>Alisha Klezmer</t>
  </si>
  <si>
    <t>Carson Colbert</t>
  </si>
  <si>
    <t>Nok (Big John)</t>
  </si>
  <si>
    <t>Matt Marengo</t>
  </si>
  <si>
    <t>Caleb Correll</t>
  </si>
  <si>
    <t>Ross Benavides</t>
  </si>
  <si>
    <t>Dustin Dishman - Defending Champ</t>
  </si>
  <si>
    <t>Ethan Good</t>
  </si>
  <si>
    <t>Brett Klezmer</t>
  </si>
  <si>
    <t>Matt Wells</t>
  </si>
  <si>
    <t>Rob Klezmer</t>
  </si>
  <si>
    <t>BLUE</t>
  </si>
  <si>
    <t>Perfect Score - 50 points (25 if tied with other player(s). 150 if 3x box is checked)</t>
  </si>
  <si>
    <t>GREEN</t>
  </si>
  <si>
    <t>Won Point - 10 point (5 if tied with other player(s). 30 if 3x box is checked)</t>
  </si>
  <si>
    <t>YELLOW</t>
  </si>
  <si>
    <t>Correct Team, but did not have closest score - 10 points</t>
  </si>
  <si>
    <t>RED</t>
  </si>
  <si>
    <t>Incorrect Team - 0 points</t>
  </si>
  <si>
    <t>Reg Season Pts</t>
  </si>
  <si>
    <t>Playoff Pts</t>
  </si>
  <si>
    <t>Total</t>
  </si>
  <si>
    <t>Final Place</t>
  </si>
  <si>
    <t>Reg Season Winner</t>
  </si>
  <si>
    <t>TBD</t>
  </si>
  <si>
    <t>Best W-L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</si>
</sst>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+0;-0;0"/>
    <numFmt numFmtId="166" formatCode="0.000"/>
    <numFmt numFmtId="167" formatCode="0.0"/>
  </numFmts>
  <fonts count="20">
    <font>
      <sz val="10.0"/>
      <color rgb="FF000000"/>
      <name val="Arial"/>
      <scheme val="minor"/>
    </font>
    <font>
      <b/>
      <sz val="10.0"/>
      <color rgb="FFFFFFFF"/>
      <name val="Arial"/>
    </font>
    <font/>
    <font>
      <b/>
      <sz val="10.0"/>
      <color rgb="FF000000"/>
      <name val="Arial"/>
    </font>
    <font>
      <b/>
      <color theme="1"/>
      <name val="Arial"/>
    </font>
    <font>
      <b/>
      <color rgb="FFFFFFFF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color rgb="FF38761D"/>
      <name val="Arial"/>
    </font>
    <font>
      <b/>
      <color rgb="FFCC0000"/>
      <name val="Arial"/>
    </font>
    <font>
      <b/>
      <sz val="14.0"/>
      <color rgb="FFFFFFFF"/>
      <name val="Google Sans"/>
    </font>
    <font>
      <sz val="11.0"/>
      <color theme="1"/>
      <name val="Google Sans"/>
    </font>
    <font>
      <b/>
      <sz val="11.0"/>
      <color theme="1"/>
      <name val="Google Sans"/>
    </font>
  </fonts>
  <fills count="5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31837"/>
        <bgColor rgb="FFE31837"/>
      </patternFill>
    </fill>
    <fill>
      <patternFill patternType="solid">
        <fgColor rgb="FFA50000"/>
        <bgColor rgb="FFA50000"/>
      </patternFill>
    </fill>
    <fill>
      <patternFill patternType="solid">
        <fgColor rgb="FF203990"/>
        <bgColor rgb="FF203990"/>
      </patternFill>
    </fill>
    <fill>
      <patternFill patternType="solid">
        <fgColor rgb="FFEB4C16"/>
        <bgColor rgb="FFEB4C16"/>
      </patternFill>
    </fill>
    <fill>
      <patternFill patternType="solid">
        <fgColor rgb="FF00BF00"/>
        <bgColor rgb="FF00BF00"/>
      </patternFill>
    </fill>
    <fill>
      <patternFill patternType="solid">
        <fgColor rgb="FF007CC0"/>
        <bgColor rgb="FF007CC0"/>
      </patternFill>
    </fill>
    <fill>
      <patternFill patternType="solid">
        <fgColor rgb="FFAF053A"/>
        <bgColor rgb="FFAF053A"/>
      </patternFill>
    </fill>
    <fill>
      <patternFill patternType="solid">
        <fgColor rgb="FF194787"/>
        <bgColor rgb="FF194787"/>
      </patternFill>
    </fill>
    <fill>
      <patternFill patternType="solid">
        <fgColor rgb="FF002244"/>
        <bgColor rgb="FF002244"/>
      </patternFill>
    </fill>
    <fill>
      <patternFill patternType="solid">
        <fgColor rgb="FF019098"/>
        <bgColor rgb="FF019098"/>
      </patternFill>
    </fill>
    <fill>
      <patternFill patternType="solid">
        <fgColor rgb="FF004A53"/>
        <bgColor rgb="FF004A53"/>
      </patternFill>
    </fill>
    <fill>
      <patternFill patternType="solid">
        <fgColor rgb="FF115740"/>
        <bgColor rgb="FF115740"/>
      </patternFill>
    </fill>
    <fill>
      <patternFill patternType="solid">
        <fgColor rgb="FF031C65"/>
        <bgColor rgb="FF031C65"/>
      </patternFill>
    </fill>
    <fill>
      <patternFill patternType="solid">
        <fgColor rgb="FF001C42"/>
        <bgColor rgb="FF001C42"/>
      </patternFill>
    </fill>
    <fill>
      <patternFill patternType="solid">
        <fgColor rgb="FF5A0C0C"/>
        <bgColor rgb="FF5A0C0C"/>
      </patternFill>
    </fill>
    <fill>
      <patternFill patternType="solid">
        <fgColor rgb="FF221076"/>
        <bgColor rgb="FF221076"/>
      </patternFill>
    </fill>
    <fill>
      <patternFill patternType="solid">
        <fgColor rgb="FF0176B8"/>
        <bgColor rgb="FF0176B8"/>
      </patternFill>
    </fill>
    <fill>
      <patternFill patternType="solid">
        <fgColor rgb="FFFF3C03"/>
        <bgColor rgb="FFFF3C03"/>
      </patternFill>
    </fill>
    <fill>
      <patternFill patternType="solid">
        <fgColor rgb="FF1A342D"/>
        <bgColor rgb="FF1A342D"/>
      </patternFill>
    </fill>
    <fill>
      <patternFill patternType="solid">
        <fgColor rgb="FFEFAF18"/>
        <bgColor rgb="FFEFAF18"/>
      </patternFill>
    </fill>
    <fill>
      <patternFill patternType="solid">
        <fgColor rgb="FF602788"/>
        <bgColor rgb="FF602788"/>
      </patternFill>
    </fill>
    <fill>
      <patternFill patternType="solid">
        <fgColor rgb="FFF34D13"/>
        <bgColor rgb="FFF34D13"/>
      </patternFill>
    </fill>
    <fill>
      <patternFill patternType="solid">
        <fgColor rgb="FFE73F00"/>
        <bgColor rgb="FFE73F00"/>
      </patternFill>
    </fill>
    <fill>
      <patternFill patternType="solid">
        <fgColor rgb="FFA2182E"/>
        <bgColor rgb="FFA2182E"/>
      </patternFill>
    </fill>
    <fill>
      <patternFill patternType="solid">
        <fgColor rgb="FFD50A0A"/>
        <bgColor rgb="FFD50A0A"/>
      </patternFill>
    </fill>
    <fill>
      <patternFill patternType="solid">
        <fgColor rgb="FF006879"/>
        <bgColor rgb="FF006879"/>
      </patternFill>
    </fill>
    <fill>
      <patternFill patternType="solid">
        <fgColor rgb="FFD4BD8E"/>
        <bgColor rgb="FFD4BD8E"/>
      </patternFill>
    </fill>
    <fill>
      <patternFill patternType="solid">
        <fgColor rgb="FF040181"/>
        <bgColor rgb="FF040181"/>
      </patternFill>
    </fill>
    <fill>
      <patternFill patternType="solid">
        <fgColor rgb="FFA71930"/>
        <bgColor rgb="FFA71930"/>
      </patternFill>
    </fill>
    <fill>
      <patternFill patternType="solid">
        <fgColor rgb="FF4B92DB"/>
        <bgColor rgb="FF4B92DB"/>
      </patternFill>
    </fill>
    <fill>
      <patternFill patternType="solid">
        <fgColor rgb="FF0099D8"/>
        <bgColor rgb="FF0099D8"/>
      </patternFill>
    </fill>
    <fill>
      <patternFill patternType="solid">
        <fgColor rgb="FF3E5F90"/>
        <bgColor rgb="FF3E5F9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3" fillId="3" fontId="3" numFmtId="0" xfId="0" applyAlignment="1" applyBorder="1" applyFill="1" applyFont="1">
      <alignment horizontal="center" shrinkToFit="0" vertical="bottom" wrapText="0"/>
    </xf>
    <xf borderId="0" fillId="2" fontId="4" numFmtId="0" xfId="0" applyAlignment="1" applyFill="1" applyFont="1">
      <alignment horizontal="center" vertical="bottom"/>
    </xf>
    <xf borderId="3" fillId="2" fontId="1" numFmtId="0" xfId="0" applyAlignment="1" applyBorder="1" applyFill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 vertical="bottom"/>
    </xf>
    <xf borderId="2" fillId="3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2" fillId="2" fontId="1" numFmtId="0" xfId="0" applyAlignment="1" applyBorder="1" applyFill="1" applyFont="1">
      <alignment horizontal="center" readingOrder="0" shrinkToFit="0" vertical="bottom" wrapText="0"/>
    </xf>
    <xf borderId="3" fillId="3" fontId="3" numFmtId="0" xfId="0" applyAlignment="1" applyBorder="1" applyFill="1" applyFont="1">
      <alignment horizontal="center" readingOrder="0" shrinkToFit="0" vertical="bottom" wrapText="0"/>
    </xf>
    <xf borderId="0" fillId="4" fontId="4" numFmtId="0" xfId="0" applyAlignment="1" applyFill="1" applyFont="1">
      <alignment horizontal="center" vertical="bottom"/>
    </xf>
    <xf borderId="0" fillId="0" fontId="6" numFmtId="0" xfId="0" applyAlignment="1" applyFont="1">
      <alignment horizontal="center" readingOrder="0" shrinkToFit="0" vertical="bottom" wrapText="0"/>
    </xf>
    <xf borderId="0" fillId="5" fontId="6" numFmtId="0" xfId="0" applyAlignment="1" applyFill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7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0" fillId="6" fontId="4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0" fontId="8" numFmtId="0" xfId="0" applyAlignment="1" applyFont="1">
      <alignment horizontal="center" readingOrder="0"/>
    </xf>
    <xf borderId="3" fillId="0" fontId="6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/>
    </xf>
    <xf borderId="3" fillId="0" fontId="4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0" fillId="8" fontId="4" numFmtId="0" xfId="0" applyAlignment="1" applyFill="1" applyFont="1">
      <alignment horizontal="center" vertical="bottom"/>
    </xf>
    <xf borderId="0" fillId="0" fontId="9" numFmtId="0" xfId="0" applyAlignment="1" applyFont="1">
      <alignment horizontal="center"/>
    </xf>
    <xf borderId="0" fillId="9" fontId="6" numFmtId="0" xfId="0" applyAlignment="1" applyFill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7" fillId="5" fontId="6" numFmtId="0" xfId="0" applyAlignment="1" applyBorder="1" applyFill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readingOrder="0" vertical="bottom"/>
    </xf>
    <xf borderId="9" fillId="0" fontId="6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/>
    </xf>
    <xf borderId="0" fillId="0" fontId="10" numFmtId="0" xfId="0" applyFont="1"/>
    <xf borderId="0" fillId="0" fontId="10" numFmtId="0" xfId="0" applyAlignment="1" applyFont="1">
      <alignment horizontal="center"/>
    </xf>
    <xf borderId="0" fillId="10" fontId="10" numFmtId="0" xfId="0" applyAlignment="1" applyFill="1" applyFont="1">
      <alignment horizontal="center"/>
    </xf>
    <xf borderId="0" fillId="11" fontId="10" numFmtId="0" xfId="0" applyAlignment="1" applyFill="1" applyFont="1">
      <alignment horizontal="center"/>
    </xf>
    <xf borderId="0" fillId="5" fontId="10" numFmtId="0" xfId="0" applyAlignment="1" applyFill="1" applyFont="1">
      <alignment horizontal="center"/>
    </xf>
    <xf borderId="0" fillId="2" fontId="11" numFmtId="0" xfId="0" applyAlignment="1" applyFill="1" applyFont="1">
      <alignment horizontal="center"/>
    </xf>
    <xf borderId="0" fillId="10" fontId="12" numFmtId="0" xfId="0" applyAlignment="1" applyFill="1" applyFont="1">
      <alignment horizontal="center" vertical="bottom"/>
    </xf>
    <xf borderId="0" fillId="11" fontId="12" numFmtId="0" xfId="0" applyAlignment="1" applyFill="1" applyFont="1">
      <alignment vertical="bottom"/>
    </xf>
    <xf borderId="0" fillId="5" fontId="12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12" fontId="7" numFmtId="0" xfId="0" applyAlignment="1" applyFill="1" applyFont="1">
      <alignment horizontal="center"/>
    </xf>
    <xf borderId="0" fillId="13" fontId="10" numFmtId="0" xfId="0" applyFill="1" applyFont="1"/>
    <xf borderId="10" fillId="2" fontId="12" numFmtId="0" xfId="0" applyAlignment="1" applyBorder="1" applyFill="1" applyFont="1">
      <alignment vertical="bottom"/>
    </xf>
    <xf borderId="11" fillId="2" fontId="5" numFmtId="0" xfId="0" applyAlignment="1" applyBorder="1" applyFill="1" applyFont="1">
      <alignment horizontal="center" readingOrder="0" vertical="bottom"/>
    </xf>
    <xf borderId="12" fillId="2" fontId="5" numFmtId="0" xfId="0" applyAlignment="1" applyBorder="1" applyFill="1" applyFon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13" fillId="2" fontId="5" numFmtId="0" xfId="0" applyAlignment="1" applyBorder="1" applyFill="1" applyFont="1">
      <alignment horizontal="center" vertical="bottom"/>
    </xf>
    <xf borderId="9" fillId="8" fontId="4" numFmtId="0" xfId="0" applyAlignment="1" applyBorder="1" applyFill="1" applyFont="1">
      <alignment horizontal="center" vertical="bottom"/>
    </xf>
    <xf borderId="0" fillId="12" fontId="4" numFmtId="0" xfId="0" applyAlignment="1" applyFill="1" applyFont="1">
      <alignment horizontal="center" vertical="bottom"/>
    </xf>
    <xf borderId="7" fillId="8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13" fontId="12" numFmtId="0" xfId="0" applyAlignment="1" applyFill="1" applyFont="1">
      <alignment horizontal="right" vertical="bottom"/>
    </xf>
    <xf borderId="13" fillId="2" fontId="5" numFmtId="0" xfId="0" applyAlignment="1" applyBorder="1" applyFill="1" applyFont="1">
      <alignment horizontal="center" readingOrder="0" vertical="bottom"/>
    </xf>
    <xf borderId="9" fillId="14" fontId="12" numFmtId="0" xfId="0" applyAlignment="1" applyBorder="1" applyFill="1" applyFont="1">
      <alignment horizontal="center" vertical="bottom"/>
    </xf>
    <xf borderId="7" fillId="14" fontId="12" numFmtId="0" xfId="0" applyAlignment="1" applyBorder="1" applyFill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bottom"/>
    </xf>
    <xf borderId="9" fillId="15" fontId="12" numFmtId="0" xfId="0" applyAlignment="1" applyBorder="1" applyFill="1" applyFont="1">
      <alignment horizontal="center" vertical="bottom"/>
    </xf>
    <xf borderId="7" fillId="15" fontId="12" numFmtId="0" xfId="0" applyAlignment="1" applyBorder="1" applyFill="1" applyFont="1">
      <alignment horizontal="center" vertical="bottom"/>
    </xf>
    <xf borderId="10" fillId="2" fontId="5" numFmtId="0" xfId="0" applyAlignment="1" applyBorder="1" applyFill="1" applyFont="1">
      <alignment horizontal="center" vertical="bottom"/>
    </xf>
    <xf borderId="11" fillId="16" fontId="4" numFmtId="0" xfId="0" applyAlignment="1" applyBorder="1" applyFill="1" applyFont="1">
      <alignment horizontal="center" vertical="bottom"/>
    </xf>
    <xf borderId="12" fillId="16" fontId="4" numFmtId="0" xfId="0" applyAlignment="1" applyBorder="1" applyFill="1" applyFont="1">
      <alignment horizontal="center" vertical="bottom"/>
    </xf>
    <xf borderId="9" fillId="17" fontId="4" numFmtId="164" xfId="0" applyAlignment="1" applyBorder="1" applyFill="1" applyFont="1" applyNumberFormat="1">
      <alignment horizontal="center" vertical="bottom"/>
    </xf>
    <xf borderId="7" fillId="17" fontId="4" numFmtId="164" xfId="0" applyAlignment="1" applyBorder="1" applyFill="1" applyFont="1" applyNumberFormat="1">
      <alignment horizontal="center" vertical="bottom"/>
    </xf>
    <xf borderId="5" fillId="0" fontId="4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10" numFmtId="0" xfId="0" applyAlignment="1" applyFont="1">
      <alignment horizontal="center" readingOrder="0"/>
    </xf>
    <xf borderId="0" fillId="2" fontId="1" numFmtId="0" xfId="0" applyAlignment="1" applyFill="1" applyFont="1">
      <alignment horizontal="center" vertical="bottom"/>
    </xf>
    <xf borderId="7" fillId="18" fontId="6" numFmtId="0" xfId="0" applyAlignment="1" applyBorder="1" applyFill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0" fillId="5" fontId="6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2" fontId="11" numFmtId="0" xfId="0" applyAlignment="1" applyFill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0" fillId="5" fontId="7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18" fontId="6" numFmtId="0" xfId="0" applyAlignment="1" applyFill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2" fontId="12" numFmtId="0" xfId="0" applyAlignment="1" applyFill="1" applyFont="1">
      <alignment horizontal="center" vertical="bottom"/>
    </xf>
    <xf borderId="0" fillId="6" fontId="12" numFmtId="0" xfId="0" applyAlignment="1" applyFill="1" applyFont="1">
      <alignment horizontal="center" vertical="bottom"/>
    </xf>
    <xf borderId="10" fillId="19" fontId="5" numFmtId="0" xfId="0" applyAlignment="1" applyBorder="1" applyFill="1" applyFont="1">
      <alignment horizontal="center" vertical="bottom"/>
    </xf>
    <xf borderId="10" fillId="0" fontId="4" numFmtId="0" xfId="0" applyAlignment="1" applyBorder="1" applyFont="1">
      <alignment horizontal="center" vertical="bottom"/>
    </xf>
    <xf borderId="10" fillId="20" fontId="5" numFmtId="0" xfId="0" applyAlignment="1" applyBorder="1" applyFill="1" applyFont="1">
      <alignment horizontal="center" vertical="bottom"/>
    </xf>
    <xf borderId="10" fillId="21" fontId="5" numFmtId="0" xfId="0" applyAlignment="1" applyBorder="1" applyFill="1" applyFont="1">
      <alignment horizontal="center" vertical="bottom"/>
    </xf>
    <xf borderId="10" fillId="22" fontId="5" numFmtId="0" xfId="0" applyAlignment="1" applyBorder="1" applyFill="1" applyFont="1">
      <alignment horizontal="center" vertical="bottom"/>
    </xf>
    <xf borderId="10" fillId="23" fontId="5" numFmtId="0" xfId="0" applyAlignment="1" applyBorder="1" applyFill="1" applyFont="1">
      <alignment horizontal="center" vertical="bottom"/>
    </xf>
    <xf borderId="10" fillId="24" fontId="5" numFmtId="0" xfId="0" applyAlignment="1" applyBorder="1" applyFill="1" applyFont="1">
      <alignment horizontal="center" vertical="bottom"/>
    </xf>
    <xf borderId="10" fillId="25" fontId="5" numFmtId="0" xfId="0" applyAlignment="1" applyBorder="1" applyFill="1" applyFont="1">
      <alignment horizontal="center" vertical="bottom"/>
    </xf>
    <xf borderId="10" fillId="26" fontId="5" numFmtId="0" xfId="0" applyAlignment="1" applyBorder="1" applyFill="1" applyFont="1">
      <alignment horizontal="center" vertical="bottom"/>
    </xf>
    <xf borderId="10" fillId="27" fontId="5" numFmtId="0" xfId="0" applyAlignment="1" applyBorder="1" applyFill="1" applyFont="1">
      <alignment horizontal="center" vertical="bottom"/>
    </xf>
    <xf borderId="10" fillId="28" fontId="5" numFmtId="0" xfId="0" applyAlignment="1" applyBorder="1" applyFill="1" applyFont="1">
      <alignment horizontal="center" vertical="bottom"/>
    </xf>
    <xf borderId="10" fillId="29" fontId="5" numFmtId="0" xfId="0" applyAlignment="1" applyBorder="1" applyFill="1" applyFont="1">
      <alignment horizontal="center" vertical="bottom"/>
    </xf>
    <xf borderId="10" fillId="30" fontId="5" numFmtId="0" xfId="0" applyAlignment="1" applyBorder="1" applyFill="1" applyFont="1">
      <alignment horizontal="center" vertical="bottom"/>
    </xf>
    <xf borderId="10" fillId="31" fontId="5" numFmtId="0" xfId="0" applyAlignment="1" applyBorder="1" applyFill="1" applyFont="1">
      <alignment horizontal="center" vertical="bottom"/>
    </xf>
    <xf borderId="10" fillId="32" fontId="5" numFmtId="0" xfId="0" applyAlignment="1" applyBorder="1" applyFill="1" applyFont="1">
      <alignment horizontal="center" vertical="bottom"/>
    </xf>
    <xf borderId="10" fillId="33" fontId="5" numFmtId="0" xfId="0" applyAlignment="1" applyBorder="1" applyFill="1" applyFont="1">
      <alignment horizontal="center" vertical="bottom"/>
    </xf>
    <xf borderId="10" fillId="34" fontId="5" numFmtId="0" xfId="0" applyAlignment="1" applyBorder="1" applyFill="1" applyFont="1">
      <alignment horizontal="center" vertical="bottom"/>
    </xf>
    <xf borderId="10" fillId="35" fontId="5" numFmtId="0" xfId="0" applyAlignment="1" applyBorder="1" applyFill="1" applyFont="1">
      <alignment horizontal="center" vertical="bottom"/>
    </xf>
    <xf borderId="10" fillId="36" fontId="5" numFmtId="0" xfId="0" applyAlignment="1" applyBorder="1" applyFill="1" applyFont="1">
      <alignment horizontal="center" vertical="bottom"/>
    </xf>
    <xf borderId="10" fillId="37" fontId="5" numFmtId="0" xfId="0" applyAlignment="1" applyBorder="1" applyFill="1" applyFont="1">
      <alignment horizontal="center" vertical="bottom"/>
    </xf>
    <xf borderId="10" fillId="38" fontId="5" numFmtId="0" xfId="0" applyAlignment="1" applyBorder="1" applyFill="1" applyFont="1">
      <alignment horizontal="center" vertical="bottom"/>
    </xf>
    <xf borderId="10" fillId="39" fontId="5" numFmtId="0" xfId="0" applyAlignment="1" applyBorder="1" applyFill="1" applyFont="1">
      <alignment horizontal="center" vertical="bottom"/>
    </xf>
    <xf borderId="10" fillId="40" fontId="5" numFmtId="0" xfId="0" applyAlignment="1" applyBorder="1" applyFill="1" applyFont="1">
      <alignment horizontal="center" vertical="bottom"/>
    </xf>
    <xf borderId="10" fillId="41" fontId="5" numFmtId="0" xfId="0" applyAlignment="1" applyBorder="1" applyFill="1" applyFont="1">
      <alignment horizontal="center" vertical="bottom"/>
    </xf>
    <xf borderId="10" fillId="42" fontId="5" numFmtId="0" xfId="0" applyAlignment="1" applyBorder="1" applyFill="1" applyFont="1">
      <alignment horizontal="center" vertical="bottom"/>
    </xf>
    <xf borderId="10" fillId="43" fontId="5" numFmtId="0" xfId="0" applyAlignment="1" applyBorder="1" applyFill="1" applyFont="1">
      <alignment horizontal="center" vertical="bottom"/>
    </xf>
    <xf borderId="10" fillId="44" fontId="5" numFmtId="0" xfId="0" applyAlignment="1" applyBorder="1" applyFill="1" applyFont="1">
      <alignment horizontal="center" vertical="bottom"/>
    </xf>
    <xf borderId="10" fillId="45" fontId="5" numFmtId="0" xfId="0" applyAlignment="1" applyBorder="1" applyFill="1" applyFont="1">
      <alignment horizontal="center" vertical="bottom"/>
    </xf>
    <xf borderId="10" fillId="46" fontId="5" numFmtId="0" xfId="0" applyAlignment="1" applyBorder="1" applyFill="1" applyFont="1">
      <alignment horizontal="center" vertical="bottom"/>
    </xf>
    <xf borderId="10" fillId="47" fontId="5" numFmtId="0" xfId="0" applyAlignment="1" applyBorder="1" applyFill="1" applyFont="1">
      <alignment horizontal="center" vertical="bottom"/>
    </xf>
    <xf borderId="10" fillId="48" fontId="5" numFmtId="0" xfId="0" applyAlignment="1" applyBorder="1" applyFill="1" applyFont="1">
      <alignment horizontal="center" vertical="bottom"/>
    </xf>
    <xf borderId="10" fillId="49" fontId="5" numFmtId="0" xfId="0" applyAlignment="1" applyBorder="1" applyFill="1" applyFont="1">
      <alignment horizontal="center" vertical="bottom"/>
    </xf>
    <xf borderId="0" fillId="2" fontId="13" numFmtId="0" xfId="0" applyAlignment="1" applyFill="1" applyFont="1">
      <alignment horizontal="center"/>
    </xf>
    <xf borderId="0" fillId="6" fontId="9" numFmtId="0" xfId="0" applyAlignment="1" applyFill="1" applyFont="1">
      <alignment horizontal="center"/>
    </xf>
    <xf borderId="0" fillId="2" fontId="9" numFmtId="0" xfId="0" applyAlignment="1" applyFill="1" applyFont="1">
      <alignment horizontal="center"/>
    </xf>
    <xf borderId="0" fillId="2" fontId="14" numFmtId="0" xfId="0" applyAlignment="1" applyFill="1" applyFont="1">
      <alignment horizontal="center"/>
    </xf>
    <xf borderId="0" fillId="2" fontId="5" numFmtId="165" xfId="0" applyAlignment="1" applyFill="1" applyFont="1" applyNumberFormat="1">
      <alignment horizontal="center" vertical="bottom"/>
    </xf>
    <xf borderId="0" fillId="0" fontId="4" numFmtId="166" xfId="0" applyAlignment="1" applyFont="1" applyNumberFormat="1">
      <alignment horizontal="center" vertical="bottom"/>
    </xf>
    <xf borderId="0" fillId="11" fontId="4" numFmtId="0" xfId="0" applyAlignment="1" applyFill="1" applyFont="1">
      <alignment horizontal="center" vertical="bottom"/>
    </xf>
    <xf borderId="0" fillId="0" fontId="15" numFmtId="165" xfId="0" applyAlignment="1" applyFont="1" applyNumberFormat="1">
      <alignment horizontal="center" vertical="bottom"/>
    </xf>
    <xf borderId="0" fillId="6" fontId="4" numFmtId="167" xfId="0" applyAlignment="1" applyFill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2" fontId="12" numFmtId="165" xfId="0" applyAlignment="1" applyFill="1" applyFont="1" applyNumberFormat="1">
      <alignment horizontal="center" vertical="bottom"/>
    </xf>
    <xf borderId="0" fillId="0" fontId="16" numFmtId="165" xfId="0" applyAlignment="1" applyFont="1" applyNumberFormat="1">
      <alignment horizontal="center" vertical="bottom"/>
    </xf>
    <xf borderId="10" fillId="2" fontId="5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10" fillId="19" fontId="5" numFmtId="0" xfId="0" applyAlignment="1" applyBorder="1" applyFill="1" applyFont="1">
      <alignment horizontal="center" readingOrder="0" vertical="bottom"/>
    </xf>
    <xf borderId="10" fillId="0" fontId="4" numFmtId="0" xfId="0" applyAlignment="1" applyBorder="1" applyFont="1">
      <alignment horizontal="center" readingOrder="0" vertical="bottom"/>
    </xf>
    <xf borderId="10" fillId="20" fontId="5" numFmtId="0" xfId="0" applyAlignment="1" applyBorder="1" applyFill="1" applyFont="1">
      <alignment horizontal="center" readingOrder="0" vertical="bottom"/>
    </xf>
    <xf borderId="10" fillId="21" fontId="5" numFmtId="0" xfId="0" applyAlignment="1" applyBorder="1" applyFill="1" applyFont="1">
      <alignment horizontal="center" readingOrder="0" vertical="bottom"/>
    </xf>
    <xf borderId="10" fillId="22" fontId="5" numFmtId="0" xfId="0" applyAlignment="1" applyBorder="1" applyFill="1" applyFont="1">
      <alignment horizontal="center" readingOrder="0" vertical="bottom"/>
    </xf>
    <xf borderId="10" fillId="23" fontId="5" numFmtId="0" xfId="0" applyAlignment="1" applyBorder="1" applyFill="1" applyFont="1">
      <alignment horizontal="center" readingOrder="0" vertical="bottom"/>
    </xf>
    <xf borderId="10" fillId="24" fontId="5" numFmtId="0" xfId="0" applyAlignment="1" applyBorder="1" applyFill="1" applyFont="1">
      <alignment horizontal="center" readingOrder="0" vertical="bottom"/>
    </xf>
    <xf borderId="10" fillId="25" fontId="5" numFmtId="0" xfId="0" applyAlignment="1" applyBorder="1" applyFill="1" applyFont="1">
      <alignment horizontal="center" readingOrder="0" vertical="bottom"/>
    </xf>
    <xf borderId="10" fillId="26" fontId="5" numFmtId="0" xfId="0" applyAlignment="1" applyBorder="1" applyFill="1" applyFont="1">
      <alignment horizontal="center" readingOrder="0" vertical="bottom"/>
    </xf>
    <xf borderId="10" fillId="27" fontId="5" numFmtId="0" xfId="0" applyAlignment="1" applyBorder="1" applyFill="1" applyFont="1">
      <alignment horizontal="center" readingOrder="0" vertical="bottom"/>
    </xf>
    <xf borderId="10" fillId="28" fontId="5" numFmtId="0" xfId="0" applyAlignment="1" applyBorder="1" applyFill="1" applyFont="1">
      <alignment horizontal="center" readingOrder="0" vertical="bottom"/>
    </xf>
    <xf borderId="10" fillId="29" fontId="5" numFmtId="0" xfId="0" applyAlignment="1" applyBorder="1" applyFill="1" applyFont="1">
      <alignment horizontal="center" readingOrder="0" vertical="bottom"/>
    </xf>
    <xf borderId="10" fillId="30" fontId="5" numFmtId="0" xfId="0" applyAlignment="1" applyBorder="1" applyFill="1" applyFont="1">
      <alignment horizontal="center" readingOrder="0" vertical="bottom"/>
    </xf>
    <xf borderId="10" fillId="31" fontId="5" numFmtId="0" xfId="0" applyAlignment="1" applyBorder="1" applyFill="1" applyFont="1">
      <alignment horizontal="center" readingOrder="0" vertical="bottom"/>
    </xf>
    <xf borderId="10" fillId="32" fontId="5" numFmtId="0" xfId="0" applyAlignment="1" applyBorder="1" applyFill="1" applyFont="1">
      <alignment horizontal="center" readingOrder="0" vertical="bottom"/>
    </xf>
    <xf borderId="10" fillId="33" fontId="5" numFmtId="0" xfId="0" applyAlignment="1" applyBorder="1" applyFill="1" applyFont="1">
      <alignment horizontal="center" readingOrder="0" vertical="bottom"/>
    </xf>
    <xf borderId="10" fillId="34" fontId="5" numFmtId="0" xfId="0" applyAlignment="1" applyBorder="1" applyFill="1" applyFont="1">
      <alignment horizontal="center" readingOrder="0" vertical="bottom"/>
    </xf>
    <xf borderId="10" fillId="35" fontId="5" numFmtId="0" xfId="0" applyAlignment="1" applyBorder="1" applyFill="1" applyFont="1">
      <alignment horizontal="center" readingOrder="0" vertical="bottom"/>
    </xf>
    <xf borderId="10" fillId="36" fontId="5" numFmtId="0" xfId="0" applyAlignment="1" applyBorder="1" applyFill="1" applyFont="1">
      <alignment horizontal="center" readingOrder="0" vertical="bottom"/>
    </xf>
    <xf borderId="10" fillId="37" fontId="5" numFmtId="0" xfId="0" applyAlignment="1" applyBorder="1" applyFill="1" applyFont="1">
      <alignment horizontal="center" readingOrder="0" vertical="bottom"/>
    </xf>
    <xf borderId="10" fillId="38" fontId="5" numFmtId="0" xfId="0" applyAlignment="1" applyBorder="1" applyFill="1" applyFont="1">
      <alignment horizontal="center" readingOrder="0" vertical="bottom"/>
    </xf>
    <xf borderId="0" fillId="0" fontId="14" numFmtId="0" xfId="0" applyAlignment="1" applyFont="1">
      <alignment horizontal="center"/>
    </xf>
    <xf borderId="10" fillId="39" fontId="5" numFmtId="0" xfId="0" applyAlignment="1" applyBorder="1" applyFill="1" applyFont="1">
      <alignment horizontal="center" readingOrder="0" vertical="bottom"/>
    </xf>
    <xf borderId="10" fillId="40" fontId="5" numFmtId="0" xfId="0" applyAlignment="1" applyBorder="1" applyFill="1" applyFont="1">
      <alignment horizontal="center" readingOrder="0" vertical="bottom"/>
    </xf>
    <xf borderId="10" fillId="41" fontId="5" numFmtId="0" xfId="0" applyAlignment="1" applyBorder="1" applyFill="1" applyFont="1">
      <alignment horizontal="center" readingOrder="0" vertical="bottom"/>
    </xf>
    <xf borderId="10" fillId="42" fontId="5" numFmtId="0" xfId="0" applyAlignment="1" applyBorder="1" applyFill="1" applyFont="1">
      <alignment horizontal="center" readingOrder="0" vertical="bottom"/>
    </xf>
    <xf borderId="10" fillId="43" fontId="5" numFmtId="0" xfId="0" applyAlignment="1" applyBorder="1" applyFill="1" applyFont="1">
      <alignment horizontal="center" readingOrder="0" vertical="bottom"/>
    </xf>
    <xf borderId="10" fillId="44" fontId="5" numFmtId="0" xfId="0" applyAlignment="1" applyBorder="1" applyFill="1" applyFont="1">
      <alignment horizontal="center" readingOrder="0" vertical="bottom"/>
    </xf>
    <xf borderId="10" fillId="45" fontId="5" numFmtId="0" xfId="0" applyAlignment="1" applyBorder="1" applyFill="1" applyFont="1">
      <alignment horizontal="center" readingOrder="0" vertical="bottom"/>
    </xf>
    <xf borderId="10" fillId="46" fontId="5" numFmtId="0" xfId="0" applyAlignment="1" applyBorder="1" applyFill="1" applyFont="1">
      <alignment horizontal="center" readingOrder="0" vertical="bottom"/>
    </xf>
    <xf borderId="10" fillId="47" fontId="5" numFmtId="0" xfId="0" applyAlignment="1" applyBorder="1" applyFill="1" applyFont="1">
      <alignment horizontal="center" readingOrder="0" vertical="bottom"/>
    </xf>
    <xf borderId="10" fillId="48" fontId="5" numFmtId="0" xfId="0" applyAlignment="1" applyBorder="1" applyFill="1" applyFont="1">
      <alignment horizontal="center" readingOrder="0" vertical="bottom"/>
    </xf>
    <xf borderId="10" fillId="49" fontId="5" numFmtId="0" xfId="0" applyAlignment="1" applyBorder="1" applyFill="1" applyFont="1">
      <alignment horizontal="center" readingOrder="0" vertical="bottom"/>
    </xf>
    <xf borderId="0" fillId="2" fontId="5" numFmtId="0" xfId="0" applyAlignment="1" applyFill="1" applyFont="1">
      <alignment horizontal="center" readingOrder="0" vertical="bottom"/>
    </xf>
    <xf borderId="0" fillId="6" fontId="4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4" fontId="4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2" fontId="12" numFmtId="0" xfId="0" applyAlignment="1" applyFill="1" applyFont="1">
      <alignment vertical="bottom"/>
    </xf>
    <xf borderId="0" fillId="0" fontId="1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50" fontId="17" numFmtId="0" xfId="0" applyAlignment="1" applyFill="1" applyFont="1">
      <alignment horizontal="center" shrinkToFit="0" vertical="bottom" wrapText="1"/>
    </xf>
    <xf borderId="0" fillId="14" fontId="18" numFmtId="0" xfId="0" applyAlignment="1" applyFill="1" applyFont="1">
      <alignment shrinkToFit="0" vertical="bottom" wrapText="1"/>
    </xf>
    <xf borderId="0" fillId="6" fontId="18" numFmtId="0" xfId="0" applyAlignment="1" applyFill="1" applyFont="1">
      <alignment readingOrder="0" shrinkToFit="0" vertical="bottom" wrapText="1"/>
    </xf>
    <xf borderId="0" fillId="6" fontId="18" numFmtId="0" xfId="0" applyAlignment="1" applyFill="1" applyFont="1">
      <alignment shrinkToFit="0" vertical="bottom" wrapText="1"/>
    </xf>
    <xf borderId="0" fillId="6" fontId="18" numFmtId="0" xfId="0" applyAlignment="1" applyFill="1" applyFont="1">
      <alignment shrinkToFit="0" vertical="bottom" wrapText="1"/>
    </xf>
    <xf borderId="0" fillId="14" fontId="18" numFmtId="0" xfId="0" applyAlignment="1" applyFill="1" applyFont="1">
      <alignment shrinkToFit="0" vertical="bottom" wrapText="1"/>
    </xf>
    <xf borderId="0" fillId="14" fontId="19" numFmtId="0" xfId="0" applyAlignment="1" applyFill="1" applyFont="1">
      <alignment shrinkToFit="0" vertical="bottom" wrapText="1"/>
    </xf>
    <xf borderId="0" fillId="6" fontId="12" numFmtId="0" xfId="0" applyAlignment="1" applyFill="1" applyFont="1">
      <alignment vertical="bottom"/>
    </xf>
    <xf borderId="0" fillId="16" fontId="9" numFmtId="0" xfId="0" applyAlignment="1" applyFill="1" applyFont="1">
      <alignment horizontal="center" readingOrder="0"/>
    </xf>
    <xf borderId="0" fillId="0" fontId="14" numFmtId="0" xfId="0" applyAlignment="1" applyFont="1">
      <alignment readingOrder="0"/>
    </xf>
    <xf borderId="0" fillId="8" fontId="9" numFmtId="0" xfId="0" applyAlignment="1" applyFill="1" applyFont="1">
      <alignment horizontal="center" readingOrder="0"/>
    </xf>
    <xf borderId="0" fillId="9" fontId="9" numFmtId="0" xfId="0" applyAlignment="1" applyFill="1" applyFont="1">
      <alignment horizontal="center" readingOrder="0"/>
    </xf>
    <xf borderId="0" fillId="15" fontId="9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10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7" t="str">
        <f>IFERROR(__xludf.DUMMYFUNCTION("IMPORTRANGE(""https://docs.google.com/spreadsheets/d/1F6iikF3GEJXf_9wiDRCWbYz6xR6PARMk7zGTrILsbIE/edit?gid=1462027705#gid=1462027705"",""Playoffs!a1:x56"")"),"#REF!")</f>
        <v>#REF!</v>
      </c>
      <c r="B1" s="9"/>
      <c r="C1" s="7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</row>
    <row r="2">
      <c r="A2" s="11"/>
      <c r="B2" s="14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>
      <c r="A5" s="7"/>
      <c r="B5" s="9"/>
      <c r="C5" s="7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</row>
    <row r="6">
      <c r="A6" s="21"/>
      <c r="B6" s="22"/>
      <c r="C6" s="2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</row>
    <row r="7">
      <c r="A7" s="21"/>
      <c r="B7" s="22"/>
      <c r="C7" s="2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</row>
    <row r="8">
      <c r="A8" s="21"/>
      <c r="B8" s="22"/>
      <c r="C8" s="22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</row>
    <row r="9">
      <c r="A9" s="21"/>
      <c r="B9" s="22"/>
      <c r="C9" s="2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</row>
    <row r="10">
      <c r="A10" s="21"/>
      <c r="B10" s="22"/>
      <c r="C10" s="2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</row>
    <row r="11">
      <c r="A11" s="21"/>
      <c r="B11" s="22"/>
      <c r="C11" s="2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</row>
    <row r="12">
      <c r="A12" s="21"/>
      <c r="B12" s="22"/>
      <c r="C12" s="2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</row>
    <row r="13">
      <c r="A13" s="7"/>
      <c r="B13" s="7"/>
      <c r="C13" s="7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</row>
    <row r="15">
      <c r="A15" s="7"/>
      <c r="B15" s="9"/>
      <c r="C15" s="7"/>
      <c r="D15" s="9"/>
      <c r="E15" s="9"/>
      <c r="F15" s="11"/>
      <c r="G15" s="7"/>
      <c r="H15" s="9"/>
      <c r="I15" s="7"/>
      <c r="J15" s="9"/>
      <c r="K15" s="9"/>
      <c r="L15" s="11"/>
      <c r="M15" s="7"/>
      <c r="N15" s="9"/>
      <c r="O15" s="7"/>
      <c r="P15" s="9"/>
      <c r="Q15" s="9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</row>
    <row r="17">
      <c r="A17" s="21"/>
      <c r="B17" s="11"/>
      <c r="C17" s="11"/>
      <c r="D17" s="11"/>
      <c r="E17" s="11"/>
      <c r="F17" s="11"/>
      <c r="G17" s="21"/>
      <c r="H17" s="11"/>
      <c r="I17" s="11"/>
      <c r="J17" s="25"/>
      <c r="K17" s="11"/>
      <c r="L17" s="11"/>
      <c r="M17" s="21"/>
      <c r="N17" s="11"/>
      <c r="O17" s="11"/>
      <c r="P17" s="25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</row>
    <row r="18">
      <c r="A18" s="11"/>
      <c r="B18" s="11"/>
      <c r="C18" s="11"/>
      <c r="D18" s="11"/>
      <c r="E18" s="11"/>
      <c r="F18" s="11"/>
      <c r="G18" s="21"/>
      <c r="H18" s="11"/>
      <c r="I18" s="11"/>
      <c r="J18" s="25"/>
      <c r="K18" s="11"/>
      <c r="L18" s="11"/>
      <c r="M18" s="21"/>
      <c r="N18" s="11"/>
      <c r="O18" s="11"/>
      <c r="P18" s="25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</row>
    <row r="19">
      <c r="A19" s="21"/>
      <c r="B19" s="11"/>
      <c r="C19" s="11"/>
      <c r="D19" s="25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>
      <c r="A20" s="21"/>
      <c r="B20" s="11"/>
      <c r="C20" s="11"/>
      <c r="D20" s="25"/>
      <c r="E20" s="11"/>
      <c r="F20" s="11"/>
      <c r="G20" s="21"/>
      <c r="H20" s="11"/>
      <c r="I20" s="11"/>
      <c r="J20" s="25"/>
      <c r="K20" s="11"/>
      <c r="L20" s="11"/>
      <c r="M20" s="7"/>
      <c r="N20" s="7"/>
      <c r="O20" s="7"/>
      <c r="P20" s="7"/>
      <c r="Q20" s="7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>
      <c r="A21" s="11"/>
      <c r="B21" s="11"/>
      <c r="C21" s="11"/>
      <c r="D21" s="11"/>
      <c r="E21" s="11"/>
      <c r="F21" s="11"/>
      <c r="G21" s="21"/>
      <c r="H21" s="11"/>
      <c r="I21" s="11"/>
      <c r="J21" s="2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>
      <c r="A22" s="21"/>
      <c r="B22" s="11"/>
      <c r="C22" s="11"/>
      <c r="D22" s="25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>
      <c r="A23" s="21"/>
      <c r="B23" s="11"/>
      <c r="C23" s="11"/>
      <c r="D23" s="25"/>
      <c r="E23" s="11"/>
      <c r="F23" s="11"/>
      <c r="G23" s="7"/>
      <c r="H23" s="7"/>
      <c r="I23" s="7"/>
      <c r="J23" s="7"/>
      <c r="K23" s="7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</row>
    <row r="25">
      <c r="A25" s="21"/>
      <c r="B25" s="11"/>
      <c r="C25" s="11"/>
      <c r="D25" s="2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</row>
    <row r="26">
      <c r="A26" s="21"/>
      <c r="B26" s="11"/>
      <c r="C26" s="11"/>
      <c r="D26" s="25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7"/>
      <c r="S27" s="9"/>
      <c r="T27" s="7"/>
      <c r="U27" s="9"/>
      <c r="V27" s="9"/>
      <c r="W27" s="9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>
      <c r="A28" s="7"/>
      <c r="B28" s="7"/>
      <c r="C28" s="7"/>
      <c r="D28" s="7"/>
      <c r="E28" s="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4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21"/>
      <c r="S29" s="11"/>
      <c r="T29" s="11"/>
      <c r="U29" s="25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</row>
    <row r="30">
      <c r="A30" s="7"/>
      <c r="B30" s="9"/>
      <c r="C30" s="7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21"/>
      <c r="S30" s="11"/>
      <c r="T30" s="11"/>
      <c r="U30" s="25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</row>
    <row r="31">
      <c r="A31" s="21"/>
      <c r="B31" s="22"/>
      <c r="C31" s="2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</row>
    <row r="32">
      <c r="A32" s="21"/>
      <c r="B32" s="28"/>
      <c r="C32" s="28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7"/>
      <c r="S32" s="7"/>
      <c r="T32" s="7"/>
      <c r="U32" s="7"/>
      <c r="V32" s="7"/>
      <c r="W32" s="7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</row>
    <row r="33">
      <c r="A33" s="21"/>
      <c r="B33" s="22"/>
      <c r="C33" s="2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</row>
    <row r="34">
      <c r="A34" s="21"/>
      <c r="B34" s="22"/>
      <c r="C34" s="22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</row>
    <row r="35">
      <c r="A35" s="21"/>
      <c r="B35" s="22"/>
      <c r="C35" s="22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>
      <c r="A36" s="21"/>
      <c r="B36" s="22"/>
      <c r="C36" s="2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>
      <c r="A37" s="21"/>
      <c r="B37" s="22"/>
      <c r="C37" s="2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>
      <c r="A38" s="7"/>
      <c r="B38" s="7"/>
      <c r="C38" s="7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>
      <c r="A40" s="7"/>
      <c r="B40" s="9"/>
      <c r="C40" s="7"/>
      <c r="D40" s="9"/>
      <c r="E40" s="9"/>
      <c r="F40" s="11"/>
      <c r="G40" s="7"/>
      <c r="H40" s="9"/>
      <c r="I40" s="7"/>
      <c r="J40" s="9"/>
      <c r="K40" s="9"/>
      <c r="L40" s="11"/>
      <c r="M40" s="7"/>
      <c r="N40" s="9"/>
      <c r="O40" s="7"/>
      <c r="P40" s="9"/>
      <c r="Q40" s="9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>
      <c r="A42" s="21"/>
      <c r="B42" s="11"/>
      <c r="C42" s="11"/>
      <c r="D42" s="11"/>
      <c r="E42" s="11"/>
      <c r="F42" s="11"/>
      <c r="G42" s="21"/>
      <c r="H42" s="11"/>
      <c r="I42" s="11"/>
      <c r="J42" s="25"/>
      <c r="K42" s="11"/>
      <c r="L42" s="11"/>
      <c r="M42" s="21"/>
      <c r="N42" s="11"/>
      <c r="O42" s="11"/>
      <c r="P42" s="25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</row>
    <row r="43">
      <c r="A43" s="11"/>
      <c r="B43" s="11"/>
      <c r="C43" s="11"/>
      <c r="D43" s="11"/>
      <c r="E43" s="11"/>
      <c r="F43" s="11"/>
      <c r="G43" s="21"/>
      <c r="H43" s="11"/>
      <c r="I43" s="11"/>
      <c r="J43" s="25"/>
      <c r="K43" s="11"/>
      <c r="L43" s="11"/>
      <c r="M43" s="21"/>
      <c r="N43" s="11"/>
      <c r="O43" s="11"/>
      <c r="P43" s="25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>
      <c r="A44" s="21"/>
      <c r="B44" s="11"/>
      <c r="C44" s="11"/>
      <c r="D44" s="25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</row>
    <row r="45">
      <c r="A45" s="21"/>
      <c r="B45" s="11"/>
      <c r="C45" s="11"/>
      <c r="D45" s="25"/>
      <c r="E45" s="11"/>
      <c r="F45" s="11"/>
      <c r="G45" s="21"/>
      <c r="H45" s="11"/>
      <c r="I45" s="11"/>
      <c r="J45" s="25"/>
      <c r="K45" s="11"/>
      <c r="L45" s="11"/>
      <c r="M45" s="7"/>
      <c r="N45" s="7"/>
      <c r="O45" s="7"/>
      <c r="P45" s="7"/>
      <c r="Q45" s="7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>
      <c r="A46" s="11"/>
      <c r="B46" s="11"/>
      <c r="C46" s="11"/>
      <c r="D46" s="11"/>
      <c r="E46" s="11"/>
      <c r="F46" s="11"/>
      <c r="G46" s="21"/>
      <c r="H46" s="11"/>
      <c r="I46" s="11"/>
      <c r="J46" s="2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</row>
    <row r="47">
      <c r="A47" s="21"/>
      <c r="B47" s="11"/>
      <c r="C47" s="11"/>
      <c r="D47" s="25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>
      <c r="A48" s="21"/>
      <c r="B48" s="11"/>
      <c r="C48" s="11"/>
      <c r="D48" s="25"/>
      <c r="E48" s="11"/>
      <c r="F48" s="11"/>
      <c r="G48" s="7"/>
      <c r="H48" s="7"/>
      <c r="I48" s="7"/>
      <c r="J48" s="7"/>
      <c r="K48" s="7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>
      <c r="A50" s="21"/>
      <c r="B50" s="11"/>
      <c r="C50" s="11"/>
      <c r="D50" s="25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</row>
    <row r="51">
      <c r="A51" s="21"/>
      <c r="B51" s="11"/>
      <c r="C51" s="11"/>
      <c r="D51" s="25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</row>
    <row r="53">
      <c r="A53" s="7"/>
      <c r="B53" s="7"/>
      <c r="C53" s="7"/>
      <c r="D53" s="7"/>
      <c r="E53" s="7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75"/>
    <col customWidth="1" min="3" max="19" width="7.63"/>
    <col customWidth="1" min="20" max="69" width="5.13"/>
  </cols>
  <sheetData>
    <row r="1">
      <c r="A1" s="1" t="s">
        <v>0</v>
      </c>
      <c r="B1" s="3" t="s">
        <v>3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19</v>
      </c>
      <c r="B2" s="17" t="s">
        <v>21</v>
      </c>
      <c r="C2" s="18" t="str">
        <f>IFERROR(__xludf.DUMMYFUNCTION("IMPORTRANGE(""https://docs.google.com/spreadsheets/d/1v9a6MxzpyXdVbef97sptWrOJUpuAu6ldKC6wbegqpyg/edit?gid=0#gid=0"",""Week 1!C3:F18"")"),"SEA")</f>
        <v>SEA</v>
      </c>
      <c r="D2" s="11" t="str">
        <f>IFERROR(__xludf.DUMMYFUNCTION("""COMPUTED_VALUE"""),"")</f>
        <v/>
      </c>
      <c r="E2" s="19">
        <f>IFERROR(__xludf.DUMMYFUNCTION("""COMPUTED_VALUE"""),10.0)</f>
        <v>10</v>
      </c>
      <c r="F2" s="20">
        <f>IFERROR(__xludf.DUMMYFUNCTION("""COMPUTED_VALUE"""),13.0)</f>
        <v>13</v>
      </c>
      <c r="G2" s="19" t="s">
        <v>24</v>
      </c>
      <c r="H2" s="23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21.0</v>
      </c>
      <c r="J2" s="19">
        <v>28.0</v>
      </c>
      <c r="K2" s="20" t="b">
        <v>0</v>
      </c>
      <c r="L2" s="24" t="s">
        <v>24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24.0</v>
      </c>
      <c r="O2" s="24">
        <v>27.0</v>
      </c>
      <c r="P2" s="24" t="b">
        <v>0</v>
      </c>
      <c r="Q2" s="27" t="s">
        <v>28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24.0</v>
      </c>
      <c r="T2" s="19">
        <v>21.0</v>
      </c>
      <c r="U2" s="20" t="b">
        <v>0</v>
      </c>
      <c r="V2" s="19" t="s">
        <v>24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20.0</v>
      </c>
      <c r="Y2" s="19">
        <v>23.0</v>
      </c>
      <c r="Z2" s="20" t="b">
        <v>0</v>
      </c>
      <c r="AA2" s="27" t="s">
        <v>24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21.0</v>
      </c>
      <c r="AE2" s="19" t="b">
        <v>0</v>
      </c>
      <c r="AF2" s="27" t="s">
        <v>28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23.0</v>
      </c>
      <c r="AI2" s="19">
        <v>20.0</v>
      </c>
      <c r="AJ2" s="20" t="b">
        <v>0</v>
      </c>
      <c r="AK2" s="19" t="s">
        <v>24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10.0</v>
      </c>
      <c r="AN2" s="19">
        <v>14.0</v>
      </c>
      <c r="AO2" s="20" t="b">
        <v>0</v>
      </c>
      <c r="AP2" s="27" t="s">
        <v>24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17.0</v>
      </c>
      <c r="AS2" s="19">
        <v>24.0</v>
      </c>
      <c r="AT2" s="20" t="b">
        <v>0</v>
      </c>
      <c r="AU2" s="27" t="s">
        <v>28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23.0</v>
      </c>
      <c r="AX2" s="19">
        <v>20.0</v>
      </c>
      <c r="AY2" s="20" t="b">
        <v>0</v>
      </c>
      <c r="AZ2" s="27" t="s">
        <v>24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24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17.0</v>
      </c>
      <c r="BH2" s="19">
        <v>24.0</v>
      </c>
      <c r="BI2" s="20" t="b">
        <v>0</v>
      </c>
      <c r="BJ2" s="27" t="s">
        <v>24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17.0</v>
      </c>
      <c r="BM2" s="19">
        <v>24.0</v>
      </c>
      <c r="BN2" s="20" t="b">
        <v>0</v>
      </c>
      <c r="BO2" s="19"/>
      <c r="BP2" s="19"/>
      <c r="BQ2" s="19"/>
    </row>
    <row r="3">
      <c r="A3" s="16" t="s">
        <v>37</v>
      </c>
      <c r="B3" s="30" t="s">
        <v>38</v>
      </c>
      <c r="C3" s="18" t="str">
        <f>IFERROR(__xludf.DUMMYFUNCTION("""COMPUTED_VALUE"""),"SF")</f>
        <v>SF</v>
      </c>
      <c r="D3" s="11" t="str">
        <f>IFERROR(__xludf.DUMMYFUNCTION("""COMPUTED_VALUE"""),"")</f>
        <v/>
      </c>
      <c r="E3" s="19">
        <f>IFERROR(__xludf.DUMMYFUNCTION("""COMPUTED_VALUE"""),27.0)</f>
        <v>27</v>
      </c>
      <c r="F3" s="20">
        <f>IFERROR(__xludf.DUMMYFUNCTION("""COMPUTED_VALUE"""),7.0)</f>
        <v>7</v>
      </c>
      <c r="G3" s="19" t="s">
        <v>39</v>
      </c>
      <c r="H3" s="23" t="str">
        <f t="shared" si="1"/>
        <v/>
      </c>
      <c r="I3" s="19">
        <v>17.0</v>
      </c>
      <c r="J3" s="19">
        <v>21.0</v>
      </c>
      <c r="K3" s="20" t="b">
        <v>0</v>
      </c>
      <c r="L3" s="19" t="s">
        <v>40</v>
      </c>
      <c r="M3" s="11" t="str">
        <f t="shared" si="2"/>
        <v/>
      </c>
      <c r="N3" s="19">
        <v>27.0</v>
      </c>
      <c r="O3" s="19">
        <v>24.0</v>
      </c>
      <c r="P3" s="19" t="b">
        <v>0</v>
      </c>
      <c r="Q3" s="27" t="s">
        <v>39</v>
      </c>
      <c r="R3" s="11" t="str">
        <f t="shared" si="3"/>
        <v/>
      </c>
      <c r="S3" s="19">
        <v>24.0</v>
      </c>
      <c r="T3" s="19">
        <v>27.0</v>
      </c>
      <c r="U3" s="20" t="b">
        <v>0</v>
      </c>
      <c r="V3" s="19" t="s">
        <v>39</v>
      </c>
      <c r="W3" s="11" t="str">
        <f t="shared" si="4"/>
        <v/>
      </c>
      <c r="X3" s="19">
        <v>13.0</v>
      </c>
      <c r="Y3" s="19">
        <v>27.0</v>
      </c>
      <c r="Z3" s="20" t="b">
        <v>1</v>
      </c>
      <c r="AA3" s="27" t="s">
        <v>39</v>
      </c>
      <c r="AB3" s="11" t="str">
        <f t="shared" si="5"/>
        <v/>
      </c>
      <c r="AC3" s="19">
        <v>17.0</v>
      </c>
      <c r="AD3" s="19">
        <v>28.0</v>
      </c>
      <c r="AE3" s="19" t="b">
        <v>0</v>
      </c>
      <c r="AF3" s="27" t="s">
        <v>39</v>
      </c>
      <c r="AG3" s="11" t="str">
        <f t="shared" si="6"/>
        <v/>
      </c>
      <c r="AH3" s="19">
        <v>21.0</v>
      </c>
      <c r="AI3" s="19">
        <v>27.0</v>
      </c>
      <c r="AJ3" s="20" t="b">
        <v>0</v>
      </c>
      <c r="AK3" s="19" t="s">
        <v>39</v>
      </c>
      <c r="AL3" s="11" t="str">
        <f t="shared" si="7"/>
        <v/>
      </c>
      <c r="AM3" s="19">
        <v>10.0</v>
      </c>
      <c r="AN3" s="19">
        <v>14.0</v>
      </c>
      <c r="AO3" s="20" t="b">
        <v>0</v>
      </c>
      <c r="AP3" s="27" t="s">
        <v>39</v>
      </c>
      <c r="AQ3" s="11" t="str">
        <f t="shared" si="8"/>
        <v/>
      </c>
      <c r="AR3" s="19">
        <v>20.0</v>
      </c>
      <c r="AS3" s="19">
        <v>27.0</v>
      </c>
      <c r="AT3" s="20" t="b">
        <v>0</v>
      </c>
      <c r="AU3" s="27" t="s">
        <v>39</v>
      </c>
      <c r="AV3" s="11" t="str">
        <f t="shared" si="9"/>
        <v/>
      </c>
      <c r="AW3" s="19">
        <v>21.0</v>
      </c>
      <c r="AX3" s="19">
        <v>28.0</v>
      </c>
      <c r="AY3" s="20" t="b">
        <v>0</v>
      </c>
      <c r="AZ3" s="27" t="s">
        <v>39</v>
      </c>
      <c r="BA3" s="11" t="str">
        <f t="shared" si="10"/>
        <v/>
      </c>
      <c r="BB3" s="19">
        <v>20.0</v>
      </c>
      <c r="BC3" s="19">
        <v>23.0</v>
      </c>
      <c r="BD3" s="20" t="b">
        <v>1</v>
      </c>
      <c r="BE3" s="27" t="s">
        <v>39</v>
      </c>
      <c r="BF3" s="11" t="str">
        <f t="shared" si="11"/>
        <v/>
      </c>
      <c r="BG3" s="19">
        <v>20.0</v>
      </c>
      <c r="BH3" s="19">
        <v>23.0</v>
      </c>
      <c r="BI3" s="20" t="b">
        <v>0</v>
      </c>
      <c r="BJ3" s="27" t="s">
        <v>40</v>
      </c>
      <c r="BK3" s="11" t="str">
        <f t="shared" si="12"/>
        <v/>
      </c>
      <c r="BL3" s="19">
        <v>27.0</v>
      </c>
      <c r="BM3" s="19">
        <v>14.0</v>
      </c>
      <c r="BN3" s="20" t="b">
        <v>0</v>
      </c>
      <c r="BO3" s="17"/>
      <c r="BP3" s="17"/>
      <c r="BQ3" s="17"/>
    </row>
    <row r="4">
      <c r="A4" s="16" t="s">
        <v>43</v>
      </c>
      <c r="B4" s="17" t="s">
        <v>45</v>
      </c>
      <c r="C4" s="18" t="str">
        <f>IFERROR(__xludf.DUMMYFUNCTION("""COMPUTED_VALUE"""),"CIN")</f>
        <v>CIN</v>
      </c>
      <c r="D4" s="11" t="str">
        <f>IFERROR(__xludf.DUMMYFUNCTION("""COMPUTED_VALUE"""),"")</f>
        <v/>
      </c>
      <c r="E4" s="19">
        <f>IFERROR(__xludf.DUMMYFUNCTION("""COMPUTED_VALUE"""),27.0)</f>
        <v>27</v>
      </c>
      <c r="F4" s="20">
        <f>IFERROR(__xludf.DUMMYFUNCTION("""COMPUTED_VALUE"""),33.0)</f>
        <v>33</v>
      </c>
      <c r="G4" s="19" t="s">
        <v>46</v>
      </c>
      <c r="H4" s="23" t="str">
        <f t="shared" si="1"/>
        <v/>
      </c>
      <c r="I4" s="19">
        <v>14.0</v>
      </c>
      <c r="J4" s="19">
        <v>17.0</v>
      </c>
      <c r="K4" s="20" t="b">
        <v>0</v>
      </c>
      <c r="L4" s="19" t="s">
        <v>48</v>
      </c>
      <c r="M4" s="11" t="str">
        <f t="shared" si="2"/>
        <v/>
      </c>
      <c r="N4" s="19">
        <v>21.0</v>
      </c>
      <c r="O4" s="19">
        <v>17.0</v>
      </c>
      <c r="P4" s="19" t="b">
        <v>1</v>
      </c>
      <c r="Q4" s="27" t="s">
        <v>46</v>
      </c>
      <c r="R4" s="11" t="str">
        <f t="shared" si="3"/>
        <v/>
      </c>
      <c r="S4" s="19">
        <v>21.0</v>
      </c>
      <c r="T4" s="19">
        <v>28.0</v>
      </c>
      <c r="U4" s="20" t="b">
        <v>0</v>
      </c>
      <c r="V4" s="19" t="s">
        <v>46</v>
      </c>
      <c r="W4" s="11" t="str">
        <f t="shared" si="4"/>
        <v/>
      </c>
      <c r="X4" s="19">
        <v>31.0</v>
      </c>
      <c r="Y4" s="19">
        <v>33.0</v>
      </c>
      <c r="Z4" s="20" t="b">
        <v>0</v>
      </c>
      <c r="AA4" s="27" t="s">
        <v>48</v>
      </c>
      <c r="AB4" s="11" t="str">
        <f t="shared" si="5"/>
        <v/>
      </c>
      <c r="AC4" s="19">
        <v>20.0</v>
      </c>
      <c r="AD4" s="19">
        <v>17.0</v>
      </c>
      <c r="AE4" s="19" t="b">
        <v>0</v>
      </c>
      <c r="AF4" s="27" t="s">
        <v>46</v>
      </c>
      <c r="AG4" s="11" t="str">
        <f t="shared" si="6"/>
        <v/>
      </c>
      <c r="AH4" s="19">
        <v>20.0</v>
      </c>
      <c r="AI4" s="19">
        <v>23.0</v>
      </c>
      <c r="AJ4" s="20" t="b">
        <v>0</v>
      </c>
      <c r="AK4" s="19" t="s">
        <v>48</v>
      </c>
      <c r="AL4" s="11" t="str">
        <f t="shared" si="7"/>
        <v/>
      </c>
      <c r="AM4" s="19">
        <v>21.0</v>
      </c>
      <c r="AN4" s="19">
        <v>17.0</v>
      </c>
      <c r="AO4" s="20" t="b">
        <v>0</v>
      </c>
      <c r="AP4" s="27" t="s">
        <v>48</v>
      </c>
      <c r="AQ4" s="11" t="str">
        <f t="shared" si="8"/>
        <v/>
      </c>
      <c r="AR4" s="19">
        <v>27.0</v>
      </c>
      <c r="AS4" s="19">
        <v>24.0</v>
      </c>
      <c r="AT4" s="20" t="b">
        <v>0</v>
      </c>
      <c r="AU4" s="27" t="s">
        <v>46</v>
      </c>
      <c r="AV4" s="11" t="str">
        <f t="shared" si="9"/>
        <v/>
      </c>
      <c r="AW4" s="19">
        <v>21.0</v>
      </c>
      <c r="AX4" s="19">
        <v>24.0</v>
      </c>
      <c r="AY4" s="20" t="b">
        <v>0</v>
      </c>
      <c r="AZ4" s="27" t="s">
        <v>46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46</v>
      </c>
      <c r="BF4" s="11" t="str">
        <f t="shared" si="11"/>
        <v/>
      </c>
      <c r="BG4" s="19">
        <v>16.0</v>
      </c>
      <c r="BH4" s="19">
        <v>27.0</v>
      </c>
      <c r="BI4" s="20" t="b">
        <v>0</v>
      </c>
      <c r="BJ4" s="27" t="s">
        <v>46</v>
      </c>
      <c r="BK4" s="11" t="str">
        <f t="shared" si="12"/>
        <v/>
      </c>
      <c r="BL4" s="19">
        <v>21.0</v>
      </c>
      <c r="BM4" s="19">
        <v>24.0</v>
      </c>
      <c r="BN4" s="20" t="b">
        <v>0</v>
      </c>
      <c r="BO4" s="17"/>
      <c r="BP4" s="17"/>
      <c r="BQ4" s="17"/>
    </row>
    <row r="5">
      <c r="A5" s="16" t="s">
        <v>43</v>
      </c>
      <c r="B5" s="17" t="s">
        <v>53</v>
      </c>
      <c r="C5" s="18" t="str">
        <f>IFERROR(__xludf.DUMMYFUNCTION("""COMPUTED_VALUE"""),"DET")</f>
        <v>DET</v>
      </c>
      <c r="D5" s="11" t="str">
        <f>IFERROR(__xludf.DUMMYFUNCTION("""COMPUTED_VALUE"""),"")</f>
        <v/>
      </c>
      <c r="E5" s="19">
        <f>IFERROR(__xludf.DUMMYFUNCTION("""COMPUTED_VALUE"""),30.0)</f>
        <v>30</v>
      </c>
      <c r="F5" s="20">
        <f>IFERROR(__xludf.DUMMYFUNCTION("""COMPUTED_VALUE"""),31.0)</f>
        <v>31</v>
      </c>
      <c r="G5" s="19" t="s">
        <v>27</v>
      </c>
      <c r="H5" s="23" t="str">
        <f t="shared" si="1"/>
        <v/>
      </c>
      <c r="I5" s="19">
        <v>17.0</v>
      </c>
      <c r="J5" s="19">
        <v>20.0</v>
      </c>
      <c r="K5" s="20" t="b">
        <v>0</v>
      </c>
      <c r="L5" s="19" t="s">
        <v>27</v>
      </c>
      <c r="M5" s="11" t="str">
        <f t="shared" si="2"/>
        <v/>
      </c>
      <c r="N5" s="19">
        <v>7.0</v>
      </c>
      <c r="O5" s="19">
        <v>10.0</v>
      </c>
      <c r="P5" s="19" t="b">
        <v>0</v>
      </c>
      <c r="Q5" s="27" t="s">
        <v>27</v>
      </c>
      <c r="R5" s="11" t="str">
        <f t="shared" si="3"/>
        <v/>
      </c>
      <c r="S5" s="19">
        <v>7.0</v>
      </c>
      <c r="T5" s="19">
        <v>10.0</v>
      </c>
      <c r="U5" s="20" t="b">
        <v>0</v>
      </c>
      <c r="V5" s="19" t="s">
        <v>27</v>
      </c>
      <c r="W5" s="11" t="str">
        <f t="shared" si="4"/>
        <v/>
      </c>
      <c r="X5" s="19">
        <v>7.0</v>
      </c>
      <c r="Y5" s="19">
        <v>21.0</v>
      </c>
      <c r="Z5" s="20" t="b">
        <v>0</v>
      </c>
      <c r="AA5" s="27" t="s">
        <v>27</v>
      </c>
      <c r="AB5" s="11" t="str">
        <f t="shared" si="5"/>
        <v/>
      </c>
      <c r="AC5" s="19">
        <v>17.0</v>
      </c>
      <c r="AD5" s="19">
        <v>30.0</v>
      </c>
      <c r="AE5" s="19" t="b">
        <v>0</v>
      </c>
      <c r="AF5" s="27" t="s">
        <v>27</v>
      </c>
      <c r="AG5" s="11" t="str">
        <f t="shared" si="6"/>
        <v/>
      </c>
      <c r="AH5" s="19">
        <v>21.0</v>
      </c>
      <c r="AI5" s="19">
        <v>28.0</v>
      </c>
      <c r="AJ5" s="20" t="b">
        <v>0</v>
      </c>
      <c r="AK5" s="19" t="s">
        <v>27</v>
      </c>
      <c r="AL5" s="11" t="str">
        <f t="shared" si="7"/>
        <v/>
      </c>
      <c r="AM5" s="19">
        <v>17.0</v>
      </c>
      <c r="AN5" s="19">
        <v>20.0</v>
      </c>
      <c r="AO5" s="20" t="b">
        <v>0</v>
      </c>
      <c r="AP5" s="27" t="s">
        <v>27</v>
      </c>
      <c r="AQ5" s="11" t="str">
        <f t="shared" si="8"/>
        <v/>
      </c>
      <c r="AR5" s="19">
        <v>17.0</v>
      </c>
      <c r="AS5" s="19">
        <v>27.0</v>
      </c>
      <c r="AT5" s="20" t="b">
        <v>0</v>
      </c>
      <c r="AU5" s="27" t="s">
        <v>27</v>
      </c>
      <c r="AV5" s="11" t="str">
        <f t="shared" si="9"/>
        <v/>
      </c>
      <c r="AW5" s="19">
        <v>7.0</v>
      </c>
      <c r="AX5" s="19">
        <v>10.0</v>
      </c>
      <c r="AY5" s="20" t="b">
        <v>0</v>
      </c>
      <c r="AZ5" s="27" t="s">
        <v>27</v>
      </c>
      <c r="BA5" s="11" t="str">
        <f t="shared" si="10"/>
        <v/>
      </c>
      <c r="BB5" s="19">
        <v>20.0</v>
      </c>
      <c r="BC5" s="19">
        <v>23.0</v>
      </c>
      <c r="BD5" s="20" t="b">
        <v>0</v>
      </c>
      <c r="BE5" s="27" t="s">
        <v>27</v>
      </c>
      <c r="BF5" s="11" t="str">
        <f t="shared" si="11"/>
        <v/>
      </c>
      <c r="BG5" s="19">
        <v>19.0</v>
      </c>
      <c r="BH5" s="19">
        <v>30.0</v>
      </c>
      <c r="BI5" s="20" t="b">
        <v>0</v>
      </c>
      <c r="BJ5" s="27" t="s">
        <v>27</v>
      </c>
      <c r="BK5" s="11" t="str">
        <f t="shared" si="12"/>
        <v/>
      </c>
      <c r="BL5" s="19">
        <v>17.0</v>
      </c>
      <c r="BM5" s="19">
        <v>20.0</v>
      </c>
      <c r="BN5" s="20" t="b">
        <v>0</v>
      </c>
      <c r="BO5" s="17"/>
      <c r="BP5" s="17"/>
      <c r="BQ5" s="17"/>
    </row>
    <row r="6">
      <c r="A6" s="16" t="s">
        <v>43</v>
      </c>
      <c r="B6" s="17" t="s">
        <v>57</v>
      </c>
      <c r="C6" s="18" t="str">
        <f>IFERROR(__xludf.DUMMYFUNCTION("""COMPUTED_VALUE"""),"NYJ")</f>
        <v>NYJ</v>
      </c>
      <c r="D6" s="11" t="str">
        <f>IFERROR(__xludf.DUMMYFUNCTION("""COMPUTED_VALUE"""),"")</f>
        <v/>
      </c>
      <c r="E6" s="19">
        <f>IFERROR(__xludf.DUMMYFUNCTION("""COMPUTED_VALUE"""),23.0)</f>
        <v>23</v>
      </c>
      <c r="F6" s="20">
        <f>IFERROR(__xludf.DUMMYFUNCTION("""COMPUTED_VALUE"""),10.0)</f>
        <v>10</v>
      </c>
      <c r="G6" s="19" t="s">
        <v>55</v>
      </c>
      <c r="H6" s="23" t="str">
        <f t="shared" si="1"/>
        <v/>
      </c>
      <c r="I6" s="19">
        <v>24.0</v>
      </c>
      <c r="J6" s="19">
        <v>31.0</v>
      </c>
      <c r="K6" s="20" t="b">
        <v>0</v>
      </c>
      <c r="L6" s="19" t="s">
        <v>58</v>
      </c>
      <c r="M6" s="11" t="str">
        <f t="shared" si="2"/>
        <v/>
      </c>
      <c r="N6" s="19">
        <v>21.0</v>
      </c>
      <c r="O6" s="19">
        <v>17.0</v>
      </c>
      <c r="P6" s="19" t="b">
        <v>0</v>
      </c>
      <c r="Q6" s="27" t="s">
        <v>58</v>
      </c>
      <c r="R6" s="11" t="str">
        <f t="shared" si="3"/>
        <v/>
      </c>
      <c r="S6" s="19">
        <v>28.0</v>
      </c>
      <c r="T6" s="19">
        <v>21.0</v>
      </c>
      <c r="U6" s="20" t="b">
        <v>0</v>
      </c>
      <c r="V6" s="19" t="s">
        <v>58</v>
      </c>
      <c r="W6" s="11" t="str">
        <f t="shared" si="4"/>
        <v/>
      </c>
      <c r="X6" s="19">
        <v>30.0</v>
      </c>
      <c r="Y6" s="19">
        <v>17.0</v>
      </c>
      <c r="Z6" s="20" t="b">
        <v>0</v>
      </c>
      <c r="AA6" s="27" t="s">
        <v>55</v>
      </c>
      <c r="AB6" s="11" t="str">
        <f t="shared" si="5"/>
        <v/>
      </c>
      <c r="AC6" s="19">
        <v>6.0</v>
      </c>
      <c r="AD6" s="19">
        <v>9.0</v>
      </c>
      <c r="AE6" s="19" t="b">
        <v>0</v>
      </c>
      <c r="AF6" s="27" t="s">
        <v>58</v>
      </c>
      <c r="AG6" s="11" t="str">
        <f t="shared" si="6"/>
        <v/>
      </c>
      <c r="AH6" s="19">
        <v>17.0</v>
      </c>
      <c r="AI6" s="19">
        <v>14.0</v>
      </c>
      <c r="AJ6" s="20" t="b">
        <v>0</v>
      </c>
      <c r="AK6" s="19" t="s">
        <v>55</v>
      </c>
      <c r="AL6" s="11" t="str">
        <f t="shared" si="7"/>
        <v/>
      </c>
      <c r="AM6" s="19">
        <v>21.0</v>
      </c>
      <c r="AN6" s="19">
        <v>24.0</v>
      </c>
      <c r="AO6" s="20" t="b">
        <v>0</v>
      </c>
      <c r="AP6" s="27" t="s">
        <v>55</v>
      </c>
      <c r="AQ6" s="11" t="str">
        <f t="shared" si="8"/>
        <v/>
      </c>
      <c r="AR6" s="19">
        <v>21.0</v>
      </c>
      <c r="AS6" s="19">
        <v>24.0</v>
      </c>
      <c r="AT6" s="20" t="b">
        <v>0</v>
      </c>
      <c r="AU6" s="27" t="s">
        <v>55</v>
      </c>
      <c r="AV6" s="11" t="str">
        <f t="shared" si="9"/>
        <v/>
      </c>
      <c r="AW6" s="19">
        <v>10.0</v>
      </c>
      <c r="AX6" s="19">
        <v>14.0</v>
      </c>
      <c r="AY6" s="20" t="b">
        <v>1</v>
      </c>
      <c r="AZ6" s="27" t="s">
        <v>55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58</v>
      </c>
      <c r="BF6" s="11" t="str">
        <f t="shared" si="11"/>
        <v/>
      </c>
      <c r="BG6" s="19">
        <v>24.0</v>
      </c>
      <c r="BH6" s="19">
        <v>20.0</v>
      </c>
      <c r="BI6" s="20" t="b">
        <v>0</v>
      </c>
      <c r="BJ6" s="27" t="s">
        <v>55</v>
      </c>
      <c r="BK6" s="11" t="str">
        <f t="shared" si="12"/>
        <v/>
      </c>
      <c r="BL6" s="19">
        <v>10.0</v>
      </c>
      <c r="BM6" s="19">
        <v>21.0</v>
      </c>
      <c r="BN6" s="20" t="b">
        <v>0</v>
      </c>
      <c r="BO6" s="17"/>
      <c r="BP6" s="17"/>
      <c r="BQ6" s="17"/>
    </row>
    <row r="7">
      <c r="A7" s="16" t="s">
        <v>43</v>
      </c>
      <c r="B7" s="17" t="s">
        <v>59</v>
      </c>
      <c r="C7" s="18" t="str">
        <f>IFERROR(__xludf.DUMMYFUNCTION("""COMPUTED_VALUE"""),"BAL")</f>
        <v>BAL</v>
      </c>
      <c r="D7" s="11" t="str">
        <f>IFERROR(__xludf.DUMMYFUNCTION("""COMPUTED_VALUE"""),"")</f>
        <v/>
      </c>
      <c r="E7" s="19">
        <f>IFERROR(__xludf.DUMMYFUNCTION("""COMPUTED_VALUE"""),41.0)</f>
        <v>41</v>
      </c>
      <c r="F7" s="20">
        <f>IFERROR(__xludf.DUMMYFUNCTION("""COMPUTED_VALUE"""),23.0)</f>
        <v>23</v>
      </c>
      <c r="G7" s="19" t="s">
        <v>61</v>
      </c>
      <c r="H7" s="23" t="str">
        <f t="shared" si="1"/>
        <v/>
      </c>
      <c r="I7" s="19">
        <v>20.0</v>
      </c>
      <c r="J7" s="19">
        <v>14.0</v>
      </c>
      <c r="K7" s="20" t="b">
        <v>0</v>
      </c>
      <c r="L7" s="19" t="s">
        <v>61</v>
      </c>
      <c r="M7" s="11" t="str">
        <f t="shared" si="2"/>
        <v/>
      </c>
      <c r="N7" s="19">
        <v>24.0</v>
      </c>
      <c r="O7" s="19">
        <v>20.0</v>
      </c>
      <c r="P7" s="19" t="b">
        <v>0</v>
      </c>
      <c r="Q7" s="27" t="s">
        <v>61</v>
      </c>
      <c r="R7" s="11" t="str">
        <f t="shared" si="3"/>
        <v/>
      </c>
      <c r="S7" s="19">
        <v>14.0</v>
      </c>
      <c r="T7" s="19">
        <v>10.0</v>
      </c>
      <c r="U7" s="20" t="b">
        <v>0</v>
      </c>
      <c r="V7" s="19" t="s">
        <v>61</v>
      </c>
      <c r="W7" s="11" t="str">
        <f t="shared" si="4"/>
        <v/>
      </c>
      <c r="X7" s="19">
        <v>27.0</v>
      </c>
      <c r="Y7" s="19">
        <v>20.0</v>
      </c>
      <c r="Z7" s="20" t="b">
        <v>0</v>
      </c>
      <c r="AA7" s="27" t="s">
        <v>61</v>
      </c>
      <c r="AB7" s="11" t="str">
        <f t="shared" si="5"/>
        <v/>
      </c>
      <c r="AC7" s="19">
        <v>17.0</v>
      </c>
      <c r="AD7" s="19">
        <v>10.0</v>
      </c>
      <c r="AE7" s="19" t="b">
        <v>0</v>
      </c>
      <c r="AF7" s="27" t="s">
        <v>61</v>
      </c>
      <c r="AG7" s="11" t="str">
        <f t="shared" si="6"/>
        <v/>
      </c>
      <c r="AH7" s="19">
        <v>27.0</v>
      </c>
      <c r="AI7" s="19">
        <v>24.0</v>
      </c>
      <c r="AJ7" s="20" t="b">
        <v>0</v>
      </c>
      <c r="AK7" s="19" t="s">
        <v>61</v>
      </c>
      <c r="AL7" s="11" t="str">
        <f t="shared" si="7"/>
        <v/>
      </c>
      <c r="AM7" s="19">
        <v>10.0</v>
      </c>
      <c r="AN7" s="19">
        <v>7.0</v>
      </c>
      <c r="AO7" s="20" t="b">
        <v>0</v>
      </c>
      <c r="AP7" s="27" t="s">
        <v>61</v>
      </c>
      <c r="AQ7" s="11" t="str">
        <f t="shared" si="8"/>
        <v/>
      </c>
      <c r="AR7" s="19">
        <v>23.0</v>
      </c>
      <c r="AS7" s="19">
        <v>17.0</v>
      </c>
      <c r="AT7" s="20" t="b">
        <v>0</v>
      </c>
      <c r="AU7" s="27" t="s">
        <v>61</v>
      </c>
      <c r="AV7" s="11" t="str">
        <f t="shared" si="9"/>
        <v/>
      </c>
      <c r="AW7" s="19">
        <v>24.0</v>
      </c>
      <c r="AX7" s="19">
        <v>21.0</v>
      </c>
      <c r="AY7" s="20" t="b">
        <v>0</v>
      </c>
      <c r="AZ7" s="27" t="s">
        <v>61</v>
      </c>
      <c r="BA7" s="11" t="str">
        <f t="shared" si="10"/>
        <v/>
      </c>
      <c r="BB7" s="19">
        <v>23.0</v>
      </c>
      <c r="BC7" s="19">
        <v>20.0</v>
      </c>
      <c r="BD7" s="20" t="b">
        <v>0</v>
      </c>
      <c r="BE7" s="27" t="s">
        <v>61</v>
      </c>
      <c r="BF7" s="11" t="str">
        <f t="shared" si="11"/>
        <v/>
      </c>
      <c r="BG7" s="19">
        <v>28.0</v>
      </c>
      <c r="BH7" s="19">
        <v>21.0</v>
      </c>
      <c r="BI7" s="20" t="b">
        <v>1</v>
      </c>
      <c r="BJ7" s="27" t="s">
        <v>61</v>
      </c>
      <c r="BK7" s="11" t="str">
        <f t="shared" si="12"/>
        <v/>
      </c>
      <c r="BL7" s="19">
        <v>14.0</v>
      </c>
      <c r="BM7" s="19">
        <v>7.0</v>
      </c>
      <c r="BN7" s="20" t="b">
        <v>0</v>
      </c>
      <c r="BO7" s="17"/>
      <c r="BP7" s="17"/>
      <c r="BQ7" s="17"/>
    </row>
    <row r="8">
      <c r="A8" s="16" t="s">
        <v>43</v>
      </c>
      <c r="B8" s="17" t="s">
        <v>64</v>
      </c>
      <c r="C8" s="18" t="str">
        <f>IFERROR(__xludf.DUMMYFUNCTION("""COMPUTED_VALUE"""),"PIT")</f>
        <v>PIT</v>
      </c>
      <c r="D8" s="11" t="str">
        <f>IFERROR(__xludf.DUMMYFUNCTION("""COMPUTED_VALUE"""),"")</f>
        <v/>
      </c>
      <c r="E8" s="19">
        <f>IFERROR(__xludf.DUMMYFUNCTION("""COMPUTED_VALUE"""),13.0)</f>
        <v>13</v>
      </c>
      <c r="F8" s="20">
        <f>IFERROR(__xludf.DUMMYFUNCTION("""COMPUTED_VALUE"""),20.0)</f>
        <v>20</v>
      </c>
      <c r="G8" s="19" t="s">
        <v>33</v>
      </c>
      <c r="H8" s="23" t="str">
        <f t="shared" si="1"/>
        <v/>
      </c>
      <c r="I8" s="19">
        <v>17.0</v>
      </c>
      <c r="J8" s="19">
        <v>21.0</v>
      </c>
      <c r="K8" s="20" t="b">
        <v>0</v>
      </c>
      <c r="L8" s="19" t="s">
        <v>33</v>
      </c>
      <c r="M8" s="11" t="str">
        <f t="shared" si="2"/>
        <v/>
      </c>
      <c r="N8" s="19">
        <v>7.0</v>
      </c>
      <c r="O8" s="19">
        <v>10.0</v>
      </c>
      <c r="P8" s="19" t="b">
        <v>0</v>
      </c>
      <c r="Q8" s="27" t="s">
        <v>33</v>
      </c>
      <c r="R8" s="11" t="str">
        <f t="shared" si="3"/>
        <v/>
      </c>
      <c r="S8" s="19">
        <v>10.0</v>
      </c>
      <c r="T8" s="19">
        <v>14.0</v>
      </c>
      <c r="U8" s="20" t="b">
        <v>0</v>
      </c>
      <c r="V8" s="19" t="s">
        <v>33</v>
      </c>
      <c r="W8" s="11" t="str">
        <f t="shared" si="4"/>
        <v/>
      </c>
      <c r="X8" s="19">
        <v>13.0</v>
      </c>
      <c r="Y8" s="19">
        <v>21.0</v>
      </c>
      <c r="Z8" s="20" t="b">
        <v>0</v>
      </c>
      <c r="AA8" s="27" t="s">
        <v>33</v>
      </c>
      <c r="AB8" s="11" t="str">
        <f t="shared" si="5"/>
        <v/>
      </c>
      <c r="AC8" s="19">
        <v>14.0</v>
      </c>
      <c r="AD8" s="19">
        <v>24.0</v>
      </c>
      <c r="AE8" s="19" t="b">
        <v>0</v>
      </c>
      <c r="AF8" s="27" t="s">
        <v>33</v>
      </c>
      <c r="AG8" s="11" t="str">
        <f t="shared" si="6"/>
        <v/>
      </c>
      <c r="AH8" s="19">
        <v>17.0</v>
      </c>
      <c r="AI8" s="19">
        <v>20.0</v>
      </c>
      <c r="AJ8" s="20" t="b">
        <v>0</v>
      </c>
      <c r="AK8" s="19" t="s">
        <v>29</v>
      </c>
      <c r="AL8" s="11" t="str">
        <f t="shared" si="7"/>
        <v/>
      </c>
      <c r="AM8" s="19">
        <v>28.0</v>
      </c>
      <c r="AN8" s="19">
        <v>21.0</v>
      </c>
      <c r="AO8" s="20" t="b">
        <v>0</v>
      </c>
      <c r="AP8" s="27" t="s">
        <v>29</v>
      </c>
      <c r="AQ8" s="11" t="str">
        <f t="shared" si="8"/>
        <v/>
      </c>
      <c r="AR8" s="19">
        <v>20.0</v>
      </c>
      <c r="AS8" s="19">
        <v>17.0</v>
      </c>
      <c r="AT8" s="20" t="b">
        <v>0</v>
      </c>
      <c r="AU8" s="27" t="s">
        <v>33</v>
      </c>
      <c r="AV8" s="11" t="str">
        <f t="shared" si="9"/>
        <v/>
      </c>
      <c r="AW8" s="19">
        <v>7.0</v>
      </c>
      <c r="AX8" s="19">
        <v>10.0</v>
      </c>
      <c r="AY8" s="20" t="b">
        <v>0</v>
      </c>
      <c r="AZ8" s="27" t="s">
        <v>33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33</v>
      </c>
      <c r="BF8" s="11" t="str">
        <f t="shared" si="11"/>
        <v/>
      </c>
      <c r="BG8" s="19">
        <v>17.0</v>
      </c>
      <c r="BH8" s="19">
        <v>20.0</v>
      </c>
      <c r="BI8" s="20" t="b">
        <v>0</v>
      </c>
      <c r="BJ8" s="27" t="s">
        <v>33</v>
      </c>
      <c r="BK8" s="11" t="str">
        <f t="shared" si="12"/>
        <v/>
      </c>
      <c r="BL8" s="19">
        <v>24.0</v>
      </c>
      <c r="BM8" s="19">
        <v>27.0</v>
      </c>
      <c r="BN8" s="20" t="b">
        <v>0</v>
      </c>
      <c r="BO8" s="19"/>
      <c r="BP8" s="19"/>
      <c r="BQ8" s="19"/>
    </row>
    <row r="9">
      <c r="A9" s="16" t="s">
        <v>43</v>
      </c>
      <c r="B9" s="17" t="s">
        <v>66</v>
      </c>
      <c r="C9" s="18" t="str">
        <f>IFERROR(__xludf.DUMMYFUNCTION("""COMPUTED_VALUE"""),"CHI")</f>
        <v>CHI</v>
      </c>
      <c r="D9" s="11" t="str">
        <f>IFERROR(__xludf.DUMMYFUNCTION("""COMPUTED_VALUE"""),"")</f>
        <v/>
      </c>
      <c r="E9" s="19">
        <f>IFERROR(__xludf.DUMMYFUNCTION("""COMPUTED_VALUE"""),59.0)</f>
        <v>59</v>
      </c>
      <c r="F9" s="20">
        <f>IFERROR(__xludf.DUMMYFUNCTION("""COMPUTED_VALUE"""),37.0)</f>
        <v>37</v>
      </c>
      <c r="G9" s="19" t="s">
        <v>44</v>
      </c>
      <c r="H9" s="23" t="str">
        <f t="shared" si="1"/>
        <v/>
      </c>
      <c r="I9" s="19">
        <v>20.0</v>
      </c>
      <c r="J9" s="19">
        <v>13.0</v>
      </c>
      <c r="K9" s="20" t="b">
        <v>0</v>
      </c>
      <c r="L9" s="19" t="s">
        <v>44</v>
      </c>
      <c r="M9" s="11" t="str">
        <f t="shared" si="2"/>
        <v/>
      </c>
      <c r="N9" s="19">
        <v>24.0</v>
      </c>
      <c r="O9" s="19">
        <v>21.0</v>
      </c>
      <c r="P9" s="19" t="b">
        <v>0</v>
      </c>
      <c r="Q9" s="27" t="s">
        <v>44</v>
      </c>
      <c r="R9" s="11" t="str">
        <f t="shared" si="3"/>
        <v/>
      </c>
      <c r="S9" s="19">
        <v>17.0</v>
      </c>
      <c r="T9" s="19">
        <v>14.0</v>
      </c>
      <c r="U9" s="20" t="b">
        <v>1</v>
      </c>
      <c r="V9" s="19" t="s">
        <v>44</v>
      </c>
      <c r="W9" s="11" t="str">
        <f t="shared" si="4"/>
        <v/>
      </c>
      <c r="X9" s="19">
        <v>31.0</v>
      </c>
      <c r="Y9" s="19">
        <v>20.0</v>
      </c>
      <c r="Z9" s="20" t="b">
        <v>0</v>
      </c>
      <c r="AA9" s="27" t="s">
        <v>44</v>
      </c>
      <c r="AB9" s="11" t="str">
        <f t="shared" si="5"/>
        <v/>
      </c>
      <c r="AC9" s="19">
        <v>28.0</v>
      </c>
      <c r="AD9" s="19">
        <v>10.0</v>
      </c>
      <c r="AE9" s="19" t="b">
        <v>0</v>
      </c>
      <c r="AF9" s="27" t="s">
        <v>44</v>
      </c>
      <c r="AG9" s="11" t="str">
        <f t="shared" si="6"/>
        <v/>
      </c>
      <c r="AH9" s="19">
        <v>26.0</v>
      </c>
      <c r="AI9" s="19">
        <v>20.0</v>
      </c>
      <c r="AJ9" s="20" t="b">
        <v>1</v>
      </c>
      <c r="AK9" s="19" t="s">
        <v>44</v>
      </c>
      <c r="AL9" s="11" t="str">
        <f t="shared" si="7"/>
        <v/>
      </c>
      <c r="AM9" s="19">
        <v>27.0</v>
      </c>
      <c r="AN9" s="19">
        <v>24.0</v>
      </c>
      <c r="AO9" s="20" t="b">
        <v>0</v>
      </c>
      <c r="AP9" s="27" t="s">
        <v>44</v>
      </c>
      <c r="AQ9" s="11" t="str">
        <f t="shared" si="8"/>
        <v/>
      </c>
      <c r="AR9" s="19">
        <v>27.0</v>
      </c>
      <c r="AS9" s="19">
        <v>17.0</v>
      </c>
      <c r="AT9" s="20" t="b">
        <v>0</v>
      </c>
      <c r="AU9" s="27" t="s">
        <v>41</v>
      </c>
      <c r="AV9" s="11" t="str">
        <f t="shared" si="9"/>
        <v/>
      </c>
      <c r="AW9" s="19">
        <v>17.0</v>
      </c>
      <c r="AX9" s="19">
        <v>20.0</v>
      </c>
      <c r="AY9" s="20" t="b">
        <v>0</v>
      </c>
      <c r="AZ9" s="27" t="s">
        <v>44</v>
      </c>
      <c r="BA9" s="11" t="str">
        <f t="shared" si="10"/>
        <v/>
      </c>
      <c r="BB9" s="19">
        <v>23.0</v>
      </c>
      <c r="BC9" s="19">
        <v>20.0</v>
      </c>
      <c r="BD9" s="20" t="b">
        <v>0</v>
      </c>
      <c r="BE9" s="27" t="s">
        <v>44</v>
      </c>
      <c r="BF9" s="11" t="str">
        <f t="shared" si="11"/>
        <v/>
      </c>
      <c r="BG9" s="19">
        <v>26.0</v>
      </c>
      <c r="BH9" s="19">
        <v>17.0</v>
      </c>
      <c r="BI9" s="20" t="b">
        <v>0</v>
      </c>
      <c r="BJ9" s="27" t="s">
        <v>44</v>
      </c>
      <c r="BK9" s="11" t="str">
        <f t="shared" si="12"/>
        <v/>
      </c>
      <c r="BL9" s="19">
        <v>17.0</v>
      </c>
      <c r="BM9" s="19">
        <v>14.0</v>
      </c>
      <c r="BN9" s="20" t="b">
        <v>0</v>
      </c>
      <c r="BO9" s="17"/>
      <c r="BP9" s="17"/>
      <c r="BQ9" s="17"/>
    </row>
    <row r="10">
      <c r="A10" s="16" t="s">
        <v>43</v>
      </c>
      <c r="B10" s="17" t="s">
        <v>70</v>
      </c>
      <c r="C10" s="18" t="str">
        <f>IFERROR(__xludf.DUMMYFUNCTION("""COMPUTED_VALUE"""),"JAX")</f>
        <v>JAX</v>
      </c>
      <c r="D10" s="11" t="str">
        <f>IFERROR(__xludf.DUMMYFUNCTION("""COMPUTED_VALUE"""),"")</f>
        <v/>
      </c>
      <c r="E10" s="19">
        <f>IFERROR(__xludf.DUMMYFUNCTION("""COMPUTED_VALUE"""),10.0)</f>
        <v>10</v>
      </c>
      <c r="F10" s="20">
        <f>IFERROR(__xludf.DUMMYFUNCTION("""COMPUTED_VALUE"""),34.0)</f>
        <v>34</v>
      </c>
      <c r="G10" s="19" t="s">
        <v>71</v>
      </c>
      <c r="H10" s="23" t="str">
        <f t="shared" si="1"/>
        <v/>
      </c>
      <c r="I10" s="19">
        <v>17.0</v>
      </c>
      <c r="J10" s="19">
        <v>21.0</v>
      </c>
      <c r="K10" s="20" t="b">
        <v>0</v>
      </c>
      <c r="L10" s="19" t="s">
        <v>71</v>
      </c>
      <c r="M10" s="11" t="str">
        <f t="shared" si="2"/>
        <v/>
      </c>
      <c r="N10" s="19">
        <v>17.0</v>
      </c>
      <c r="O10" s="19">
        <v>21.0</v>
      </c>
      <c r="P10" s="19" t="b">
        <v>0</v>
      </c>
      <c r="Q10" s="27" t="s">
        <v>71</v>
      </c>
      <c r="R10" s="11" t="str">
        <f t="shared" si="3"/>
        <v/>
      </c>
      <c r="S10" s="19">
        <v>14.0</v>
      </c>
      <c r="T10" s="19">
        <v>17.0</v>
      </c>
      <c r="U10" s="20" t="b">
        <v>0</v>
      </c>
      <c r="V10" s="19" t="s">
        <v>71</v>
      </c>
      <c r="W10" s="11" t="str">
        <f t="shared" si="4"/>
        <v/>
      </c>
      <c r="X10" s="19">
        <v>12.0</v>
      </c>
      <c r="Y10" s="19">
        <v>21.0</v>
      </c>
      <c r="Z10" s="20" t="b">
        <v>0</v>
      </c>
      <c r="AA10" s="27" t="s">
        <v>71</v>
      </c>
      <c r="AB10" s="11" t="str">
        <f t="shared" si="5"/>
        <v/>
      </c>
      <c r="AC10" s="19">
        <v>10.0</v>
      </c>
      <c r="AD10" s="19">
        <v>17.0</v>
      </c>
      <c r="AE10" s="19" t="b">
        <v>0</v>
      </c>
      <c r="AF10" s="27" t="s">
        <v>34</v>
      </c>
      <c r="AG10" s="11" t="str">
        <f t="shared" si="6"/>
        <v/>
      </c>
      <c r="AH10" s="19">
        <v>17.0</v>
      </c>
      <c r="AI10" s="19">
        <v>14.0</v>
      </c>
      <c r="AJ10" s="20" t="b">
        <v>0</v>
      </c>
      <c r="AK10" s="19" t="s">
        <v>71</v>
      </c>
      <c r="AL10" s="11" t="str">
        <f t="shared" si="7"/>
        <v/>
      </c>
      <c r="AM10" s="19">
        <v>17.0</v>
      </c>
      <c r="AN10" s="19">
        <v>21.0</v>
      </c>
      <c r="AO10" s="20" t="b">
        <v>0</v>
      </c>
      <c r="AP10" s="27" t="s">
        <v>71</v>
      </c>
      <c r="AQ10" s="11" t="str">
        <f t="shared" si="8"/>
        <v/>
      </c>
      <c r="AR10" s="19">
        <v>13.0</v>
      </c>
      <c r="AS10" s="19">
        <v>24.0</v>
      </c>
      <c r="AT10" s="20" t="b">
        <v>1</v>
      </c>
      <c r="AU10" s="27" t="s">
        <v>34</v>
      </c>
      <c r="AV10" s="11" t="str">
        <f t="shared" si="9"/>
        <v/>
      </c>
      <c r="AW10" s="19">
        <v>17.0</v>
      </c>
      <c r="AX10" s="19">
        <v>14.0</v>
      </c>
      <c r="AY10" s="20" t="b">
        <v>0</v>
      </c>
      <c r="AZ10" s="27" t="s">
        <v>71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71</v>
      </c>
      <c r="BF10" s="11" t="str">
        <f t="shared" si="11"/>
        <v/>
      </c>
      <c r="BG10" s="19">
        <v>20.0</v>
      </c>
      <c r="BH10" s="19">
        <v>23.0</v>
      </c>
      <c r="BI10" s="20" t="b">
        <v>0</v>
      </c>
      <c r="BJ10" s="27" t="s">
        <v>71</v>
      </c>
      <c r="BK10" s="11" t="str">
        <f t="shared" si="12"/>
        <v/>
      </c>
      <c r="BL10" s="19">
        <v>21.0</v>
      </c>
      <c r="BM10" s="19">
        <v>24.0</v>
      </c>
      <c r="BN10" s="20" t="b">
        <v>0</v>
      </c>
      <c r="BO10" s="17"/>
      <c r="BP10" s="17"/>
      <c r="BQ10" s="17"/>
    </row>
    <row r="11">
      <c r="A11" s="16" t="s">
        <v>43</v>
      </c>
      <c r="B11" s="17" t="s">
        <v>77</v>
      </c>
      <c r="C11" s="18" t="str">
        <f>IFERROR(__xludf.DUMMYFUNCTION("""COMPUTED_VALUE"""),"BUF")</f>
        <v>BUF</v>
      </c>
      <c r="D11" s="11" t="str">
        <f>IFERROR(__xludf.DUMMYFUNCTION("""COMPUTED_VALUE"""),"")</f>
        <v/>
      </c>
      <c r="E11" s="19">
        <f>IFERROR(__xludf.DUMMYFUNCTION("""COMPUTED_VALUE"""),36.0)</f>
        <v>36</v>
      </c>
      <c r="F11" s="20">
        <f>IFERROR(__xludf.DUMMYFUNCTION("""COMPUTED_VALUE"""),31.0)</f>
        <v>31</v>
      </c>
      <c r="G11" s="19" t="s">
        <v>23</v>
      </c>
      <c r="H11" s="23" t="str">
        <f t="shared" si="1"/>
        <v/>
      </c>
      <c r="I11" s="19">
        <v>17.0</v>
      </c>
      <c r="J11" s="19">
        <v>14.0</v>
      </c>
      <c r="K11" s="20" t="b">
        <v>0</v>
      </c>
      <c r="L11" s="19" t="s">
        <v>23</v>
      </c>
      <c r="M11" s="11" t="str">
        <f t="shared" si="2"/>
        <v/>
      </c>
      <c r="N11" s="19">
        <v>17.0</v>
      </c>
      <c r="O11" s="19">
        <v>14.0</v>
      </c>
      <c r="P11" s="19" t="b">
        <v>0</v>
      </c>
      <c r="Q11" s="27" t="s">
        <v>23</v>
      </c>
      <c r="R11" s="11" t="str">
        <f t="shared" si="3"/>
        <v/>
      </c>
      <c r="S11" s="19">
        <v>14.0</v>
      </c>
      <c r="T11" s="19">
        <v>10.0</v>
      </c>
      <c r="U11" s="20" t="b">
        <v>0</v>
      </c>
      <c r="V11" s="19" t="s">
        <v>23</v>
      </c>
      <c r="W11" s="11" t="str">
        <f t="shared" si="4"/>
        <v/>
      </c>
      <c r="X11" s="19">
        <v>24.0</v>
      </c>
      <c r="Y11" s="19">
        <v>21.0</v>
      </c>
      <c r="Z11" s="20" t="b">
        <v>0</v>
      </c>
      <c r="AA11" s="27" t="s">
        <v>23</v>
      </c>
      <c r="AB11" s="11" t="str">
        <f t="shared" si="5"/>
        <v/>
      </c>
      <c r="AC11" s="19">
        <v>24.0</v>
      </c>
      <c r="AD11" s="19">
        <v>21.0</v>
      </c>
      <c r="AE11" s="19" t="b">
        <v>0</v>
      </c>
      <c r="AF11" s="27" t="s">
        <v>23</v>
      </c>
      <c r="AG11" s="11" t="str">
        <f t="shared" si="6"/>
        <v/>
      </c>
      <c r="AH11" s="19">
        <v>28.0</v>
      </c>
      <c r="AI11" s="19">
        <v>21.0</v>
      </c>
      <c r="AJ11" s="20" t="b">
        <v>0</v>
      </c>
      <c r="AK11" s="19" t="s">
        <v>23</v>
      </c>
      <c r="AL11" s="11" t="str">
        <f t="shared" si="7"/>
        <v/>
      </c>
      <c r="AM11" s="19">
        <v>31.0</v>
      </c>
      <c r="AN11" s="19">
        <v>24.0</v>
      </c>
      <c r="AO11" s="20" t="b">
        <v>0</v>
      </c>
      <c r="AP11" s="27" t="s">
        <v>69</v>
      </c>
      <c r="AQ11" s="11" t="str">
        <f t="shared" si="8"/>
        <v/>
      </c>
      <c r="AR11" s="19">
        <v>23.0</v>
      </c>
      <c r="AS11" s="19">
        <v>24.0</v>
      </c>
      <c r="AT11" s="20" t="b">
        <v>0</v>
      </c>
      <c r="AU11" s="27" t="s">
        <v>23</v>
      </c>
      <c r="AV11" s="11" t="str">
        <f t="shared" si="9"/>
        <v/>
      </c>
      <c r="AW11" s="19">
        <v>17.0</v>
      </c>
      <c r="AX11" s="19">
        <v>14.0</v>
      </c>
      <c r="AY11" s="20" t="b">
        <v>0</v>
      </c>
      <c r="AZ11" s="27" t="s">
        <v>23</v>
      </c>
      <c r="BA11" s="11" t="str">
        <f t="shared" si="10"/>
        <v/>
      </c>
      <c r="BB11" s="19">
        <v>23.0</v>
      </c>
      <c r="BC11" s="19">
        <v>20.0</v>
      </c>
      <c r="BD11" s="20" t="b">
        <v>0</v>
      </c>
      <c r="BE11" s="27" t="s">
        <v>69</v>
      </c>
      <c r="BF11" s="11" t="str">
        <f t="shared" si="11"/>
        <v/>
      </c>
      <c r="BG11" s="19">
        <v>24.0</v>
      </c>
      <c r="BH11" s="19">
        <v>27.0</v>
      </c>
      <c r="BI11" s="20" t="b">
        <v>0</v>
      </c>
      <c r="BJ11" s="27" t="s">
        <v>23</v>
      </c>
      <c r="BK11" s="11" t="str">
        <f t="shared" si="12"/>
        <v/>
      </c>
      <c r="BL11" s="19">
        <v>27.0</v>
      </c>
      <c r="BM11" s="19">
        <v>24.0</v>
      </c>
      <c r="BN11" s="20" t="b">
        <v>0</v>
      </c>
      <c r="BO11" s="19"/>
      <c r="BP11" s="19"/>
      <c r="BQ11" s="19"/>
    </row>
    <row r="12">
      <c r="A12" s="16" t="s">
        <v>82</v>
      </c>
      <c r="B12" s="17" t="s">
        <v>83</v>
      </c>
      <c r="C12" s="18" t="str">
        <f>IFERROR(__xludf.DUMMYFUNCTION("""COMPUTED_VALUE"""),"LV")</f>
        <v>LV</v>
      </c>
      <c r="D12" s="11" t="str">
        <f>IFERROR(__xludf.DUMMYFUNCTION("""COMPUTED_VALUE"""),"")</f>
        <v/>
      </c>
      <c r="E12" s="19">
        <f>IFERROR(__xludf.DUMMYFUNCTION("""COMPUTED_VALUE"""),13.0)</f>
        <v>13</v>
      </c>
      <c r="F12" s="20">
        <f>IFERROR(__xludf.DUMMYFUNCTION("""COMPUTED_VALUE"""),27.0)</f>
        <v>27</v>
      </c>
      <c r="G12" s="19" t="s">
        <v>79</v>
      </c>
      <c r="H12" s="23" t="str">
        <f t="shared" si="1"/>
        <v/>
      </c>
      <c r="I12" s="19">
        <v>17.0</v>
      </c>
      <c r="J12" s="19">
        <v>21.0</v>
      </c>
      <c r="K12" s="20" t="b">
        <v>0</v>
      </c>
      <c r="L12" s="19" t="s">
        <v>79</v>
      </c>
      <c r="M12" s="11" t="str">
        <f t="shared" si="2"/>
        <v/>
      </c>
      <c r="N12" s="19">
        <v>17.0</v>
      </c>
      <c r="O12" s="19">
        <v>20.0</v>
      </c>
      <c r="P12" s="19" t="b">
        <v>0</v>
      </c>
      <c r="Q12" s="27" t="s">
        <v>87</v>
      </c>
      <c r="R12" s="11" t="str">
        <f t="shared" si="3"/>
        <v/>
      </c>
      <c r="S12" s="19">
        <v>21.0</v>
      </c>
      <c r="T12" s="19">
        <v>17.0</v>
      </c>
      <c r="U12" s="20" t="b">
        <v>0</v>
      </c>
      <c r="V12" s="19" t="s">
        <v>79</v>
      </c>
      <c r="W12" s="11" t="str">
        <f t="shared" si="4"/>
        <v/>
      </c>
      <c r="X12" s="19">
        <v>6.0</v>
      </c>
      <c r="Y12" s="19">
        <v>23.0</v>
      </c>
      <c r="Z12" s="20" t="b">
        <v>0</v>
      </c>
      <c r="AA12" s="27" t="s">
        <v>79</v>
      </c>
      <c r="AB12" s="11" t="str">
        <f t="shared" si="5"/>
        <v/>
      </c>
      <c r="AC12" s="19">
        <v>9.0</v>
      </c>
      <c r="AD12" s="19">
        <v>14.0</v>
      </c>
      <c r="AE12" s="19" t="b">
        <v>0</v>
      </c>
      <c r="AF12" s="27" t="s">
        <v>79</v>
      </c>
      <c r="AG12" s="11" t="str">
        <f t="shared" si="6"/>
        <v/>
      </c>
      <c r="AH12" s="19">
        <v>24.0</v>
      </c>
      <c r="AI12" s="19">
        <v>27.0</v>
      </c>
      <c r="AJ12" s="20" t="b">
        <v>0</v>
      </c>
      <c r="AK12" s="19" t="s">
        <v>79</v>
      </c>
      <c r="AL12" s="11" t="str">
        <f t="shared" si="7"/>
        <v/>
      </c>
      <c r="AM12" s="19">
        <v>17.0</v>
      </c>
      <c r="AN12" s="19">
        <v>20.0</v>
      </c>
      <c r="AO12" s="20" t="b">
        <v>0</v>
      </c>
      <c r="AP12" s="27" t="s">
        <v>79</v>
      </c>
      <c r="AQ12" s="11" t="str">
        <f t="shared" si="8"/>
        <v/>
      </c>
      <c r="AR12" s="19">
        <v>21.0</v>
      </c>
      <c r="AS12" s="19">
        <v>24.0</v>
      </c>
      <c r="AT12" s="20" t="b">
        <v>0</v>
      </c>
      <c r="AU12" s="27" t="s">
        <v>79</v>
      </c>
      <c r="AV12" s="11" t="str">
        <f t="shared" si="9"/>
        <v/>
      </c>
      <c r="AW12" s="19">
        <v>24.0</v>
      </c>
      <c r="AX12" s="19">
        <v>27.0</v>
      </c>
      <c r="AY12" s="20" t="b">
        <v>0</v>
      </c>
      <c r="AZ12" s="27" t="s">
        <v>87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87</v>
      </c>
      <c r="BF12" s="11" t="str">
        <f t="shared" si="11"/>
        <v/>
      </c>
      <c r="BG12" s="19">
        <v>28.0</v>
      </c>
      <c r="BH12" s="19">
        <v>21.0</v>
      </c>
      <c r="BI12" s="20" t="b">
        <v>0</v>
      </c>
      <c r="BJ12" s="27" t="s">
        <v>87</v>
      </c>
      <c r="BK12" s="11" t="str">
        <f t="shared" si="12"/>
        <v/>
      </c>
      <c r="BL12" s="19">
        <v>28.0</v>
      </c>
      <c r="BM12" s="19">
        <v>21.0</v>
      </c>
      <c r="BN12" s="20" t="b">
        <v>0</v>
      </c>
      <c r="BO12" s="17"/>
      <c r="BP12" s="17"/>
      <c r="BQ12" s="17"/>
    </row>
    <row r="13">
      <c r="A13" s="16" t="s">
        <v>82</v>
      </c>
      <c r="B13" s="30" t="s">
        <v>90</v>
      </c>
      <c r="C13" s="18" t="str">
        <f>IFERROR(__xludf.DUMMYFUNCTION("""COMPUTED_VALUE"""),"MIN")</f>
        <v>MIN</v>
      </c>
      <c r="D13" s="11" t="str">
        <f>IFERROR(__xludf.DUMMYFUNCTION("""COMPUTED_VALUE"""),"")</f>
        <v/>
      </c>
      <c r="E13" s="19">
        <f>IFERROR(__xludf.DUMMYFUNCTION("""COMPUTED_VALUE"""),22.0)</f>
        <v>22</v>
      </c>
      <c r="F13" s="20">
        <f>IFERROR(__xludf.DUMMYFUNCTION("""COMPUTED_VALUE"""),39.0)</f>
        <v>39</v>
      </c>
      <c r="G13" s="19" t="s">
        <v>51</v>
      </c>
      <c r="H13" s="23" t="str">
        <f t="shared" si="1"/>
        <v/>
      </c>
      <c r="I13" s="19">
        <v>14.0</v>
      </c>
      <c r="J13" s="19">
        <v>20.0</v>
      </c>
      <c r="K13" s="20" t="b">
        <v>0</v>
      </c>
      <c r="L13" s="19" t="s">
        <v>26</v>
      </c>
      <c r="M13" s="11" t="str">
        <f t="shared" si="2"/>
        <v/>
      </c>
      <c r="N13" s="19">
        <v>27.0</v>
      </c>
      <c r="O13" s="19">
        <v>24.0</v>
      </c>
      <c r="P13" s="19" t="b">
        <v>0</v>
      </c>
      <c r="Q13" s="27" t="s">
        <v>26</v>
      </c>
      <c r="R13" s="11" t="str">
        <f t="shared" si="3"/>
        <v/>
      </c>
      <c r="S13" s="19">
        <v>14.0</v>
      </c>
      <c r="T13" s="19">
        <v>10.0</v>
      </c>
      <c r="U13" s="20" t="b">
        <v>0</v>
      </c>
      <c r="V13" s="19" t="s">
        <v>26</v>
      </c>
      <c r="W13" s="11" t="str">
        <f t="shared" si="4"/>
        <v/>
      </c>
      <c r="X13" s="19">
        <v>23.0</v>
      </c>
      <c r="Y13" s="19">
        <v>13.0</v>
      </c>
      <c r="Z13" s="20" t="b">
        <v>0</v>
      </c>
      <c r="AA13" s="27" t="s">
        <v>26</v>
      </c>
      <c r="AB13" s="11" t="str">
        <f t="shared" si="5"/>
        <v/>
      </c>
      <c r="AC13" s="19">
        <v>20.0</v>
      </c>
      <c r="AD13" s="19">
        <v>10.0</v>
      </c>
      <c r="AE13" s="19" t="b">
        <v>0</v>
      </c>
      <c r="AF13" s="27" t="s">
        <v>51</v>
      </c>
      <c r="AG13" s="11" t="str">
        <f t="shared" si="6"/>
        <v/>
      </c>
      <c r="AH13" s="19">
        <v>10.0</v>
      </c>
      <c r="AI13" s="19">
        <v>14.0</v>
      </c>
      <c r="AJ13" s="20" t="b">
        <v>0</v>
      </c>
      <c r="AK13" s="19" t="s">
        <v>26</v>
      </c>
      <c r="AL13" s="11" t="str">
        <f t="shared" si="7"/>
        <v/>
      </c>
      <c r="AM13" s="19">
        <v>24.0</v>
      </c>
      <c r="AN13" s="19">
        <v>21.0</v>
      </c>
      <c r="AO13" s="20" t="b">
        <v>0</v>
      </c>
      <c r="AP13" s="27" t="s">
        <v>51</v>
      </c>
      <c r="AQ13" s="11" t="str">
        <f t="shared" si="8"/>
        <v/>
      </c>
      <c r="AR13" s="19">
        <v>21.0</v>
      </c>
      <c r="AS13" s="19">
        <v>24.0</v>
      </c>
      <c r="AT13" s="20" t="b">
        <v>0</v>
      </c>
      <c r="AU13" s="27" t="s">
        <v>26</v>
      </c>
      <c r="AV13" s="11" t="str">
        <f t="shared" si="9"/>
        <v/>
      </c>
      <c r="AW13" s="19">
        <v>28.0</v>
      </c>
      <c r="AX13" s="19">
        <v>21.0</v>
      </c>
      <c r="AY13" s="20" t="b">
        <v>0</v>
      </c>
      <c r="AZ13" s="27" t="s">
        <v>26</v>
      </c>
      <c r="BA13" s="11" t="str">
        <f t="shared" si="10"/>
        <v/>
      </c>
      <c r="BB13" s="19">
        <v>23.0</v>
      </c>
      <c r="BC13" s="19">
        <v>20.0</v>
      </c>
      <c r="BD13" s="20" t="b">
        <v>0</v>
      </c>
      <c r="BE13" s="27" t="s">
        <v>26</v>
      </c>
      <c r="BF13" s="11" t="str">
        <f t="shared" si="11"/>
        <v/>
      </c>
      <c r="BG13" s="19">
        <v>27.0</v>
      </c>
      <c r="BH13" s="19">
        <v>23.0</v>
      </c>
      <c r="BI13" s="20" t="b">
        <v>0</v>
      </c>
      <c r="BJ13" s="27" t="s">
        <v>51</v>
      </c>
      <c r="BK13" s="11" t="str">
        <f t="shared" si="12"/>
        <v/>
      </c>
      <c r="BL13" s="19">
        <v>14.0</v>
      </c>
      <c r="BM13" s="19">
        <v>17.0</v>
      </c>
      <c r="BN13" s="20" t="b">
        <v>0</v>
      </c>
      <c r="BO13" s="17"/>
      <c r="BP13" s="17"/>
      <c r="BQ13" s="17"/>
    </row>
    <row r="14">
      <c r="A14" s="16" t="s">
        <v>82</v>
      </c>
      <c r="B14" s="30" t="s">
        <v>95</v>
      </c>
      <c r="C14" s="18" t="str">
        <f>IFERROR(__xludf.DUMMYFUNCTION("""COMPUTED_VALUE"""),"PHI")</f>
        <v>PHI</v>
      </c>
      <c r="D14" s="11" t="str">
        <f>IFERROR(__xludf.DUMMYFUNCTION("""COMPUTED_VALUE"""),"")</f>
        <v/>
      </c>
      <c r="E14" s="19">
        <f>IFERROR(__xludf.DUMMYFUNCTION("""COMPUTED_VALUE"""),22.0)</f>
        <v>22</v>
      </c>
      <c r="F14" s="20">
        <f>IFERROR(__xludf.DUMMYFUNCTION("""COMPUTED_VALUE"""),24.0)</f>
        <v>24</v>
      </c>
      <c r="G14" s="19" t="s">
        <v>54</v>
      </c>
      <c r="H14" s="23" t="str">
        <f t="shared" si="1"/>
        <v/>
      </c>
      <c r="I14" s="19">
        <v>20.0</v>
      </c>
      <c r="J14" s="19">
        <v>23.0</v>
      </c>
      <c r="K14" s="20" t="b">
        <v>0</v>
      </c>
      <c r="L14" s="19" t="s">
        <v>54</v>
      </c>
      <c r="M14" s="11" t="str">
        <f t="shared" si="2"/>
        <v/>
      </c>
      <c r="N14" s="19">
        <v>20.0</v>
      </c>
      <c r="O14" s="19">
        <v>23.0</v>
      </c>
      <c r="P14" s="19" t="b">
        <v>0</v>
      </c>
      <c r="Q14" s="27" t="s">
        <v>54</v>
      </c>
      <c r="R14" s="11" t="str">
        <f t="shared" si="3"/>
        <v/>
      </c>
      <c r="S14" s="19">
        <v>21.0</v>
      </c>
      <c r="T14" s="19">
        <v>28.0</v>
      </c>
      <c r="U14" s="20" t="b">
        <v>0</v>
      </c>
      <c r="V14" s="19" t="s">
        <v>54</v>
      </c>
      <c r="W14" s="11" t="str">
        <f t="shared" si="4"/>
        <v/>
      </c>
      <c r="X14" s="19">
        <v>10.0</v>
      </c>
      <c r="Y14" s="19">
        <v>33.0</v>
      </c>
      <c r="Z14" s="20" t="b">
        <v>0</v>
      </c>
      <c r="AA14" s="27" t="s">
        <v>54</v>
      </c>
      <c r="AB14" s="11" t="str">
        <f t="shared" si="5"/>
        <v/>
      </c>
      <c r="AC14" s="19">
        <v>20.0</v>
      </c>
      <c r="AD14" s="19">
        <v>24.0</v>
      </c>
      <c r="AE14" s="19" t="b">
        <v>0</v>
      </c>
      <c r="AF14" s="27" t="s">
        <v>54</v>
      </c>
      <c r="AG14" s="11" t="str">
        <f t="shared" si="6"/>
        <v/>
      </c>
      <c r="AH14" s="19">
        <v>24.0</v>
      </c>
      <c r="AI14" s="19">
        <v>31.0</v>
      </c>
      <c r="AJ14" s="20" t="b">
        <v>0</v>
      </c>
      <c r="AK14" s="19" t="s">
        <v>54</v>
      </c>
      <c r="AL14" s="11" t="str">
        <f t="shared" si="7"/>
        <v/>
      </c>
      <c r="AM14" s="19">
        <v>24.0</v>
      </c>
      <c r="AN14" s="19">
        <v>27.0</v>
      </c>
      <c r="AO14" s="20" t="b">
        <v>0</v>
      </c>
      <c r="AP14" s="27" t="s">
        <v>54</v>
      </c>
      <c r="AQ14" s="11" t="str">
        <f t="shared" si="8"/>
        <v/>
      </c>
      <c r="AR14" s="19">
        <v>17.0</v>
      </c>
      <c r="AS14" s="19">
        <v>30.0</v>
      </c>
      <c r="AT14" s="20" t="b">
        <v>0</v>
      </c>
      <c r="AU14" s="27" t="s">
        <v>54</v>
      </c>
      <c r="AV14" s="11" t="str">
        <f t="shared" si="9"/>
        <v/>
      </c>
      <c r="AW14" s="19">
        <v>24.0</v>
      </c>
      <c r="AX14" s="19">
        <v>27.0</v>
      </c>
      <c r="AY14" s="20" t="b">
        <v>0</v>
      </c>
      <c r="AZ14" s="27" t="s">
        <v>54</v>
      </c>
      <c r="BA14" s="11" t="str">
        <f t="shared" si="10"/>
        <v/>
      </c>
      <c r="BB14" s="19">
        <v>20.0</v>
      </c>
      <c r="BC14" s="19">
        <v>23.0</v>
      </c>
      <c r="BD14" s="20" t="b">
        <v>0</v>
      </c>
      <c r="BE14" s="27" t="s">
        <v>54</v>
      </c>
      <c r="BF14" s="11" t="str">
        <f t="shared" si="11"/>
        <v/>
      </c>
      <c r="BG14" s="19">
        <v>17.0</v>
      </c>
      <c r="BH14" s="19">
        <v>31.0</v>
      </c>
      <c r="BI14" s="20" t="b">
        <v>0</v>
      </c>
      <c r="BJ14" s="27" t="s">
        <v>85</v>
      </c>
      <c r="BK14" s="11" t="str">
        <f t="shared" si="12"/>
        <v/>
      </c>
      <c r="BL14" s="19">
        <v>20.0</v>
      </c>
      <c r="BM14" s="19">
        <v>17.0</v>
      </c>
      <c r="BN14" s="20" t="b">
        <v>0</v>
      </c>
      <c r="BO14" s="17"/>
      <c r="BP14" s="17"/>
      <c r="BQ14" s="17"/>
    </row>
    <row r="15">
      <c r="A15" s="16" t="s">
        <v>82</v>
      </c>
      <c r="B15" s="17" t="s">
        <v>101</v>
      </c>
      <c r="C15" s="18" t="str">
        <f>IFERROR(__xludf.DUMMYFUNCTION("""COMPUTED_VALUE"""),"AZ")</f>
        <v>AZ</v>
      </c>
      <c r="D15" s="11" t="str">
        <f>IFERROR(__xludf.DUMMYFUNCTION("""COMPUTED_VALUE"""),"")</f>
        <v/>
      </c>
      <c r="E15" s="19">
        <f>IFERROR(__xludf.DUMMYFUNCTION("""COMPUTED_VALUE"""),26.0)</f>
        <v>26</v>
      </c>
      <c r="F15" s="20">
        <f>IFERROR(__xludf.DUMMYFUNCTION("""COMPUTED_VALUE"""),14.0)</f>
        <v>14</v>
      </c>
      <c r="G15" s="19" t="s">
        <v>50</v>
      </c>
      <c r="H15" s="23" t="str">
        <f t="shared" si="1"/>
        <v/>
      </c>
      <c r="I15" s="19">
        <v>24.0</v>
      </c>
      <c r="J15" s="19">
        <v>31.0</v>
      </c>
      <c r="K15" s="20" t="b">
        <v>1</v>
      </c>
      <c r="L15" s="19" t="s">
        <v>50</v>
      </c>
      <c r="M15" s="11" t="str">
        <f t="shared" si="2"/>
        <v/>
      </c>
      <c r="N15" s="19">
        <v>7.0</v>
      </c>
      <c r="O15" s="19">
        <v>10.0</v>
      </c>
      <c r="P15" s="19" t="b">
        <v>0</v>
      </c>
      <c r="Q15" s="27" t="s">
        <v>93</v>
      </c>
      <c r="R15" s="11" t="str">
        <f t="shared" si="3"/>
        <v/>
      </c>
      <c r="S15" s="19">
        <v>31.0</v>
      </c>
      <c r="T15" s="19">
        <v>24.0</v>
      </c>
      <c r="U15" s="20" t="b">
        <v>0</v>
      </c>
      <c r="V15" s="19" t="s">
        <v>50</v>
      </c>
      <c r="W15" s="11" t="str">
        <f t="shared" si="4"/>
        <v/>
      </c>
      <c r="X15" s="19">
        <v>20.0</v>
      </c>
      <c r="Y15" s="19">
        <v>23.0</v>
      </c>
      <c r="Z15" s="20" t="b">
        <v>0</v>
      </c>
      <c r="AA15" s="27" t="s">
        <v>50</v>
      </c>
      <c r="AB15" s="11" t="str">
        <f t="shared" si="5"/>
        <v/>
      </c>
      <c r="AC15" s="19">
        <v>10.0</v>
      </c>
      <c r="AD15" s="19">
        <v>17.0</v>
      </c>
      <c r="AE15" s="19" t="b">
        <v>0</v>
      </c>
      <c r="AF15" s="27" t="s">
        <v>50</v>
      </c>
      <c r="AG15" s="11" t="str">
        <f t="shared" si="6"/>
        <v/>
      </c>
      <c r="AH15" s="19">
        <v>24.0</v>
      </c>
      <c r="AI15" s="19">
        <v>27.0</v>
      </c>
      <c r="AJ15" s="20" t="b">
        <v>0</v>
      </c>
      <c r="AK15" s="19" t="s">
        <v>50</v>
      </c>
      <c r="AL15" s="11" t="str">
        <f t="shared" si="7"/>
        <v/>
      </c>
      <c r="AM15" s="19">
        <v>17.0</v>
      </c>
      <c r="AN15" s="19">
        <v>20.0</v>
      </c>
      <c r="AO15" s="20" t="b">
        <v>0</v>
      </c>
      <c r="AP15" s="27" t="s">
        <v>50</v>
      </c>
      <c r="AQ15" s="11" t="str">
        <f t="shared" si="8"/>
        <v/>
      </c>
      <c r="AR15" s="19">
        <v>20.0</v>
      </c>
      <c r="AS15" s="19">
        <v>30.0</v>
      </c>
      <c r="AT15" s="20" t="b">
        <v>0</v>
      </c>
      <c r="AU15" s="27" t="s">
        <v>50</v>
      </c>
      <c r="AV15" s="11" t="str">
        <f t="shared" si="9"/>
        <v/>
      </c>
      <c r="AW15" s="19">
        <v>7.0</v>
      </c>
      <c r="AX15" s="19">
        <v>10.0</v>
      </c>
      <c r="AY15" s="20" t="b">
        <v>0</v>
      </c>
      <c r="AZ15" s="27" t="s">
        <v>50</v>
      </c>
      <c r="BA15" s="11" t="str">
        <f t="shared" si="10"/>
        <v/>
      </c>
      <c r="BB15" s="19">
        <v>20.0</v>
      </c>
      <c r="BC15" s="19">
        <v>23.0</v>
      </c>
      <c r="BD15" s="20" t="b">
        <v>0</v>
      </c>
      <c r="BE15" s="27" t="s">
        <v>50</v>
      </c>
      <c r="BF15" s="11" t="str">
        <f t="shared" si="11"/>
        <v/>
      </c>
      <c r="BG15" s="19">
        <v>20.0</v>
      </c>
      <c r="BH15" s="19">
        <v>26.0</v>
      </c>
      <c r="BI15" s="20" t="b">
        <v>0</v>
      </c>
      <c r="BJ15" s="27" t="s">
        <v>50</v>
      </c>
      <c r="BK15" s="11" t="str">
        <f t="shared" si="12"/>
        <v/>
      </c>
      <c r="BL15" s="19">
        <v>24.0</v>
      </c>
      <c r="BM15" s="19">
        <v>27.0</v>
      </c>
      <c r="BN15" s="20" t="b">
        <v>1</v>
      </c>
      <c r="BO15" s="17"/>
      <c r="BP15" s="17"/>
      <c r="BQ15" s="17"/>
    </row>
    <row r="16">
      <c r="A16" s="16" t="s">
        <v>104</v>
      </c>
      <c r="B16" s="30" t="s">
        <v>105</v>
      </c>
      <c r="C16" s="18" t="str">
        <f>IFERROR(__xludf.DUMMYFUNCTION("""COMPUTED_VALUE"""),"NYG")</f>
        <v>NYG</v>
      </c>
      <c r="D16" s="11" t="str">
        <f>IFERROR(__xludf.DUMMYFUNCTION("""COMPUTED_VALUE"""),"")</f>
        <v/>
      </c>
      <c r="E16" s="19">
        <f>IFERROR(__xludf.DUMMYFUNCTION("""COMPUTED_VALUE"""),20.0)</f>
        <v>20</v>
      </c>
      <c r="F16" s="20">
        <f>IFERROR(__xludf.DUMMYFUNCTION("""COMPUTED_VALUE"""),28.0)</f>
        <v>28</v>
      </c>
      <c r="G16" s="19" t="s">
        <v>84</v>
      </c>
      <c r="H16" s="23" t="str">
        <f t="shared" si="1"/>
        <v/>
      </c>
      <c r="I16" s="19">
        <v>21.0</v>
      </c>
      <c r="J16" s="19">
        <v>17.0</v>
      </c>
      <c r="K16" s="20" t="b">
        <v>0</v>
      </c>
      <c r="L16" s="19" t="s">
        <v>92</v>
      </c>
      <c r="M16" s="11" t="str">
        <f t="shared" si="2"/>
        <v/>
      </c>
      <c r="N16" s="19">
        <v>14.0</v>
      </c>
      <c r="O16" s="19">
        <v>17.0</v>
      </c>
      <c r="P16" s="19" t="b">
        <v>0</v>
      </c>
      <c r="Q16" s="27" t="s">
        <v>84</v>
      </c>
      <c r="R16" s="11" t="str">
        <f t="shared" si="3"/>
        <v/>
      </c>
      <c r="S16" s="19">
        <v>17.0</v>
      </c>
      <c r="T16" s="19">
        <v>14.0</v>
      </c>
      <c r="U16" s="20" t="b">
        <v>0</v>
      </c>
      <c r="V16" s="19" t="s">
        <v>92</v>
      </c>
      <c r="W16" s="11" t="str">
        <f t="shared" si="4"/>
        <v/>
      </c>
      <c r="X16" s="19">
        <v>23.0</v>
      </c>
      <c r="Y16" s="19">
        <v>24.0</v>
      </c>
      <c r="Z16" s="20" t="b">
        <v>0</v>
      </c>
      <c r="AA16" s="27" t="s">
        <v>84</v>
      </c>
      <c r="AB16" s="11" t="str">
        <f t="shared" si="5"/>
        <v/>
      </c>
      <c r="AC16" s="19">
        <v>20.0</v>
      </c>
      <c r="AD16" s="19">
        <v>14.0</v>
      </c>
      <c r="AE16" s="19" t="b">
        <v>0</v>
      </c>
      <c r="AF16" s="27" t="s">
        <v>84</v>
      </c>
      <c r="AG16" s="11" t="str">
        <f t="shared" si="6"/>
        <v/>
      </c>
      <c r="AH16" s="19">
        <v>23.0</v>
      </c>
      <c r="AI16" s="19">
        <v>17.0</v>
      </c>
      <c r="AJ16" s="20" t="b">
        <v>0</v>
      </c>
      <c r="AK16" s="19" t="s">
        <v>84</v>
      </c>
      <c r="AL16" s="11" t="str">
        <f t="shared" si="7"/>
        <v/>
      </c>
      <c r="AM16" s="19">
        <v>34.0</v>
      </c>
      <c r="AN16" s="19">
        <v>14.0</v>
      </c>
      <c r="AO16" s="20" t="b">
        <v>1</v>
      </c>
      <c r="AP16" s="27" t="s">
        <v>92</v>
      </c>
      <c r="AQ16" s="11" t="str">
        <f t="shared" si="8"/>
        <v/>
      </c>
      <c r="AR16" s="19">
        <v>17.0</v>
      </c>
      <c r="AS16" s="19">
        <v>24.0</v>
      </c>
      <c r="AT16" s="20" t="b">
        <v>0</v>
      </c>
      <c r="AU16" s="27" t="s">
        <v>84</v>
      </c>
      <c r="AV16" s="11" t="str">
        <f t="shared" si="9"/>
        <v/>
      </c>
      <c r="AW16" s="19">
        <v>31.0</v>
      </c>
      <c r="AX16" s="19">
        <v>24.0</v>
      </c>
      <c r="AY16" s="20" t="b">
        <v>0</v>
      </c>
      <c r="AZ16" s="27" t="s">
        <v>84</v>
      </c>
      <c r="BA16" s="11" t="str">
        <f t="shared" si="10"/>
        <v/>
      </c>
      <c r="BB16" s="19">
        <v>23.0</v>
      </c>
      <c r="BC16" s="19">
        <v>20.0</v>
      </c>
      <c r="BD16" s="20" t="b">
        <v>0</v>
      </c>
      <c r="BE16" s="27" t="s">
        <v>84</v>
      </c>
      <c r="BF16" s="11" t="str">
        <f t="shared" si="11"/>
        <v/>
      </c>
      <c r="BG16" s="19">
        <v>31.0</v>
      </c>
      <c r="BH16" s="19">
        <v>24.0</v>
      </c>
      <c r="BI16" s="20" t="b">
        <v>0</v>
      </c>
      <c r="BJ16" s="27" t="s">
        <v>84</v>
      </c>
      <c r="BK16" s="11" t="str">
        <f t="shared" si="12"/>
        <v/>
      </c>
      <c r="BL16" s="19">
        <v>21.0</v>
      </c>
      <c r="BM16" s="19">
        <v>17.0</v>
      </c>
      <c r="BN16" s="20" t="b">
        <v>0</v>
      </c>
      <c r="BO16" s="17"/>
      <c r="BP16" s="17"/>
      <c r="BQ16" s="17"/>
    </row>
    <row r="17">
      <c r="A17" s="16" t="s">
        <v>109</v>
      </c>
      <c r="B17" s="30" t="s">
        <v>110</v>
      </c>
      <c r="C17" s="34" t="str">
        <f>IFERROR(__xludf.DUMMYFUNCTION("""COMPUTED_VALUE"""),"KC")</f>
        <v>KC</v>
      </c>
      <c r="D17" s="35" t="str">
        <f>IFERROR(__xludf.DUMMYFUNCTION("""COMPUTED_VALUE"""),"")</f>
        <v/>
      </c>
      <c r="E17" s="36">
        <f>IFERROR(__xludf.DUMMYFUNCTION("""COMPUTED_VALUE"""),10.0)</f>
        <v>10</v>
      </c>
      <c r="F17" s="37">
        <f>IFERROR(__xludf.DUMMYFUNCTION("""COMPUTED_VALUE"""),31.0)</f>
        <v>31</v>
      </c>
      <c r="G17" s="36" t="s">
        <v>74</v>
      </c>
      <c r="H17" s="39" t="str">
        <f t="shared" si="1"/>
        <v/>
      </c>
      <c r="I17" s="36">
        <v>17.0</v>
      </c>
      <c r="J17" s="36">
        <v>14.0</v>
      </c>
      <c r="K17" s="37" t="b">
        <v>0</v>
      </c>
      <c r="L17" s="36" t="s">
        <v>74</v>
      </c>
      <c r="M17" s="35" t="str">
        <f t="shared" si="2"/>
        <v/>
      </c>
      <c r="N17" s="36">
        <v>10.0</v>
      </c>
      <c r="O17" s="36">
        <v>7.0</v>
      </c>
      <c r="P17" s="36" t="b">
        <v>0</v>
      </c>
      <c r="Q17" s="38" t="s">
        <v>88</v>
      </c>
      <c r="R17" s="35" t="str">
        <f t="shared" si="3"/>
        <v/>
      </c>
      <c r="S17" s="36">
        <v>10.0</v>
      </c>
      <c r="T17" s="36">
        <v>14.0</v>
      </c>
      <c r="U17" s="37" t="b">
        <v>0</v>
      </c>
      <c r="V17" s="36" t="s">
        <v>88</v>
      </c>
      <c r="W17" s="35" t="str">
        <f t="shared" si="4"/>
        <v/>
      </c>
      <c r="X17" s="36">
        <v>20.0</v>
      </c>
      <c r="Y17" s="36">
        <v>24.0</v>
      </c>
      <c r="Z17" s="37" t="b">
        <v>0</v>
      </c>
      <c r="AA17" s="38" t="s">
        <v>88</v>
      </c>
      <c r="AB17" s="35" t="str">
        <f t="shared" si="5"/>
        <v/>
      </c>
      <c r="AC17" s="36">
        <v>24.0</v>
      </c>
      <c r="AD17" s="36">
        <v>27.0</v>
      </c>
      <c r="AE17" s="36" t="b">
        <v>1</v>
      </c>
      <c r="AF17" s="38" t="s">
        <v>74</v>
      </c>
      <c r="AG17" s="35" t="str">
        <f t="shared" si="6"/>
        <v/>
      </c>
      <c r="AH17" s="36">
        <v>27.0</v>
      </c>
      <c r="AI17" s="36">
        <v>14.0</v>
      </c>
      <c r="AJ17" s="37" t="b">
        <v>0</v>
      </c>
      <c r="AK17" s="36" t="s">
        <v>74</v>
      </c>
      <c r="AL17" s="35" t="str">
        <f t="shared" si="7"/>
        <v/>
      </c>
      <c r="AM17" s="36">
        <v>10.0</v>
      </c>
      <c r="AN17" s="36">
        <v>7.0</v>
      </c>
      <c r="AO17" s="37" t="b">
        <v>0</v>
      </c>
      <c r="AP17" s="38" t="s">
        <v>74</v>
      </c>
      <c r="AQ17" s="35" t="str">
        <f t="shared" si="8"/>
        <v/>
      </c>
      <c r="AR17" s="36">
        <v>24.0</v>
      </c>
      <c r="AS17" s="36">
        <v>20.0</v>
      </c>
      <c r="AT17" s="37" t="b">
        <v>0</v>
      </c>
      <c r="AU17" s="38" t="s">
        <v>88</v>
      </c>
      <c r="AV17" s="35" t="str">
        <f t="shared" si="9"/>
        <v/>
      </c>
      <c r="AW17" s="36">
        <v>24.0</v>
      </c>
      <c r="AX17" s="36">
        <v>27.0</v>
      </c>
      <c r="AY17" s="37" t="b">
        <v>0</v>
      </c>
      <c r="AZ17" s="38" t="s">
        <v>74</v>
      </c>
      <c r="BA17" s="35" t="str">
        <f t="shared" si="10"/>
        <v/>
      </c>
      <c r="BB17" s="36">
        <v>23.0</v>
      </c>
      <c r="BC17" s="36">
        <v>20.0</v>
      </c>
      <c r="BD17" s="37" t="b">
        <v>0</v>
      </c>
      <c r="BE17" s="38" t="s">
        <v>88</v>
      </c>
      <c r="BF17" s="35" t="str">
        <f t="shared" si="11"/>
        <v/>
      </c>
      <c r="BG17" s="36">
        <v>16.0</v>
      </c>
      <c r="BH17" s="36">
        <v>34.0</v>
      </c>
      <c r="BI17" s="37" t="b">
        <v>0</v>
      </c>
      <c r="BJ17" s="38" t="s">
        <v>88</v>
      </c>
      <c r="BK17" s="35" t="str">
        <f t="shared" si="12"/>
        <v/>
      </c>
      <c r="BL17" s="36">
        <v>17.0</v>
      </c>
      <c r="BM17" s="36">
        <v>20.0</v>
      </c>
      <c r="BN17" s="37" t="b">
        <v>0</v>
      </c>
      <c r="BO17" s="19"/>
      <c r="BP17" s="19"/>
      <c r="BQ17" s="19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2">
        <f t="shared" ref="C19:C34" si="13">MIN(I19,N19,S19,X19,AC19,AH19,AM19,AR19,AW19,BB19,BG19,BL19)</f>
        <v>1</v>
      </c>
      <c r="D19" s="41"/>
      <c r="E19" s="41"/>
      <c r="F19" s="41"/>
      <c r="G19" s="43">
        <f t="shared" ref="G19:G34" si="14">IF(G2=C2,ABS(I2-E2),"")</f>
        <v>11</v>
      </c>
      <c r="H19" s="43">
        <f t="shared" ref="H19:H34" si="15">IF(G2=C2,ABS(J2-F2),"")</f>
        <v>15</v>
      </c>
      <c r="I19" s="44">
        <f t="shared" ref="I19:I34" si="16">IF(G2=C2,SUM(G19,H19),"")</f>
        <v>26</v>
      </c>
      <c r="J19" s="45">
        <f t="shared" ref="J19:J34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IF(K19="",0))))</f>
        <v>1</v>
      </c>
      <c r="K19" s="41" t="b">
        <f t="shared" ref="K19:K34" si="18">IF($C2="","",
IF(G2=$C2,TRUE,FALSE))</f>
        <v>1</v>
      </c>
      <c r="L19" s="43">
        <f t="shared" ref="L19:L34" si="19">IF(L2=C2,ABS(N2-E2),"")</f>
        <v>14</v>
      </c>
      <c r="M19" s="43">
        <f t="shared" ref="M19:M34" si="20">IF(L2=C2,ABS(O2-F2),"")</f>
        <v>14</v>
      </c>
      <c r="N19" s="44">
        <f t="shared" ref="N19:N34" si="21">IF(L2=C2,SUM(L19,M19),"")</f>
        <v>28</v>
      </c>
      <c r="O19" s="45">
        <f t="shared" ref="O19:O34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IF(P19="",0))))</f>
        <v>1</v>
      </c>
      <c r="P19" s="41" t="b">
        <f t="shared" ref="P19:P34" si="23">IF($C2="","",
IF(L2=$C2,TRUE,FALSE))</f>
        <v>1</v>
      </c>
      <c r="Q19" s="43" t="str">
        <f t="shared" ref="Q19:Q34" si="24">IF(Q2=C2,ABS(S2-E2),"")</f>
        <v/>
      </c>
      <c r="R19" s="43" t="str">
        <f t="shared" ref="R19:R34" si="25">IF(Q2=C2,ABS(T2-F2),"")</f>
        <v/>
      </c>
      <c r="S19" s="44" t="str">
        <f t="shared" ref="S19:S34" si="26">IF(Q2=C2,SUM(Q19,R19),"")</f>
        <v/>
      </c>
      <c r="T19" s="45">
        <f t="shared" ref="T19:T34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IF(U19="",0))))</f>
        <v>0</v>
      </c>
      <c r="U19" s="41" t="b">
        <f t="shared" ref="U19:U34" si="28">IF($C2="","",
IF(Q2=$C2,TRUE,FALSE))</f>
        <v>0</v>
      </c>
      <c r="V19" s="43">
        <f t="shared" ref="V19:V34" si="29">IF(V2=C2,ABS(X2-E2),"")</f>
        <v>10</v>
      </c>
      <c r="W19" s="43">
        <f t="shared" ref="W19:W34" si="30">IF(V2=C2,ABS(Y2-F2),"")</f>
        <v>10</v>
      </c>
      <c r="X19" s="44">
        <f t="shared" ref="X19:X34" si="31">IF(V2=C2,SUM(V19,W19),"")</f>
        <v>20</v>
      </c>
      <c r="Y19" s="45">
        <f t="shared" ref="Y19:Y34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IF(Z19="",0))))</f>
        <v>1</v>
      </c>
      <c r="Z19" s="41" t="b">
        <f t="shared" ref="Z19:Z34" si="33">IF($C2="","",
IF(V2=$C2,TRUE,FALSE))</f>
        <v>1</v>
      </c>
      <c r="AA19" s="43">
        <f t="shared" ref="AA19:AA34" si="34">IF(AA2=C2,ABS(AC2-E2),"")</f>
        <v>7</v>
      </c>
      <c r="AB19" s="43">
        <f t="shared" ref="AB19:AB34" si="35">IF(AA2=C2,ABS(AD2-F2),"")</f>
        <v>8</v>
      </c>
      <c r="AC19" s="44">
        <f t="shared" ref="AC19:AC34" si="36">IF(AA2=C2,SUM(AA19,AB19),"")</f>
        <v>15</v>
      </c>
      <c r="AD19" s="45">
        <f t="shared" ref="AD19:AD34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IF(AE19="",0))))</f>
        <v>1</v>
      </c>
      <c r="AE19" s="41" t="b">
        <f t="shared" ref="AE19:AE34" si="38">IF($C2="","",
IF(AA2=$C2,TRUE,FALSE))</f>
        <v>1</v>
      </c>
      <c r="AF19" s="43" t="str">
        <f t="shared" ref="AF19:AF34" si="39">IF(AF2=C2,ABS(AH2-E2),"")</f>
        <v/>
      </c>
      <c r="AG19" s="43" t="str">
        <f t="shared" ref="AG19:AG34" si="40">IF(AF2=C2,ABS(AI2-F2),"")</f>
        <v/>
      </c>
      <c r="AH19" s="44" t="str">
        <f t="shared" ref="AH19:AH34" si="41">IF(AF2=C2,SUM(AF19,AG19),"")</f>
        <v/>
      </c>
      <c r="AI19" s="45">
        <f t="shared" ref="AI19:AI34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IF(AJ19="",0))))</f>
        <v>0</v>
      </c>
      <c r="AJ19" s="41" t="b">
        <f t="shared" ref="AJ19:AJ34" si="43">IF($C2="","",
IF(AF2=$C2,TRUE,FALSE))</f>
        <v>0</v>
      </c>
      <c r="AK19" s="43">
        <f t="shared" ref="AK19:AK34" si="44">IF(AK2=C2,ABS(AM2-E2),"")</f>
        <v>0</v>
      </c>
      <c r="AL19" s="43">
        <f t="shared" ref="AL19:AL34" si="45">IF(AK2=C2,ABS(AN2-F2),"")</f>
        <v>1</v>
      </c>
      <c r="AM19" s="44">
        <f t="shared" ref="AM19:AM34" si="46">IF(AK2=C2,SUM(AK19,AL19),"")</f>
        <v>1</v>
      </c>
      <c r="AN19" s="45">
        <f t="shared" ref="AN19:AN34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IF(AO19="",0))))</f>
        <v>2</v>
      </c>
      <c r="AO19" s="41" t="b">
        <f t="shared" ref="AO19:AO34" si="48">IF($C2="","",
IF(AK2=$C2,TRUE,FALSE))</f>
        <v>1</v>
      </c>
      <c r="AP19" s="43">
        <f t="shared" ref="AP19:AP34" si="49">IF(AP2=C2,ABS(AR2-E2),"")</f>
        <v>7</v>
      </c>
      <c r="AQ19" s="43">
        <f t="shared" ref="AQ19:AQ34" si="50">IF(AP2=C2,ABS(AS2-F2),"")</f>
        <v>11</v>
      </c>
      <c r="AR19" s="44">
        <f t="shared" ref="AR19:AR34" si="51">IF(AP2=C2,SUM(AP19,AQ19),"")</f>
        <v>18</v>
      </c>
      <c r="AS19" s="45">
        <f t="shared" ref="AS19:AS34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IF(AT19="",0))))</f>
        <v>1</v>
      </c>
      <c r="AT19" s="41" t="b">
        <f t="shared" ref="AT19:AT34" si="53">IF($C2="","",
IF(AP2=$C2,TRUE,FALSE))</f>
        <v>1</v>
      </c>
      <c r="AU19" s="43" t="str">
        <f t="shared" ref="AU19:AU34" si="54">IF(AU2=C2,ABS(AW2-E2),"")</f>
        <v/>
      </c>
      <c r="AV19" s="43" t="str">
        <f t="shared" ref="AV19:AV34" si="55">IF(AU2=C2,ABS(AX2-F2),"")</f>
        <v/>
      </c>
      <c r="AW19" s="44" t="str">
        <f t="shared" ref="AW19:AW34" si="56">IF(AU2=C2,SUM(AU19,AV19),"")</f>
        <v/>
      </c>
      <c r="AX19" s="45">
        <f t="shared" ref="AX19:AX34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IF(AY19="",0))))</f>
        <v>0</v>
      </c>
      <c r="AY19" s="41" t="b">
        <f t="shared" ref="AY19:AY34" si="58">IF($C2="","",
IF(AU2=$C2,TRUE,FALSE))</f>
        <v>0</v>
      </c>
      <c r="AZ19" s="43">
        <f t="shared" ref="AZ19:AZ34" si="59">IF(AZ2=C2,ABS(BB2-E2),"")</f>
        <v>10</v>
      </c>
      <c r="BA19" s="43">
        <f t="shared" ref="BA19:BA34" si="60">IF(AZ2=C2,ABS(BC2-F2),"")</f>
        <v>10</v>
      </c>
      <c r="BB19" s="44">
        <f t="shared" ref="BB19:BB34" si="61">IF(AZ2=C2,SUM(AZ19,BA19),"")</f>
        <v>20</v>
      </c>
      <c r="BC19" s="45">
        <f t="shared" ref="BC19:BC34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IF(BD19="",0))))</f>
        <v>1</v>
      </c>
      <c r="BD19" s="41" t="b">
        <f t="shared" ref="BD19:BD34" si="63">IF($C2="","",
IF(AZ2=$C2,TRUE,FALSE))</f>
        <v>1</v>
      </c>
      <c r="BE19" s="43">
        <f t="shared" ref="BE19:BE34" si="64">IF(BE2=C2,ABS(BG2-E2),"")</f>
        <v>7</v>
      </c>
      <c r="BF19" s="43">
        <f t="shared" ref="BF19:BF34" si="65">IF(BE2=C2,ABS(BH2-F2),"")</f>
        <v>11</v>
      </c>
      <c r="BG19" s="44">
        <f t="shared" ref="BG19:BG34" si="66">IF(BE2=C2,SUM(BE19,BF19),"")</f>
        <v>18</v>
      </c>
      <c r="BH19" s="45">
        <f t="shared" ref="BH19:BH34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IF(BI19="",0))))</f>
        <v>1</v>
      </c>
      <c r="BI19" s="41" t="b">
        <f t="shared" ref="BI19:BI34" si="68">IF($C2="","",
IF(BE2=$C2,TRUE,FALSE))</f>
        <v>1</v>
      </c>
      <c r="BJ19" s="43">
        <f t="shared" ref="BJ19:BJ34" si="69">IF(BJ2=C2,ABS(BL2-E2),"")</f>
        <v>7</v>
      </c>
      <c r="BK19" s="43">
        <f t="shared" ref="BK19:BK34" si="70">IF(BJ2=C2,ABS(BM2-F2),"")</f>
        <v>11</v>
      </c>
      <c r="BL19" s="44">
        <f t="shared" ref="BL19:BL34" si="71">IF(BJ2=C2,SUM(BJ19,BK19),"")</f>
        <v>18</v>
      </c>
      <c r="BM19" s="45">
        <f t="shared" ref="BM19:BM34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IF(BN19="",0))))</f>
        <v>1</v>
      </c>
      <c r="BN19" s="41" t="b">
        <f t="shared" ref="BN19:BN34" si="73">IF($C2="","",
IF(BJ2=$C2,TRUE,FALSE))</f>
        <v>1</v>
      </c>
      <c r="BO19" s="41"/>
      <c r="BP19" s="41"/>
      <c r="BQ19" s="41"/>
    </row>
    <row r="20" hidden="1">
      <c r="A20" s="40"/>
      <c r="B20" s="40"/>
      <c r="C20" s="42">
        <f t="shared" si="13"/>
        <v>7</v>
      </c>
      <c r="D20" s="40"/>
      <c r="E20" s="40"/>
      <c r="F20" s="40"/>
      <c r="G20" s="43" t="str">
        <f t="shared" si="14"/>
        <v/>
      </c>
      <c r="H20" s="43" t="str">
        <f t="shared" si="15"/>
        <v/>
      </c>
      <c r="I20" s="44" t="str">
        <f t="shared" si="16"/>
        <v/>
      </c>
      <c r="J20" s="45">
        <f t="shared" si="17"/>
        <v>0</v>
      </c>
      <c r="K20" s="41" t="b">
        <f t="shared" si="18"/>
        <v>0</v>
      </c>
      <c r="L20" s="43">
        <f t="shared" si="19"/>
        <v>0</v>
      </c>
      <c r="M20" s="43">
        <f t="shared" si="20"/>
        <v>17</v>
      </c>
      <c r="N20" s="44">
        <f t="shared" si="21"/>
        <v>17</v>
      </c>
      <c r="O20" s="45">
        <f t="shared" si="22"/>
        <v>1</v>
      </c>
      <c r="P20" s="41" t="b">
        <f t="shared" si="23"/>
        <v>1</v>
      </c>
      <c r="Q20" s="43" t="str">
        <f t="shared" si="24"/>
        <v/>
      </c>
      <c r="R20" s="43" t="str">
        <f t="shared" si="25"/>
        <v/>
      </c>
      <c r="S20" s="44" t="str">
        <f t="shared" si="26"/>
        <v/>
      </c>
      <c r="T20" s="45">
        <f t="shared" si="27"/>
        <v>0</v>
      </c>
      <c r="U20" s="41" t="b">
        <f t="shared" si="28"/>
        <v>0</v>
      </c>
      <c r="V20" s="43" t="str">
        <f t="shared" si="29"/>
        <v/>
      </c>
      <c r="W20" s="43" t="str">
        <f t="shared" si="30"/>
        <v/>
      </c>
      <c r="X20" s="44" t="str">
        <f t="shared" si="31"/>
        <v/>
      </c>
      <c r="Y20" s="45">
        <f t="shared" si="32"/>
        <v>0</v>
      </c>
      <c r="Z20" s="41" t="b">
        <f t="shared" si="33"/>
        <v>0</v>
      </c>
      <c r="AA20" s="43" t="str">
        <f t="shared" si="34"/>
        <v/>
      </c>
      <c r="AB20" s="43" t="str">
        <f t="shared" si="35"/>
        <v/>
      </c>
      <c r="AC20" s="44" t="str">
        <f t="shared" si="36"/>
        <v/>
      </c>
      <c r="AD20" s="45">
        <f t="shared" si="37"/>
        <v>0</v>
      </c>
      <c r="AE20" s="41" t="b">
        <f t="shared" si="38"/>
        <v>0</v>
      </c>
      <c r="AF20" s="43" t="str">
        <f t="shared" si="39"/>
        <v/>
      </c>
      <c r="AG20" s="43" t="str">
        <f t="shared" si="40"/>
        <v/>
      </c>
      <c r="AH20" s="44" t="str">
        <f t="shared" si="41"/>
        <v/>
      </c>
      <c r="AI20" s="45">
        <f t="shared" si="42"/>
        <v>0</v>
      </c>
      <c r="AJ20" s="41" t="b">
        <f t="shared" si="43"/>
        <v>0</v>
      </c>
      <c r="AK20" s="43" t="str">
        <f t="shared" si="44"/>
        <v/>
      </c>
      <c r="AL20" s="43" t="str">
        <f t="shared" si="45"/>
        <v/>
      </c>
      <c r="AM20" s="44" t="str">
        <f t="shared" si="46"/>
        <v/>
      </c>
      <c r="AN20" s="45">
        <f t="shared" si="47"/>
        <v>0</v>
      </c>
      <c r="AO20" s="41" t="b">
        <f t="shared" si="48"/>
        <v>0</v>
      </c>
      <c r="AP20" s="43" t="str">
        <f t="shared" si="49"/>
        <v/>
      </c>
      <c r="AQ20" s="43" t="str">
        <f t="shared" si="50"/>
        <v/>
      </c>
      <c r="AR20" s="44" t="str">
        <f t="shared" si="51"/>
        <v/>
      </c>
      <c r="AS20" s="45">
        <f t="shared" si="52"/>
        <v>0</v>
      </c>
      <c r="AT20" s="41" t="b">
        <f t="shared" si="53"/>
        <v>0</v>
      </c>
      <c r="AU20" s="43" t="str">
        <f t="shared" si="54"/>
        <v/>
      </c>
      <c r="AV20" s="43" t="str">
        <f t="shared" si="55"/>
        <v/>
      </c>
      <c r="AW20" s="44" t="str">
        <f t="shared" si="56"/>
        <v/>
      </c>
      <c r="AX20" s="45">
        <f t="shared" si="57"/>
        <v>0</v>
      </c>
      <c r="AY20" s="41" t="b">
        <f t="shared" si="58"/>
        <v>0</v>
      </c>
      <c r="AZ20" s="43" t="str">
        <f t="shared" si="59"/>
        <v/>
      </c>
      <c r="BA20" s="43" t="str">
        <f t="shared" si="60"/>
        <v/>
      </c>
      <c r="BB20" s="44" t="str">
        <f t="shared" si="61"/>
        <v/>
      </c>
      <c r="BC20" s="45">
        <f t="shared" si="62"/>
        <v>0</v>
      </c>
      <c r="BD20" s="41" t="b">
        <f t="shared" si="63"/>
        <v>0</v>
      </c>
      <c r="BE20" s="43" t="str">
        <f t="shared" si="64"/>
        <v/>
      </c>
      <c r="BF20" s="43" t="str">
        <f t="shared" si="65"/>
        <v/>
      </c>
      <c r="BG20" s="44" t="str">
        <f t="shared" si="66"/>
        <v/>
      </c>
      <c r="BH20" s="45">
        <f t="shared" si="67"/>
        <v>0</v>
      </c>
      <c r="BI20" s="41" t="b">
        <f t="shared" si="68"/>
        <v>0</v>
      </c>
      <c r="BJ20" s="43">
        <f t="shared" si="69"/>
        <v>0</v>
      </c>
      <c r="BK20" s="43">
        <f t="shared" si="70"/>
        <v>7</v>
      </c>
      <c r="BL20" s="44">
        <f t="shared" si="71"/>
        <v>7</v>
      </c>
      <c r="BM20" s="45">
        <f t="shared" si="72"/>
        <v>2</v>
      </c>
      <c r="BN20" s="41" t="b">
        <f t="shared" si="73"/>
        <v>1</v>
      </c>
      <c r="BO20" s="40"/>
      <c r="BP20" s="40"/>
      <c r="BQ20" s="40"/>
    </row>
    <row r="21" hidden="1">
      <c r="A21" s="40"/>
      <c r="B21" s="40"/>
      <c r="C21" s="42">
        <f t="shared" si="13"/>
        <v>4</v>
      </c>
      <c r="D21" s="40"/>
      <c r="E21" s="40"/>
      <c r="F21" s="40"/>
      <c r="G21" s="43">
        <f t="shared" si="14"/>
        <v>13</v>
      </c>
      <c r="H21" s="43">
        <f t="shared" si="15"/>
        <v>16</v>
      </c>
      <c r="I21" s="44">
        <f t="shared" si="16"/>
        <v>29</v>
      </c>
      <c r="J21" s="45">
        <f t="shared" si="17"/>
        <v>1</v>
      </c>
      <c r="K21" s="41" t="b">
        <f t="shared" si="18"/>
        <v>1</v>
      </c>
      <c r="L21" s="43" t="str">
        <f t="shared" si="19"/>
        <v/>
      </c>
      <c r="M21" s="43" t="str">
        <f t="shared" si="20"/>
        <v/>
      </c>
      <c r="N21" s="44" t="str">
        <f t="shared" si="21"/>
        <v/>
      </c>
      <c r="O21" s="45">
        <f t="shared" si="22"/>
        <v>0</v>
      </c>
      <c r="P21" s="41" t="b">
        <f t="shared" si="23"/>
        <v>0</v>
      </c>
      <c r="Q21" s="43">
        <f t="shared" si="24"/>
        <v>6</v>
      </c>
      <c r="R21" s="43">
        <f t="shared" si="25"/>
        <v>5</v>
      </c>
      <c r="S21" s="44">
        <f t="shared" si="26"/>
        <v>11</v>
      </c>
      <c r="T21" s="45">
        <f t="shared" si="27"/>
        <v>1</v>
      </c>
      <c r="U21" s="41" t="b">
        <f t="shared" si="28"/>
        <v>1</v>
      </c>
      <c r="V21" s="43">
        <f t="shared" si="29"/>
        <v>4</v>
      </c>
      <c r="W21" s="43">
        <f t="shared" si="30"/>
        <v>0</v>
      </c>
      <c r="X21" s="44">
        <f t="shared" si="31"/>
        <v>4</v>
      </c>
      <c r="Y21" s="45">
        <f t="shared" si="32"/>
        <v>2</v>
      </c>
      <c r="Z21" s="41" t="b">
        <f t="shared" si="33"/>
        <v>1</v>
      </c>
      <c r="AA21" s="43" t="str">
        <f t="shared" si="34"/>
        <v/>
      </c>
      <c r="AB21" s="43" t="str">
        <f t="shared" si="35"/>
        <v/>
      </c>
      <c r="AC21" s="44" t="str">
        <f t="shared" si="36"/>
        <v/>
      </c>
      <c r="AD21" s="45">
        <f t="shared" si="37"/>
        <v>0</v>
      </c>
      <c r="AE21" s="41" t="b">
        <f t="shared" si="38"/>
        <v>0</v>
      </c>
      <c r="AF21" s="43">
        <f t="shared" si="39"/>
        <v>7</v>
      </c>
      <c r="AG21" s="43">
        <f t="shared" si="40"/>
        <v>10</v>
      </c>
      <c r="AH21" s="44">
        <f t="shared" si="41"/>
        <v>17</v>
      </c>
      <c r="AI21" s="45">
        <f t="shared" si="42"/>
        <v>1</v>
      </c>
      <c r="AJ21" s="41" t="b">
        <f t="shared" si="43"/>
        <v>1</v>
      </c>
      <c r="AK21" s="43" t="str">
        <f t="shared" si="44"/>
        <v/>
      </c>
      <c r="AL21" s="43" t="str">
        <f t="shared" si="45"/>
        <v/>
      </c>
      <c r="AM21" s="44" t="str">
        <f t="shared" si="46"/>
        <v/>
      </c>
      <c r="AN21" s="45">
        <f t="shared" si="47"/>
        <v>0</v>
      </c>
      <c r="AO21" s="41" t="b">
        <f t="shared" si="48"/>
        <v>0</v>
      </c>
      <c r="AP21" s="43" t="str">
        <f t="shared" si="49"/>
        <v/>
      </c>
      <c r="AQ21" s="43" t="str">
        <f t="shared" si="50"/>
        <v/>
      </c>
      <c r="AR21" s="44" t="str">
        <f t="shared" si="51"/>
        <v/>
      </c>
      <c r="AS21" s="45">
        <f t="shared" si="52"/>
        <v>0</v>
      </c>
      <c r="AT21" s="41" t="b">
        <f t="shared" si="53"/>
        <v>0</v>
      </c>
      <c r="AU21" s="43">
        <f t="shared" si="54"/>
        <v>6</v>
      </c>
      <c r="AV21" s="43">
        <f t="shared" si="55"/>
        <v>9</v>
      </c>
      <c r="AW21" s="44">
        <f t="shared" si="56"/>
        <v>15</v>
      </c>
      <c r="AX21" s="45">
        <f t="shared" si="57"/>
        <v>1</v>
      </c>
      <c r="AY21" s="41" t="b">
        <f t="shared" si="58"/>
        <v>1</v>
      </c>
      <c r="AZ21" s="43">
        <f t="shared" si="59"/>
        <v>7</v>
      </c>
      <c r="BA21" s="43">
        <f t="shared" si="60"/>
        <v>10</v>
      </c>
      <c r="BB21" s="44">
        <f t="shared" si="61"/>
        <v>17</v>
      </c>
      <c r="BC21" s="45">
        <f t="shared" si="62"/>
        <v>1</v>
      </c>
      <c r="BD21" s="41" t="b">
        <f t="shared" si="63"/>
        <v>1</v>
      </c>
      <c r="BE21" s="43">
        <f t="shared" si="64"/>
        <v>11</v>
      </c>
      <c r="BF21" s="43">
        <f t="shared" si="65"/>
        <v>6</v>
      </c>
      <c r="BG21" s="44">
        <f t="shared" si="66"/>
        <v>17</v>
      </c>
      <c r="BH21" s="45">
        <f t="shared" si="67"/>
        <v>1</v>
      </c>
      <c r="BI21" s="41" t="b">
        <f t="shared" si="68"/>
        <v>1</v>
      </c>
      <c r="BJ21" s="43">
        <f t="shared" si="69"/>
        <v>6</v>
      </c>
      <c r="BK21" s="43">
        <f t="shared" si="70"/>
        <v>9</v>
      </c>
      <c r="BL21" s="44">
        <f t="shared" si="71"/>
        <v>15</v>
      </c>
      <c r="BM21" s="45">
        <f t="shared" si="72"/>
        <v>1</v>
      </c>
      <c r="BN21" s="41" t="b">
        <f t="shared" si="73"/>
        <v>1</v>
      </c>
      <c r="BO21" s="40"/>
      <c r="BP21" s="40"/>
      <c r="BQ21" s="40"/>
    </row>
    <row r="22" hidden="1">
      <c r="A22" s="40"/>
      <c r="B22" s="40"/>
      <c r="C22" s="42">
        <f t="shared" si="13"/>
        <v>12</v>
      </c>
      <c r="D22" s="40"/>
      <c r="E22" s="40"/>
      <c r="F22" s="40"/>
      <c r="G22" s="43">
        <f t="shared" si="14"/>
        <v>13</v>
      </c>
      <c r="H22" s="43">
        <f t="shared" si="15"/>
        <v>11</v>
      </c>
      <c r="I22" s="44">
        <f t="shared" si="16"/>
        <v>24</v>
      </c>
      <c r="J22" s="45">
        <f t="shared" si="17"/>
        <v>1</v>
      </c>
      <c r="K22" s="41" t="b">
        <f t="shared" si="18"/>
        <v>1</v>
      </c>
      <c r="L22" s="43">
        <f t="shared" si="19"/>
        <v>23</v>
      </c>
      <c r="M22" s="43">
        <f t="shared" si="20"/>
        <v>21</v>
      </c>
      <c r="N22" s="44">
        <f t="shared" si="21"/>
        <v>44</v>
      </c>
      <c r="O22" s="45">
        <f t="shared" si="22"/>
        <v>1</v>
      </c>
      <c r="P22" s="41" t="b">
        <f t="shared" si="23"/>
        <v>1</v>
      </c>
      <c r="Q22" s="43">
        <f t="shared" si="24"/>
        <v>23</v>
      </c>
      <c r="R22" s="43">
        <f t="shared" si="25"/>
        <v>21</v>
      </c>
      <c r="S22" s="44">
        <f t="shared" si="26"/>
        <v>44</v>
      </c>
      <c r="T22" s="45">
        <f t="shared" si="27"/>
        <v>1</v>
      </c>
      <c r="U22" s="41" t="b">
        <f t="shared" si="28"/>
        <v>1</v>
      </c>
      <c r="V22" s="43">
        <f t="shared" si="29"/>
        <v>23</v>
      </c>
      <c r="W22" s="43">
        <f t="shared" si="30"/>
        <v>10</v>
      </c>
      <c r="X22" s="44">
        <f t="shared" si="31"/>
        <v>33</v>
      </c>
      <c r="Y22" s="45">
        <f t="shared" si="32"/>
        <v>1</v>
      </c>
      <c r="Z22" s="41" t="b">
        <f t="shared" si="33"/>
        <v>1</v>
      </c>
      <c r="AA22" s="43">
        <f t="shared" si="34"/>
        <v>13</v>
      </c>
      <c r="AB22" s="43">
        <f t="shared" si="35"/>
        <v>1</v>
      </c>
      <c r="AC22" s="44">
        <f t="shared" si="36"/>
        <v>14</v>
      </c>
      <c r="AD22" s="45">
        <f t="shared" si="37"/>
        <v>1</v>
      </c>
      <c r="AE22" s="41" t="b">
        <f t="shared" si="38"/>
        <v>1</v>
      </c>
      <c r="AF22" s="43">
        <f t="shared" si="39"/>
        <v>9</v>
      </c>
      <c r="AG22" s="43">
        <f t="shared" si="40"/>
        <v>3</v>
      </c>
      <c r="AH22" s="44">
        <f t="shared" si="41"/>
        <v>12</v>
      </c>
      <c r="AI22" s="45">
        <f t="shared" si="42"/>
        <v>1.5</v>
      </c>
      <c r="AJ22" s="41" t="b">
        <f t="shared" si="43"/>
        <v>1</v>
      </c>
      <c r="AK22" s="43">
        <f t="shared" si="44"/>
        <v>13</v>
      </c>
      <c r="AL22" s="43">
        <f t="shared" si="45"/>
        <v>11</v>
      </c>
      <c r="AM22" s="44">
        <f t="shared" si="46"/>
        <v>24</v>
      </c>
      <c r="AN22" s="45">
        <f t="shared" si="47"/>
        <v>1</v>
      </c>
      <c r="AO22" s="41" t="b">
        <f t="shared" si="48"/>
        <v>1</v>
      </c>
      <c r="AP22" s="43">
        <f t="shared" si="49"/>
        <v>13</v>
      </c>
      <c r="AQ22" s="43">
        <f t="shared" si="50"/>
        <v>4</v>
      </c>
      <c r="AR22" s="44">
        <f t="shared" si="51"/>
        <v>17</v>
      </c>
      <c r="AS22" s="45">
        <f t="shared" si="52"/>
        <v>1</v>
      </c>
      <c r="AT22" s="41" t="b">
        <f t="shared" si="53"/>
        <v>1</v>
      </c>
      <c r="AU22" s="43">
        <f t="shared" si="54"/>
        <v>23</v>
      </c>
      <c r="AV22" s="43">
        <f t="shared" si="55"/>
        <v>21</v>
      </c>
      <c r="AW22" s="44">
        <f t="shared" si="56"/>
        <v>44</v>
      </c>
      <c r="AX22" s="45">
        <f t="shared" si="57"/>
        <v>1</v>
      </c>
      <c r="AY22" s="41" t="b">
        <f t="shared" si="58"/>
        <v>1</v>
      </c>
      <c r="AZ22" s="43">
        <f t="shared" si="59"/>
        <v>10</v>
      </c>
      <c r="BA22" s="43">
        <f t="shared" si="60"/>
        <v>8</v>
      </c>
      <c r="BB22" s="44">
        <f t="shared" si="61"/>
        <v>18</v>
      </c>
      <c r="BC22" s="45">
        <f t="shared" si="62"/>
        <v>1</v>
      </c>
      <c r="BD22" s="41" t="b">
        <f t="shared" si="63"/>
        <v>1</v>
      </c>
      <c r="BE22" s="43">
        <f t="shared" si="64"/>
        <v>11</v>
      </c>
      <c r="BF22" s="43">
        <f t="shared" si="65"/>
        <v>1</v>
      </c>
      <c r="BG22" s="44">
        <f t="shared" si="66"/>
        <v>12</v>
      </c>
      <c r="BH22" s="45">
        <f t="shared" si="67"/>
        <v>1.5</v>
      </c>
      <c r="BI22" s="41" t="b">
        <f t="shared" si="68"/>
        <v>1</v>
      </c>
      <c r="BJ22" s="43">
        <f t="shared" si="69"/>
        <v>13</v>
      </c>
      <c r="BK22" s="43">
        <f t="shared" si="70"/>
        <v>11</v>
      </c>
      <c r="BL22" s="44">
        <f t="shared" si="71"/>
        <v>24</v>
      </c>
      <c r="BM22" s="45">
        <f t="shared" si="72"/>
        <v>1</v>
      </c>
      <c r="BN22" s="41" t="b">
        <f t="shared" si="73"/>
        <v>1</v>
      </c>
      <c r="BO22" s="40"/>
      <c r="BP22" s="40"/>
      <c r="BQ22" s="40"/>
    </row>
    <row r="23" hidden="1">
      <c r="A23" s="40"/>
      <c r="B23" s="40"/>
      <c r="C23" s="42">
        <f t="shared" si="13"/>
        <v>9</v>
      </c>
      <c r="D23" s="40"/>
      <c r="E23" s="40"/>
      <c r="F23" s="40"/>
      <c r="G23" s="43" t="str">
        <f t="shared" si="14"/>
        <v/>
      </c>
      <c r="H23" s="43" t="str">
        <f t="shared" si="15"/>
        <v/>
      </c>
      <c r="I23" s="44" t="str">
        <f t="shared" si="16"/>
        <v/>
      </c>
      <c r="J23" s="45">
        <f t="shared" si="17"/>
        <v>0</v>
      </c>
      <c r="K23" s="41" t="b">
        <f t="shared" si="18"/>
        <v>0</v>
      </c>
      <c r="L23" s="43">
        <f t="shared" si="19"/>
        <v>2</v>
      </c>
      <c r="M23" s="43">
        <f t="shared" si="20"/>
        <v>7</v>
      </c>
      <c r="N23" s="44">
        <f t="shared" si="21"/>
        <v>9</v>
      </c>
      <c r="O23" s="45">
        <f t="shared" si="22"/>
        <v>2</v>
      </c>
      <c r="P23" s="41" t="b">
        <f t="shared" si="23"/>
        <v>1</v>
      </c>
      <c r="Q23" s="43">
        <f t="shared" si="24"/>
        <v>5</v>
      </c>
      <c r="R23" s="43">
        <f t="shared" si="25"/>
        <v>11</v>
      </c>
      <c r="S23" s="44">
        <f t="shared" si="26"/>
        <v>16</v>
      </c>
      <c r="T23" s="45">
        <f t="shared" si="27"/>
        <v>1</v>
      </c>
      <c r="U23" s="41" t="b">
        <f t="shared" si="28"/>
        <v>1</v>
      </c>
      <c r="V23" s="43">
        <f t="shared" si="29"/>
        <v>7</v>
      </c>
      <c r="W23" s="43">
        <f t="shared" si="30"/>
        <v>7</v>
      </c>
      <c r="X23" s="44">
        <f t="shared" si="31"/>
        <v>14</v>
      </c>
      <c r="Y23" s="45">
        <f t="shared" si="32"/>
        <v>1</v>
      </c>
      <c r="Z23" s="41" t="b">
        <f t="shared" si="33"/>
        <v>1</v>
      </c>
      <c r="AA23" s="43" t="str">
        <f t="shared" si="34"/>
        <v/>
      </c>
      <c r="AB23" s="43" t="str">
        <f t="shared" si="35"/>
        <v/>
      </c>
      <c r="AC23" s="44" t="str">
        <f t="shared" si="36"/>
        <v/>
      </c>
      <c r="AD23" s="45">
        <f t="shared" si="37"/>
        <v>0</v>
      </c>
      <c r="AE23" s="41" t="b">
        <f t="shared" si="38"/>
        <v>0</v>
      </c>
      <c r="AF23" s="43">
        <f t="shared" si="39"/>
        <v>6</v>
      </c>
      <c r="AG23" s="43">
        <f t="shared" si="40"/>
        <v>4</v>
      </c>
      <c r="AH23" s="44">
        <f t="shared" si="41"/>
        <v>10</v>
      </c>
      <c r="AI23" s="45">
        <f t="shared" si="42"/>
        <v>1</v>
      </c>
      <c r="AJ23" s="41" t="b">
        <f t="shared" si="43"/>
        <v>1</v>
      </c>
      <c r="AK23" s="43" t="str">
        <f t="shared" si="44"/>
        <v/>
      </c>
      <c r="AL23" s="43" t="str">
        <f t="shared" si="45"/>
        <v/>
      </c>
      <c r="AM23" s="44" t="str">
        <f t="shared" si="46"/>
        <v/>
      </c>
      <c r="AN23" s="45">
        <f t="shared" si="47"/>
        <v>0</v>
      </c>
      <c r="AO23" s="41" t="b">
        <f t="shared" si="48"/>
        <v>0</v>
      </c>
      <c r="AP23" s="43" t="str">
        <f t="shared" si="49"/>
        <v/>
      </c>
      <c r="AQ23" s="43" t="str">
        <f t="shared" si="50"/>
        <v/>
      </c>
      <c r="AR23" s="44" t="str">
        <f t="shared" si="51"/>
        <v/>
      </c>
      <c r="AS23" s="45">
        <f t="shared" si="52"/>
        <v>0</v>
      </c>
      <c r="AT23" s="41" t="b">
        <f t="shared" si="53"/>
        <v>0</v>
      </c>
      <c r="AU23" s="43" t="str">
        <f t="shared" si="54"/>
        <v/>
      </c>
      <c r="AV23" s="43" t="str">
        <f t="shared" si="55"/>
        <v/>
      </c>
      <c r="AW23" s="44" t="str">
        <f t="shared" si="56"/>
        <v/>
      </c>
      <c r="AX23" s="45">
        <f t="shared" si="57"/>
        <v>0</v>
      </c>
      <c r="AY23" s="41" t="b">
        <f t="shared" si="58"/>
        <v>0</v>
      </c>
      <c r="AZ23" s="43" t="str">
        <f t="shared" si="59"/>
        <v/>
      </c>
      <c r="BA23" s="43" t="str">
        <f t="shared" si="60"/>
        <v/>
      </c>
      <c r="BB23" s="44" t="str">
        <f t="shared" si="61"/>
        <v/>
      </c>
      <c r="BC23" s="45">
        <f t="shared" si="62"/>
        <v>0</v>
      </c>
      <c r="BD23" s="41" t="b">
        <f t="shared" si="63"/>
        <v>0</v>
      </c>
      <c r="BE23" s="43">
        <f t="shared" si="64"/>
        <v>1</v>
      </c>
      <c r="BF23" s="43">
        <f t="shared" si="65"/>
        <v>10</v>
      </c>
      <c r="BG23" s="44">
        <f t="shared" si="66"/>
        <v>11</v>
      </c>
      <c r="BH23" s="45">
        <f t="shared" si="67"/>
        <v>1</v>
      </c>
      <c r="BI23" s="41" t="b">
        <f t="shared" si="68"/>
        <v>1</v>
      </c>
      <c r="BJ23" s="43" t="str">
        <f t="shared" si="69"/>
        <v/>
      </c>
      <c r="BK23" s="43" t="str">
        <f t="shared" si="70"/>
        <v/>
      </c>
      <c r="BL23" s="44" t="str">
        <f t="shared" si="71"/>
        <v/>
      </c>
      <c r="BM23" s="45">
        <f t="shared" si="72"/>
        <v>0</v>
      </c>
      <c r="BN23" s="41" t="b">
        <f t="shared" si="73"/>
        <v>0</v>
      </c>
      <c r="BO23" s="40"/>
      <c r="BP23" s="40"/>
      <c r="BQ23" s="40"/>
    </row>
    <row r="24" hidden="1">
      <c r="A24" s="40"/>
      <c r="B24" s="40"/>
      <c r="C24" s="42">
        <f t="shared" si="13"/>
        <v>15</v>
      </c>
      <c r="D24" s="40"/>
      <c r="E24" s="40"/>
      <c r="F24" s="40"/>
      <c r="G24" s="43">
        <f t="shared" si="14"/>
        <v>21</v>
      </c>
      <c r="H24" s="43">
        <f t="shared" si="15"/>
        <v>9</v>
      </c>
      <c r="I24" s="44">
        <f t="shared" si="16"/>
        <v>30</v>
      </c>
      <c r="J24" s="45">
        <f t="shared" si="17"/>
        <v>1</v>
      </c>
      <c r="K24" s="41" t="b">
        <f t="shared" si="18"/>
        <v>1</v>
      </c>
      <c r="L24" s="43">
        <f t="shared" si="19"/>
        <v>17</v>
      </c>
      <c r="M24" s="43">
        <f t="shared" si="20"/>
        <v>3</v>
      </c>
      <c r="N24" s="44">
        <f t="shared" si="21"/>
        <v>20</v>
      </c>
      <c r="O24" s="45">
        <f t="shared" si="22"/>
        <v>1</v>
      </c>
      <c r="P24" s="41" t="b">
        <f t="shared" si="23"/>
        <v>1</v>
      </c>
      <c r="Q24" s="43">
        <f t="shared" si="24"/>
        <v>27</v>
      </c>
      <c r="R24" s="43">
        <f t="shared" si="25"/>
        <v>13</v>
      </c>
      <c r="S24" s="44">
        <f t="shared" si="26"/>
        <v>40</v>
      </c>
      <c r="T24" s="45">
        <f t="shared" si="27"/>
        <v>1</v>
      </c>
      <c r="U24" s="41" t="b">
        <f t="shared" si="28"/>
        <v>1</v>
      </c>
      <c r="V24" s="43">
        <f t="shared" si="29"/>
        <v>14</v>
      </c>
      <c r="W24" s="43">
        <f t="shared" si="30"/>
        <v>3</v>
      </c>
      <c r="X24" s="44">
        <f t="shared" si="31"/>
        <v>17</v>
      </c>
      <c r="Y24" s="45">
        <f t="shared" si="32"/>
        <v>1</v>
      </c>
      <c r="Z24" s="41" t="b">
        <f t="shared" si="33"/>
        <v>1</v>
      </c>
      <c r="AA24" s="43">
        <f t="shared" si="34"/>
        <v>24</v>
      </c>
      <c r="AB24" s="43">
        <f t="shared" si="35"/>
        <v>13</v>
      </c>
      <c r="AC24" s="44">
        <f t="shared" si="36"/>
        <v>37</v>
      </c>
      <c r="AD24" s="45">
        <f t="shared" si="37"/>
        <v>1</v>
      </c>
      <c r="AE24" s="41" t="b">
        <f t="shared" si="38"/>
        <v>1</v>
      </c>
      <c r="AF24" s="43">
        <f t="shared" si="39"/>
        <v>14</v>
      </c>
      <c r="AG24" s="43">
        <f t="shared" si="40"/>
        <v>1</v>
      </c>
      <c r="AH24" s="44">
        <f t="shared" si="41"/>
        <v>15</v>
      </c>
      <c r="AI24" s="45">
        <f t="shared" si="42"/>
        <v>1.5</v>
      </c>
      <c r="AJ24" s="41" t="b">
        <f t="shared" si="43"/>
        <v>1</v>
      </c>
      <c r="AK24" s="43">
        <f t="shared" si="44"/>
        <v>31</v>
      </c>
      <c r="AL24" s="43">
        <f t="shared" si="45"/>
        <v>16</v>
      </c>
      <c r="AM24" s="44">
        <f t="shared" si="46"/>
        <v>47</v>
      </c>
      <c r="AN24" s="45">
        <f t="shared" si="47"/>
        <v>1</v>
      </c>
      <c r="AO24" s="41" t="b">
        <f t="shared" si="48"/>
        <v>1</v>
      </c>
      <c r="AP24" s="43">
        <f t="shared" si="49"/>
        <v>18</v>
      </c>
      <c r="AQ24" s="43">
        <f t="shared" si="50"/>
        <v>6</v>
      </c>
      <c r="AR24" s="44">
        <f t="shared" si="51"/>
        <v>24</v>
      </c>
      <c r="AS24" s="45">
        <f t="shared" si="52"/>
        <v>1</v>
      </c>
      <c r="AT24" s="41" t="b">
        <f t="shared" si="53"/>
        <v>1</v>
      </c>
      <c r="AU24" s="43">
        <f t="shared" si="54"/>
        <v>17</v>
      </c>
      <c r="AV24" s="43">
        <f t="shared" si="55"/>
        <v>2</v>
      </c>
      <c r="AW24" s="44">
        <f t="shared" si="56"/>
        <v>19</v>
      </c>
      <c r="AX24" s="45">
        <f t="shared" si="57"/>
        <v>1</v>
      </c>
      <c r="AY24" s="41" t="b">
        <f t="shared" si="58"/>
        <v>1</v>
      </c>
      <c r="AZ24" s="43">
        <f t="shared" si="59"/>
        <v>18</v>
      </c>
      <c r="BA24" s="43">
        <f t="shared" si="60"/>
        <v>3</v>
      </c>
      <c r="BB24" s="44">
        <f t="shared" si="61"/>
        <v>21</v>
      </c>
      <c r="BC24" s="45">
        <f t="shared" si="62"/>
        <v>1</v>
      </c>
      <c r="BD24" s="41" t="b">
        <f t="shared" si="63"/>
        <v>1</v>
      </c>
      <c r="BE24" s="43">
        <f t="shared" si="64"/>
        <v>13</v>
      </c>
      <c r="BF24" s="43">
        <f t="shared" si="65"/>
        <v>2</v>
      </c>
      <c r="BG24" s="44">
        <f t="shared" si="66"/>
        <v>15</v>
      </c>
      <c r="BH24" s="45">
        <f t="shared" si="67"/>
        <v>4.5</v>
      </c>
      <c r="BI24" s="41" t="b">
        <f t="shared" si="68"/>
        <v>1</v>
      </c>
      <c r="BJ24" s="43">
        <f t="shared" si="69"/>
        <v>27</v>
      </c>
      <c r="BK24" s="43">
        <f t="shared" si="70"/>
        <v>16</v>
      </c>
      <c r="BL24" s="44">
        <f t="shared" si="71"/>
        <v>43</v>
      </c>
      <c r="BM24" s="45">
        <f t="shared" si="72"/>
        <v>1</v>
      </c>
      <c r="BN24" s="41" t="b">
        <f t="shared" si="73"/>
        <v>1</v>
      </c>
      <c r="BO24" s="40"/>
      <c r="BP24" s="40"/>
      <c r="BQ24" s="40"/>
    </row>
    <row r="25" hidden="1">
      <c r="A25" s="40"/>
      <c r="B25" s="40"/>
      <c r="C25" s="42">
        <f t="shared" si="13"/>
        <v>1</v>
      </c>
      <c r="D25" s="40"/>
      <c r="E25" s="40"/>
      <c r="F25" s="40"/>
      <c r="G25" s="43">
        <f t="shared" si="14"/>
        <v>4</v>
      </c>
      <c r="H25" s="43">
        <f t="shared" si="15"/>
        <v>1</v>
      </c>
      <c r="I25" s="44">
        <f t="shared" si="16"/>
        <v>5</v>
      </c>
      <c r="J25" s="45">
        <f t="shared" si="17"/>
        <v>1</v>
      </c>
      <c r="K25" s="41" t="b">
        <f t="shared" si="18"/>
        <v>1</v>
      </c>
      <c r="L25" s="43">
        <f t="shared" si="19"/>
        <v>6</v>
      </c>
      <c r="M25" s="43">
        <f t="shared" si="20"/>
        <v>10</v>
      </c>
      <c r="N25" s="44">
        <f t="shared" si="21"/>
        <v>16</v>
      </c>
      <c r="O25" s="45">
        <f t="shared" si="22"/>
        <v>1</v>
      </c>
      <c r="P25" s="41" t="b">
        <f t="shared" si="23"/>
        <v>1</v>
      </c>
      <c r="Q25" s="43">
        <f t="shared" si="24"/>
        <v>3</v>
      </c>
      <c r="R25" s="43">
        <f t="shared" si="25"/>
        <v>6</v>
      </c>
      <c r="S25" s="44">
        <f t="shared" si="26"/>
        <v>9</v>
      </c>
      <c r="T25" s="45">
        <f t="shared" si="27"/>
        <v>1</v>
      </c>
      <c r="U25" s="41" t="b">
        <f t="shared" si="28"/>
        <v>1</v>
      </c>
      <c r="V25" s="43">
        <f t="shared" si="29"/>
        <v>0</v>
      </c>
      <c r="W25" s="43">
        <f t="shared" si="30"/>
        <v>1</v>
      </c>
      <c r="X25" s="44">
        <f t="shared" si="31"/>
        <v>1</v>
      </c>
      <c r="Y25" s="45">
        <f t="shared" si="32"/>
        <v>2</v>
      </c>
      <c r="Z25" s="41" t="b">
        <f t="shared" si="33"/>
        <v>1</v>
      </c>
      <c r="AA25" s="43">
        <f t="shared" si="34"/>
        <v>1</v>
      </c>
      <c r="AB25" s="43">
        <f t="shared" si="35"/>
        <v>4</v>
      </c>
      <c r="AC25" s="44">
        <f t="shared" si="36"/>
        <v>5</v>
      </c>
      <c r="AD25" s="45">
        <f t="shared" si="37"/>
        <v>1</v>
      </c>
      <c r="AE25" s="41" t="b">
        <f t="shared" si="38"/>
        <v>1</v>
      </c>
      <c r="AF25" s="43">
        <f t="shared" si="39"/>
        <v>4</v>
      </c>
      <c r="AG25" s="43">
        <f t="shared" si="40"/>
        <v>0</v>
      </c>
      <c r="AH25" s="44">
        <f t="shared" si="41"/>
        <v>4</v>
      </c>
      <c r="AI25" s="45">
        <f t="shared" si="42"/>
        <v>1</v>
      </c>
      <c r="AJ25" s="41" t="b">
        <f t="shared" si="43"/>
        <v>1</v>
      </c>
      <c r="AK25" s="43" t="str">
        <f t="shared" si="44"/>
        <v/>
      </c>
      <c r="AL25" s="43" t="str">
        <f t="shared" si="45"/>
        <v/>
      </c>
      <c r="AM25" s="44" t="str">
        <f t="shared" si="46"/>
        <v/>
      </c>
      <c r="AN25" s="45">
        <f t="shared" si="47"/>
        <v>0</v>
      </c>
      <c r="AO25" s="41" t="b">
        <f t="shared" si="48"/>
        <v>0</v>
      </c>
      <c r="AP25" s="43" t="str">
        <f t="shared" si="49"/>
        <v/>
      </c>
      <c r="AQ25" s="43" t="str">
        <f t="shared" si="50"/>
        <v/>
      </c>
      <c r="AR25" s="44" t="str">
        <f t="shared" si="51"/>
        <v/>
      </c>
      <c r="AS25" s="45">
        <f t="shared" si="52"/>
        <v>0</v>
      </c>
      <c r="AT25" s="41" t="b">
        <f t="shared" si="53"/>
        <v>0</v>
      </c>
      <c r="AU25" s="43">
        <f t="shared" si="54"/>
        <v>6</v>
      </c>
      <c r="AV25" s="43">
        <f t="shared" si="55"/>
        <v>10</v>
      </c>
      <c r="AW25" s="44">
        <f t="shared" si="56"/>
        <v>16</v>
      </c>
      <c r="AX25" s="45">
        <f t="shared" si="57"/>
        <v>1</v>
      </c>
      <c r="AY25" s="41" t="b">
        <f t="shared" si="58"/>
        <v>1</v>
      </c>
      <c r="AZ25" s="43">
        <f t="shared" si="59"/>
        <v>7</v>
      </c>
      <c r="BA25" s="43">
        <f t="shared" si="60"/>
        <v>3</v>
      </c>
      <c r="BB25" s="44">
        <f t="shared" si="61"/>
        <v>10</v>
      </c>
      <c r="BC25" s="45">
        <f t="shared" si="62"/>
        <v>1</v>
      </c>
      <c r="BD25" s="41" t="b">
        <f t="shared" si="63"/>
        <v>1</v>
      </c>
      <c r="BE25" s="43">
        <f t="shared" si="64"/>
        <v>4</v>
      </c>
      <c r="BF25" s="43">
        <f t="shared" si="65"/>
        <v>0</v>
      </c>
      <c r="BG25" s="44">
        <f t="shared" si="66"/>
        <v>4</v>
      </c>
      <c r="BH25" s="45">
        <f t="shared" si="67"/>
        <v>1</v>
      </c>
      <c r="BI25" s="41" t="b">
        <f t="shared" si="68"/>
        <v>1</v>
      </c>
      <c r="BJ25" s="43">
        <f t="shared" si="69"/>
        <v>11</v>
      </c>
      <c r="BK25" s="43">
        <f t="shared" si="70"/>
        <v>7</v>
      </c>
      <c r="BL25" s="44">
        <f t="shared" si="71"/>
        <v>18</v>
      </c>
      <c r="BM25" s="45">
        <f t="shared" si="72"/>
        <v>1</v>
      </c>
      <c r="BN25" s="41" t="b">
        <f t="shared" si="73"/>
        <v>1</v>
      </c>
      <c r="BO25" s="40"/>
      <c r="BP25" s="40"/>
      <c r="BQ25" s="40"/>
    </row>
    <row r="26" hidden="1">
      <c r="A26" s="40"/>
      <c r="B26" s="40"/>
      <c r="C26" s="42">
        <f t="shared" si="13"/>
        <v>45</v>
      </c>
      <c r="D26" s="40"/>
      <c r="E26" s="40"/>
      <c r="F26" s="40"/>
      <c r="G26" s="43">
        <f t="shared" si="14"/>
        <v>39</v>
      </c>
      <c r="H26" s="43">
        <f t="shared" si="15"/>
        <v>24</v>
      </c>
      <c r="I26" s="44">
        <f t="shared" si="16"/>
        <v>63</v>
      </c>
      <c r="J26" s="45">
        <f t="shared" si="17"/>
        <v>1</v>
      </c>
      <c r="K26" s="41" t="b">
        <f t="shared" si="18"/>
        <v>1</v>
      </c>
      <c r="L26" s="43">
        <f t="shared" si="19"/>
        <v>35</v>
      </c>
      <c r="M26" s="43">
        <f t="shared" si="20"/>
        <v>16</v>
      </c>
      <c r="N26" s="44">
        <f t="shared" si="21"/>
        <v>51</v>
      </c>
      <c r="O26" s="45">
        <f t="shared" si="22"/>
        <v>1</v>
      </c>
      <c r="P26" s="41" t="b">
        <f t="shared" si="23"/>
        <v>1</v>
      </c>
      <c r="Q26" s="43">
        <f t="shared" si="24"/>
        <v>42</v>
      </c>
      <c r="R26" s="43">
        <f t="shared" si="25"/>
        <v>23</v>
      </c>
      <c r="S26" s="44">
        <f t="shared" si="26"/>
        <v>65</v>
      </c>
      <c r="T26" s="45">
        <f t="shared" si="27"/>
        <v>3</v>
      </c>
      <c r="U26" s="41" t="b">
        <f t="shared" si="28"/>
        <v>1</v>
      </c>
      <c r="V26" s="43">
        <f t="shared" si="29"/>
        <v>28</v>
      </c>
      <c r="W26" s="43">
        <f t="shared" si="30"/>
        <v>17</v>
      </c>
      <c r="X26" s="44">
        <f t="shared" si="31"/>
        <v>45</v>
      </c>
      <c r="Y26" s="45">
        <f t="shared" si="32"/>
        <v>1.5</v>
      </c>
      <c r="Z26" s="41" t="b">
        <f t="shared" si="33"/>
        <v>1</v>
      </c>
      <c r="AA26" s="43">
        <f t="shared" si="34"/>
        <v>31</v>
      </c>
      <c r="AB26" s="43">
        <f t="shared" si="35"/>
        <v>27</v>
      </c>
      <c r="AC26" s="44">
        <f t="shared" si="36"/>
        <v>58</v>
      </c>
      <c r="AD26" s="45">
        <f t="shared" si="37"/>
        <v>1</v>
      </c>
      <c r="AE26" s="41" t="b">
        <f t="shared" si="38"/>
        <v>1</v>
      </c>
      <c r="AF26" s="43">
        <f t="shared" si="39"/>
        <v>33</v>
      </c>
      <c r="AG26" s="43">
        <f t="shared" si="40"/>
        <v>17</v>
      </c>
      <c r="AH26" s="44">
        <f t="shared" si="41"/>
        <v>50</v>
      </c>
      <c r="AI26" s="45">
        <f t="shared" si="42"/>
        <v>3</v>
      </c>
      <c r="AJ26" s="41" t="b">
        <f t="shared" si="43"/>
        <v>1</v>
      </c>
      <c r="AK26" s="43">
        <f t="shared" si="44"/>
        <v>32</v>
      </c>
      <c r="AL26" s="43">
        <f t="shared" si="45"/>
        <v>13</v>
      </c>
      <c r="AM26" s="44">
        <f t="shared" si="46"/>
        <v>45</v>
      </c>
      <c r="AN26" s="45">
        <f t="shared" si="47"/>
        <v>1.5</v>
      </c>
      <c r="AO26" s="41" t="b">
        <f t="shared" si="48"/>
        <v>1</v>
      </c>
      <c r="AP26" s="43">
        <f t="shared" si="49"/>
        <v>32</v>
      </c>
      <c r="AQ26" s="43">
        <f t="shared" si="50"/>
        <v>20</v>
      </c>
      <c r="AR26" s="44">
        <f t="shared" si="51"/>
        <v>52</v>
      </c>
      <c r="AS26" s="45">
        <f t="shared" si="52"/>
        <v>1</v>
      </c>
      <c r="AT26" s="41" t="b">
        <f t="shared" si="53"/>
        <v>1</v>
      </c>
      <c r="AU26" s="43" t="str">
        <f t="shared" si="54"/>
        <v/>
      </c>
      <c r="AV26" s="43" t="str">
        <f t="shared" si="55"/>
        <v/>
      </c>
      <c r="AW26" s="44" t="str">
        <f t="shared" si="56"/>
        <v/>
      </c>
      <c r="AX26" s="45">
        <f t="shared" si="57"/>
        <v>0</v>
      </c>
      <c r="AY26" s="41" t="b">
        <f t="shared" si="58"/>
        <v>0</v>
      </c>
      <c r="AZ26" s="43">
        <f t="shared" si="59"/>
        <v>36</v>
      </c>
      <c r="BA26" s="43">
        <f t="shared" si="60"/>
        <v>17</v>
      </c>
      <c r="BB26" s="44">
        <f t="shared" si="61"/>
        <v>53</v>
      </c>
      <c r="BC26" s="45">
        <f t="shared" si="62"/>
        <v>1</v>
      </c>
      <c r="BD26" s="41" t="b">
        <f t="shared" si="63"/>
        <v>1</v>
      </c>
      <c r="BE26" s="43">
        <f t="shared" si="64"/>
        <v>33</v>
      </c>
      <c r="BF26" s="43">
        <f t="shared" si="65"/>
        <v>20</v>
      </c>
      <c r="BG26" s="44">
        <f t="shared" si="66"/>
        <v>53</v>
      </c>
      <c r="BH26" s="45">
        <f t="shared" si="67"/>
        <v>1</v>
      </c>
      <c r="BI26" s="41" t="b">
        <f t="shared" si="68"/>
        <v>1</v>
      </c>
      <c r="BJ26" s="43">
        <f t="shared" si="69"/>
        <v>42</v>
      </c>
      <c r="BK26" s="43">
        <f t="shared" si="70"/>
        <v>23</v>
      </c>
      <c r="BL26" s="44">
        <f t="shared" si="71"/>
        <v>65</v>
      </c>
      <c r="BM26" s="45">
        <f t="shared" si="72"/>
        <v>1</v>
      </c>
      <c r="BN26" s="41" t="b">
        <f t="shared" si="73"/>
        <v>1</v>
      </c>
      <c r="BO26" s="40"/>
      <c r="BP26" s="40"/>
      <c r="BQ26" s="40"/>
    </row>
    <row r="27" hidden="1">
      <c r="A27" s="40"/>
      <c r="B27" s="40"/>
      <c r="C27" s="42">
        <f t="shared" si="13"/>
        <v>13</v>
      </c>
      <c r="D27" s="40"/>
      <c r="E27" s="40"/>
      <c r="F27" s="40"/>
      <c r="G27" s="43">
        <f t="shared" si="14"/>
        <v>7</v>
      </c>
      <c r="H27" s="43">
        <f t="shared" si="15"/>
        <v>13</v>
      </c>
      <c r="I27" s="44">
        <f t="shared" si="16"/>
        <v>20</v>
      </c>
      <c r="J27" s="45">
        <f t="shared" si="17"/>
        <v>1</v>
      </c>
      <c r="K27" s="41" t="b">
        <f t="shared" si="18"/>
        <v>1</v>
      </c>
      <c r="L27" s="43">
        <f t="shared" si="19"/>
        <v>7</v>
      </c>
      <c r="M27" s="43">
        <f t="shared" si="20"/>
        <v>13</v>
      </c>
      <c r="N27" s="44">
        <f t="shared" si="21"/>
        <v>20</v>
      </c>
      <c r="O27" s="45">
        <f t="shared" si="22"/>
        <v>1</v>
      </c>
      <c r="P27" s="41" t="b">
        <f t="shared" si="23"/>
        <v>1</v>
      </c>
      <c r="Q27" s="43">
        <f t="shared" si="24"/>
        <v>4</v>
      </c>
      <c r="R27" s="43">
        <f t="shared" si="25"/>
        <v>17</v>
      </c>
      <c r="S27" s="44">
        <f t="shared" si="26"/>
        <v>21</v>
      </c>
      <c r="T27" s="45">
        <f t="shared" si="27"/>
        <v>1</v>
      </c>
      <c r="U27" s="41" t="b">
        <f t="shared" si="28"/>
        <v>1</v>
      </c>
      <c r="V27" s="43">
        <f t="shared" si="29"/>
        <v>2</v>
      </c>
      <c r="W27" s="43">
        <f t="shared" si="30"/>
        <v>13</v>
      </c>
      <c r="X27" s="44">
        <f t="shared" si="31"/>
        <v>15</v>
      </c>
      <c r="Y27" s="45">
        <f t="shared" si="32"/>
        <v>1</v>
      </c>
      <c r="Z27" s="41" t="b">
        <f t="shared" si="33"/>
        <v>1</v>
      </c>
      <c r="AA27" s="43">
        <f t="shared" si="34"/>
        <v>0</v>
      </c>
      <c r="AB27" s="43">
        <f t="shared" si="35"/>
        <v>17</v>
      </c>
      <c r="AC27" s="44">
        <f t="shared" si="36"/>
        <v>17</v>
      </c>
      <c r="AD27" s="45">
        <f t="shared" si="37"/>
        <v>1</v>
      </c>
      <c r="AE27" s="41" t="b">
        <f t="shared" si="38"/>
        <v>1</v>
      </c>
      <c r="AF27" s="43" t="str">
        <f t="shared" si="39"/>
        <v/>
      </c>
      <c r="AG27" s="43" t="str">
        <f t="shared" si="40"/>
        <v/>
      </c>
      <c r="AH27" s="44" t="str">
        <f t="shared" si="41"/>
        <v/>
      </c>
      <c r="AI27" s="45">
        <f t="shared" si="42"/>
        <v>0</v>
      </c>
      <c r="AJ27" s="41" t="b">
        <f t="shared" si="43"/>
        <v>0</v>
      </c>
      <c r="AK27" s="43">
        <f t="shared" si="44"/>
        <v>7</v>
      </c>
      <c r="AL27" s="43">
        <f t="shared" si="45"/>
        <v>13</v>
      </c>
      <c r="AM27" s="44">
        <f t="shared" si="46"/>
        <v>20</v>
      </c>
      <c r="AN27" s="45">
        <f t="shared" si="47"/>
        <v>1</v>
      </c>
      <c r="AO27" s="41" t="b">
        <f t="shared" si="48"/>
        <v>1</v>
      </c>
      <c r="AP27" s="43">
        <f t="shared" si="49"/>
        <v>3</v>
      </c>
      <c r="AQ27" s="43">
        <f t="shared" si="50"/>
        <v>10</v>
      </c>
      <c r="AR27" s="44">
        <f t="shared" si="51"/>
        <v>13</v>
      </c>
      <c r="AS27" s="45">
        <f t="shared" si="52"/>
        <v>6</v>
      </c>
      <c r="AT27" s="41" t="b">
        <f t="shared" si="53"/>
        <v>1</v>
      </c>
      <c r="AU27" s="43" t="str">
        <f t="shared" si="54"/>
        <v/>
      </c>
      <c r="AV27" s="43" t="str">
        <f t="shared" si="55"/>
        <v/>
      </c>
      <c r="AW27" s="44" t="str">
        <f t="shared" si="56"/>
        <v/>
      </c>
      <c r="AX27" s="45">
        <f t="shared" si="57"/>
        <v>0</v>
      </c>
      <c r="AY27" s="41" t="b">
        <f t="shared" si="58"/>
        <v>0</v>
      </c>
      <c r="AZ27" s="43">
        <f t="shared" si="59"/>
        <v>10</v>
      </c>
      <c r="BA27" s="43">
        <f t="shared" si="60"/>
        <v>11</v>
      </c>
      <c r="BB27" s="44">
        <f t="shared" si="61"/>
        <v>21</v>
      </c>
      <c r="BC27" s="45">
        <f t="shared" si="62"/>
        <v>1</v>
      </c>
      <c r="BD27" s="41" t="b">
        <f t="shared" si="63"/>
        <v>1</v>
      </c>
      <c r="BE27" s="43">
        <f t="shared" si="64"/>
        <v>10</v>
      </c>
      <c r="BF27" s="43">
        <f t="shared" si="65"/>
        <v>11</v>
      </c>
      <c r="BG27" s="44">
        <f t="shared" si="66"/>
        <v>21</v>
      </c>
      <c r="BH27" s="45">
        <f t="shared" si="67"/>
        <v>1</v>
      </c>
      <c r="BI27" s="41" t="b">
        <f t="shared" si="68"/>
        <v>1</v>
      </c>
      <c r="BJ27" s="43">
        <f t="shared" si="69"/>
        <v>11</v>
      </c>
      <c r="BK27" s="43">
        <f t="shared" si="70"/>
        <v>10</v>
      </c>
      <c r="BL27" s="44">
        <f t="shared" si="71"/>
        <v>21</v>
      </c>
      <c r="BM27" s="45">
        <f t="shared" si="72"/>
        <v>1</v>
      </c>
      <c r="BN27" s="41" t="b">
        <f t="shared" si="73"/>
        <v>1</v>
      </c>
      <c r="BO27" s="40"/>
      <c r="BP27" s="40"/>
      <c r="BQ27" s="40"/>
    </row>
    <row r="28" hidden="1">
      <c r="A28" s="40"/>
      <c r="B28" s="40"/>
      <c r="C28" s="42">
        <f t="shared" si="13"/>
        <v>12</v>
      </c>
      <c r="D28" s="40"/>
      <c r="E28" s="40"/>
      <c r="F28" s="40"/>
      <c r="G28" s="43">
        <f t="shared" si="14"/>
        <v>19</v>
      </c>
      <c r="H28" s="43">
        <f t="shared" si="15"/>
        <v>17</v>
      </c>
      <c r="I28" s="44">
        <f t="shared" si="16"/>
        <v>36</v>
      </c>
      <c r="J28" s="45">
        <f t="shared" si="17"/>
        <v>1</v>
      </c>
      <c r="K28" s="41" t="b">
        <f t="shared" si="18"/>
        <v>1</v>
      </c>
      <c r="L28" s="43">
        <f t="shared" si="19"/>
        <v>19</v>
      </c>
      <c r="M28" s="43">
        <f t="shared" si="20"/>
        <v>17</v>
      </c>
      <c r="N28" s="44">
        <f t="shared" si="21"/>
        <v>36</v>
      </c>
      <c r="O28" s="45">
        <f t="shared" si="22"/>
        <v>1</v>
      </c>
      <c r="P28" s="41" t="b">
        <f t="shared" si="23"/>
        <v>1</v>
      </c>
      <c r="Q28" s="43">
        <f t="shared" si="24"/>
        <v>22</v>
      </c>
      <c r="R28" s="43">
        <f t="shared" si="25"/>
        <v>21</v>
      </c>
      <c r="S28" s="44">
        <f t="shared" si="26"/>
        <v>43</v>
      </c>
      <c r="T28" s="45">
        <f t="shared" si="27"/>
        <v>1</v>
      </c>
      <c r="U28" s="41" t="b">
        <f t="shared" si="28"/>
        <v>1</v>
      </c>
      <c r="V28" s="43">
        <f t="shared" si="29"/>
        <v>12</v>
      </c>
      <c r="W28" s="43">
        <f t="shared" si="30"/>
        <v>10</v>
      </c>
      <c r="X28" s="44">
        <f t="shared" si="31"/>
        <v>22</v>
      </c>
      <c r="Y28" s="45">
        <f t="shared" si="32"/>
        <v>1</v>
      </c>
      <c r="Z28" s="41" t="b">
        <f t="shared" si="33"/>
        <v>1</v>
      </c>
      <c r="AA28" s="43">
        <f t="shared" si="34"/>
        <v>12</v>
      </c>
      <c r="AB28" s="43">
        <f t="shared" si="35"/>
        <v>10</v>
      </c>
      <c r="AC28" s="44">
        <f t="shared" si="36"/>
        <v>22</v>
      </c>
      <c r="AD28" s="45">
        <f t="shared" si="37"/>
        <v>1</v>
      </c>
      <c r="AE28" s="41" t="b">
        <f t="shared" si="38"/>
        <v>1</v>
      </c>
      <c r="AF28" s="43">
        <f t="shared" si="39"/>
        <v>8</v>
      </c>
      <c r="AG28" s="43">
        <f t="shared" si="40"/>
        <v>10</v>
      </c>
      <c r="AH28" s="44">
        <f t="shared" si="41"/>
        <v>18</v>
      </c>
      <c r="AI28" s="45">
        <f t="shared" si="42"/>
        <v>1</v>
      </c>
      <c r="AJ28" s="41" t="b">
        <f t="shared" si="43"/>
        <v>1</v>
      </c>
      <c r="AK28" s="43">
        <f t="shared" si="44"/>
        <v>5</v>
      </c>
      <c r="AL28" s="43">
        <f t="shared" si="45"/>
        <v>7</v>
      </c>
      <c r="AM28" s="44">
        <f t="shared" si="46"/>
        <v>12</v>
      </c>
      <c r="AN28" s="45">
        <f t="shared" si="47"/>
        <v>2</v>
      </c>
      <c r="AO28" s="41" t="b">
        <f t="shared" si="48"/>
        <v>1</v>
      </c>
      <c r="AP28" s="43" t="str">
        <f t="shared" si="49"/>
        <v/>
      </c>
      <c r="AQ28" s="43" t="str">
        <f t="shared" si="50"/>
        <v/>
      </c>
      <c r="AR28" s="44" t="str">
        <f t="shared" si="51"/>
        <v/>
      </c>
      <c r="AS28" s="45">
        <f t="shared" si="52"/>
        <v>0</v>
      </c>
      <c r="AT28" s="41" t="b">
        <f t="shared" si="53"/>
        <v>0</v>
      </c>
      <c r="AU28" s="43">
        <f t="shared" si="54"/>
        <v>19</v>
      </c>
      <c r="AV28" s="43">
        <f t="shared" si="55"/>
        <v>17</v>
      </c>
      <c r="AW28" s="44">
        <f t="shared" si="56"/>
        <v>36</v>
      </c>
      <c r="AX28" s="45">
        <f t="shared" si="57"/>
        <v>1</v>
      </c>
      <c r="AY28" s="41" t="b">
        <f t="shared" si="58"/>
        <v>1</v>
      </c>
      <c r="AZ28" s="43">
        <f t="shared" si="59"/>
        <v>13</v>
      </c>
      <c r="BA28" s="43">
        <f t="shared" si="60"/>
        <v>11</v>
      </c>
      <c r="BB28" s="44">
        <f t="shared" si="61"/>
        <v>24</v>
      </c>
      <c r="BC28" s="45">
        <f t="shared" si="62"/>
        <v>1</v>
      </c>
      <c r="BD28" s="41" t="b">
        <f t="shared" si="63"/>
        <v>1</v>
      </c>
      <c r="BE28" s="43" t="str">
        <f t="shared" si="64"/>
        <v/>
      </c>
      <c r="BF28" s="43" t="str">
        <f t="shared" si="65"/>
        <v/>
      </c>
      <c r="BG28" s="44" t="str">
        <f t="shared" si="66"/>
        <v/>
      </c>
      <c r="BH28" s="45">
        <f t="shared" si="67"/>
        <v>0</v>
      </c>
      <c r="BI28" s="41" t="b">
        <f t="shared" si="68"/>
        <v>0</v>
      </c>
      <c r="BJ28" s="43">
        <f t="shared" si="69"/>
        <v>9</v>
      </c>
      <c r="BK28" s="43">
        <f t="shared" si="70"/>
        <v>7</v>
      </c>
      <c r="BL28" s="44">
        <f t="shared" si="71"/>
        <v>16</v>
      </c>
      <c r="BM28" s="45">
        <f t="shared" si="72"/>
        <v>1</v>
      </c>
      <c r="BN28" s="41" t="b">
        <f t="shared" si="73"/>
        <v>1</v>
      </c>
      <c r="BO28" s="40"/>
      <c r="BP28" s="40"/>
      <c r="BQ28" s="40"/>
    </row>
    <row r="29" hidden="1">
      <c r="A29" s="40"/>
      <c r="B29" s="40"/>
      <c r="C29" s="42">
        <f t="shared" si="13"/>
        <v>10</v>
      </c>
      <c r="D29" s="40"/>
      <c r="E29" s="40"/>
      <c r="F29" s="40"/>
      <c r="G29" s="43">
        <f t="shared" si="14"/>
        <v>4</v>
      </c>
      <c r="H29" s="43">
        <f t="shared" si="15"/>
        <v>6</v>
      </c>
      <c r="I29" s="44">
        <f t="shared" si="16"/>
        <v>10</v>
      </c>
      <c r="J29" s="45">
        <f t="shared" si="17"/>
        <v>2</v>
      </c>
      <c r="K29" s="41" t="b">
        <f t="shared" si="18"/>
        <v>1</v>
      </c>
      <c r="L29" s="43">
        <f t="shared" si="19"/>
        <v>4</v>
      </c>
      <c r="M29" s="43">
        <f t="shared" si="20"/>
        <v>7</v>
      </c>
      <c r="N29" s="44">
        <f t="shared" si="21"/>
        <v>11</v>
      </c>
      <c r="O29" s="45">
        <f t="shared" si="22"/>
        <v>1</v>
      </c>
      <c r="P29" s="41" t="b">
        <f t="shared" si="23"/>
        <v>1</v>
      </c>
      <c r="Q29" s="43" t="str">
        <f t="shared" si="24"/>
        <v/>
      </c>
      <c r="R29" s="43" t="str">
        <f t="shared" si="25"/>
        <v/>
      </c>
      <c r="S29" s="44" t="str">
        <f t="shared" si="26"/>
        <v/>
      </c>
      <c r="T29" s="45">
        <f t="shared" si="27"/>
        <v>0</v>
      </c>
      <c r="U29" s="41" t="b">
        <f t="shared" si="28"/>
        <v>0</v>
      </c>
      <c r="V29" s="43">
        <f t="shared" si="29"/>
        <v>7</v>
      </c>
      <c r="W29" s="43">
        <f t="shared" si="30"/>
        <v>4</v>
      </c>
      <c r="X29" s="44">
        <f t="shared" si="31"/>
        <v>11</v>
      </c>
      <c r="Y29" s="45">
        <f t="shared" si="32"/>
        <v>1</v>
      </c>
      <c r="Z29" s="41" t="b">
        <f t="shared" si="33"/>
        <v>1</v>
      </c>
      <c r="AA29" s="43">
        <f t="shared" si="34"/>
        <v>4</v>
      </c>
      <c r="AB29" s="43">
        <f t="shared" si="35"/>
        <v>13</v>
      </c>
      <c r="AC29" s="44">
        <f t="shared" si="36"/>
        <v>17</v>
      </c>
      <c r="AD29" s="45">
        <f t="shared" si="37"/>
        <v>1</v>
      </c>
      <c r="AE29" s="41" t="b">
        <f t="shared" si="38"/>
        <v>1</v>
      </c>
      <c r="AF29" s="43">
        <f t="shared" si="39"/>
        <v>11</v>
      </c>
      <c r="AG29" s="43">
        <f t="shared" si="40"/>
        <v>0</v>
      </c>
      <c r="AH29" s="44">
        <f t="shared" si="41"/>
        <v>11</v>
      </c>
      <c r="AI29" s="45">
        <f t="shared" si="42"/>
        <v>1</v>
      </c>
      <c r="AJ29" s="41" t="b">
        <f t="shared" si="43"/>
        <v>1</v>
      </c>
      <c r="AK29" s="43">
        <f t="shared" si="44"/>
        <v>4</v>
      </c>
      <c r="AL29" s="43">
        <f t="shared" si="45"/>
        <v>7</v>
      </c>
      <c r="AM29" s="44">
        <f t="shared" si="46"/>
        <v>11</v>
      </c>
      <c r="AN29" s="45">
        <f t="shared" si="47"/>
        <v>1</v>
      </c>
      <c r="AO29" s="41" t="b">
        <f t="shared" si="48"/>
        <v>1</v>
      </c>
      <c r="AP29" s="43">
        <f t="shared" si="49"/>
        <v>8</v>
      </c>
      <c r="AQ29" s="43">
        <f t="shared" si="50"/>
        <v>3</v>
      </c>
      <c r="AR29" s="44">
        <f t="shared" si="51"/>
        <v>11</v>
      </c>
      <c r="AS29" s="45">
        <f t="shared" si="52"/>
        <v>1</v>
      </c>
      <c r="AT29" s="41" t="b">
        <f t="shared" si="53"/>
        <v>1</v>
      </c>
      <c r="AU29" s="43">
        <f t="shared" si="54"/>
        <v>11</v>
      </c>
      <c r="AV29" s="43">
        <f t="shared" si="55"/>
        <v>0</v>
      </c>
      <c r="AW29" s="44">
        <f t="shared" si="56"/>
        <v>11</v>
      </c>
      <c r="AX29" s="45">
        <f t="shared" si="57"/>
        <v>1</v>
      </c>
      <c r="AY29" s="41" t="b">
        <f t="shared" si="58"/>
        <v>1</v>
      </c>
      <c r="AZ29" s="43" t="str">
        <f t="shared" si="59"/>
        <v/>
      </c>
      <c r="BA29" s="43" t="str">
        <f t="shared" si="60"/>
        <v/>
      </c>
      <c r="BB29" s="44" t="str">
        <f t="shared" si="61"/>
        <v/>
      </c>
      <c r="BC29" s="45">
        <f t="shared" si="62"/>
        <v>0</v>
      </c>
      <c r="BD29" s="41" t="b">
        <f t="shared" si="63"/>
        <v>0</v>
      </c>
      <c r="BE29" s="43" t="str">
        <f t="shared" si="64"/>
        <v/>
      </c>
      <c r="BF29" s="43" t="str">
        <f t="shared" si="65"/>
        <v/>
      </c>
      <c r="BG29" s="44" t="str">
        <f t="shared" si="66"/>
        <v/>
      </c>
      <c r="BH29" s="45">
        <f t="shared" si="67"/>
        <v>0</v>
      </c>
      <c r="BI29" s="41" t="b">
        <f t="shared" si="68"/>
        <v>0</v>
      </c>
      <c r="BJ29" s="43" t="str">
        <f t="shared" si="69"/>
        <v/>
      </c>
      <c r="BK29" s="43" t="str">
        <f t="shared" si="70"/>
        <v/>
      </c>
      <c r="BL29" s="44" t="str">
        <f t="shared" si="71"/>
        <v/>
      </c>
      <c r="BM29" s="45">
        <f t="shared" si="72"/>
        <v>0</v>
      </c>
      <c r="BN29" s="41" t="b">
        <f t="shared" si="73"/>
        <v>0</v>
      </c>
      <c r="BO29" s="40"/>
      <c r="BP29" s="40"/>
      <c r="BQ29" s="40"/>
    </row>
    <row r="30" hidden="1">
      <c r="A30" s="40"/>
      <c r="B30" s="40"/>
      <c r="C30" s="42">
        <f t="shared" si="13"/>
        <v>16</v>
      </c>
      <c r="D30" s="40"/>
      <c r="E30" s="40"/>
      <c r="F30" s="40"/>
      <c r="G30" s="43">
        <f t="shared" si="14"/>
        <v>8</v>
      </c>
      <c r="H30" s="43">
        <f t="shared" si="15"/>
        <v>19</v>
      </c>
      <c r="I30" s="44">
        <f t="shared" si="16"/>
        <v>27</v>
      </c>
      <c r="J30" s="45">
        <f t="shared" si="17"/>
        <v>1</v>
      </c>
      <c r="K30" s="41" t="b">
        <f t="shared" si="18"/>
        <v>1</v>
      </c>
      <c r="L30" s="43" t="str">
        <f t="shared" si="19"/>
        <v/>
      </c>
      <c r="M30" s="43" t="str">
        <f t="shared" si="20"/>
        <v/>
      </c>
      <c r="N30" s="44" t="str">
        <f t="shared" si="21"/>
        <v/>
      </c>
      <c r="O30" s="45">
        <f t="shared" si="22"/>
        <v>0</v>
      </c>
      <c r="P30" s="41" t="b">
        <f t="shared" si="23"/>
        <v>0</v>
      </c>
      <c r="Q30" s="43" t="str">
        <f t="shared" si="24"/>
        <v/>
      </c>
      <c r="R30" s="43" t="str">
        <f t="shared" si="25"/>
        <v/>
      </c>
      <c r="S30" s="44" t="str">
        <f t="shared" si="26"/>
        <v/>
      </c>
      <c r="T30" s="45">
        <f t="shared" si="27"/>
        <v>0</v>
      </c>
      <c r="U30" s="41" t="b">
        <f t="shared" si="28"/>
        <v>0</v>
      </c>
      <c r="V30" s="43" t="str">
        <f t="shared" si="29"/>
        <v/>
      </c>
      <c r="W30" s="43" t="str">
        <f t="shared" si="30"/>
        <v/>
      </c>
      <c r="X30" s="44" t="str">
        <f t="shared" si="31"/>
        <v/>
      </c>
      <c r="Y30" s="45">
        <f t="shared" si="32"/>
        <v>0</v>
      </c>
      <c r="Z30" s="41" t="b">
        <f t="shared" si="33"/>
        <v>0</v>
      </c>
      <c r="AA30" s="43" t="str">
        <f t="shared" si="34"/>
        <v/>
      </c>
      <c r="AB30" s="43" t="str">
        <f t="shared" si="35"/>
        <v/>
      </c>
      <c r="AC30" s="44" t="str">
        <f t="shared" si="36"/>
        <v/>
      </c>
      <c r="AD30" s="45">
        <f t="shared" si="37"/>
        <v>0</v>
      </c>
      <c r="AE30" s="41" t="b">
        <f t="shared" si="38"/>
        <v>0</v>
      </c>
      <c r="AF30" s="43">
        <f t="shared" si="39"/>
        <v>12</v>
      </c>
      <c r="AG30" s="43">
        <f t="shared" si="40"/>
        <v>25</v>
      </c>
      <c r="AH30" s="44">
        <f t="shared" si="41"/>
        <v>37</v>
      </c>
      <c r="AI30" s="45">
        <f t="shared" si="42"/>
        <v>1</v>
      </c>
      <c r="AJ30" s="41" t="b">
        <f t="shared" si="43"/>
        <v>1</v>
      </c>
      <c r="AK30" s="43" t="str">
        <f t="shared" si="44"/>
        <v/>
      </c>
      <c r="AL30" s="43" t="str">
        <f t="shared" si="45"/>
        <v/>
      </c>
      <c r="AM30" s="44" t="str">
        <f t="shared" si="46"/>
        <v/>
      </c>
      <c r="AN30" s="45">
        <f t="shared" si="47"/>
        <v>0</v>
      </c>
      <c r="AO30" s="41" t="b">
        <f t="shared" si="48"/>
        <v>0</v>
      </c>
      <c r="AP30" s="43">
        <f t="shared" si="49"/>
        <v>1</v>
      </c>
      <c r="AQ30" s="43">
        <f t="shared" si="50"/>
        <v>15</v>
      </c>
      <c r="AR30" s="44">
        <f t="shared" si="51"/>
        <v>16</v>
      </c>
      <c r="AS30" s="45">
        <f t="shared" si="52"/>
        <v>2</v>
      </c>
      <c r="AT30" s="41" t="b">
        <f t="shared" si="53"/>
        <v>1</v>
      </c>
      <c r="AU30" s="43" t="str">
        <f t="shared" si="54"/>
        <v/>
      </c>
      <c r="AV30" s="43" t="str">
        <f t="shared" si="55"/>
        <v/>
      </c>
      <c r="AW30" s="44" t="str">
        <f t="shared" si="56"/>
        <v/>
      </c>
      <c r="AX30" s="45">
        <f t="shared" si="57"/>
        <v>0</v>
      </c>
      <c r="AY30" s="41" t="b">
        <f t="shared" si="58"/>
        <v>0</v>
      </c>
      <c r="AZ30" s="43" t="str">
        <f t="shared" si="59"/>
        <v/>
      </c>
      <c r="BA30" s="43" t="str">
        <f t="shared" si="60"/>
        <v/>
      </c>
      <c r="BB30" s="44" t="str">
        <f t="shared" si="61"/>
        <v/>
      </c>
      <c r="BC30" s="45">
        <f t="shared" si="62"/>
        <v>0</v>
      </c>
      <c r="BD30" s="41" t="b">
        <f t="shared" si="63"/>
        <v>0</v>
      </c>
      <c r="BE30" s="43" t="str">
        <f t="shared" si="64"/>
        <v/>
      </c>
      <c r="BF30" s="43" t="str">
        <f t="shared" si="65"/>
        <v/>
      </c>
      <c r="BG30" s="44" t="str">
        <f t="shared" si="66"/>
        <v/>
      </c>
      <c r="BH30" s="45">
        <f t="shared" si="67"/>
        <v>0</v>
      </c>
      <c r="BI30" s="41" t="b">
        <f t="shared" si="68"/>
        <v>0</v>
      </c>
      <c r="BJ30" s="43">
        <f t="shared" si="69"/>
        <v>8</v>
      </c>
      <c r="BK30" s="43">
        <f t="shared" si="70"/>
        <v>22</v>
      </c>
      <c r="BL30" s="44">
        <f t="shared" si="71"/>
        <v>30</v>
      </c>
      <c r="BM30" s="45">
        <f t="shared" si="72"/>
        <v>1</v>
      </c>
      <c r="BN30" s="41" t="b">
        <f t="shared" si="73"/>
        <v>1</v>
      </c>
      <c r="BO30" s="40"/>
      <c r="BP30" s="40"/>
      <c r="BQ30" s="40"/>
    </row>
    <row r="31" hidden="1">
      <c r="A31" s="40"/>
      <c r="B31" s="40"/>
      <c r="C31" s="42">
        <f t="shared" si="13"/>
        <v>2</v>
      </c>
      <c r="D31" s="40"/>
      <c r="E31" s="40"/>
      <c r="F31" s="40"/>
      <c r="G31" s="43">
        <f t="shared" si="14"/>
        <v>2</v>
      </c>
      <c r="H31" s="43">
        <f t="shared" si="15"/>
        <v>1</v>
      </c>
      <c r="I31" s="44">
        <f t="shared" si="16"/>
        <v>3</v>
      </c>
      <c r="J31" s="45">
        <f t="shared" si="17"/>
        <v>1</v>
      </c>
      <c r="K31" s="41" t="b">
        <f t="shared" si="18"/>
        <v>1</v>
      </c>
      <c r="L31" s="43">
        <f t="shared" si="19"/>
        <v>2</v>
      </c>
      <c r="M31" s="43">
        <f t="shared" si="20"/>
        <v>1</v>
      </c>
      <c r="N31" s="44">
        <f t="shared" si="21"/>
        <v>3</v>
      </c>
      <c r="O31" s="45">
        <f t="shared" si="22"/>
        <v>1</v>
      </c>
      <c r="P31" s="41" t="b">
        <f t="shared" si="23"/>
        <v>1</v>
      </c>
      <c r="Q31" s="43">
        <f t="shared" si="24"/>
        <v>1</v>
      </c>
      <c r="R31" s="43">
        <f t="shared" si="25"/>
        <v>4</v>
      </c>
      <c r="S31" s="44">
        <f t="shared" si="26"/>
        <v>5</v>
      </c>
      <c r="T31" s="45">
        <f t="shared" si="27"/>
        <v>1</v>
      </c>
      <c r="U31" s="41" t="b">
        <f t="shared" si="28"/>
        <v>1</v>
      </c>
      <c r="V31" s="43">
        <f t="shared" si="29"/>
        <v>12</v>
      </c>
      <c r="W31" s="43">
        <f t="shared" si="30"/>
        <v>9</v>
      </c>
      <c r="X31" s="44">
        <f t="shared" si="31"/>
        <v>21</v>
      </c>
      <c r="Y31" s="45">
        <f t="shared" si="32"/>
        <v>1</v>
      </c>
      <c r="Z31" s="41" t="b">
        <f t="shared" si="33"/>
        <v>1</v>
      </c>
      <c r="AA31" s="43">
        <f t="shared" si="34"/>
        <v>2</v>
      </c>
      <c r="AB31" s="43">
        <f t="shared" si="35"/>
        <v>0</v>
      </c>
      <c r="AC31" s="44">
        <f t="shared" si="36"/>
        <v>2</v>
      </c>
      <c r="AD31" s="45">
        <f t="shared" si="37"/>
        <v>2</v>
      </c>
      <c r="AE31" s="41" t="b">
        <f t="shared" si="38"/>
        <v>1</v>
      </c>
      <c r="AF31" s="43">
        <f t="shared" si="39"/>
        <v>2</v>
      </c>
      <c r="AG31" s="43">
        <f t="shared" si="40"/>
        <v>7</v>
      </c>
      <c r="AH31" s="44">
        <f t="shared" si="41"/>
        <v>9</v>
      </c>
      <c r="AI31" s="45">
        <f t="shared" si="42"/>
        <v>1</v>
      </c>
      <c r="AJ31" s="41" t="b">
        <f t="shared" si="43"/>
        <v>1</v>
      </c>
      <c r="AK31" s="43">
        <f t="shared" si="44"/>
        <v>2</v>
      </c>
      <c r="AL31" s="43">
        <f t="shared" si="45"/>
        <v>3</v>
      </c>
      <c r="AM31" s="44">
        <f t="shared" si="46"/>
        <v>5</v>
      </c>
      <c r="AN31" s="45">
        <f t="shared" si="47"/>
        <v>1</v>
      </c>
      <c r="AO31" s="41" t="b">
        <f t="shared" si="48"/>
        <v>1</v>
      </c>
      <c r="AP31" s="43">
        <f t="shared" si="49"/>
        <v>5</v>
      </c>
      <c r="AQ31" s="43">
        <f t="shared" si="50"/>
        <v>6</v>
      </c>
      <c r="AR31" s="44">
        <f t="shared" si="51"/>
        <v>11</v>
      </c>
      <c r="AS31" s="45">
        <f t="shared" si="52"/>
        <v>1</v>
      </c>
      <c r="AT31" s="41" t="b">
        <f t="shared" si="53"/>
        <v>1</v>
      </c>
      <c r="AU31" s="43">
        <f t="shared" si="54"/>
        <v>2</v>
      </c>
      <c r="AV31" s="43">
        <f t="shared" si="55"/>
        <v>3</v>
      </c>
      <c r="AW31" s="44">
        <f t="shared" si="56"/>
        <v>5</v>
      </c>
      <c r="AX31" s="45">
        <f t="shared" si="57"/>
        <v>1</v>
      </c>
      <c r="AY31" s="41" t="b">
        <f t="shared" si="58"/>
        <v>1</v>
      </c>
      <c r="AZ31" s="43">
        <f t="shared" si="59"/>
        <v>2</v>
      </c>
      <c r="BA31" s="43">
        <f t="shared" si="60"/>
        <v>1</v>
      </c>
      <c r="BB31" s="44">
        <f t="shared" si="61"/>
        <v>3</v>
      </c>
      <c r="BC31" s="45">
        <f t="shared" si="62"/>
        <v>1</v>
      </c>
      <c r="BD31" s="41" t="b">
        <f t="shared" si="63"/>
        <v>1</v>
      </c>
      <c r="BE31" s="43">
        <f t="shared" si="64"/>
        <v>5</v>
      </c>
      <c r="BF31" s="43">
        <f t="shared" si="65"/>
        <v>7</v>
      </c>
      <c r="BG31" s="44">
        <f t="shared" si="66"/>
        <v>12</v>
      </c>
      <c r="BH31" s="45">
        <f t="shared" si="67"/>
        <v>1</v>
      </c>
      <c r="BI31" s="41" t="b">
        <f t="shared" si="68"/>
        <v>1</v>
      </c>
      <c r="BJ31" s="43" t="str">
        <f t="shared" si="69"/>
        <v/>
      </c>
      <c r="BK31" s="43" t="str">
        <f t="shared" si="70"/>
        <v/>
      </c>
      <c r="BL31" s="44" t="str">
        <f t="shared" si="71"/>
        <v/>
      </c>
      <c r="BM31" s="45">
        <f t="shared" si="72"/>
        <v>0</v>
      </c>
      <c r="BN31" s="41" t="b">
        <f t="shared" si="73"/>
        <v>0</v>
      </c>
      <c r="BO31" s="40"/>
      <c r="BP31" s="40"/>
      <c r="BQ31" s="40"/>
    </row>
    <row r="32" hidden="1">
      <c r="A32" s="40"/>
      <c r="B32" s="40"/>
      <c r="C32" s="42">
        <f t="shared" si="13"/>
        <v>15</v>
      </c>
      <c r="D32" s="40"/>
      <c r="E32" s="40"/>
      <c r="F32" s="40"/>
      <c r="G32" s="43" t="str">
        <f t="shared" si="14"/>
        <v/>
      </c>
      <c r="H32" s="43" t="str">
        <f t="shared" si="15"/>
        <v/>
      </c>
      <c r="I32" s="44" t="str">
        <f t="shared" si="16"/>
        <v/>
      </c>
      <c r="J32" s="45">
        <f t="shared" si="17"/>
        <v>0</v>
      </c>
      <c r="K32" s="41" t="b">
        <f t="shared" si="18"/>
        <v>0</v>
      </c>
      <c r="L32" s="43" t="str">
        <f t="shared" si="19"/>
        <v/>
      </c>
      <c r="M32" s="43" t="str">
        <f t="shared" si="20"/>
        <v/>
      </c>
      <c r="N32" s="44" t="str">
        <f t="shared" si="21"/>
        <v/>
      </c>
      <c r="O32" s="45">
        <f t="shared" si="22"/>
        <v>0</v>
      </c>
      <c r="P32" s="41" t="b">
        <f t="shared" si="23"/>
        <v>0</v>
      </c>
      <c r="Q32" s="43">
        <f t="shared" si="24"/>
        <v>5</v>
      </c>
      <c r="R32" s="43">
        <f t="shared" si="25"/>
        <v>10</v>
      </c>
      <c r="S32" s="44">
        <f t="shared" si="26"/>
        <v>15</v>
      </c>
      <c r="T32" s="45">
        <f t="shared" si="27"/>
        <v>2</v>
      </c>
      <c r="U32" s="41" t="b">
        <f t="shared" si="28"/>
        <v>1</v>
      </c>
      <c r="V32" s="43" t="str">
        <f t="shared" si="29"/>
        <v/>
      </c>
      <c r="W32" s="43" t="str">
        <f t="shared" si="30"/>
        <v/>
      </c>
      <c r="X32" s="44" t="str">
        <f t="shared" si="31"/>
        <v/>
      </c>
      <c r="Y32" s="45">
        <f t="shared" si="32"/>
        <v>0</v>
      </c>
      <c r="Z32" s="41" t="b">
        <f t="shared" si="33"/>
        <v>0</v>
      </c>
      <c r="AA32" s="43" t="str">
        <f t="shared" si="34"/>
        <v/>
      </c>
      <c r="AB32" s="43" t="str">
        <f t="shared" si="35"/>
        <v/>
      </c>
      <c r="AC32" s="44" t="str">
        <f t="shared" si="36"/>
        <v/>
      </c>
      <c r="AD32" s="45">
        <f t="shared" si="37"/>
        <v>0</v>
      </c>
      <c r="AE32" s="41" t="b">
        <f t="shared" si="38"/>
        <v>0</v>
      </c>
      <c r="AF32" s="43" t="str">
        <f t="shared" si="39"/>
        <v/>
      </c>
      <c r="AG32" s="43" t="str">
        <f t="shared" si="40"/>
        <v/>
      </c>
      <c r="AH32" s="44" t="str">
        <f t="shared" si="41"/>
        <v/>
      </c>
      <c r="AI32" s="45">
        <f t="shared" si="42"/>
        <v>0</v>
      </c>
      <c r="AJ32" s="41" t="b">
        <f t="shared" si="43"/>
        <v>0</v>
      </c>
      <c r="AK32" s="43" t="str">
        <f t="shared" si="44"/>
        <v/>
      </c>
      <c r="AL32" s="43" t="str">
        <f t="shared" si="45"/>
        <v/>
      </c>
      <c r="AM32" s="44" t="str">
        <f t="shared" si="46"/>
        <v/>
      </c>
      <c r="AN32" s="45">
        <f t="shared" si="47"/>
        <v>0</v>
      </c>
      <c r="AO32" s="41" t="b">
        <f t="shared" si="48"/>
        <v>0</v>
      </c>
      <c r="AP32" s="43" t="str">
        <f t="shared" si="49"/>
        <v/>
      </c>
      <c r="AQ32" s="43" t="str">
        <f t="shared" si="50"/>
        <v/>
      </c>
      <c r="AR32" s="44" t="str">
        <f t="shared" si="51"/>
        <v/>
      </c>
      <c r="AS32" s="45">
        <f t="shared" si="52"/>
        <v>0</v>
      </c>
      <c r="AT32" s="41" t="b">
        <f t="shared" si="53"/>
        <v>0</v>
      </c>
      <c r="AU32" s="43" t="str">
        <f t="shared" si="54"/>
        <v/>
      </c>
      <c r="AV32" s="43" t="str">
        <f t="shared" si="55"/>
        <v/>
      </c>
      <c r="AW32" s="44" t="str">
        <f t="shared" si="56"/>
        <v/>
      </c>
      <c r="AX32" s="45">
        <f t="shared" si="57"/>
        <v>0</v>
      </c>
      <c r="AY32" s="41" t="b">
        <f t="shared" si="58"/>
        <v>0</v>
      </c>
      <c r="AZ32" s="43" t="str">
        <f t="shared" si="59"/>
        <v/>
      </c>
      <c r="BA32" s="43" t="str">
        <f t="shared" si="60"/>
        <v/>
      </c>
      <c r="BB32" s="44" t="str">
        <f t="shared" si="61"/>
        <v/>
      </c>
      <c r="BC32" s="45">
        <f t="shared" si="62"/>
        <v>0</v>
      </c>
      <c r="BD32" s="41" t="b">
        <f t="shared" si="63"/>
        <v>0</v>
      </c>
      <c r="BE32" s="43" t="str">
        <f t="shared" si="64"/>
        <v/>
      </c>
      <c r="BF32" s="43" t="str">
        <f t="shared" si="65"/>
        <v/>
      </c>
      <c r="BG32" s="44" t="str">
        <f t="shared" si="66"/>
        <v/>
      </c>
      <c r="BH32" s="45">
        <f t="shared" si="67"/>
        <v>0</v>
      </c>
      <c r="BI32" s="41" t="b">
        <f t="shared" si="68"/>
        <v>0</v>
      </c>
      <c r="BJ32" s="43" t="str">
        <f t="shared" si="69"/>
        <v/>
      </c>
      <c r="BK32" s="43" t="str">
        <f t="shared" si="70"/>
        <v/>
      </c>
      <c r="BL32" s="44" t="str">
        <f t="shared" si="71"/>
        <v/>
      </c>
      <c r="BM32" s="45">
        <f t="shared" si="72"/>
        <v>0</v>
      </c>
      <c r="BN32" s="41" t="b">
        <f t="shared" si="73"/>
        <v>0</v>
      </c>
      <c r="BO32" s="40"/>
      <c r="BP32" s="40"/>
      <c r="BQ32" s="40"/>
    </row>
    <row r="33" hidden="1">
      <c r="A33" s="40"/>
      <c r="B33" s="40"/>
      <c r="C33" s="42">
        <f t="shared" si="13"/>
        <v>7</v>
      </c>
      <c r="D33" s="40"/>
      <c r="E33" s="40"/>
      <c r="F33" s="40"/>
      <c r="G33" s="43" t="str">
        <f t="shared" si="14"/>
        <v/>
      </c>
      <c r="H33" s="43" t="str">
        <f t="shared" si="15"/>
        <v/>
      </c>
      <c r="I33" s="44" t="str">
        <f t="shared" si="16"/>
        <v/>
      </c>
      <c r="J33" s="45">
        <f t="shared" si="17"/>
        <v>0</v>
      </c>
      <c r="K33" s="41" t="b">
        <f t="shared" si="18"/>
        <v>0</v>
      </c>
      <c r="L33" s="43">
        <f t="shared" si="19"/>
        <v>6</v>
      </c>
      <c r="M33" s="43">
        <f t="shared" si="20"/>
        <v>11</v>
      </c>
      <c r="N33" s="44">
        <f t="shared" si="21"/>
        <v>17</v>
      </c>
      <c r="O33" s="45">
        <f t="shared" si="22"/>
        <v>1</v>
      </c>
      <c r="P33" s="41" t="b">
        <f t="shared" si="23"/>
        <v>1</v>
      </c>
      <c r="Q33" s="43" t="str">
        <f t="shared" si="24"/>
        <v/>
      </c>
      <c r="R33" s="43" t="str">
        <f t="shared" si="25"/>
        <v/>
      </c>
      <c r="S33" s="44" t="str">
        <f t="shared" si="26"/>
        <v/>
      </c>
      <c r="T33" s="45">
        <f t="shared" si="27"/>
        <v>0</v>
      </c>
      <c r="U33" s="41" t="b">
        <f t="shared" si="28"/>
        <v>0</v>
      </c>
      <c r="V33" s="43">
        <f t="shared" si="29"/>
        <v>3</v>
      </c>
      <c r="W33" s="43">
        <f t="shared" si="30"/>
        <v>4</v>
      </c>
      <c r="X33" s="44">
        <f t="shared" si="31"/>
        <v>7</v>
      </c>
      <c r="Y33" s="45">
        <f t="shared" si="32"/>
        <v>1.5</v>
      </c>
      <c r="Z33" s="41" t="b">
        <f t="shared" si="33"/>
        <v>1</v>
      </c>
      <c r="AA33" s="43" t="str">
        <f t="shared" si="34"/>
        <v/>
      </c>
      <c r="AB33" s="43" t="str">
        <f t="shared" si="35"/>
        <v/>
      </c>
      <c r="AC33" s="44" t="str">
        <f t="shared" si="36"/>
        <v/>
      </c>
      <c r="AD33" s="45">
        <f t="shared" si="37"/>
        <v>0</v>
      </c>
      <c r="AE33" s="41" t="b">
        <f t="shared" si="38"/>
        <v>0</v>
      </c>
      <c r="AF33" s="43" t="str">
        <f t="shared" si="39"/>
        <v/>
      </c>
      <c r="AG33" s="43" t="str">
        <f t="shared" si="40"/>
        <v/>
      </c>
      <c r="AH33" s="44" t="str">
        <f t="shared" si="41"/>
        <v/>
      </c>
      <c r="AI33" s="45">
        <f t="shared" si="42"/>
        <v>0</v>
      </c>
      <c r="AJ33" s="41" t="b">
        <f t="shared" si="43"/>
        <v>0</v>
      </c>
      <c r="AK33" s="43" t="str">
        <f t="shared" si="44"/>
        <v/>
      </c>
      <c r="AL33" s="43" t="str">
        <f t="shared" si="45"/>
        <v/>
      </c>
      <c r="AM33" s="44" t="str">
        <f t="shared" si="46"/>
        <v/>
      </c>
      <c r="AN33" s="45">
        <f t="shared" si="47"/>
        <v>0</v>
      </c>
      <c r="AO33" s="41" t="b">
        <f t="shared" si="48"/>
        <v>0</v>
      </c>
      <c r="AP33" s="43">
        <f t="shared" si="49"/>
        <v>3</v>
      </c>
      <c r="AQ33" s="43">
        <f t="shared" si="50"/>
        <v>4</v>
      </c>
      <c r="AR33" s="44">
        <f t="shared" si="51"/>
        <v>7</v>
      </c>
      <c r="AS33" s="45">
        <f t="shared" si="52"/>
        <v>1.5</v>
      </c>
      <c r="AT33" s="41" t="b">
        <f t="shared" si="53"/>
        <v>1</v>
      </c>
      <c r="AU33" s="43" t="str">
        <f t="shared" si="54"/>
        <v/>
      </c>
      <c r="AV33" s="43" t="str">
        <f t="shared" si="55"/>
        <v/>
      </c>
      <c r="AW33" s="44" t="str">
        <f t="shared" si="56"/>
        <v/>
      </c>
      <c r="AX33" s="45">
        <f t="shared" si="57"/>
        <v>0</v>
      </c>
      <c r="AY33" s="41" t="b">
        <f t="shared" si="58"/>
        <v>0</v>
      </c>
      <c r="AZ33" s="43" t="str">
        <f t="shared" si="59"/>
        <v/>
      </c>
      <c r="BA33" s="43" t="str">
        <f t="shared" si="60"/>
        <v/>
      </c>
      <c r="BB33" s="44" t="str">
        <f t="shared" si="61"/>
        <v/>
      </c>
      <c r="BC33" s="45">
        <f t="shared" si="62"/>
        <v>0</v>
      </c>
      <c r="BD33" s="41" t="b">
        <f t="shared" si="63"/>
        <v>0</v>
      </c>
      <c r="BE33" s="43" t="str">
        <f t="shared" si="64"/>
        <v/>
      </c>
      <c r="BF33" s="43" t="str">
        <f t="shared" si="65"/>
        <v/>
      </c>
      <c r="BG33" s="44" t="str">
        <f t="shared" si="66"/>
        <v/>
      </c>
      <c r="BH33" s="45">
        <f t="shared" si="67"/>
        <v>0</v>
      </c>
      <c r="BI33" s="41" t="b">
        <f t="shared" si="68"/>
        <v>0</v>
      </c>
      <c r="BJ33" s="43" t="str">
        <f t="shared" si="69"/>
        <v/>
      </c>
      <c r="BK33" s="43" t="str">
        <f t="shared" si="70"/>
        <v/>
      </c>
      <c r="BL33" s="44" t="str">
        <f t="shared" si="71"/>
        <v/>
      </c>
      <c r="BM33" s="45">
        <f t="shared" si="72"/>
        <v>0</v>
      </c>
      <c r="BN33" s="41" t="b">
        <f t="shared" si="73"/>
        <v>0</v>
      </c>
      <c r="BO33" s="40"/>
      <c r="BP33" s="40"/>
      <c r="BQ33" s="40"/>
    </row>
    <row r="34" hidden="1">
      <c r="A34" s="40"/>
      <c r="B34" s="40"/>
      <c r="C34" s="42">
        <f t="shared" si="13"/>
        <v>9</v>
      </c>
      <c r="D34" s="40"/>
      <c r="E34" s="40"/>
      <c r="F34" s="40"/>
      <c r="G34" s="43" t="str">
        <f t="shared" si="14"/>
        <v/>
      </c>
      <c r="H34" s="43" t="str">
        <f t="shared" si="15"/>
        <v/>
      </c>
      <c r="I34" s="44" t="str">
        <f t="shared" si="16"/>
        <v/>
      </c>
      <c r="J34" s="45">
        <f t="shared" si="17"/>
        <v>0</v>
      </c>
      <c r="K34" s="41" t="b">
        <f t="shared" si="18"/>
        <v>0</v>
      </c>
      <c r="L34" s="43" t="str">
        <f t="shared" si="19"/>
        <v/>
      </c>
      <c r="M34" s="43" t="str">
        <f t="shared" si="20"/>
        <v/>
      </c>
      <c r="N34" s="44" t="str">
        <f t="shared" si="21"/>
        <v/>
      </c>
      <c r="O34" s="45">
        <f t="shared" si="22"/>
        <v>0</v>
      </c>
      <c r="P34" s="41" t="b">
        <f t="shared" si="23"/>
        <v>0</v>
      </c>
      <c r="Q34" s="43">
        <f t="shared" si="24"/>
        <v>0</v>
      </c>
      <c r="R34" s="43">
        <f t="shared" si="25"/>
        <v>17</v>
      </c>
      <c r="S34" s="44">
        <f t="shared" si="26"/>
        <v>17</v>
      </c>
      <c r="T34" s="45">
        <f t="shared" si="27"/>
        <v>1</v>
      </c>
      <c r="U34" s="41" t="b">
        <f t="shared" si="28"/>
        <v>1</v>
      </c>
      <c r="V34" s="43">
        <f t="shared" si="29"/>
        <v>10</v>
      </c>
      <c r="W34" s="43">
        <f t="shared" si="30"/>
        <v>7</v>
      </c>
      <c r="X34" s="44">
        <f t="shared" si="31"/>
        <v>17</v>
      </c>
      <c r="Y34" s="45">
        <f t="shared" si="32"/>
        <v>1</v>
      </c>
      <c r="Z34" s="41" t="b">
        <f t="shared" si="33"/>
        <v>1</v>
      </c>
      <c r="AA34" s="43">
        <f t="shared" si="34"/>
        <v>14</v>
      </c>
      <c r="AB34" s="43">
        <f t="shared" si="35"/>
        <v>4</v>
      </c>
      <c r="AC34" s="44">
        <f t="shared" si="36"/>
        <v>18</v>
      </c>
      <c r="AD34" s="45">
        <f t="shared" si="37"/>
        <v>3</v>
      </c>
      <c r="AE34" s="41" t="b">
        <f t="shared" si="38"/>
        <v>1</v>
      </c>
      <c r="AF34" s="43" t="str">
        <f t="shared" si="39"/>
        <v/>
      </c>
      <c r="AG34" s="43" t="str">
        <f t="shared" si="40"/>
        <v/>
      </c>
      <c r="AH34" s="44" t="str">
        <f t="shared" si="41"/>
        <v/>
      </c>
      <c r="AI34" s="45">
        <f t="shared" si="42"/>
        <v>0</v>
      </c>
      <c r="AJ34" s="41" t="b">
        <f t="shared" si="43"/>
        <v>0</v>
      </c>
      <c r="AK34" s="43" t="str">
        <f t="shared" si="44"/>
        <v/>
      </c>
      <c r="AL34" s="43" t="str">
        <f t="shared" si="45"/>
        <v/>
      </c>
      <c r="AM34" s="44" t="str">
        <f t="shared" si="46"/>
        <v/>
      </c>
      <c r="AN34" s="45">
        <f t="shared" si="47"/>
        <v>0</v>
      </c>
      <c r="AO34" s="41" t="b">
        <f t="shared" si="48"/>
        <v>0</v>
      </c>
      <c r="AP34" s="43" t="str">
        <f t="shared" si="49"/>
        <v/>
      </c>
      <c r="AQ34" s="43" t="str">
        <f t="shared" si="50"/>
        <v/>
      </c>
      <c r="AR34" s="44" t="str">
        <f t="shared" si="51"/>
        <v/>
      </c>
      <c r="AS34" s="45">
        <f t="shared" si="52"/>
        <v>0</v>
      </c>
      <c r="AT34" s="41" t="b">
        <f t="shared" si="53"/>
        <v>0</v>
      </c>
      <c r="AU34" s="43">
        <f t="shared" si="54"/>
        <v>14</v>
      </c>
      <c r="AV34" s="43">
        <f t="shared" si="55"/>
        <v>4</v>
      </c>
      <c r="AW34" s="44">
        <f t="shared" si="56"/>
        <v>18</v>
      </c>
      <c r="AX34" s="45">
        <f t="shared" si="57"/>
        <v>1</v>
      </c>
      <c r="AY34" s="41" t="b">
        <f t="shared" si="58"/>
        <v>1</v>
      </c>
      <c r="AZ34" s="43" t="str">
        <f t="shared" si="59"/>
        <v/>
      </c>
      <c r="BA34" s="43" t="str">
        <f t="shared" si="60"/>
        <v/>
      </c>
      <c r="BB34" s="44" t="str">
        <f t="shared" si="61"/>
        <v/>
      </c>
      <c r="BC34" s="45">
        <f t="shared" si="62"/>
        <v>0</v>
      </c>
      <c r="BD34" s="41" t="b">
        <f t="shared" si="63"/>
        <v>0</v>
      </c>
      <c r="BE34" s="43">
        <f t="shared" si="64"/>
        <v>6</v>
      </c>
      <c r="BF34" s="43">
        <f t="shared" si="65"/>
        <v>3</v>
      </c>
      <c r="BG34" s="44">
        <f t="shared" si="66"/>
        <v>9</v>
      </c>
      <c r="BH34" s="45">
        <f t="shared" si="67"/>
        <v>2</v>
      </c>
      <c r="BI34" s="41" t="b">
        <f t="shared" si="68"/>
        <v>1</v>
      </c>
      <c r="BJ34" s="43">
        <f t="shared" si="69"/>
        <v>7</v>
      </c>
      <c r="BK34" s="43">
        <f t="shared" si="70"/>
        <v>11</v>
      </c>
      <c r="BL34" s="44">
        <f t="shared" si="71"/>
        <v>18</v>
      </c>
      <c r="BM34" s="45">
        <f t="shared" si="72"/>
        <v>1</v>
      </c>
      <c r="BN34" s="41" t="b">
        <f t="shared" si="73"/>
        <v>1</v>
      </c>
      <c r="BO34" s="40"/>
      <c r="BP34" s="40"/>
      <c r="BQ34" s="40"/>
    </row>
    <row r="35" hidden="1">
      <c r="A35" s="40"/>
      <c r="B35" s="40"/>
      <c r="C35" s="40"/>
      <c r="D35" s="40"/>
      <c r="E35" s="40"/>
      <c r="F35" s="40"/>
      <c r="G35" s="40"/>
      <c r="H35" s="40"/>
      <c r="I35" s="40"/>
      <c r="J35" s="50">
        <f>MULTIPLY(SUM(J19:J34),10)</f>
        <v>120</v>
      </c>
      <c r="K35" s="51">
        <f>COUNTIF(K19:K34,"TRUE")</f>
        <v>11</v>
      </c>
      <c r="L35" s="40"/>
      <c r="M35" s="40"/>
      <c r="N35" s="40"/>
      <c r="O35" s="50">
        <f>MULTIPLY(SUM(O19:O34),10)</f>
        <v>130</v>
      </c>
      <c r="P35" s="51">
        <f>COUNTIF(P19:P34,"TRUE")</f>
        <v>12</v>
      </c>
      <c r="Q35" s="40"/>
      <c r="R35" s="40"/>
      <c r="S35" s="40"/>
      <c r="T35" s="50">
        <f>MULTIPLY(SUM(T19:T34),10)</f>
        <v>140</v>
      </c>
      <c r="U35" s="51">
        <f>COUNTIF(U19:U34,"TRUE")</f>
        <v>11</v>
      </c>
      <c r="V35" s="40"/>
      <c r="W35" s="40"/>
      <c r="X35" s="40"/>
      <c r="Y35" s="50">
        <f>MULTIPLY(SUM(Y19:Y34),10)</f>
        <v>160</v>
      </c>
      <c r="Z35" s="51">
        <f>COUNTIF(Z19:Z34,"TRUE")</f>
        <v>13</v>
      </c>
      <c r="AA35" s="40"/>
      <c r="AB35" s="40"/>
      <c r="AC35" s="40"/>
      <c r="AD35" s="50">
        <f>MULTIPLY(SUM(AD19:AD34),10)</f>
        <v>130</v>
      </c>
      <c r="AE35" s="51">
        <f>COUNTIF(AE19:AE34,"TRUE")</f>
        <v>10</v>
      </c>
      <c r="AF35" s="40"/>
      <c r="AG35" s="40"/>
      <c r="AH35" s="40"/>
      <c r="AI35" s="50">
        <f>MULTIPLY(SUM(AI19:AI34),10)</f>
        <v>130</v>
      </c>
      <c r="AJ35" s="51">
        <f>COUNTIF(AJ19:AJ34,"TRUE")</f>
        <v>10</v>
      </c>
      <c r="AK35" s="40"/>
      <c r="AL35" s="40"/>
      <c r="AM35" s="40"/>
      <c r="AN35" s="50">
        <f>MULTIPLY(SUM(AN19:AN34),10)</f>
        <v>105</v>
      </c>
      <c r="AO35" s="51">
        <f>COUNTIF(AO19:AO34,"TRUE")</f>
        <v>8</v>
      </c>
      <c r="AP35" s="40"/>
      <c r="AQ35" s="40"/>
      <c r="AR35" s="40"/>
      <c r="AS35" s="50">
        <f>MULTIPLY(SUM(AS19:AS34),10)</f>
        <v>155</v>
      </c>
      <c r="AT35" s="51">
        <f>COUNTIF(AT19:AT34,"TRUE")</f>
        <v>9</v>
      </c>
      <c r="AU35" s="40"/>
      <c r="AV35" s="40"/>
      <c r="AW35" s="40"/>
      <c r="AX35" s="50">
        <f>MULTIPLY(SUM(AX19:AX34),10)</f>
        <v>80</v>
      </c>
      <c r="AY35" s="51">
        <f>COUNTIF(AY19:AY34,"TRUE")</f>
        <v>8</v>
      </c>
      <c r="AZ35" s="40"/>
      <c r="BA35" s="40"/>
      <c r="BB35" s="40"/>
      <c r="BC35" s="50">
        <f>MULTIPLY(SUM(BC19:BC34),10)</f>
        <v>90</v>
      </c>
      <c r="BD35" s="51">
        <f>COUNTIF(BD19:BD34,"TRUE")</f>
        <v>9</v>
      </c>
      <c r="BE35" s="40"/>
      <c r="BF35" s="40"/>
      <c r="BG35" s="40"/>
      <c r="BH35" s="50">
        <f>MULTIPLY(SUM(BH19:BH34),10)</f>
        <v>150</v>
      </c>
      <c r="BI35" s="51">
        <f>COUNTIF(BI19:BI34,"TRUE")</f>
        <v>10</v>
      </c>
      <c r="BJ35" s="40"/>
      <c r="BK35" s="40"/>
      <c r="BL35" s="40"/>
      <c r="BM35" s="50">
        <f>MULTIPLY(SUM(BM19:BM34),10)</f>
        <v>120</v>
      </c>
      <c r="BN35" s="51">
        <f>COUNTIF(BN19:BN34,"TRUE")</f>
        <v>11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40"/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40"/>
      <c r="B38" s="57" t="s">
        <v>141</v>
      </c>
      <c r="C38" s="58">
        <f t="array" ref="C38">INDEX(J35,0)</f>
        <v>120</v>
      </c>
      <c r="D38" s="58">
        <f t="array" ref="D38">INDEX(O35,0)</f>
        <v>130</v>
      </c>
      <c r="E38" s="58">
        <f t="array" ref="E38">INDEX(T35,0)</f>
        <v>140</v>
      </c>
      <c r="F38" s="58">
        <f t="array" ref="F38">INDEX(Y35,0)</f>
        <v>160</v>
      </c>
      <c r="G38" s="58">
        <f t="array" ref="G38">INDEX(AD35,0)</f>
        <v>130</v>
      </c>
      <c r="H38" s="58">
        <f t="array" ref="H38">INDEX(AI35,0)</f>
        <v>130</v>
      </c>
      <c r="I38" s="58">
        <f t="array" ref="I38">INDEX(AN35,0)</f>
        <v>105</v>
      </c>
      <c r="J38" s="58">
        <f t="array" ref="J38">INDEX(AS35,0)</f>
        <v>155</v>
      </c>
      <c r="K38" s="58">
        <f t="array" ref="K38">INDEX(AX35,0)</f>
        <v>80</v>
      </c>
      <c r="L38" s="58">
        <f t="array" ref="L38">INDEX(BC35,0)</f>
        <v>90</v>
      </c>
      <c r="M38" s="58">
        <f t="array" ref="M38">INDEX(BH35,0)</f>
        <v>150</v>
      </c>
      <c r="N38" s="60">
        <f t="array" ref="N38">INDEX(BM35,0)</f>
        <v>120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63" t="s">
        <v>142</v>
      </c>
      <c r="C39" s="64">
        <f>COUNTIF(K19:K34,true)</f>
        <v>11</v>
      </c>
      <c r="D39" s="64">
        <f>COUNTIF(P19:P34,true)</f>
        <v>12</v>
      </c>
      <c r="E39" s="64">
        <f>COUNTIF(U19:U34,true)</f>
        <v>11</v>
      </c>
      <c r="F39" s="64">
        <f>COUNTIF(Z19:Z34,true)</f>
        <v>13</v>
      </c>
      <c r="G39" s="64">
        <f>COUNTIF(AE19:AE34,true)</f>
        <v>10</v>
      </c>
      <c r="H39" s="64">
        <f>COUNTIF(AJ19:AJ34,true)</f>
        <v>10</v>
      </c>
      <c r="I39" s="64">
        <f>COUNTIF(AO19:AO34,true)</f>
        <v>8</v>
      </c>
      <c r="J39" s="64">
        <f>COUNTIF(AT19:AT34,true)</f>
        <v>9</v>
      </c>
      <c r="K39" s="64">
        <f>COUNTIF(AY19:AY34,true)</f>
        <v>8</v>
      </c>
      <c r="L39" s="64">
        <f>COUNTIF(BD19:BD34,true)</f>
        <v>9</v>
      </c>
      <c r="M39" s="64">
        <f>COUNTIF(BI19:BI34,true)</f>
        <v>10</v>
      </c>
      <c r="N39" s="65">
        <f>COUNTIF(BN19:BN34,true)</f>
        <v>11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63" t="s">
        <v>143</v>
      </c>
      <c r="C40" s="68">
        <f>COUNTIF(K19:K34,FALSE)</f>
        <v>5</v>
      </c>
      <c r="D40" s="68">
        <f>COUNTIF(P19:P34,FALSE)</f>
        <v>4</v>
      </c>
      <c r="E40" s="68">
        <f>COUNTIF(U19:U34,FALSE)</f>
        <v>5</v>
      </c>
      <c r="F40" s="68">
        <f>COUNTIF(Z19:Z34,FALSE)</f>
        <v>3</v>
      </c>
      <c r="G40" s="68">
        <f>COUNTIF(AE19:AE34,FALSE)</f>
        <v>6</v>
      </c>
      <c r="H40" s="68">
        <f>COUNTIF(AJ19:AJ34,FALSE)</f>
        <v>6</v>
      </c>
      <c r="I40" s="68">
        <f>COUNTIF(AO19:AO34,FALSE)</f>
        <v>8</v>
      </c>
      <c r="J40" s="68">
        <f>COUNTIF(AT19:AT34,FALSE)</f>
        <v>7</v>
      </c>
      <c r="K40" s="68">
        <f>COUNTIF(AY19:AY34,FALSE)</f>
        <v>8</v>
      </c>
      <c r="L40" s="68">
        <f>COUNTIF(BD19:BD34,FALSE)</f>
        <v>7</v>
      </c>
      <c r="M40" s="68">
        <f>COUNTIF(BI19:BI34,FALSE)</f>
        <v>6</v>
      </c>
      <c r="N40" s="69">
        <f>COUNTIF(BN19:BN34,FALSE)</f>
        <v>5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 t="shared" ref="C42:N42" si="74">INDEX(C38,0)</f>
        <v>120</v>
      </c>
      <c r="D42" s="71">
        <f t="shared" si="74"/>
        <v>130</v>
      </c>
      <c r="E42" s="71">
        <f t="shared" si="74"/>
        <v>140</v>
      </c>
      <c r="F42" s="71">
        <f t="shared" si="74"/>
        <v>160</v>
      </c>
      <c r="G42" s="71">
        <f t="shared" si="74"/>
        <v>130</v>
      </c>
      <c r="H42" s="71">
        <f t="shared" si="74"/>
        <v>130</v>
      </c>
      <c r="I42" s="71">
        <f t="shared" si="74"/>
        <v>105</v>
      </c>
      <c r="J42" s="71">
        <f t="shared" si="74"/>
        <v>155</v>
      </c>
      <c r="K42" s="71">
        <f t="shared" si="74"/>
        <v>80</v>
      </c>
      <c r="L42" s="71">
        <f t="shared" si="74"/>
        <v>90</v>
      </c>
      <c r="M42" s="71">
        <f t="shared" si="74"/>
        <v>150</v>
      </c>
      <c r="N42" s="72">
        <f t="shared" si="74"/>
        <v>120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 t="shared" ref="C43:N43" si="75">CONCATENATE(C39," - ",C40)</f>
        <v>11 - 5</v>
      </c>
      <c r="D43" s="73" t="str">
        <f t="shared" si="75"/>
        <v>12 - 4</v>
      </c>
      <c r="E43" s="73" t="str">
        <f t="shared" si="75"/>
        <v>11 - 5</v>
      </c>
      <c r="F43" s="73" t="str">
        <f t="shared" si="75"/>
        <v>13 - 3</v>
      </c>
      <c r="G43" s="73" t="str">
        <f t="shared" si="75"/>
        <v>10 - 6</v>
      </c>
      <c r="H43" s="73" t="str">
        <f t="shared" si="75"/>
        <v>10 - 6</v>
      </c>
      <c r="I43" s="73" t="str">
        <f t="shared" si="75"/>
        <v>8 - 8</v>
      </c>
      <c r="J43" s="73" t="str">
        <f t="shared" si="75"/>
        <v>9 - 7</v>
      </c>
      <c r="K43" s="73" t="str">
        <f t="shared" si="75"/>
        <v>8 - 8</v>
      </c>
      <c r="L43" s="73" t="str">
        <f t="shared" si="75"/>
        <v>9 - 7</v>
      </c>
      <c r="M43" s="73" t="str">
        <f t="shared" si="75"/>
        <v>10 - 6</v>
      </c>
      <c r="N43" s="74" t="str">
        <f t="shared" si="75"/>
        <v>11 - 5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9</v>
      </c>
      <c r="E45" s="29">
        <v>160.0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155.0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16</v>
      </c>
      <c r="E47" s="29">
        <v>150.0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8</v>
      </c>
      <c r="E48" s="29">
        <v>140.0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7</v>
      </c>
      <c r="E49" s="29">
        <v>130.0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5.0</v>
      </c>
      <c r="D50" s="29" t="s">
        <v>10</v>
      </c>
      <c r="E50" s="29">
        <v>130.0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5.0</v>
      </c>
      <c r="D51" s="29" t="s">
        <v>11</v>
      </c>
      <c r="E51" s="29">
        <v>130.0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6</v>
      </c>
      <c r="E52" s="29">
        <v>120.0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8.0</v>
      </c>
      <c r="D53" s="29" t="s">
        <v>17</v>
      </c>
      <c r="E53" s="29">
        <v>120.0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10.0</v>
      </c>
      <c r="D54" s="29" t="s">
        <v>12</v>
      </c>
      <c r="E54" s="29">
        <v>105.0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90.0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14</v>
      </c>
      <c r="E56" s="29">
        <v>80.0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120</v>
      </c>
      <c r="D63" s="40"/>
      <c r="G63" s="40"/>
      <c r="H63" s="40">
        <f t="shared" ref="H63:H74" si="76">RANK(J63,$J$63:$J$74,false)</f>
        <v>1</v>
      </c>
      <c r="I63" s="40" t="str">
        <f t="array" ref="I63:J74">SORT(B63:C74,2,false)</f>
        <v>Nok</v>
      </c>
      <c r="J63" s="40">
        <v>160.0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130</v>
      </c>
      <c r="D64" s="40"/>
      <c r="G64" s="40"/>
      <c r="H64" s="40">
        <f t="shared" si="76"/>
        <v>2</v>
      </c>
      <c r="I64" s="40" t="s">
        <v>13</v>
      </c>
      <c r="J64" s="40">
        <v>155.0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140</v>
      </c>
      <c r="D65" s="40"/>
      <c r="G65" s="40"/>
      <c r="H65" s="40">
        <f t="shared" si="76"/>
        <v>3</v>
      </c>
      <c r="I65" s="40" t="s">
        <v>16</v>
      </c>
      <c r="J65" s="40">
        <v>150.0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160</v>
      </c>
      <c r="D66" s="40"/>
      <c r="G66" s="40"/>
      <c r="H66" s="40">
        <f t="shared" si="76"/>
        <v>4</v>
      </c>
      <c r="I66" s="40" t="s">
        <v>8</v>
      </c>
      <c r="J66" s="40">
        <v>140.0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130</v>
      </c>
      <c r="D67" s="40"/>
      <c r="G67" s="40"/>
      <c r="H67" s="40">
        <f t="shared" si="76"/>
        <v>5</v>
      </c>
      <c r="I67" s="40" t="s">
        <v>7</v>
      </c>
      <c r="J67" s="40">
        <v>130.0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130</v>
      </c>
      <c r="D68" s="40"/>
      <c r="G68" s="40"/>
      <c r="H68" s="40">
        <f t="shared" si="76"/>
        <v>5</v>
      </c>
      <c r="I68" s="40" t="s">
        <v>10</v>
      </c>
      <c r="J68" s="40">
        <v>130.0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105</v>
      </c>
      <c r="D69" s="40"/>
      <c r="G69" s="40"/>
      <c r="H69" s="40">
        <f t="shared" si="76"/>
        <v>5</v>
      </c>
      <c r="I69" s="40" t="s">
        <v>11</v>
      </c>
      <c r="J69" s="40">
        <v>130.0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155</v>
      </c>
      <c r="D70" s="40"/>
      <c r="G70" s="40"/>
      <c r="H70" s="40">
        <f t="shared" si="76"/>
        <v>8</v>
      </c>
      <c r="I70" s="40" t="s">
        <v>6</v>
      </c>
      <c r="J70" s="40">
        <v>120.0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80</v>
      </c>
      <c r="D71" s="40"/>
      <c r="G71" s="40"/>
      <c r="H71" s="40">
        <f t="shared" si="76"/>
        <v>8</v>
      </c>
      <c r="I71" s="40" t="s">
        <v>17</v>
      </c>
      <c r="J71" s="40">
        <v>120.0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90</v>
      </c>
      <c r="D72" s="40"/>
      <c r="G72" s="40"/>
      <c r="H72" s="40">
        <f t="shared" si="76"/>
        <v>10</v>
      </c>
      <c r="I72" s="40" t="s">
        <v>12</v>
      </c>
      <c r="J72" s="40">
        <v>105.0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150</v>
      </c>
      <c r="D73" s="40"/>
      <c r="G73" s="40"/>
      <c r="H73" s="40">
        <f t="shared" si="76"/>
        <v>11</v>
      </c>
      <c r="I73" s="40" t="s">
        <v>15</v>
      </c>
      <c r="J73" s="40">
        <v>90.0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120</v>
      </c>
      <c r="D74" s="40"/>
      <c r="G74" s="40"/>
      <c r="H74" s="40">
        <f t="shared" si="76"/>
        <v>12</v>
      </c>
      <c r="I74" s="40" t="s">
        <v>14</v>
      </c>
      <c r="J74" s="40">
        <v>80.0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AND($I19=$C19,$C19=0)</formula>
    </cfRule>
  </conditionalFormatting>
  <conditionalFormatting sqref="G2:K17">
    <cfRule type="expression" dxfId="1" priority="2">
      <formula>$I19=$C19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AND($N19=$C19,$C19=0)</formula>
    </cfRule>
  </conditionalFormatting>
  <conditionalFormatting sqref="L2:P17">
    <cfRule type="expression" dxfId="1" priority="9">
      <formula>$N19=$C19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AND($S19=$C19,$C19=0)</formula>
    </cfRule>
  </conditionalFormatting>
  <conditionalFormatting sqref="Q2:U17">
    <cfRule type="expression" dxfId="1" priority="16">
      <formula>$S19=$C19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AND($X19=$C19,$C19=0)</formula>
    </cfRule>
  </conditionalFormatting>
  <conditionalFormatting sqref="V2:Z17">
    <cfRule type="expression" dxfId="1" priority="78">
      <formula>$X19=$C19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AND($AC19=$C19,$C19=0)</formula>
    </cfRule>
  </conditionalFormatting>
  <conditionalFormatting sqref="AA2:AE17">
    <cfRule type="expression" dxfId="1" priority="81">
      <formula>$AC19=$C19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AND($AH19=$C19,$C19=0)</formula>
    </cfRule>
  </conditionalFormatting>
  <conditionalFormatting sqref="AF2:AJ17">
    <cfRule type="expression" dxfId="1" priority="84">
      <formula>$AH19=$C19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AND($AM19=$C19,$C19=0)</formula>
    </cfRule>
  </conditionalFormatting>
  <conditionalFormatting sqref="AK2:AO17">
    <cfRule type="expression" dxfId="1" priority="87">
      <formula>$AM19=$C19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AND($AR19=$C19,$C19=0)</formula>
    </cfRule>
  </conditionalFormatting>
  <conditionalFormatting sqref="AP2:AT17">
    <cfRule type="expression" dxfId="1" priority="90">
      <formula>$AR19=$C19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AND($AW19=$C19,$C19=0)</formula>
    </cfRule>
  </conditionalFormatting>
  <conditionalFormatting sqref="AU2:AY17">
    <cfRule type="expression" dxfId="1" priority="93">
      <formula>$AW19=$C19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AND($BB19=$C19,$C19=0)</formula>
    </cfRule>
  </conditionalFormatting>
  <conditionalFormatting sqref="AZ2:BD17">
    <cfRule type="expression" dxfId="1" priority="96">
      <formula>$BB19=$C19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AND($BG19=$C19,$C19=0)</formula>
    </cfRule>
  </conditionalFormatting>
  <conditionalFormatting sqref="BE2:BI17">
    <cfRule type="expression" dxfId="1" priority="99">
      <formula>$BG19=$C19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AND($BL19=$C19,$C19=0)</formula>
    </cfRule>
  </conditionalFormatting>
  <conditionalFormatting sqref="BJ2:BN17">
    <cfRule type="expression" dxfId="1" priority="102">
      <formula>$BL19=$C19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2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18</v>
      </c>
      <c r="B2" s="17" t="s">
        <v>20</v>
      </c>
      <c r="C2" s="18" t="str">
        <f>IFERROR(__xludf.DUMMYFUNCTION("IMPORTRANGE(""https://docs.google.com/spreadsheets/d/1v9a6MxzpyXdVbef97sptWrOJUpuAu6ldKC6wbegqpyg/edit?gid=1416980241#gid=1416980241"",""Week 2!C3:F18"")"),"BUF")</f>
        <v>BUF</v>
      </c>
      <c r="D2" s="11" t="str">
        <f>IFERROR(__xludf.DUMMYFUNCTION("""COMPUTED_VALUE"""),"")</f>
        <v/>
      </c>
      <c r="E2" s="19">
        <f>IFERROR(__xludf.DUMMYFUNCTION("""COMPUTED_VALUE"""),31.0)</f>
        <v>31</v>
      </c>
      <c r="F2" s="20">
        <f>IFERROR(__xludf.DUMMYFUNCTION("""COMPUTED_VALUE"""),41.0)</f>
        <v>41</v>
      </c>
      <c r="G2" s="19" t="s">
        <v>23</v>
      </c>
      <c r="H2" s="11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21.0</v>
      </c>
      <c r="J2" s="19">
        <v>28.0</v>
      </c>
      <c r="K2" s="20" t="b">
        <v>0</v>
      </c>
      <c r="L2" s="24" t="s">
        <v>23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10.0</v>
      </c>
      <c r="O2" s="24">
        <v>14.0</v>
      </c>
      <c r="P2" s="24" t="b">
        <v>0</v>
      </c>
      <c r="Q2" s="27" t="s">
        <v>27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31.0</v>
      </c>
      <c r="T2" s="19">
        <v>24.0</v>
      </c>
      <c r="U2" s="20" t="b">
        <v>0</v>
      </c>
      <c r="V2" s="19" t="s">
        <v>23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21.0</v>
      </c>
      <c r="Y2" s="19">
        <v>28.0</v>
      </c>
      <c r="Z2" s="20" t="b">
        <v>0</v>
      </c>
      <c r="AA2" s="27" t="s">
        <v>23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20.0</v>
      </c>
      <c r="AD2" s="19">
        <v>23.0</v>
      </c>
      <c r="AE2" s="19" t="b">
        <v>0</v>
      </c>
      <c r="AF2" s="27" t="s">
        <v>23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21.0</v>
      </c>
      <c r="AI2" s="19">
        <v>28.0</v>
      </c>
      <c r="AJ2" s="20" t="b">
        <v>0</v>
      </c>
      <c r="AK2" s="19" t="s">
        <v>23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17.0</v>
      </c>
      <c r="AN2" s="19">
        <v>21.0</v>
      </c>
      <c r="AO2" s="20" t="b">
        <v>0</v>
      </c>
      <c r="AP2" s="27" t="s">
        <v>23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24.0</v>
      </c>
      <c r="AS2" s="19">
        <v>28.0</v>
      </c>
      <c r="AT2" s="20" t="b">
        <v>0</v>
      </c>
      <c r="AU2" s="27" t="s">
        <v>23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7.0</v>
      </c>
      <c r="AX2" s="19">
        <v>10.0</v>
      </c>
      <c r="AY2" s="20" t="b">
        <v>0</v>
      </c>
      <c r="AZ2" s="27" t="s">
        <v>23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23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24.0</v>
      </c>
      <c r="BH2" s="19">
        <v>27.0</v>
      </c>
      <c r="BI2" s="20" t="b">
        <v>0</v>
      </c>
      <c r="BJ2" s="27" t="s">
        <v>23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21.0</v>
      </c>
      <c r="BM2" s="19">
        <v>24.0</v>
      </c>
      <c r="BN2" s="20" t="b">
        <v>0</v>
      </c>
      <c r="BO2" s="19"/>
      <c r="BP2" s="19"/>
      <c r="BQ2" s="19"/>
    </row>
    <row r="3">
      <c r="A3" s="16" t="s">
        <v>35</v>
      </c>
      <c r="B3" s="30" t="s">
        <v>36</v>
      </c>
      <c r="C3" s="18" t="str">
        <f>IFERROR(__xludf.DUMMYFUNCTION("""COMPUTED_VALUE"""),"CAR")</f>
        <v>CAR</v>
      </c>
      <c r="D3" s="11" t="str">
        <f>IFERROR(__xludf.DUMMYFUNCTION("""COMPUTED_VALUE"""),"")</f>
        <v/>
      </c>
      <c r="E3" s="17">
        <f>IFERROR(__xludf.DUMMYFUNCTION("""COMPUTED_VALUE"""),34.0)</f>
        <v>34</v>
      </c>
      <c r="F3" s="31">
        <f>IFERROR(__xludf.DUMMYFUNCTION("""COMPUTED_VALUE"""),3.0)</f>
        <v>3</v>
      </c>
      <c r="G3" s="19" t="s">
        <v>29</v>
      </c>
      <c r="H3" s="11" t="str">
        <f t="shared" si="1"/>
        <v/>
      </c>
      <c r="I3" s="19">
        <v>17.0</v>
      </c>
      <c r="J3" s="19">
        <v>21.0</v>
      </c>
      <c r="K3" s="20" t="b">
        <v>0</v>
      </c>
      <c r="L3" s="19" t="s">
        <v>29</v>
      </c>
      <c r="M3" s="11" t="str">
        <f t="shared" si="2"/>
        <v/>
      </c>
      <c r="N3" s="19">
        <v>17.0</v>
      </c>
      <c r="O3" s="19">
        <v>21.0</v>
      </c>
      <c r="P3" s="19" t="b">
        <v>0</v>
      </c>
      <c r="Q3" s="27" t="s">
        <v>29</v>
      </c>
      <c r="R3" s="11" t="str">
        <f t="shared" si="3"/>
        <v/>
      </c>
      <c r="S3" s="19">
        <v>21.0</v>
      </c>
      <c r="T3" s="19">
        <v>28.0</v>
      </c>
      <c r="U3" s="20" t="b">
        <v>0</v>
      </c>
      <c r="V3" s="19" t="s">
        <v>41</v>
      </c>
      <c r="W3" s="11" t="str">
        <f t="shared" si="4"/>
        <v/>
      </c>
      <c r="X3" s="19">
        <v>24.0</v>
      </c>
      <c r="Y3" s="19">
        <v>21.0</v>
      </c>
      <c r="Z3" s="20" t="b">
        <v>0</v>
      </c>
      <c r="AA3" s="27" t="s">
        <v>41</v>
      </c>
      <c r="AB3" s="11" t="str">
        <f t="shared" si="5"/>
        <v/>
      </c>
      <c r="AC3" s="19">
        <v>10.0</v>
      </c>
      <c r="AD3" s="19">
        <v>7.0</v>
      </c>
      <c r="AE3" s="19" t="b">
        <v>0</v>
      </c>
      <c r="AF3" s="27" t="s">
        <v>41</v>
      </c>
      <c r="AG3" s="11" t="str">
        <f t="shared" si="6"/>
        <v/>
      </c>
      <c r="AH3" s="19">
        <v>23.0</v>
      </c>
      <c r="AI3" s="19">
        <v>20.0</v>
      </c>
      <c r="AJ3" s="20" t="b">
        <v>0</v>
      </c>
      <c r="AK3" s="19" t="s">
        <v>29</v>
      </c>
      <c r="AL3" s="11" t="str">
        <f t="shared" si="7"/>
        <v/>
      </c>
      <c r="AM3" s="19">
        <v>14.0</v>
      </c>
      <c r="AN3" s="19">
        <v>17.0</v>
      </c>
      <c r="AO3" s="20" t="b">
        <v>0</v>
      </c>
      <c r="AP3" s="27" t="s">
        <v>29</v>
      </c>
      <c r="AQ3" s="11" t="str">
        <f t="shared" si="8"/>
        <v/>
      </c>
      <c r="AR3" s="19">
        <v>13.0</v>
      </c>
      <c r="AS3" s="19">
        <v>20.0</v>
      </c>
      <c r="AT3" s="20" t="b">
        <v>0</v>
      </c>
      <c r="AU3" s="27" t="s">
        <v>29</v>
      </c>
      <c r="AV3" s="11" t="str">
        <f t="shared" si="9"/>
        <v/>
      </c>
      <c r="AW3" s="19">
        <v>14.0</v>
      </c>
      <c r="AX3" s="19">
        <v>17.0</v>
      </c>
      <c r="AY3" s="20" t="b">
        <v>0</v>
      </c>
      <c r="AZ3" s="27" t="s">
        <v>41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41</v>
      </c>
      <c r="BF3" s="11" t="str">
        <f t="shared" si="11"/>
        <v/>
      </c>
      <c r="BG3" s="19">
        <v>14.0</v>
      </c>
      <c r="BH3" s="19">
        <v>10.0</v>
      </c>
      <c r="BI3" s="20" t="b">
        <v>0</v>
      </c>
      <c r="BJ3" s="27" t="s">
        <v>29</v>
      </c>
      <c r="BK3" s="11" t="str">
        <f t="shared" si="12"/>
        <v/>
      </c>
      <c r="BL3" s="19">
        <v>24.0</v>
      </c>
      <c r="BM3" s="19">
        <v>27.0</v>
      </c>
      <c r="BN3" s="20" t="b">
        <v>0</v>
      </c>
      <c r="BO3" s="17"/>
      <c r="BP3" s="17"/>
      <c r="BQ3" s="17"/>
    </row>
    <row r="4">
      <c r="A4" s="16" t="s">
        <v>35</v>
      </c>
      <c r="B4" s="30" t="s">
        <v>42</v>
      </c>
      <c r="C4" s="18" t="str">
        <f>IFERROR(__xludf.DUMMYFUNCTION("""COMPUTED_VALUE"""),"MIN")</f>
        <v>MIN</v>
      </c>
      <c r="D4" s="11" t="str">
        <f>IFERROR(__xludf.DUMMYFUNCTION("""COMPUTED_VALUE"""),"")</f>
        <v/>
      </c>
      <c r="E4" s="19">
        <f>IFERROR(__xludf.DUMMYFUNCTION("""COMPUTED_VALUE"""),9.0)</f>
        <v>9</v>
      </c>
      <c r="F4" s="20">
        <f>IFERROR(__xludf.DUMMYFUNCTION("""COMPUTED_VALUE"""),3.0)</f>
        <v>3</v>
      </c>
      <c r="G4" s="19" t="s">
        <v>44</v>
      </c>
      <c r="H4" s="11" t="str">
        <f t="shared" si="1"/>
        <v/>
      </c>
      <c r="I4" s="19">
        <v>14.0</v>
      </c>
      <c r="J4" s="19">
        <v>17.0</v>
      </c>
      <c r="K4" s="20" t="b">
        <v>0</v>
      </c>
      <c r="L4" s="19" t="s">
        <v>44</v>
      </c>
      <c r="M4" s="11" t="str">
        <f t="shared" si="2"/>
        <v/>
      </c>
      <c r="N4" s="19">
        <v>17.0</v>
      </c>
      <c r="O4" s="19">
        <v>21.0</v>
      </c>
      <c r="P4" s="19" t="b">
        <v>0</v>
      </c>
      <c r="Q4" s="27" t="s">
        <v>44</v>
      </c>
      <c r="R4" s="11" t="str">
        <f t="shared" si="3"/>
        <v/>
      </c>
      <c r="S4" s="19">
        <v>24.0</v>
      </c>
      <c r="T4" s="19">
        <v>27.0</v>
      </c>
      <c r="U4" s="20" t="b">
        <v>0</v>
      </c>
      <c r="V4" s="19" t="s">
        <v>44</v>
      </c>
      <c r="W4" s="11" t="str">
        <f t="shared" si="4"/>
        <v/>
      </c>
      <c r="X4" s="19">
        <v>20.0</v>
      </c>
      <c r="Y4" s="19">
        <v>23.0</v>
      </c>
      <c r="Z4" s="20" t="b">
        <v>0</v>
      </c>
      <c r="AA4" s="27" t="s">
        <v>44</v>
      </c>
      <c r="AB4" s="11" t="str">
        <f t="shared" si="5"/>
        <v/>
      </c>
      <c r="AC4" s="19">
        <v>24.0</v>
      </c>
      <c r="AD4" s="19">
        <v>31.0</v>
      </c>
      <c r="AE4" s="19" t="b">
        <v>0</v>
      </c>
      <c r="AF4" s="27" t="s">
        <v>51</v>
      </c>
      <c r="AG4" s="11" t="str">
        <f t="shared" si="6"/>
        <v/>
      </c>
      <c r="AH4" s="19">
        <v>28.0</v>
      </c>
      <c r="AI4" s="19">
        <v>24.0</v>
      </c>
      <c r="AJ4" s="20" t="b">
        <v>0</v>
      </c>
      <c r="AK4" s="19" t="s">
        <v>44</v>
      </c>
      <c r="AL4" s="11" t="str">
        <f t="shared" si="7"/>
        <v/>
      </c>
      <c r="AM4" s="19">
        <v>20.0</v>
      </c>
      <c r="AN4" s="19">
        <v>23.0</v>
      </c>
      <c r="AO4" s="20" t="b">
        <v>0</v>
      </c>
      <c r="AP4" s="27" t="s">
        <v>44</v>
      </c>
      <c r="AQ4" s="11" t="str">
        <f t="shared" si="8"/>
        <v/>
      </c>
      <c r="AR4" s="19">
        <v>17.0</v>
      </c>
      <c r="AS4" s="19">
        <v>20.0</v>
      </c>
      <c r="AT4" s="20" t="b">
        <v>0</v>
      </c>
      <c r="AU4" s="27" t="s">
        <v>51</v>
      </c>
      <c r="AV4" s="11" t="str">
        <f t="shared" si="9"/>
        <v/>
      </c>
      <c r="AW4" s="19">
        <v>28.0</v>
      </c>
      <c r="AX4" s="19">
        <v>21.0</v>
      </c>
      <c r="AY4" s="20" t="b">
        <v>0</v>
      </c>
      <c r="AZ4" s="27" t="s">
        <v>44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44</v>
      </c>
      <c r="BF4" s="11" t="str">
        <f t="shared" si="11"/>
        <v/>
      </c>
      <c r="BG4" s="19">
        <v>24.0</v>
      </c>
      <c r="BH4" s="19">
        <v>27.0</v>
      </c>
      <c r="BI4" s="20" t="b">
        <v>0</v>
      </c>
      <c r="BJ4" s="27" t="s">
        <v>51</v>
      </c>
      <c r="BK4" s="11" t="str">
        <f t="shared" si="12"/>
        <v/>
      </c>
      <c r="BL4" s="19">
        <v>14.0</v>
      </c>
      <c r="BM4" s="19">
        <v>10.0</v>
      </c>
      <c r="BN4" s="20" t="b">
        <v>0</v>
      </c>
      <c r="BO4" s="17"/>
      <c r="BP4" s="17"/>
      <c r="BQ4" s="17"/>
    </row>
    <row r="5">
      <c r="A5" s="16" t="s">
        <v>35</v>
      </c>
      <c r="B5" s="17" t="s">
        <v>52</v>
      </c>
      <c r="C5" s="18" t="str">
        <f>IFERROR(__xludf.DUMMYFUNCTION("""COMPUTED_VALUE"""),"PHI")</f>
        <v>PHI</v>
      </c>
      <c r="D5" s="11" t="str">
        <f>IFERROR(__xludf.DUMMYFUNCTION("""COMPUTED_VALUE"""),"")</f>
        <v/>
      </c>
      <c r="E5" s="19">
        <f>IFERROR(__xludf.DUMMYFUNCTION("""COMPUTED_VALUE"""),24.0)</f>
        <v>24</v>
      </c>
      <c r="F5" s="20">
        <f>IFERROR(__xludf.DUMMYFUNCTION("""COMPUTED_VALUE"""),20.0)</f>
        <v>20</v>
      </c>
      <c r="G5" s="19" t="s">
        <v>54</v>
      </c>
      <c r="H5" s="11" t="str">
        <f t="shared" si="1"/>
        <v/>
      </c>
      <c r="I5" s="19">
        <v>21.0</v>
      </c>
      <c r="J5" s="19">
        <v>17.0</v>
      </c>
      <c r="K5" s="20" t="b">
        <v>0</v>
      </c>
      <c r="L5" s="19" t="s">
        <v>54</v>
      </c>
      <c r="M5" s="11" t="str">
        <f t="shared" si="2"/>
        <v/>
      </c>
      <c r="N5" s="19">
        <v>17.0</v>
      </c>
      <c r="O5" s="19">
        <v>14.0</v>
      </c>
      <c r="P5" s="19" t="b">
        <v>1</v>
      </c>
      <c r="Q5" s="27" t="s">
        <v>54</v>
      </c>
      <c r="R5" s="11" t="str">
        <f t="shared" si="3"/>
        <v/>
      </c>
      <c r="S5" s="19">
        <v>31.0</v>
      </c>
      <c r="T5" s="19">
        <v>24.0</v>
      </c>
      <c r="U5" s="20" t="b">
        <v>0</v>
      </c>
      <c r="V5" s="19" t="s">
        <v>54</v>
      </c>
      <c r="W5" s="11" t="str">
        <f t="shared" si="4"/>
        <v/>
      </c>
      <c r="X5" s="19">
        <v>10.0</v>
      </c>
      <c r="Y5" s="19">
        <v>7.0</v>
      </c>
      <c r="Z5" s="20" t="b">
        <v>0</v>
      </c>
      <c r="AA5" s="27" t="s">
        <v>54</v>
      </c>
      <c r="AB5" s="11" t="str">
        <f t="shared" si="5"/>
        <v/>
      </c>
      <c r="AC5" s="19">
        <v>20.0</v>
      </c>
      <c r="AD5" s="19">
        <v>14.0</v>
      </c>
      <c r="AE5" s="19" t="b">
        <v>0</v>
      </c>
      <c r="AF5" s="27" t="s">
        <v>54</v>
      </c>
      <c r="AG5" s="11" t="str">
        <f t="shared" si="6"/>
        <v/>
      </c>
      <c r="AH5" s="19">
        <v>24.0</v>
      </c>
      <c r="AI5" s="19">
        <v>20.0</v>
      </c>
      <c r="AJ5" s="20" t="b">
        <v>0</v>
      </c>
      <c r="AK5" s="19" t="s">
        <v>54</v>
      </c>
      <c r="AL5" s="11" t="str">
        <f t="shared" si="7"/>
        <v/>
      </c>
      <c r="AM5" s="19">
        <v>14.0</v>
      </c>
      <c r="AN5" s="19">
        <v>10.0</v>
      </c>
      <c r="AO5" s="20" t="b">
        <v>0</v>
      </c>
      <c r="AP5" s="27" t="s">
        <v>54</v>
      </c>
      <c r="AQ5" s="11" t="str">
        <f t="shared" si="8"/>
        <v/>
      </c>
      <c r="AR5" s="19">
        <v>24.0</v>
      </c>
      <c r="AS5" s="19">
        <v>10.0</v>
      </c>
      <c r="AT5" s="20" t="b">
        <v>0</v>
      </c>
      <c r="AU5" s="27" t="s">
        <v>54</v>
      </c>
      <c r="AV5" s="11" t="str">
        <f t="shared" si="9"/>
        <v/>
      </c>
      <c r="AW5" s="19">
        <v>10.0</v>
      </c>
      <c r="AX5" s="19">
        <v>7.0</v>
      </c>
      <c r="AY5" s="20" t="b">
        <v>0</v>
      </c>
      <c r="AZ5" s="27" t="s">
        <v>54</v>
      </c>
      <c r="BA5" s="11" t="str">
        <f t="shared" si="10"/>
        <v/>
      </c>
      <c r="BB5" s="19">
        <v>23.0</v>
      </c>
      <c r="BC5" s="19">
        <v>20.0</v>
      </c>
      <c r="BD5" s="20" t="b">
        <v>0</v>
      </c>
      <c r="BE5" s="27" t="s">
        <v>55</v>
      </c>
      <c r="BF5" s="11" t="str">
        <f t="shared" si="11"/>
        <v/>
      </c>
      <c r="BG5" s="19">
        <v>7.0</v>
      </c>
      <c r="BH5" s="19">
        <v>10.0</v>
      </c>
      <c r="BI5" s="20" t="b">
        <v>0</v>
      </c>
      <c r="BJ5" s="27" t="s">
        <v>54</v>
      </c>
      <c r="BK5" s="11" t="str">
        <f t="shared" si="12"/>
        <v/>
      </c>
      <c r="BL5" s="19">
        <v>31.0</v>
      </c>
      <c r="BM5" s="19">
        <v>24.0</v>
      </c>
      <c r="BN5" s="20" t="b">
        <v>0</v>
      </c>
      <c r="BO5" s="17"/>
      <c r="BP5" s="17"/>
      <c r="BQ5" s="17"/>
    </row>
    <row r="6">
      <c r="A6" s="16" t="s">
        <v>35</v>
      </c>
      <c r="B6" s="17" t="s">
        <v>56</v>
      </c>
      <c r="C6" s="18" t="str">
        <f>IFERROR(__xludf.DUMMYFUNCTION("""COMPUTED_VALUE"""),"NE")</f>
        <v>NE</v>
      </c>
      <c r="D6" s="11" t="str">
        <f>IFERROR(__xludf.DUMMYFUNCTION("""COMPUTED_VALUE"""),"")</f>
        <v/>
      </c>
      <c r="E6" s="19">
        <f>IFERROR(__xludf.DUMMYFUNCTION("""COMPUTED_VALUE"""),3.0)</f>
        <v>3</v>
      </c>
      <c r="F6" s="20">
        <f>IFERROR(__xludf.DUMMYFUNCTION("""COMPUTED_VALUE"""),20.0)</f>
        <v>20</v>
      </c>
      <c r="G6" s="19" t="s">
        <v>33</v>
      </c>
      <c r="H6" s="11" t="str">
        <f t="shared" si="1"/>
        <v/>
      </c>
      <c r="I6" s="19">
        <v>23.0</v>
      </c>
      <c r="J6" s="19">
        <v>20.0</v>
      </c>
      <c r="K6" s="20" t="b">
        <v>0</v>
      </c>
      <c r="L6" s="19" t="s">
        <v>33</v>
      </c>
      <c r="M6" s="11" t="str">
        <f t="shared" si="2"/>
        <v/>
      </c>
      <c r="N6" s="19">
        <v>31.0</v>
      </c>
      <c r="O6" s="19">
        <v>24.0</v>
      </c>
      <c r="P6" s="19" t="b">
        <v>0</v>
      </c>
      <c r="Q6" s="27" t="s">
        <v>33</v>
      </c>
      <c r="R6" s="11" t="str">
        <f t="shared" si="3"/>
        <v/>
      </c>
      <c r="S6" s="19">
        <v>27.0</v>
      </c>
      <c r="T6" s="19">
        <v>24.0</v>
      </c>
      <c r="U6" s="20" t="b">
        <v>0</v>
      </c>
      <c r="V6" s="19" t="s">
        <v>33</v>
      </c>
      <c r="W6" s="11" t="str">
        <f t="shared" si="4"/>
        <v/>
      </c>
      <c r="X6" s="19">
        <v>21.0</v>
      </c>
      <c r="Y6" s="19">
        <v>17.0</v>
      </c>
      <c r="Z6" s="20" t="b">
        <v>0</v>
      </c>
      <c r="AA6" s="27" t="s">
        <v>28</v>
      </c>
      <c r="AB6" s="11" t="str">
        <f t="shared" si="5"/>
        <v/>
      </c>
      <c r="AC6" s="19">
        <v>10.0</v>
      </c>
      <c r="AD6" s="19">
        <v>17.0</v>
      </c>
      <c r="AE6" s="19" t="b">
        <v>0</v>
      </c>
      <c r="AF6" s="27" t="s">
        <v>28</v>
      </c>
      <c r="AG6" s="11" t="str">
        <f t="shared" si="6"/>
        <v/>
      </c>
      <c r="AH6" s="19">
        <v>20.0</v>
      </c>
      <c r="AI6" s="19">
        <v>23.0</v>
      </c>
      <c r="AJ6" s="20" t="b">
        <v>0</v>
      </c>
      <c r="AK6" s="19" t="s">
        <v>28</v>
      </c>
      <c r="AL6" s="11" t="str">
        <f t="shared" si="7"/>
        <v/>
      </c>
      <c r="AM6" s="19">
        <v>10.0</v>
      </c>
      <c r="AN6" s="19">
        <v>14.0</v>
      </c>
      <c r="AO6" s="20" t="b">
        <v>0</v>
      </c>
      <c r="AP6" s="27" t="s">
        <v>28</v>
      </c>
      <c r="AQ6" s="11" t="str">
        <f t="shared" si="8"/>
        <v/>
      </c>
      <c r="AR6" s="19">
        <v>21.0</v>
      </c>
      <c r="AS6" s="19">
        <v>23.0</v>
      </c>
      <c r="AT6" s="20" t="b">
        <v>0</v>
      </c>
      <c r="AU6" s="27" t="s">
        <v>28</v>
      </c>
      <c r="AV6" s="11" t="str">
        <f t="shared" si="9"/>
        <v/>
      </c>
      <c r="AW6" s="19">
        <v>10.0</v>
      </c>
      <c r="AX6" s="19">
        <v>14.0</v>
      </c>
      <c r="AY6" s="20" t="b">
        <v>0</v>
      </c>
      <c r="AZ6" s="27" t="s">
        <v>28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33</v>
      </c>
      <c r="BF6" s="11" t="str">
        <f t="shared" si="11"/>
        <v/>
      </c>
      <c r="BG6" s="19">
        <v>10.0</v>
      </c>
      <c r="BH6" s="19">
        <v>7.0</v>
      </c>
      <c r="BI6" s="20" t="b">
        <v>0</v>
      </c>
      <c r="BJ6" s="27" t="s">
        <v>33</v>
      </c>
      <c r="BK6" s="11" t="str">
        <f t="shared" si="12"/>
        <v/>
      </c>
      <c r="BL6" s="19">
        <v>14.0</v>
      </c>
      <c r="BM6" s="19">
        <v>10.0</v>
      </c>
      <c r="BN6" s="20" t="b">
        <v>0</v>
      </c>
      <c r="BO6" s="17"/>
      <c r="BP6" s="17"/>
      <c r="BQ6" s="17"/>
    </row>
    <row r="7">
      <c r="A7" s="16" t="s">
        <v>35</v>
      </c>
      <c r="B7" s="17" t="s">
        <v>60</v>
      </c>
      <c r="C7" s="18" t="str">
        <f>IFERROR(__xludf.DUMMYFUNCTION("""COMPUTED_VALUE"""),"GB")</f>
        <v>GB</v>
      </c>
      <c r="D7" s="11" t="str">
        <f>IFERROR(__xludf.DUMMYFUNCTION("""COMPUTED_VALUE"""),"")</f>
        <v/>
      </c>
      <c r="E7" s="19">
        <f>IFERROR(__xludf.DUMMYFUNCTION("""COMPUTED_VALUE"""),20.0)</f>
        <v>20</v>
      </c>
      <c r="F7" s="20">
        <f>IFERROR(__xludf.DUMMYFUNCTION("""COMPUTED_VALUE"""),17.0)</f>
        <v>17</v>
      </c>
      <c r="G7" s="19" t="s">
        <v>26</v>
      </c>
      <c r="H7" s="11" t="str">
        <f t="shared" si="1"/>
        <v/>
      </c>
      <c r="I7" s="19">
        <v>21.0</v>
      </c>
      <c r="J7" s="19">
        <v>17.0</v>
      </c>
      <c r="K7" s="20" t="b">
        <v>0</v>
      </c>
      <c r="L7" s="19" t="s">
        <v>58</v>
      </c>
      <c r="M7" s="11" t="str">
        <f t="shared" si="2"/>
        <v/>
      </c>
      <c r="N7" s="19">
        <v>10.0</v>
      </c>
      <c r="O7" s="19">
        <v>14.0</v>
      </c>
      <c r="P7" s="19" t="b">
        <v>0</v>
      </c>
      <c r="Q7" s="27" t="s">
        <v>26</v>
      </c>
      <c r="R7" s="11" t="str">
        <f t="shared" si="3"/>
        <v/>
      </c>
      <c r="S7" s="19">
        <v>24.0</v>
      </c>
      <c r="T7" s="19">
        <v>21.0</v>
      </c>
      <c r="U7" s="20" t="b">
        <v>0</v>
      </c>
      <c r="V7" s="19" t="s">
        <v>58</v>
      </c>
      <c r="W7" s="11" t="str">
        <f t="shared" si="4"/>
        <v/>
      </c>
      <c r="X7" s="19">
        <v>21.0</v>
      </c>
      <c r="Y7" s="19">
        <v>24.0</v>
      </c>
      <c r="Z7" s="20" t="b">
        <v>0</v>
      </c>
      <c r="AA7" s="27" t="s">
        <v>26</v>
      </c>
      <c r="AB7" s="11" t="str">
        <f t="shared" si="5"/>
        <v/>
      </c>
      <c r="AC7" s="19">
        <v>31.0</v>
      </c>
      <c r="AD7" s="19">
        <v>14.0</v>
      </c>
      <c r="AE7" s="19" t="b">
        <v>0</v>
      </c>
      <c r="AF7" s="27" t="s">
        <v>26</v>
      </c>
      <c r="AG7" s="11" t="str">
        <f t="shared" si="6"/>
        <v/>
      </c>
      <c r="AH7" s="19">
        <v>14.0</v>
      </c>
      <c r="AI7" s="19">
        <v>7.0</v>
      </c>
      <c r="AJ7" s="20" t="b">
        <v>0</v>
      </c>
      <c r="AK7" s="19" t="s">
        <v>26</v>
      </c>
      <c r="AL7" s="11" t="str">
        <f t="shared" si="7"/>
        <v/>
      </c>
      <c r="AM7" s="19">
        <v>21.0</v>
      </c>
      <c r="AN7" s="19">
        <v>17.0</v>
      </c>
      <c r="AO7" s="20" t="b">
        <v>0</v>
      </c>
      <c r="AP7" s="27" t="s">
        <v>26</v>
      </c>
      <c r="AQ7" s="11" t="str">
        <f t="shared" si="8"/>
        <v/>
      </c>
      <c r="AR7" s="19">
        <v>20.0</v>
      </c>
      <c r="AS7" s="19">
        <v>17.0</v>
      </c>
      <c r="AT7" s="20" t="b">
        <v>0</v>
      </c>
      <c r="AU7" s="27" t="s">
        <v>26</v>
      </c>
      <c r="AV7" s="11" t="str">
        <f t="shared" si="9"/>
        <v/>
      </c>
      <c r="AW7" s="19">
        <v>10.0</v>
      </c>
      <c r="AX7" s="19">
        <v>7.0</v>
      </c>
      <c r="AY7" s="20" t="b">
        <v>0</v>
      </c>
      <c r="AZ7" s="27" t="s">
        <v>26</v>
      </c>
      <c r="BA7" s="11" t="str">
        <f t="shared" si="10"/>
        <v/>
      </c>
      <c r="BB7" s="19">
        <v>23.0</v>
      </c>
      <c r="BC7" s="19">
        <v>20.0</v>
      </c>
      <c r="BD7" s="20" t="b">
        <v>0</v>
      </c>
      <c r="BE7" s="27" t="s">
        <v>58</v>
      </c>
      <c r="BF7" s="11" t="str">
        <f t="shared" si="11"/>
        <v/>
      </c>
      <c r="BG7" s="19">
        <v>10.0</v>
      </c>
      <c r="BH7" s="19">
        <v>14.0</v>
      </c>
      <c r="BI7" s="20" t="b">
        <v>0</v>
      </c>
      <c r="BJ7" s="27" t="s">
        <v>26</v>
      </c>
      <c r="BK7" s="11" t="str">
        <f t="shared" si="12"/>
        <v/>
      </c>
      <c r="BL7" s="19">
        <v>28.0</v>
      </c>
      <c r="BM7" s="19">
        <v>21.0</v>
      </c>
      <c r="BN7" s="20" t="b">
        <v>1</v>
      </c>
      <c r="BO7" s="17"/>
      <c r="BP7" s="17"/>
      <c r="BQ7" s="17"/>
    </row>
    <row r="8">
      <c r="A8" s="16" t="s">
        <v>35</v>
      </c>
      <c r="B8" s="17" t="s">
        <v>63</v>
      </c>
      <c r="C8" s="18" t="str">
        <f>IFERROR(__xludf.DUMMYFUNCTION("""COMPUTED_VALUE"""),"CLE")</f>
        <v>CLE</v>
      </c>
      <c r="D8" s="11" t="str">
        <f>IFERROR(__xludf.DUMMYFUNCTION("""COMPUTED_VALUE"""),"")</f>
        <v/>
      </c>
      <c r="E8" s="19">
        <f>IFERROR(__xludf.DUMMYFUNCTION("""COMPUTED_VALUE"""),23.0)</f>
        <v>23</v>
      </c>
      <c r="F8" s="20">
        <f>IFERROR(__xludf.DUMMYFUNCTION("""COMPUTED_VALUE"""),19.0)</f>
        <v>19</v>
      </c>
      <c r="G8" s="19" t="s">
        <v>48</v>
      </c>
      <c r="H8" s="11" t="str">
        <f t="shared" si="1"/>
        <v/>
      </c>
      <c r="I8" s="19">
        <v>24.0</v>
      </c>
      <c r="J8" s="19">
        <v>27.0</v>
      </c>
      <c r="K8" s="20" t="b">
        <v>0</v>
      </c>
      <c r="L8" s="19" t="s">
        <v>48</v>
      </c>
      <c r="M8" s="11" t="str">
        <f t="shared" si="2"/>
        <v/>
      </c>
      <c r="N8" s="19">
        <v>20.0</v>
      </c>
      <c r="O8" s="19">
        <v>23.0</v>
      </c>
      <c r="P8" s="19" t="b">
        <v>0</v>
      </c>
      <c r="Q8" s="27" t="s">
        <v>48</v>
      </c>
      <c r="R8" s="11" t="str">
        <f t="shared" si="3"/>
        <v/>
      </c>
      <c r="S8" s="19">
        <v>21.0</v>
      </c>
      <c r="T8" s="19">
        <v>24.0</v>
      </c>
      <c r="U8" s="20" t="b">
        <v>0</v>
      </c>
      <c r="V8" s="19" t="s">
        <v>34</v>
      </c>
      <c r="W8" s="11" t="str">
        <f t="shared" si="4"/>
        <v/>
      </c>
      <c r="X8" s="19">
        <v>27.0</v>
      </c>
      <c r="Y8" s="19">
        <v>24.0</v>
      </c>
      <c r="Z8" s="20" t="b">
        <v>0</v>
      </c>
      <c r="AA8" s="27" t="s">
        <v>48</v>
      </c>
      <c r="AB8" s="11" t="str">
        <f t="shared" si="5"/>
        <v/>
      </c>
      <c r="AC8" s="19">
        <v>24.0</v>
      </c>
      <c r="AD8" s="19">
        <v>31.0</v>
      </c>
      <c r="AE8" s="19" t="b">
        <v>0</v>
      </c>
      <c r="AF8" s="27" t="s">
        <v>34</v>
      </c>
      <c r="AG8" s="11" t="str">
        <f t="shared" si="6"/>
        <v/>
      </c>
      <c r="AH8" s="19">
        <v>21.0</v>
      </c>
      <c r="AI8" s="19">
        <v>17.0</v>
      </c>
      <c r="AJ8" s="20" t="b">
        <v>0</v>
      </c>
      <c r="AK8" s="19" t="s">
        <v>48</v>
      </c>
      <c r="AL8" s="11" t="str">
        <f t="shared" si="7"/>
        <v/>
      </c>
      <c r="AM8" s="19">
        <v>7.0</v>
      </c>
      <c r="AN8" s="19">
        <v>10.0</v>
      </c>
      <c r="AO8" s="20" t="b">
        <v>0</v>
      </c>
      <c r="AP8" s="27" t="s">
        <v>48</v>
      </c>
      <c r="AQ8" s="11" t="str">
        <f t="shared" si="8"/>
        <v/>
      </c>
      <c r="AR8" s="19">
        <v>13.0</v>
      </c>
      <c r="AS8" s="19">
        <v>20.0</v>
      </c>
      <c r="AT8" s="20" t="b">
        <v>0</v>
      </c>
      <c r="AU8" s="27" t="s">
        <v>48</v>
      </c>
      <c r="AV8" s="11" t="str">
        <f t="shared" si="9"/>
        <v/>
      </c>
      <c r="AW8" s="19">
        <v>7.0</v>
      </c>
      <c r="AX8" s="19">
        <v>10.0</v>
      </c>
      <c r="AY8" s="20" t="b">
        <v>0</v>
      </c>
      <c r="AZ8" s="27" t="s">
        <v>48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34</v>
      </c>
      <c r="BF8" s="11" t="str">
        <f t="shared" si="11"/>
        <v/>
      </c>
      <c r="BG8" s="19">
        <v>21.0</v>
      </c>
      <c r="BH8" s="19">
        <v>17.0</v>
      </c>
      <c r="BI8" s="20" t="b">
        <v>0</v>
      </c>
      <c r="BJ8" s="27" t="s">
        <v>48</v>
      </c>
      <c r="BK8" s="11" t="str">
        <f t="shared" si="12"/>
        <v/>
      </c>
      <c r="BL8" s="19">
        <v>10.0</v>
      </c>
      <c r="BM8" s="19">
        <v>14.0</v>
      </c>
      <c r="BN8" s="20" t="b">
        <v>0</v>
      </c>
      <c r="BO8" s="19"/>
      <c r="BP8" s="19"/>
      <c r="BQ8" s="19"/>
    </row>
    <row r="9">
      <c r="A9" s="16" t="s">
        <v>35</v>
      </c>
      <c r="B9" s="17" t="s">
        <v>65</v>
      </c>
      <c r="C9" s="18" t="str">
        <f>IFERROR(__xludf.DUMMYFUNCTION("""COMPUTED_VALUE"""),"NO")</f>
        <v>NO</v>
      </c>
      <c r="D9" s="11" t="str">
        <f>IFERROR(__xludf.DUMMYFUNCTION("""COMPUTED_VALUE"""),"")</f>
        <v/>
      </c>
      <c r="E9" s="19">
        <f>IFERROR(__xludf.DUMMYFUNCTION("""COMPUTED_VALUE"""),24.0)</f>
        <v>24</v>
      </c>
      <c r="F9" s="20">
        <f>IFERROR(__xludf.DUMMYFUNCTION("""COMPUTED_VALUE"""),17.0)</f>
        <v>17</v>
      </c>
      <c r="G9" s="19" t="s">
        <v>61</v>
      </c>
      <c r="H9" s="11" t="str">
        <f t="shared" si="1"/>
        <v/>
      </c>
      <c r="I9" s="19">
        <v>24.0</v>
      </c>
      <c r="J9" s="19">
        <v>27.0</v>
      </c>
      <c r="K9" s="20" t="b">
        <v>0</v>
      </c>
      <c r="L9" s="19" t="s">
        <v>61</v>
      </c>
      <c r="M9" s="11" t="str">
        <f t="shared" si="2"/>
        <v/>
      </c>
      <c r="N9" s="19">
        <v>24.0</v>
      </c>
      <c r="O9" s="19">
        <v>31.0</v>
      </c>
      <c r="P9" s="19" t="b">
        <v>0</v>
      </c>
      <c r="Q9" s="27" t="s">
        <v>61</v>
      </c>
      <c r="R9" s="11" t="str">
        <f t="shared" si="3"/>
        <v/>
      </c>
      <c r="S9" s="19">
        <v>21.0</v>
      </c>
      <c r="T9" s="19">
        <v>28.0</v>
      </c>
      <c r="U9" s="20" t="b">
        <v>1</v>
      </c>
      <c r="V9" s="19" t="s">
        <v>61</v>
      </c>
      <c r="W9" s="11" t="str">
        <f t="shared" si="4"/>
        <v/>
      </c>
      <c r="X9" s="19">
        <v>24.0</v>
      </c>
      <c r="Y9" s="19">
        <v>27.0</v>
      </c>
      <c r="Z9" s="20" t="b">
        <v>0</v>
      </c>
      <c r="AA9" s="27" t="s">
        <v>61</v>
      </c>
      <c r="AB9" s="11" t="str">
        <f t="shared" si="5"/>
        <v/>
      </c>
      <c r="AC9" s="19">
        <v>21.0</v>
      </c>
      <c r="AD9" s="19">
        <v>24.0</v>
      </c>
      <c r="AE9" s="19" t="b">
        <v>0</v>
      </c>
      <c r="AF9" s="27" t="s">
        <v>61</v>
      </c>
      <c r="AG9" s="11" t="str">
        <f t="shared" si="6"/>
        <v/>
      </c>
      <c r="AH9" s="19">
        <v>10.0</v>
      </c>
      <c r="AI9" s="19">
        <v>31.0</v>
      </c>
      <c r="AJ9" s="20" t="b">
        <v>0</v>
      </c>
      <c r="AK9" s="19" t="s">
        <v>61</v>
      </c>
      <c r="AL9" s="11" t="str">
        <f t="shared" si="7"/>
        <v/>
      </c>
      <c r="AM9" s="19">
        <v>17.0</v>
      </c>
      <c r="AN9" s="19">
        <v>21.0</v>
      </c>
      <c r="AO9" s="20" t="b">
        <v>0</v>
      </c>
      <c r="AP9" s="27" t="s">
        <v>61</v>
      </c>
      <c r="AQ9" s="11" t="str">
        <f t="shared" si="8"/>
        <v/>
      </c>
      <c r="AR9" s="19">
        <v>20.0</v>
      </c>
      <c r="AS9" s="19">
        <v>24.0</v>
      </c>
      <c r="AT9" s="20" t="b">
        <v>0</v>
      </c>
      <c r="AU9" s="27" t="s">
        <v>61</v>
      </c>
      <c r="AV9" s="11" t="str">
        <f t="shared" si="9"/>
        <v/>
      </c>
      <c r="AW9" s="19">
        <v>14.0</v>
      </c>
      <c r="AX9" s="19">
        <v>17.0</v>
      </c>
      <c r="AY9" s="20" t="b">
        <v>0</v>
      </c>
      <c r="AZ9" s="27" t="s">
        <v>61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61</v>
      </c>
      <c r="BF9" s="11" t="str">
        <f t="shared" si="11"/>
        <v/>
      </c>
      <c r="BG9" s="19">
        <v>17.0</v>
      </c>
      <c r="BH9" s="19">
        <v>21.0</v>
      </c>
      <c r="BI9" s="20" t="b">
        <v>0</v>
      </c>
      <c r="BJ9" s="27" t="s">
        <v>61</v>
      </c>
      <c r="BK9" s="11" t="str">
        <f t="shared" si="12"/>
        <v/>
      </c>
      <c r="BL9" s="19">
        <v>14.0</v>
      </c>
      <c r="BM9" s="19">
        <v>24.0</v>
      </c>
      <c r="BN9" s="20" t="b">
        <v>0</v>
      </c>
      <c r="BO9" s="17"/>
      <c r="BP9" s="17"/>
      <c r="BQ9" s="17"/>
    </row>
    <row r="10">
      <c r="A10" s="16" t="s">
        <v>35</v>
      </c>
      <c r="B10" s="17" t="s">
        <v>68</v>
      </c>
      <c r="C10" s="18" t="str">
        <f>IFERROR(__xludf.DUMMYFUNCTION("""COMPUTED_VALUE"""),"CIN")</f>
        <v>CIN</v>
      </c>
      <c r="D10" s="11" t="str">
        <f>IFERROR(__xludf.DUMMYFUNCTION("""COMPUTED_VALUE"""),"")</f>
        <v/>
      </c>
      <c r="E10" s="19">
        <f>IFERROR(__xludf.DUMMYFUNCTION("""COMPUTED_VALUE"""),20.0)</f>
        <v>20</v>
      </c>
      <c r="F10" s="20">
        <f>IFERROR(__xludf.DUMMYFUNCTION("""COMPUTED_VALUE"""),6.0)</f>
        <v>6</v>
      </c>
      <c r="G10" s="19" t="s">
        <v>69</v>
      </c>
      <c r="H10" s="11" t="str">
        <f t="shared" si="1"/>
        <v/>
      </c>
      <c r="I10" s="19">
        <v>14.0</v>
      </c>
      <c r="J10" s="19">
        <v>17.0</v>
      </c>
      <c r="K10" s="20" t="b">
        <v>0</v>
      </c>
      <c r="L10" s="19" t="s">
        <v>69</v>
      </c>
      <c r="M10" s="11" t="str">
        <f t="shared" si="2"/>
        <v/>
      </c>
      <c r="N10" s="19">
        <v>14.0</v>
      </c>
      <c r="O10" s="19">
        <v>17.0</v>
      </c>
      <c r="P10" s="19" t="b">
        <v>0</v>
      </c>
      <c r="Q10" s="27" t="s">
        <v>69</v>
      </c>
      <c r="R10" s="11" t="str">
        <f t="shared" si="3"/>
        <v/>
      </c>
      <c r="S10" s="19">
        <v>21.0</v>
      </c>
      <c r="T10" s="19">
        <v>28.0</v>
      </c>
      <c r="U10" s="20" t="b">
        <v>0</v>
      </c>
      <c r="V10" s="19" t="s">
        <v>46</v>
      </c>
      <c r="W10" s="11" t="str">
        <f t="shared" si="4"/>
        <v/>
      </c>
      <c r="X10" s="19">
        <v>17.0</v>
      </c>
      <c r="Y10" s="19">
        <v>14.0</v>
      </c>
      <c r="Z10" s="20" t="b">
        <v>1</v>
      </c>
      <c r="AA10" s="27" t="s">
        <v>46</v>
      </c>
      <c r="AB10" s="11" t="str">
        <f t="shared" si="5"/>
        <v/>
      </c>
      <c r="AC10" s="19">
        <v>14.0</v>
      </c>
      <c r="AD10" s="19">
        <v>10.0</v>
      </c>
      <c r="AE10" s="19" t="b">
        <v>1</v>
      </c>
      <c r="AF10" s="27" t="s">
        <v>46</v>
      </c>
      <c r="AG10" s="11" t="str">
        <f t="shared" si="6"/>
        <v/>
      </c>
      <c r="AH10" s="19">
        <v>17.0</v>
      </c>
      <c r="AI10" s="19">
        <v>14.0</v>
      </c>
      <c r="AJ10" s="20" t="b">
        <v>0</v>
      </c>
      <c r="AK10" s="19" t="s">
        <v>46</v>
      </c>
      <c r="AL10" s="11" t="str">
        <f t="shared" si="7"/>
        <v/>
      </c>
      <c r="AM10" s="19">
        <v>14.0</v>
      </c>
      <c r="AN10" s="19">
        <v>10.0</v>
      </c>
      <c r="AO10" s="20" t="b">
        <v>0</v>
      </c>
      <c r="AP10" s="27" t="s">
        <v>69</v>
      </c>
      <c r="AQ10" s="11" t="str">
        <f t="shared" si="8"/>
        <v/>
      </c>
      <c r="AR10" s="19">
        <v>23.0</v>
      </c>
      <c r="AS10" s="19">
        <v>27.0</v>
      </c>
      <c r="AT10" s="20" t="b">
        <v>0</v>
      </c>
      <c r="AU10" s="27" t="s">
        <v>46</v>
      </c>
      <c r="AV10" s="11" t="str">
        <f t="shared" si="9"/>
        <v/>
      </c>
      <c r="AW10" s="19">
        <v>21.0</v>
      </c>
      <c r="AX10" s="19">
        <v>20.0</v>
      </c>
      <c r="AY10" s="20" t="b">
        <v>0</v>
      </c>
      <c r="AZ10" s="27" t="s">
        <v>69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69</v>
      </c>
      <c r="BF10" s="11" t="str">
        <f t="shared" si="11"/>
        <v/>
      </c>
      <c r="BG10" s="19">
        <v>17.0</v>
      </c>
      <c r="BH10" s="19">
        <v>20.0</v>
      </c>
      <c r="BI10" s="20" t="b">
        <v>0</v>
      </c>
      <c r="BJ10" s="27" t="s">
        <v>46</v>
      </c>
      <c r="BK10" s="11" t="str">
        <f t="shared" si="12"/>
        <v/>
      </c>
      <c r="BL10" s="19">
        <v>17.0</v>
      </c>
      <c r="BM10" s="19">
        <v>14.0</v>
      </c>
      <c r="BN10" s="20" t="b">
        <v>0</v>
      </c>
      <c r="BO10" s="17"/>
      <c r="BP10" s="17"/>
      <c r="BQ10" s="17"/>
    </row>
    <row r="11">
      <c r="A11" s="16" t="s">
        <v>72</v>
      </c>
      <c r="B11" s="17" t="s">
        <v>73</v>
      </c>
      <c r="C11" s="18" t="str">
        <f>IFERROR(__xludf.DUMMYFUNCTION("""COMPUTED_VALUE"""),"DEN")</f>
        <v>DEN</v>
      </c>
      <c r="D11" s="11" t="str">
        <f>IFERROR(__xludf.DUMMYFUNCTION("""COMPUTED_VALUE"""),"")</f>
        <v/>
      </c>
      <c r="E11" s="19">
        <f>IFERROR(__xludf.DUMMYFUNCTION("""COMPUTED_VALUE"""),13.0)</f>
        <v>13</v>
      </c>
      <c r="F11" s="20">
        <f>IFERROR(__xludf.DUMMYFUNCTION("""COMPUTED_VALUE"""),20.0)</f>
        <v>20</v>
      </c>
      <c r="G11" s="19" t="s">
        <v>74</v>
      </c>
      <c r="H11" s="11" t="str">
        <f t="shared" si="1"/>
        <v/>
      </c>
      <c r="I11" s="19">
        <v>20.0</v>
      </c>
      <c r="J11" s="19">
        <v>23.0</v>
      </c>
      <c r="K11" s="20" t="b">
        <v>0</v>
      </c>
      <c r="L11" s="19" t="s">
        <v>71</v>
      </c>
      <c r="M11" s="11" t="str">
        <f t="shared" si="2"/>
        <v/>
      </c>
      <c r="N11" s="19">
        <v>31.0</v>
      </c>
      <c r="O11" s="19">
        <v>24.0</v>
      </c>
      <c r="P11" s="19" t="b">
        <v>0</v>
      </c>
      <c r="Q11" s="27" t="s">
        <v>74</v>
      </c>
      <c r="R11" s="11" t="str">
        <f t="shared" si="3"/>
        <v/>
      </c>
      <c r="S11" s="19">
        <v>20.0</v>
      </c>
      <c r="T11" s="19">
        <v>23.0</v>
      </c>
      <c r="U11" s="20" t="b">
        <v>0</v>
      </c>
      <c r="V11" s="19" t="s">
        <v>71</v>
      </c>
      <c r="W11" s="11" t="str">
        <f t="shared" si="4"/>
        <v/>
      </c>
      <c r="X11" s="19">
        <v>14.0</v>
      </c>
      <c r="Y11" s="19">
        <v>10.0</v>
      </c>
      <c r="Z11" s="20" t="b">
        <v>0</v>
      </c>
      <c r="AA11" s="27" t="s">
        <v>74</v>
      </c>
      <c r="AB11" s="11" t="str">
        <f t="shared" si="5"/>
        <v/>
      </c>
      <c r="AC11" s="19">
        <v>14.0</v>
      </c>
      <c r="AD11" s="19">
        <v>17.0</v>
      </c>
      <c r="AE11" s="19" t="b">
        <v>0</v>
      </c>
      <c r="AF11" s="27" t="s">
        <v>74</v>
      </c>
      <c r="AG11" s="11" t="str">
        <f t="shared" si="6"/>
        <v/>
      </c>
      <c r="AH11" s="19">
        <v>14.0</v>
      </c>
      <c r="AI11" s="19">
        <v>17.0</v>
      </c>
      <c r="AJ11" s="20" t="b">
        <v>0</v>
      </c>
      <c r="AK11" s="19" t="s">
        <v>74</v>
      </c>
      <c r="AL11" s="11" t="str">
        <f t="shared" si="7"/>
        <v/>
      </c>
      <c r="AM11" s="19">
        <v>21.0</v>
      </c>
      <c r="AN11" s="19">
        <v>24.0</v>
      </c>
      <c r="AO11" s="20" t="b">
        <v>0</v>
      </c>
      <c r="AP11" s="27" t="s">
        <v>74</v>
      </c>
      <c r="AQ11" s="11" t="str">
        <f t="shared" si="8"/>
        <v/>
      </c>
      <c r="AR11" s="19">
        <v>17.0</v>
      </c>
      <c r="AS11" s="19">
        <v>23.0</v>
      </c>
      <c r="AT11" s="20" t="b">
        <v>0</v>
      </c>
      <c r="AU11" s="27" t="s">
        <v>74</v>
      </c>
      <c r="AV11" s="11" t="str">
        <f t="shared" si="9"/>
        <v/>
      </c>
      <c r="AW11" s="19">
        <v>14.0</v>
      </c>
      <c r="AX11" s="19">
        <v>21.0</v>
      </c>
      <c r="AY11" s="20" t="b">
        <v>1</v>
      </c>
      <c r="AZ11" s="27" t="s">
        <v>74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74</v>
      </c>
      <c r="BF11" s="11" t="str">
        <f t="shared" si="11"/>
        <v/>
      </c>
      <c r="BG11" s="19">
        <v>17.0</v>
      </c>
      <c r="BH11" s="19">
        <v>21.0</v>
      </c>
      <c r="BI11" s="20" t="b">
        <v>1</v>
      </c>
      <c r="BJ11" s="27" t="s">
        <v>71</v>
      </c>
      <c r="BK11" s="11" t="str">
        <f t="shared" si="12"/>
        <v/>
      </c>
      <c r="BL11" s="19">
        <v>21.0</v>
      </c>
      <c r="BM11" s="19">
        <v>17.0</v>
      </c>
      <c r="BN11" s="20" t="b">
        <v>0</v>
      </c>
      <c r="BO11" s="19"/>
      <c r="BP11" s="19"/>
      <c r="BQ11" s="19"/>
    </row>
    <row r="12">
      <c r="A12" s="16" t="s">
        <v>72</v>
      </c>
      <c r="B12" s="30" t="s">
        <v>78</v>
      </c>
      <c r="C12" s="18" t="str">
        <f>IFERROR(__xludf.DUMMYFUNCTION("""COMPUTED_VALUE"""),"LV")</f>
        <v>LV</v>
      </c>
      <c r="D12" s="11" t="str">
        <f>IFERROR(__xludf.DUMMYFUNCTION("""COMPUTED_VALUE"""),"")</f>
        <v/>
      </c>
      <c r="E12" s="19">
        <f>IFERROR(__xludf.DUMMYFUNCTION("""COMPUTED_VALUE"""),26.0)</f>
        <v>26</v>
      </c>
      <c r="F12" s="20">
        <f>IFERROR(__xludf.DUMMYFUNCTION("""COMPUTED_VALUE"""),14.0)</f>
        <v>14</v>
      </c>
      <c r="G12" s="19" t="s">
        <v>50</v>
      </c>
      <c r="H12" s="11" t="str">
        <f t="shared" si="1"/>
        <v/>
      </c>
      <c r="I12" s="19">
        <v>21.0</v>
      </c>
      <c r="J12" s="19">
        <v>24.0</v>
      </c>
      <c r="K12" s="20" t="b">
        <v>0</v>
      </c>
      <c r="L12" s="19" t="s">
        <v>50</v>
      </c>
      <c r="M12" s="11" t="str">
        <f t="shared" si="2"/>
        <v/>
      </c>
      <c r="N12" s="19">
        <v>17.0</v>
      </c>
      <c r="O12" s="19">
        <v>21.0</v>
      </c>
      <c r="P12" s="19" t="b">
        <v>0</v>
      </c>
      <c r="Q12" s="27" t="s">
        <v>79</v>
      </c>
      <c r="R12" s="11" t="str">
        <f t="shared" si="3"/>
        <v/>
      </c>
      <c r="S12" s="19">
        <v>31.0</v>
      </c>
      <c r="T12" s="19">
        <v>24.0</v>
      </c>
      <c r="U12" s="20" t="b">
        <v>0</v>
      </c>
      <c r="V12" s="19" t="s">
        <v>50</v>
      </c>
      <c r="W12" s="11" t="str">
        <f t="shared" si="4"/>
        <v/>
      </c>
      <c r="X12" s="19">
        <v>14.0</v>
      </c>
      <c r="Y12" s="19">
        <v>17.0</v>
      </c>
      <c r="Z12" s="20" t="b">
        <v>0</v>
      </c>
      <c r="AA12" s="27" t="s">
        <v>50</v>
      </c>
      <c r="AB12" s="11" t="str">
        <f t="shared" si="5"/>
        <v/>
      </c>
      <c r="AC12" s="19">
        <v>17.0</v>
      </c>
      <c r="AD12" s="19">
        <v>21.0</v>
      </c>
      <c r="AE12" s="19" t="b">
        <v>0</v>
      </c>
      <c r="AF12" s="27" t="s">
        <v>50</v>
      </c>
      <c r="AG12" s="11" t="str">
        <f t="shared" si="6"/>
        <v/>
      </c>
      <c r="AH12" s="19">
        <v>14.0</v>
      </c>
      <c r="AI12" s="19">
        <v>17.0</v>
      </c>
      <c r="AJ12" s="20" t="b">
        <v>0</v>
      </c>
      <c r="AK12" s="19" t="s">
        <v>50</v>
      </c>
      <c r="AL12" s="11" t="str">
        <f t="shared" si="7"/>
        <v/>
      </c>
      <c r="AM12" s="19">
        <v>21.0</v>
      </c>
      <c r="AN12" s="19">
        <v>28.0</v>
      </c>
      <c r="AO12" s="20" t="b">
        <v>0</v>
      </c>
      <c r="AP12" s="27" t="s">
        <v>50</v>
      </c>
      <c r="AQ12" s="11" t="str">
        <f t="shared" si="8"/>
        <v/>
      </c>
      <c r="AR12" s="19">
        <v>17.0</v>
      </c>
      <c r="AS12" s="19">
        <v>27.0</v>
      </c>
      <c r="AT12" s="20" t="b">
        <v>0</v>
      </c>
      <c r="AU12" s="27" t="s">
        <v>50</v>
      </c>
      <c r="AV12" s="11" t="str">
        <f t="shared" si="9"/>
        <v/>
      </c>
      <c r="AW12" s="19">
        <v>10.0</v>
      </c>
      <c r="AX12" s="19">
        <v>14.0</v>
      </c>
      <c r="AY12" s="20" t="b">
        <v>0</v>
      </c>
      <c r="AZ12" s="27" t="s">
        <v>50</v>
      </c>
      <c r="BA12" s="11" t="str">
        <f t="shared" si="10"/>
        <v/>
      </c>
      <c r="BB12" s="19">
        <v>20.0</v>
      </c>
      <c r="BC12" s="19">
        <v>23.0</v>
      </c>
      <c r="BD12" s="20" t="b">
        <v>0</v>
      </c>
      <c r="BE12" s="27" t="s">
        <v>50</v>
      </c>
      <c r="BF12" s="11" t="str">
        <f t="shared" si="11"/>
        <v/>
      </c>
      <c r="BG12" s="19">
        <v>24.0</v>
      </c>
      <c r="BH12" s="19">
        <v>27.0</v>
      </c>
      <c r="BI12" s="20" t="b">
        <v>0</v>
      </c>
      <c r="BJ12" s="27" t="s">
        <v>50</v>
      </c>
      <c r="BK12" s="11" t="str">
        <f t="shared" si="12"/>
        <v/>
      </c>
      <c r="BL12" s="19">
        <v>14.0</v>
      </c>
      <c r="BM12" s="19">
        <v>17.0</v>
      </c>
      <c r="BN12" s="20" t="b">
        <v>0</v>
      </c>
      <c r="BO12" s="17"/>
      <c r="BP12" s="17"/>
      <c r="BQ12" s="17"/>
    </row>
    <row r="13">
      <c r="A13" s="16" t="s">
        <v>80</v>
      </c>
      <c r="B13" s="30" t="s">
        <v>81</v>
      </c>
      <c r="C13" s="18" t="str">
        <f>IFERROR(__xludf.DUMMYFUNCTION("""COMPUTED_VALUE"""),"DAL")</f>
        <v>DAL</v>
      </c>
      <c r="D13" s="11" t="str">
        <f>IFERROR(__xludf.DUMMYFUNCTION("""COMPUTED_VALUE"""),"")</f>
        <v/>
      </c>
      <c r="E13" s="19">
        <f>IFERROR(__xludf.DUMMYFUNCTION("""COMPUTED_VALUE"""),20.0)</f>
        <v>20</v>
      </c>
      <c r="F13" s="20">
        <f>IFERROR(__xludf.DUMMYFUNCTION("""COMPUTED_VALUE"""),37.0)</f>
        <v>37</v>
      </c>
      <c r="G13" s="19" t="s">
        <v>84</v>
      </c>
      <c r="H13" s="11" t="str">
        <f t="shared" si="1"/>
        <v/>
      </c>
      <c r="I13" s="19">
        <v>14.0</v>
      </c>
      <c r="J13" s="19">
        <v>17.0</v>
      </c>
      <c r="K13" s="20" t="b">
        <v>0</v>
      </c>
      <c r="L13" s="19" t="s">
        <v>85</v>
      </c>
      <c r="M13" s="11" t="str">
        <f t="shared" si="2"/>
        <v/>
      </c>
      <c r="N13" s="19">
        <v>27.0</v>
      </c>
      <c r="O13" s="19">
        <v>24.0</v>
      </c>
      <c r="P13" s="19" t="b">
        <v>0</v>
      </c>
      <c r="Q13" s="27" t="s">
        <v>85</v>
      </c>
      <c r="R13" s="11" t="str">
        <f t="shared" si="3"/>
        <v/>
      </c>
      <c r="S13" s="19">
        <v>14.0</v>
      </c>
      <c r="T13" s="19">
        <v>10.0</v>
      </c>
      <c r="U13" s="20" t="b">
        <v>0</v>
      </c>
      <c r="V13" s="19" t="s">
        <v>84</v>
      </c>
      <c r="W13" s="11" t="str">
        <f t="shared" si="4"/>
        <v/>
      </c>
      <c r="X13" s="19">
        <v>17.0</v>
      </c>
      <c r="Y13" s="19">
        <v>21.0</v>
      </c>
      <c r="Z13" s="20" t="b">
        <v>0</v>
      </c>
      <c r="AA13" s="27" t="s">
        <v>84</v>
      </c>
      <c r="AB13" s="11" t="str">
        <f t="shared" si="5"/>
        <v/>
      </c>
      <c r="AC13" s="19">
        <v>17.0</v>
      </c>
      <c r="AD13" s="19">
        <v>20.0</v>
      </c>
      <c r="AE13" s="19" t="b">
        <v>0</v>
      </c>
      <c r="AF13" s="27" t="s">
        <v>84</v>
      </c>
      <c r="AG13" s="11" t="str">
        <f t="shared" si="6"/>
        <v/>
      </c>
      <c r="AH13" s="19">
        <v>17.0</v>
      </c>
      <c r="AI13" s="19">
        <v>24.0</v>
      </c>
      <c r="AJ13" s="20" t="b">
        <v>1</v>
      </c>
      <c r="AK13" s="19" t="s">
        <v>84</v>
      </c>
      <c r="AL13" s="11" t="str">
        <f t="shared" si="7"/>
        <v/>
      </c>
      <c r="AM13" s="19">
        <v>21.0</v>
      </c>
      <c r="AN13" s="19">
        <v>24.0</v>
      </c>
      <c r="AO13" s="20" t="b">
        <v>1</v>
      </c>
      <c r="AP13" s="27" t="s">
        <v>84</v>
      </c>
      <c r="AQ13" s="11" t="str">
        <f t="shared" si="8"/>
        <v/>
      </c>
      <c r="AR13" s="19">
        <v>20.0</v>
      </c>
      <c r="AS13" s="19">
        <v>24.0</v>
      </c>
      <c r="AT13" s="20" t="b">
        <v>0</v>
      </c>
      <c r="AU13" s="27" t="s">
        <v>84</v>
      </c>
      <c r="AV13" s="11" t="str">
        <f t="shared" si="9"/>
        <v/>
      </c>
      <c r="AW13" s="19">
        <v>21.0</v>
      </c>
      <c r="AX13" s="19">
        <v>28.0</v>
      </c>
      <c r="AY13" s="20" t="b">
        <v>0</v>
      </c>
      <c r="AZ13" s="27" t="s">
        <v>84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84</v>
      </c>
      <c r="BF13" s="11" t="str">
        <f t="shared" si="11"/>
        <v/>
      </c>
      <c r="BG13" s="19">
        <v>24.0</v>
      </c>
      <c r="BH13" s="19">
        <v>31.0</v>
      </c>
      <c r="BI13" s="20" t="b">
        <v>0</v>
      </c>
      <c r="BJ13" s="27" t="s">
        <v>85</v>
      </c>
      <c r="BK13" s="11" t="str">
        <f t="shared" si="12"/>
        <v/>
      </c>
      <c r="BL13" s="19">
        <v>24.0</v>
      </c>
      <c r="BM13" s="19">
        <v>23.0</v>
      </c>
      <c r="BN13" s="20" t="b">
        <v>0</v>
      </c>
      <c r="BO13" s="17"/>
      <c r="BP13" s="17"/>
      <c r="BQ13" s="17"/>
    </row>
    <row r="14">
      <c r="A14" s="16" t="s">
        <v>80</v>
      </c>
      <c r="B14" s="30" t="s">
        <v>89</v>
      </c>
      <c r="C14" s="18" t="str">
        <f>IFERROR(__xludf.DUMMYFUNCTION("""COMPUTED_VALUE"""),"SEA")</f>
        <v>SEA</v>
      </c>
      <c r="D14" s="11" t="str">
        <f>IFERROR(__xludf.DUMMYFUNCTION("""COMPUTED_VALUE"""),"")</f>
        <v/>
      </c>
      <c r="E14" s="19">
        <f>IFERROR(__xludf.DUMMYFUNCTION("""COMPUTED_VALUE"""),31.0)</f>
        <v>31</v>
      </c>
      <c r="F14" s="20">
        <f>IFERROR(__xludf.DUMMYFUNCTION("""COMPUTED_VALUE"""),7.0)</f>
        <v>7</v>
      </c>
      <c r="G14" s="19" t="s">
        <v>24</v>
      </c>
      <c r="H14" s="11" t="str">
        <f t="shared" si="1"/>
        <v/>
      </c>
      <c r="I14" s="19">
        <v>21.0</v>
      </c>
      <c r="J14" s="19">
        <v>17.0</v>
      </c>
      <c r="K14" s="20" t="b">
        <v>0</v>
      </c>
      <c r="L14" s="19" t="s">
        <v>24</v>
      </c>
      <c r="M14" s="11" t="str">
        <f t="shared" si="2"/>
        <v/>
      </c>
      <c r="N14" s="19">
        <v>31.0</v>
      </c>
      <c r="O14" s="19">
        <v>24.0</v>
      </c>
      <c r="P14" s="19" t="b">
        <v>0</v>
      </c>
      <c r="Q14" s="27" t="s">
        <v>24</v>
      </c>
      <c r="R14" s="11" t="str">
        <f t="shared" si="3"/>
        <v/>
      </c>
      <c r="S14" s="19">
        <v>31.0</v>
      </c>
      <c r="T14" s="19">
        <v>24.0</v>
      </c>
      <c r="U14" s="20" t="b">
        <v>0</v>
      </c>
      <c r="V14" s="19" t="s">
        <v>24</v>
      </c>
      <c r="W14" s="11" t="str">
        <f t="shared" si="4"/>
        <v/>
      </c>
      <c r="X14" s="19">
        <v>31.0</v>
      </c>
      <c r="Y14" s="19">
        <v>24.0</v>
      </c>
      <c r="Z14" s="20" t="b">
        <v>0</v>
      </c>
      <c r="AA14" s="27" t="s">
        <v>24</v>
      </c>
      <c r="AB14" s="11" t="str">
        <f t="shared" si="5"/>
        <v/>
      </c>
      <c r="AC14" s="19">
        <v>28.0</v>
      </c>
      <c r="AD14" s="19">
        <v>21.0</v>
      </c>
      <c r="AE14" s="19" t="b">
        <v>0</v>
      </c>
      <c r="AF14" s="27" t="s">
        <v>24</v>
      </c>
      <c r="AG14" s="11" t="str">
        <f t="shared" si="6"/>
        <v/>
      </c>
      <c r="AH14" s="19">
        <v>24.0</v>
      </c>
      <c r="AI14" s="19">
        <v>7.0</v>
      </c>
      <c r="AJ14" s="20" t="b">
        <v>0</v>
      </c>
      <c r="AK14" s="19" t="s">
        <v>24</v>
      </c>
      <c r="AL14" s="11" t="str">
        <f t="shared" si="7"/>
        <v/>
      </c>
      <c r="AM14" s="19">
        <v>20.0</v>
      </c>
      <c r="AN14" s="19">
        <v>17.0</v>
      </c>
      <c r="AO14" s="20" t="b">
        <v>0</v>
      </c>
      <c r="AP14" s="27" t="s">
        <v>24</v>
      </c>
      <c r="AQ14" s="11" t="str">
        <f t="shared" si="8"/>
        <v/>
      </c>
      <c r="AR14" s="19">
        <v>31.0</v>
      </c>
      <c r="AS14" s="19">
        <v>23.0</v>
      </c>
      <c r="AT14" s="20" t="b">
        <v>0</v>
      </c>
      <c r="AU14" s="27" t="s">
        <v>24</v>
      </c>
      <c r="AV14" s="11" t="str">
        <f t="shared" si="9"/>
        <v/>
      </c>
      <c r="AW14" s="19">
        <v>21.0</v>
      </c>
      <c r="AX14" s="19">
        <v>17.0</v>
      </c>
      <c r="AY14" s="20" t="b">
        <v>0</v>
      </c>
      <c r="AZ14" s="27" t="s">
        <v>24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24</v>
      </c>
      <c r="BF14" s="11" t="str">
        <f t="shared" si="11"/>
        <v/>
      </c>
      <c r="BG14" s="19">
        <v>14.0</v>
      </c>
      <c r="BH14" s="19">
        <v>10.0</v>
      </c>
      <c r="BI14" s="20" t="b">
        <v>0</v>
      </c>
      <c r="BJ14" s="27" t="s">
        <v>93</v>
      </c>
      <c r="BK14" s="11" t="str">
        <f t="shared" si="12"/>
        <v/>
      </c>
      <c r="BL14" s="19">
        <v>14.0</v>
      </c>
      <c r="BM14" s="19">
        <v>17.0</v>
      </c>
      <c r="BN14" s="20" t="b">
        <v>0</v>
      </c>
      <c r="BO14" s="17"/>
      <c r="BP14" s="17"/>
      <c r="BQ14" s="17"/>
    </row>
    <row r="15">
      <c r="A15" s="16" t="s">
        <v>80</v>
      </c>
      <c r="B15" s="17" t="s">
        <v>94</v>
      </c>
      <c r="C15" s="18" t="str">
        <f>IFERROR(__xludf.DUMMYFUNCTION("""COMPUTED_VALUE"""),"SF")</f>
        <v>SF</v>
      </c>
      <c r="D15" s="11" t="str">
        <f>IFERROR(__xludf.DUMMYFUNCTION("""COMPUTED_VALUE"""),"")</f>
        <v/>
      </c>
      <c r="E15" s="19">
        <f>IFERROR(__xludf.DUMMYFUNCTION("""COMPUTED_VALUE"""),13.0)</f>
        <v>13</v>
      </c>
      <c r="F15" s="20">
        <f>IFERROR(__xludf.DUMMYFUNCTION("""COMPUTED_VALUE"""),35.0)</f>
        <v>35</v>
      </c>
      <c r="G15" s="19" t="s">
        <v>40</v>
      </c>
      <c r="H15" s="11" t="str">
        <f t="shared" si="1"/>
        <v/>
      </c>
      <c r="I15" s="19">
        <v>14.0</v>
      </c>
      <c r="J15" s="19">
        <v>20.0</v>
      </c>
      <c r="K15" s="20" t="b">
        <v>0</v>
      </c>
      <c r="L15" s="19" t="s">
        <v>40</v>
      </c>
      <c r="M15" s="11" t="str">
        <f t="shared" si="2"/>
        <v/>
      </c>
      <c r="N15" s="19">
        <v>17.0</v>
      </c>
      <c r="O15" s="19">
        <v>21.0</v>
      </c>
      <c r="P15" s="19" t="b">
        <v>0</v>
      </c>
      <c r="Q15" s="27" t="s">
        <v>40</v>
      </c>
      <c r="R15" s="11" t="str">
        <f t="shared" si="3"/>
        <v/>
      </c>
      <c r="S15" s="19">
        <v>17.0</v>
      </c>
      <c r="T15" s="19">
        <v>20.0</v>
      </c>
      <c r="U15" s="20" t="b">
        <v>0</v>
      </c>
      <c r="V15" s="19" t="s">
        <v>40</v>
      </c>
      <c r="W15" s="11" t="str">
        <f t="shared" si="4"/>
        <v/>
      </c>
      <c r="X15" s="19">
        <v>21.0</v>
      </c>
      <c r="Y15" s="19">
        <v>28.0</v>
      </c>
      <c r="Z15" s="20" t="b">
        <v>0</v>
      </c>
      <c r="AA15" s="27" t="s">
        <v>40</v>
      </c>
      <c r="AB15" s="11" t="str">
        <f t="shared" si="5"/>
        <v/>
      </c>
      <c r="AC15" s="19">
        <v>24.0</v>
      </c>
      <c r="AD15" s="19">
        <v>31.0</v>
      </c>
      <c r="AE15" s="19" t="b">
        <v>0</v>
      </c>
      <c r="AF15" s="27" t="s">
        <v>40</v>
      </c>
      <c r="AG15" s="11" t="str">
        <f t="shared" si="6"/>
        <v/>
      </c>
      <c r="AH15" s="19">
        <v>13.0</v>
      </c>
      <c r="AI15" s="19">
        <v>31.0</v>
      </c>
      <c r="AJ15" s="20" t="b">
        <v>0</v>
      </c>
      <c r="AK15" s="19" t="s">
        <v>40</v>
      </c>
      <c r="AL15" s="11" t="str">
        <f t="shared" si="7"/>
        <v/>
      </c>
      <c r="AM15" s="19">
        <v>10.0</v>
      </c>
      <c r="AN15" s="19">
        <v>14.0</v>
      </c>
      <c r="AO15" s="20" t="b">
        <v>0</v>
      </c>
      <c r="AP15" s="27" t="s">
        <v>40</v>
      </c>
      <c r="AQ15" s="11" t="str">
        <f t="shared" si="8"/>
        <v/>
      </c>
      <c r="AR15" s="19">
        <v>17.0</v>
      </c>
      <c r="AS15" s="19">
        <v>27.0</v>
      </c>
      <c r="AT15" s="20" t="b">
        <v>0</v>
      </c>
      <c r="AU15" s="27" t="s">
        <v>40</v>
      </c>
      <c r="AV15" s="11" t="str">
        <f t="shared" si="9"/>
        <v/>
      </c>
      <c r="AW15" s="19">
        <v>14.0</v>
      </c>
      <c r="AX15" s="19">
        <v>17.0</v>
      </c>
      <c r="AY15" s="20" t="b">
        <v>0</v>
      </c>
      <c r="AZ15" s="27" t="s">
        <v>40</v>
      </c>
      <c r="BA15" s="11" t="str">
        <f t="shared" si="10"/>
        <v/>
      </c>
      <c r="BB15" s="19">
        <v>20.0</v>
      </c>
      <c r="BC15" s="19">
        <v>23.0</v>
      </c>
      <c r="BD15" s="20" t="b">
        <v>0</v>
      </c>
      <c r="BE15" s="27" t="s">
        <v>87</v>
      </c>
      <c r="BF15" s="11" t="str">
        <f t="shared" si="11"/>
        <v/>
      </c>
      <c r="BG15" s="19">
        <v>14.0</v>
      </c>
      <c r="BH15" s="19">
        <v>10.0</v>
      </c>
      <c r="BI15" s="20" t="b">
        <v>0</v>
      </c>
      <c r="BJ15" s="27" t="s">
        <v>87</v>
      </c>
      <c r="BK15" s="11" t="str">
        <f t="shared" si="12"/>
        <v/>
      </c>
      <c r="BL15" s="19">
        <v>27.0</v>
      </c>
      <c r="BM15" s="19">
        <v>24.0</v>
      </c>
      <c r="BN15" s="20" t="b">
        <v>0</v>
      </c>
      <c r="BO15" s="17"/>
      <c r="BP15" s="17"/>
      <c r="BQ15" s="17"/>
    </row>
    <row r="16">
      <c r="A16" s="16" t="s">
        <v>99</v>
      </c>
      <c r="B16" s="17" t="s">
        <v>100</v>
      </c>
      <c r="C16" s="18" t="str">
        <f>IFERROR(__xludf.DUMMYFUNCTION("""COMPUTED_VALUE"""),"KC")</f>
        <v>KC</v>
      </c>
      <c r="D16" s="11" t="str">
        <f>IFERROR(__xludf.DUMMYFUNCTION("""COMPUTED_VALUE"""),"")</f>
        <v/>
      </c>
      <c r="E16" s="19">
        <f>IFERROR(__xludf.DUMMYFUNCTION("""COMPUTED_VALUE"""),30.0)</f>
        <v>30</v>
      </c>
      <c r="F16" s="20">
        <f>IFERROR(__xludf.DUMMYFUNCTION("""COMPUTED_VALUE"""),33.0)</f>
        <v>33</v>
      </c>
      <c r="G16" s="19" t="s">
        <v>76</v>
      </c>
      <c r="H16" s="11" t="str">
        <f t="shared" si="1"/>
        <v/>
      </c>
      <c r="I16" s="19">
        <v>17.0</v>
      </c>
      <c r="J16" s="19">
        <v>13.0</v>
      </c>
      <c r="K16" s="20" t="b">
        <v>0</v>
      </c>
      <c r="L16" s="19" t="s">
        <v>76</v>
      </c>
      <c r="M16" s="11" t="str">
        <f t="shared" si="2"/>
        <v/>
      </c>
      <c r="N16" s="19">
        <v>23.0</v>
      </c>
      <c r="O16" s="19">
        <v>20.0</v>
      </c>
      <c r="P16" s="19" t="b">
        <v>0</v>
      </c>
      <c r="Q16" s="27" t="s">
        <v>76</v>
      </c>
      <c r="R16" s="11" t="str">
        <f t="shared" si="3"/>
        <v/>
      </c>
      <c r="S16" s="19">
        <v>21.0</v>
      </c>
      <c r="T16" s="19">
        <v>17.0</v>
      </c>
      <c r="U16" s="20" t="b">
        <v>0</v>
      </c>
      <c r="V16" s="19" t="s">
        <v>88</v>
      </c>
      <c r="W16" s="11" t="str">
        <f t="shared" si="4"/>
        <v/>
      </c>
      <c r="X16" s="19">
        <v>21.0</v>
      </c>
      <c r="Y16" s="19">
        <v>28.0</v>
      </c>
      <c r="Z16" s="20" t="b">
        <v>0</v>
      </c>
      <c r="AA16" s="27" t="s">
        <v>88</v>
      </c>
      <c r="AB16" s="11" t="str">
        <f t="shared" si="5"/>
        <v/>
      </c>
      <c r="AC16" s="19">
        <v>10.0</v>
      </c>
      <c r="AD16" s="19">
        <v>14.0</v>
      </c>
      <c r="AE16" s="19" t="b">
        <v>0</v>
      </c>
      <c r="AF16" s="27" t="s">
        <v>88</v>
      </c>
      <c r="AG16" s="11" t="str">
        <f t="shared" si="6"/>
        <v/>
      </c>
      <c r="AH16" s="19">
        <v>14.0</v>
      </c>
      <c r="AI16" s="19">
        <v>17.0</v>
      </c>
      <c r="AJ16" s="20" t="b">
        <v>0</v>
      </c>
      <c r="AK16" s="19" t="s">
        <v>88</v>
      </c>
      <c r="AL16" s="11" t="str">
        <f t="shared" si="7"/>
        <v/>
      </c>
      <c r="AM16" s="19">
        <v>20.0</v>
      </c>
      <c r="AN16" s="19">
        <v>23.0</v>
      </c>
      <c r="AO16" s="20" t="b">
        <v>0</v>
      </c>
      <c r="AP16" s="27" t="s">
        <v>88</v>
      </c>
      <c r="AQ16" s="11" t="str">
        <f t="shared" si="8"/>
        <v/>
      </c>
      <c r="AR16" s="19">
        <v>20.0</v>
      </c>
      <c r="AS16" s="19">
        <v>24.0</v>
      </c>
      <c r="AT16" s="20" t="b">
        <v>0</v>
      </c>
      <c r="AU16" s="27" t="s">
        <v>76</v>
      </c>
      <c r="AV16" s="11" t="str">
        <f t="shared" si="9"/>
        <v/>
      </c>
      <c r="AW16" s="19">
        <v>28.0</v>
      </c>
      <c r="AX16" s="19">
        <v>21.0</v>
      </c>
      <c r="AY16" s="20" t="b">
        <v>0</v>
      </c>
      <c r="AZ16" s="27" t="s">
        <v>88</v>
      </c>
      <c r="BA16" s="11" t="str">
        <f t="shared" si="10"/>
        <v/>
      </c>
      <c r="BB16" s="19">
        <v>20.0</v>
      </c>
      <c r="BC16" s="19">
        <v>23.0</v>
      </c>
      <c r="BD16" s="20" t="b">
        <v>0</v>
      </c>
      <c r="BE16" s="27" t="s">
        <v>76</v>
      </c>
      <c r="BF16" s="11" t="str">
        <f t="shared" si="11"/>
        <v/>
      </c>
      <c r="BG16" s="19">
        <v>10.0</v>
      </c>
      <c r="BH16" s="19">
        <v>7.0</v>
      </c>
      <c r="BI16" s="20" t="b">
        <v>0</v>
      </c>
      <c r="BJ16" s="27" t="s">
        <v>76</v>
      </c>
      <c r="BK16" s="11" t="str">
        <f t="shared" si="12"/>
        <v/>
      </c>
      <c r="BL16" s="19">
        <v>14.0</v>
      </c>
      <c r="BM16" s="19">
        <v>10.0</v>
      </c>
      <c r="BN16" s="20" t="b">
        <v>0</v>
      </c>
      <c r="BO16" s="17"/>
      <c r="BP16" s="17"/>
      <c r="BQ16" s="17"/>
    </row>
    <row r="17">
      <c r="A17" s="32" t="s">
        <v>102</v>
      </c>
      <c r="B17" s="33" t="s">
        <v>103</v>
      </c>
      <c r="C17" s="34" t="str">
        <f>IFERROR(__xludf.DUMMYFUNCTION("""COMPUTED_VALUE"""),"LAR")</f>
        <v>LAR</v>
      </c>
      <c r="D17" s="35" t="str">
        <f>IFERROR(__xludf.DUMMYFUNCTION("""COMPUTED_VALUE"""),"")</f>
        <v/>
      </c>
      <c r="E17" s="36">
        <f>IFERROR(__xludf.DUMMYFUNCTION("""COMPUTED_VALUE"""),6.0)</f>
        <v>6</v>
      </c>
      <c r="F17" s="37">
        <f>IFERROR(__xludf.DUMMYFUNCTION("""COMPUTED_VALUE"""),28.0)</f>
        <v>28</v>
      </c>
      <c r="G17" s="36" t="s">
        <v>39</v>
      </c>
      <c r="H17" s="35" t="str">
        <f t="shared" si="1"/>
        <v/>
      </c>
      <c r="I17" s="36">
        <v>21.0</v>
      </c>
      <c r="J17" s="36">
        <v>24.0</v>
      </c>
      <c r="K17" s="37" t="b">
        <v>1</v>
      </c>
      <c r="L17" s="36" t="s">
        <v>39</v>
      </c>
      <c r="M17" s="35" t="str">
        <f t="shared" si="2"/>
        <v/>
      </c>
      <c r="N17" s="36">
        <v>14.0</v>
      </c>
      <c r="O17" s="36">
        <v>17.0</v>
      </c>
      <c r="P17" s="36" t="b">
        <v>0</v>
      </c>
      <c r="Q17" s="38" t="s">
        <v>39</v>
      </c>
      <c r="R17" s="35" t="str">
        <f t="shared" si="3"/>
        <v/>
      </c>
      <c r="S17" s="36">
        <v>21.0</v>
      </c>
      <c r="T17" s="36">
        <v>24.0</v>
      </c>
      <c r="U17" s="37" t="b">
        <v>0</v>
      </c>
      <c r="V17" s="36" t="s">
        <v>39</v>
      </c>
      <c r="W17" s="35" t="str">
        <f t="shared" si="4"/>
        <v/>
      </c>
      <c r="X17" s="36">
        <v>21.0</v>
      </c>
      <c r="Y17" s="36">
        <v>28.0</v>
      </c>
      <c r="Z17" s="37" t="b">
        <v>0</v>
      </c>
      <c r="AA17" s="38" t="s">
        <v>39</v>
      </c>
      <c r="AB17" s="35" t="str">
        <f t="shared" si="5"/>
        <v/>
      </c>
      <c r="AC17" s="36">
        <v>14.0</v>
      </c>
      <c r="AD17" s="36">
        <v>21.0</v>
      </c>
      <c r="AE17" s="36" t="b">
        <v>0</v>
      </c>
      <c r="AF17" s="38" t="s">
        <v>39</v>
      </c>
      <c r="AG17" s="35" t="str">
        <f t="shared" si="6"/>
        <v/>
      </c>
      <c r="AH17" s="36">
        <v>21.0</v>
      </c>
      <c r="AI17" s="36">
        <v>28.0</v>
      </c>
      <c r="AJ17" s="37" t="b">
        <v>0</v>
      </c>
      <c r="AK17" s="36" t="s">
        <v>39</v>
      </c>
      <c r="AL17" s="35" t="str">
        <f t="shared" si="7"/>
        <v/>
      </c>
      <c r="AM17" s="36">
        <v>10.0</v>
      </c>
      <c r="AN17" s="36">
        <v>14.0</v>
      </c>
      <c r="AO17" s="37" t="b">
        <v>0</v>
      </c>
      <c r="AP17" s="38" t="s">
        <v>39</v>
      </c>
      <c r="AQ17" s="35" t="str">
        <f t="shared" si="8"/>
        <v/>
      </c>
      <c r="AR17" s="36">
        <v>20.0</v>
      </c>
      <c r="AS17" s="36">
        <v>31.0</v>
      </c>
      <c r="AT17" s="37" t="b">
        <v>1</v>
      </c>
      <c r="AU17" s="38" t="s">
        <v>39</v>
      </c>
      <c r="AV17" s="35" t="str">
        <f t="shared" si="9"/>
        <v/>
      </c>
      <c r="AW17" s="36">
        <v>21.0</v>
      </c>
      <c r="AX17" s="36">
        <v>24.0</v>
      </c>
      <c r="AY17" s="37" t="b">
        <v>0</v>
      </c>
      <c r="AZ17" s="38" t="s">
        <v>39</v>
      </c>
      <c r="BA17" s="35" t="str">
        <f t="shared" si="10"/>
        <v/>
      </c>
      <c r="BB17" s="36">
        <v>20.0</v>
      </c>
      <c r="BC17" s="36">
        <v>23.0</v>
      </c>
      <c r="BD17" s="37" t="b">
        <v>1</v>
      </c>
      <c r="BE17" s="38" t="s">
        <v>39</v>
      </c>
      <c r="BF17" s="35" t="str">
        <f t="shared" si="11"/>
        <v/>
      </c>
      <c r="BG17" s="36">
        <v>21.0</v>
      </c>
      <c r="BH17" s="36">
        <v>24.0</v>
      </c>
      <c r="BI17" s="37" t="b">
        <v>0</v>
      </c>
      <c r="BJ17" s="38" t="s">
        <v>39</v>
      </c>
      <c r="BK17" s="35" t="str">
        <f t="shared" si="12"/>
        <v/>
      </c>
      <c r="BL17" s="36">
        <v>17.0</v>
      </c>
      <c r="BM17" s="36">
        <v>21.0</v>
      </c>
      <c r="BN17" s="37" t="b">
        <v>0</v>
      </c>
      <c r="BO17" s="19"/>
      <c r="BP17" s="19"/>
      <c r="BQ17" s="19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2">
        <f t="shared" ref="C19:C34" si="13">MIN(I19,N19,S19,X19,AC19,AH19,AM19,AR19,AW19,BB19,BG19,BL19)</f>
        <v>20</v>
      </c>
      <c r="D19" s="41"/>
      <c r="E19" s="41"/>
      <c r="F19" s="41"/>
      <c r="G19" s="43">
        <f t="shared" ref="G19:G34" si="14">IF(G2=C2,ABS(I2-E2),"")</f>
        <v>10</v>
      </c>
      <c r="H19" s="43">
        <f t="shared" ref="H19:H34" si="15">IF(G2=C2,ABS(J2-F2),"")</f>
        <v>13</v>
      </c>
      <c r="I19" s="44">
        <f t="shared" ref="I19:I34" si="16">IF(G2=C2,SUM(G19,H19),"")</f>
        <v>23</v>
      </c>
      <c r="J19" s="45">
        <f t="shared" ref="J19:J34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
)</f>
        <v>1</v>
      </c>
      <c r="K19" s="41" t="b">
        <f t="shared" ref="K19:K34" si="18">IF($C2="","",
IF(G2=$C2,TRUE,FALSE))</f>
        <v>1</v>
      </c>
      <c r="L19" s="43">
        <f t="shared" ref="L19:L34" si="19">IF(L2=C2,ABS(N2-E2),"")</f>
        <v>21</v>
      </c>
      <c r="M19" s="43">
        <f t="shared" ref="M19:M34" si="20">IF(L2=C2,ABS(O2-F2),"")</f>
        <v>27</v>
      </c>
      <c r="N19" s="44">
        <f t="shared" ref="N19:N34" si="21">IF(L2=C2,SUM(L19,M19),"")</f>
        <v>48</v>
      </c>
      <c r="O19" s="9">
        <f t="shared" ref="O19:O34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
)</f>
        <v>1</v>
      </c>
      <c r="P19" s="41" t="b">
        <f t="shared" ref="P19:P34" si="23">IF($C2="","",
IF(L2=$C2,TRUE,FALSE))</f>
        <v>1</v>
      </c>
      <c r="Q19" s="43" t="str">
        <f t="shared" ref="Q19:Q34" si="24">IF(Q2=C2,ABS(S2-E2),"")</f>
        <v/>
      </c>
      <c r="R19" s="43" t="str">
        <f t="shared" ref="R19:R34" si="25">IF(Q2=C2,ABS(T2-F2),"")</f>
        <v/>
      </c>
      <c r="S19" s="44" t="str">
        <f t="shared" ref="S19:S34" si="26">IF(Q2=C2,SUM(Q19,R19),"")</f>
        <v/>
      </c>
      <c r="T19" s="9">
        <f t="shared" ref="T19:T34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
)</f>
        <v>0</v>
      </c>
      <c r="U19" s="41" t="b">
        <f t="shared" ref="U19:U34" si="28">IF($C2="","",
IF(Q2=$C2,TRUE,FALSE))</f>
        <v>0</v>
      </c>
      <c r="V19" s="43">
        <f t="shared" ref="V19:V34" si="29">IF(V2=C2,ABS(X2-E2),"")</f>
        <v>10</v>
      </c>
      <c r="W19" s="43">
        <f t="shared" ref="W19:W34" si="30">IF(V2=C2,ABS(Y2-F2),"")</f>
        <v>13</v>
      </c>
      <c r="X19" s="44">
        <f t="shared" ref="X19:X34" si="31">IF(V2=C2,SUM(V19,W19),"")</f>
        <v>23</v>
      </c>
      <c r="Y19" s="9">
        <f t="shared" ref="Y19:Y34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
)</f>
        <v>1</v>
      </c>
      <c r="Z19" s="41" t="b">
        <f t="shared" ref="Z19:Z34" si="33">IF($C2="","",
IF(V2=$C2,TRUE,FALSE))</f>
        <v>1</v>
      </c>
      <c r="AA19" s="43">
        <f t="shared" ref="AA19:AA34" si="34">IF(AA2=C2,ABS(AC2-E2),"")</f>
        <v>11</v>
      </c>
      <c r="AB19" s="43">
        <f t="shared" ref="AB19:AB34" si="35">IF(AA2=C2,ABS(AD2-F2),"")</f>
        <v>18</v>
      </c>
      <c r="AC19" s="44">
        <f t="shared" ref="AC19:AC34" si="36">IF(AA2=C2,SUM(AA19,AB19),"")</f>
        <v>29</v>
      </c>
      <c r="AD19" s="9">
        <f t="shared" ref="AD19:AD34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
)</f>
        <v>1</v>
      </c>
      <c r="AE19" s="41" t="b">
        <f t="shared" ref="AE19:AE34" si="38">IF($C2="","",
IF(AA2=$C2,TRUE,FALSE))</f>
        <v>1</v>
      </c>
      <c r="AF19" s="43">
        <f t="shared" ref="AF19:AF34" si="39">IF(AF2=C2,ABS(AH2-E2),"")</f>
        <v>10</v>
      </c>
      <c r="AG19" s="43">
        <f t="shared" ref="AG19:AG34" si="40">IF(AF2=C2,ABS(AI2-F2),"")</f>
        <v>13</v>
      </c>
      <c r="AH19" s="44">
        <f t="shared" ref="AH19:AH34" si="41">IF(AF2=C2,SUM(AF19,AG19),"")</f>
        <v>23</v>
      </c>
      <c r="AI19" s="9">
        <f t="shared" ref="AI19:AI34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
)</f>
        <v>1</v>
      </c>
      <c r="AJ19" s="41" t="b">
        <f t="shared" ref="AJ19:AJ34" si="43">IF($C2="","",
IF(AF2=$C2,TRUE,FALSE))</f>
        <v>1</v>
      </c>
      <c r="AK19" s="43">
        <f t="shared" ref="AK19:AK34" si="44">IF(AK2=C2,ABS(AM2-E2),"")</f>
        <v>14</v>
      </c>
      <c r="AL19" s="43">
        <f t="shared" ref="AL19:AL34" si="45">IF(AK2=C2,ABS(AN2-F2),"")</f>
        <v>20</v>
      </c>
      <c r="AM19" s="44">
        <f t="shared" ref="AM19:AM34" si="46">IF(AK2=C2,SUM(AK19,AL19),"")</f>
        <v>34</v>
      </c>
      <c r="AN19" s="9">
        <f t="shared" ref="AN19:AN34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
)</f>
        <v>1</v>
      </c>
      <c r="AO19" s="41" t="b">
        <f t="shared" ref="AO19:AO34" si="48">IF($C2="","",
IF(AK2=$C2,TRUE,FALSE))</f>
        <v>1</v>
      </c>
      <c r="AP19" s="43">
        <f t="shared" ref="AP19:AP34" si="49">IF(AP2=C2,ABS(AR2-E2),"")</f>
        <v>7</v>
      </c>
      <c r="AQ19" s="43">
        <f t="shared" ref="AQ19:AQ34" si="50">IF(AP2=C2,ABS(AS2-F2),"")</f>
        <v>13</v>
      </c>
      <c r="AR19" s="44">
        <f t="shared" ref="AR19:AR34" si="51">IF(AP2=C2,SUM(AP19,AQ19),"")</f>
        <v>20</v>
      </c>
      <c r="AS19" s="9">
        <f t="shared" ref="AS19:AS34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
)</f>
        <v>2</v>
      </c>
      <c r="AT19" s="41" t="b">
        <f t="shared" ref="AT19:AT34" si="53">IF($C2="","",
IF(AP2=$C2,TRUE,FALSE))</f>
        <v>1</v>
      </c>
      <c r="AU19" s="43">
        <f t="shared" ref="AU19:AU34" si="54">IF(AU2=C2,ABS(AW2-E2),"")</f>
        <v>24</v>
      </c>
      <c r="AV19" s="43">
        <f t="shared" ref="AV19:AV34" si="55">IF(AU2=C2,ABS(AX2-F2),"")</f>
        <v>31</v>
      </c>
      <c r="AW19" s="44">
        <f t="shared" ref="AW19:AW34" si="56">IF(AU2=C2,SUM(AU19,AV19),"")</f>
        <v>55</v>
      </c>
      <c r="AX19" s="9">
        <f t="shared" ref="AX19:AX34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
)</f>
        <v>1</v>
      </c>
      <c r="AY19" s="41" t="b">
        <f t="shared" ref="AY19:AY34" si="58">IF($C2="","",
IF(AU2=$C2,TRUE,FALSE))</f>
        <v>1</v>
      </c>
      <c r="AZ19" s="43">
        <f t="shared" ref="AZ19:AZ34" si="59">IF(AZ2=C2,ABS(BB2-E2),"")</f>
        <v>11</v>
      </c>
      <c r="BA19" s="43">
        <f t="shared" ref="BA19:BA34" si="60">IF(AZ2=C2,ABS(BC2-F2),"")</f>
        <v>18</v>
      </c>
      <c r="BB19" s="44">
        <f t="shared" ref="BB19:BB34" si="61">IF(AZ2=C2,SUM(AZ19,BA19),"")</f>
        <v>29</v>
      </c>
      <c r="BC19" s="9">
        <f t="shared" ref="BC19:BC34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
)</f>
        <v>1</v>
      </c>
      <c r="BD19" s="41" t="b">
        <f t="shared" ref="BD19:BD34" si="63">IF($C2="","",
IF(AZ2=$C2,TRUE,FALSE))</f>
        <v>1</v>
      </c>
      <c r="BE19" s="43">
        <f t="shared" ref="BE19:BE34" si="64">IF(BE2=C2,ABS(BG2-E2),"")</f>
        <v>7</v>
      </c>
      <c r="BF19" s="43">
        <f t="shared" ref="BF19:BF34" si="65">IF(BE2=C2,ABS(BH2-F2),"")</f>
        <v>14</v>
      </c>
      <c r="BG19" s="44">
        <f t="shared" ref="BG19:BG34" si="66">IF(BE2=C2,SUM(BE19,BF19),"")</f>
        <v>21</v>
      </c>
      <c r="BH19" s="9">
        <f t="shared" ref="BH19:BH34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
)</f>
        <v>1</v>
      </c>
      <c r="BI19" s="41" t="b">
        <f t="shared" ref="BI19:BI34" si="68">IF($C2="","",
IF(BE2=$C2,TRUE,FALSE))</f>
        <v>1</v>
      </c>
      <c r="BJ19" s="43">
        <f t="shared" ref="BJ19:BJ34" si="69">IF(BJ2=C2,ABS(BL2-E2),"")</f>
        <v>10</v>
      </c>
      <c r="BK19" s="43">
        <f t="shared" ref="BK19:BK34" si="70">IF(BJ2=C2,ABS(BM2-F2),"")</f>
        <v>17</v>
      </c>
      <c r="BL19" s="44">
        <f t="shared" ref="BL19:BL34" si="71">IF(BJ2=C2,SUM(BJ19,BK19),"")</f>
        <v>27</v>
      </c>
      <c r="BM19" s="9">
        <f t="shared" ref="BM19:BM34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
)</f>
        <v>1</v>
      </c>
      <c r="BN19" s="41" t="b">
        <f t="shared" ref="BN19:BN34" si="73">IF($C2="","",
IF(BJ2=$C2,TRUE,FALSE))</f>
        <v>1</v>
      </c>
      <c r="BO19" s="41"/>
      <c r="BP19" s="41"/>
      <c r="BQ19" s="41"/>
    </row>
    <row r="20" hidden="1">
      <c r="A20" s="40"/>
      <c r="B20" s="40"/>
      <c r="C20" s="42">
        <f t="shared" si="13"/>
        <v>27</v>
      </c>
      <c r="D20" s="40"/>
      <c r="E20" s="40"/>
      <c r="F20" s="40"/>
      <c r="G20" s="43" t="str">
        <f t="shared" si="14"/>
        <v/>
      </c>
      <c r="H20" s="43" t="str">
        <f t="shared" si="15"/>
        <v/>
      </c>
      <c r="I20" s="44" t="str">
        <f t="shared" si="16"/>
        <v/>
      </c>
      <c r="J20" s="45">
        <f t="shared" si="17"/>
        <v>0</v>
      </c>
      <c r="K20" s="41" t="b">
        <f t="shared" si="18"/>
        <v>0</v>
      </c>
      <c r="L20" s="43" t="str">
        <f t="shared" si="19"/>
        <v/>
      </c>
      <c r="M20" s="43" t="str">
        <f t="shared" si="20"/>
        <v/>
      </c>
      <c r="N20" s="44" t="str">
        <f t="shared" si="21"/>
        <v/>
      </c>
      <c r="O20" s="9">
        <f t="shared" si="22"/>
        <v>0</v>
      </c>
      <c r="P20" s="41" t="b">
        <f t="shared" si="23"/>
        <v>0</v>
      </c>
      <c r="Q20" s="43" t="str">
        <f t="shared" si="24"/>
        <v/>
      </c>
      <c r="R20" s="43" t="str">
        <f t="shared" si="25"/>
        <v/>
      </c>
      <c r="S20" s="44" t="str">
        <f t="shared" si="26"/>
        <v/>
      </c>
      <c r="T20" s="9">
        <f t="shared" si="27"/>
        <v>0</v>
      </c>
      <c r="U20" s="41" t="b">
        <f t="shared" si="28"/>
        <v>0</v>
      </c>
      <c r="V20" s="43">
        <f t="shared" si="29"/>
        <v>10</v>
      </c>
      <c r="W20" s="43">
        <f t="shared" si="30"/>
        <v>18</v>
      </c>
      <c r="X20" s="44">
        <f t="shared" si="31"/>
        <v>28</v>
      </c>
      <c r="Y20" s="9">
        <f t="shared" si="32"/>
        <v>1</v>
      </c>
      <c r="Z20" s="41" t="b">
        <f t="shared" si="33"/>
        <v>1</v>
      </c>
      <c r="AA20" s="43">
        <f t="shared" si="34"/>
        <v>24</v>
      </c>
      <c r="AB20" s="43">
        <f t="shared" si="35"/>
        <v>4</v>
      </c>
      <c r="AC20" s="44">
        <f t="shared" si="36"/>
        <v>28</v>
      </c>
      <c r="AD20" s="9">
        <f t="shared" si="37"/>
        <v>1</v>
      </c>
      <c r="AE20" s="41" t="b">
        <f t="shared" si="38"/>
        <v>1</v>
      </c>
      <c r="AF20" s="43">
        <f t="shared" si="39"/>
        <v>11</v>
      </c>
      <c r="AG20" s="43">
        <f t="shared" si="40"/>
        <v>17</v>
      </c>
      <c r="AH20" s="44">
        <f t="shared" si="41"/>
        <v>28</v>
      </c>
      <c r="AI20" s="9">
        <f t="shared" si="42"/>
        <v>1</v>
      </c>
      <c r="AJ20" s="41" t="b">
        <f t="shared" si="43"/>
        <v>1</v>
      </c>
      <c r="AK20" s="43" t="str">
        <f t="shared" si="44"/>
        <v/>
      </c>
      <c r="AL20" s="43" t="str">
        <f t="shared" si="45"/>
        <v/>
      </c>
      <c r="AM20" s="44" t="str">
        <f t="shared" si="46"/>
        <v/>
      </c>
      <c r="AN20" s="9">
        <f t="shared" si="47"/>
        <v>0</v>
      </c>
      <c r="AO20" s="41" t="b">
        <f t="shared" si="48"/>
        <v>0</v>
      </c>
      <c r="AP20" s="43" t="str">
        <f t="shared" si="49"/>
        <v/>
      </c>
      <c r="AQ20" s="43" t="str">
        <f t="shared" si="50"/>
        <v/>
      </c>
      <c r="AR20" s="44" t="str">
        <f t="shared" si="51"/>
        <v/>
      </c>
      <c r="AS20" s="9">
        <f t="shared" si="52"/>
        <v>0</v>
      </c>
      <c r="AT20" s="41" t="b">
        <f t="shared" si="53"/>
        <v>0</v>
      </c>
      <c r="AU20" s="43" t="str">
        <f t="shared" si="54"/>
        <v/>
      </c>
      <c r="AV20" s="43" t="str">
        <f t="shared" si="55"/>
        <v/>
      </c>
      <c r="AW20" s="44" t="str">
        <f t="shared" si="56"/>
        <v/>
      </c>
      <c r="AX20" s="9">
        <f t="shared" si="57"/>
        <v>0</v>
      </c>
      <c r="AY20" s="41" t="b">
        <f t="shared" si="58"/>
        <v>0</v>
      </c>
      <c r="AZ20" s="43">
        <f t="shared" si="59"/>
        <v>11</v>
      </c>
      <c r="BA20" s="43">
        <f t="shared" si="60"/>
        <v>17</v>
      </c>
      <c r="BB20" s="44">
        <f t="shared" si="61"/>
        <v>28</v>
      </c>
      <c r="BC20" s="9">
        <f t="shared" si="62"/>
        <v>1</v>
      </c>
      <c r="BD20" s="41" t="b">
        <f t="shared" si="63"/>
        <v>1</v>
      </c>
      <c r="BE20" s="43">
        <f t="shared" si="64"/>
        <v>20</v>
      </c>
      <c r="BF20" s="43">
        <f t="shared" si="65"/>
        <v>7</v>
      </c>
      <c r="BG20" s="44">
        <f t="shared" si="66"/>
        <v>27</v>
      </c>
      <c r="BH20" s="9">
        <f t="shared" si="67"/>
        <v>2</v>
      </c>
      <c r="BI20" s="41" t="b">
        <f t="shared" si="68"/>
        <v>1</v>
      </c>
      <c r="BJ20" s="43" t="str">
        <f t="shared" si="69"/>
        <v/>
      </c>
      <c r="BK20" s="43" t="str">
        <f t="shared" si="70"/>
        <v/>
      </c>
      <c r="BL20" s="44" t="str">
        <f t="shared" si="71"/>
        <v/>
      </c>
      <c r="BM20" s="9">
        <f t="shared" si="72"/>
        <v>0</v>
      </c>
      <c r="BN20" s="41" t="b">
        <f t="shared" si="73"/>
        <v>0</v>
      </c>
      <c r="BO20" s="40"/>
      <c r="BP20" s="40"/>
      <c r="BQ20" s="40"/>
    </row>
    <row r="21" hidden="1">
      <c r="A21" s="40"/>
      <c r="B21" s="40"/>
      <c r="C21" s="42">
        <f t="shared" si="13"/>
        <v>12</v>
      </c>
      <c r="D21" s="40"/>
      <c r="E21" s="40"/>
      <c r="F21" s="40"/>
      <c r="G21" s="43" t="str">
        <f t="shared" si="14"/>
        <v/>
      </c>
      <c r="H21" s="43" t="str">
        <f t="shared" si="15"/>
        <v/>
      </c>
      <c r="I21" s="44" t="str">
        <f t="shared" si="16"/>
        <v/>
      </c>
      <c r="J21" s="45">
        <f t="shared" si="17"/>
        <v>0</v>
      </c>
      <c r="K21" s="41" t="b">
        <f t="shared" si="18"/>
        <v>0</v>
      </c>
      <c r="L21" s="43" t="str">
        <f t="shared" si="19"/>
        <v/>
      </c>
      <c r="M21" s="43" t="str">
        <f t="shared" si="20"/>
        <v/>
      </c>
      <c r="N21" s="44" t="str">
        <f t="shared" si="21"/>
        <v/>
      </c>
      <c r="O21" s="9">
        <f t="shared" si="22"/>
        <v>0</v>
      </c>
      <c r="P21" s="41" t="b">
        <f t="shared" si="23"/>
        <v>0</v>
      </c>
      <c r="Q21" s="43" t="str">
        <f t="shared" si="24"/>
        <v/>
      </c>
      <c r="R21" s="43" t="str">
        <f t="shared" si="25"/>
        <v/>
      </c>
      <c r="S21" s="44" t="str">
        <f t="shared" si="26"/>
        <v/>
      </c>
      <c r="T21" s="9">
        <f t="shared" si="27"/>
        <v>0</v>
      </c>
      <c r="U21" s="41" t="b">
        <f t="shared" si="28"/>
        <v>0</v>
      </c>
      <c r="V21" s="43" t="str">
        <f t="shared" si="29"/>
        <v/>
      </c>
      <c r="W21" s="43" t="str">
        <f t="shared" si="30"/>
        <v/>
      </c>
      <c r="X21" s="44" t="str">
        <f t="shared" si="31"/>
        <v/>
      </c>
      <c r="Y21" s="9">
        <f t="shared" si="32"/>
        <v>0</v>
      </c>
      <c r="Z21" s="41" t="b">
        <f t="shared" si="33"/>
        <v>0</v>
      </c>
      <c r="AA21" s="43" t="str">
        <f t="shared" si="34"/>
        <v/>
      </c>
      <c r="AB21" s="43" t="str">
        <f t="shared" si="35"/>
        <v/>
      </c>
      <c r="AC21" s="44" t="str">
        <f t="shared" si="36"/>
        <v/>
      </c>
      <c r="AD21" s="9">
        <f t="shared" si="37"/>
        <v>0</v>
      </c>
      <c r="AE21" s="41" t="b">
        <f t="shared" si="38"/>
        <v>0</v>
      </c>
      <c r="AF21" s="43">
        <f t="shared" si="39"/>
        <v>19</v>
      </c>
      <c r="AG21" s="43">
        <f t="shared" si="40"/>
        <v>21</v>
      </c>
      <c r="AH21" s="44">
        <f t="shared" si="41"/>
        <v>40</v>
      </c>
      <c r="AI21" s="9">
        <f t="shared" si="42"/>
        <v>1</v>
      </c>
      <c r="AJ21" s="41" t="b">
        <f t="shared" si="43"/>
        <v>1</v>
      </c>
      <c r="AK21" s="43" t="str">
        <f t="shared" si="44"/>
        <v/>
      </c>
      <c r="AL21" s="43" t="str">
        <f t="shared" si="45"/>
        <v/>
      </c>
      <c r="AM21" s="44" t="str">
        <f t="shared" si="46"/>
        <v/>
      </c>
      <c r="AN21" s="9">
        <f t="shared" si="47"/>
        <v>0</v>
      </c>
      <c r="AO21" s="41" t="b">
        <f t="shared" si="48"/>
        <v>0</v>
      </c>
      <c r="AP21" s="43" t="str">
        <f t="shared" si="49"/>
        <v/>
      </c>
      <c r="AQ21" s="43" t="str">
        <f t="shared" si="50"/>
        <v/>
      </c>
      <c r="AR21" s="44" t="str">
        <f t="shared" si="51"/>
        <v/>
      </c>
      <c r="AS21" s="9">
        <f t="shared" si="52"/>
        <v>0</v>
      </c>
      <c r="AT21" s="41" t="b">
        <f t="shared" si="53"/>
        <v>0</v>
      </c>
      <c r="AU21" s="43">
        <f t="shared" si="54"/>
        <v>19</v>
      </c>
      <c r="AV21" s="43">
        <f t="shared" si="55"/>
        <v>18</v>
      </c>
      <c r="AW21" s="44">
        <f t="shared" si="56"/>
        <v>37</v>
      </c>
      <c r="AX21" s="9">
        <f t="shared" si="57"/>
        <v>1</v>
      </c>
      <c r="AY21" s="41" t="b">
        <f t="shared" si="58"/>
        <v>1</v>
      </c>
      <c r="AZ21" s="43" t="str">
        <f t="shared" si="59"/>
        <v/>
      </c>
      <c r="BA21" s="43" t="str">
        <f t="shared" si="60"/>
        <v/>
      </c>
      <c r="BB21" s="44" t="str">
        <f t="shared" si="61"/>
        <v/>
      </c>
      <c r="BC21" s="9">
        <f t="shared" si="62"/>
        <v>0</v>
      </c>
      <c r="BD21" s="41" t="b">
        <f t="shared" si="63"/>
        <v>0</v>
      </c>
      <c r="BE21" s="43" t="str">
        <f t="shared" si="64"/>
        <v/>
      </c>
      <c r="BF21" s="43" t="str">
        <f t="shared" si="65"/>
        <v/>
      </c>
      <c r="BG21" s="44" t="str">
        <f t="shared" si="66"/>
        <v/>
      </c>
      <c r="BH21" s="9">
        <f t="shared" si="67"/>
        <v>0</v>
      </c>
      <c r="BI21" s="41" t="b">
        <f t="shared" si="68"/>
        <v>0</v>
      </c>
      <c r="BJ21" s="43">
        <f t="shared" si="69"/>
        <v>5</v>
      </c>
      <c r="BK21" s="43">
        <f t="shared" si="70"/>
        <v>7</v>
      </c>
      <c r="BL21" s="44">
        <f t="shared" si="71"/>
        <v>12</v>
      </c>
      <c r="BM21" s="9">
        <f t="shared" si="72"/>
        <v>2</v>
      </c>
      <c r="BN21" s="41" t="b">
        <f t="shared" si="73"/>
        <v>1</v>
      </c>
      <c r="BO21" s="40"/>
      <c r="BP21" s="40"/>
      <c r="BQ21" s="40"/>
    </row>
    <row r="22" hidden="1">
      <c r="A22" s="40"/>
      <c r="B22" s="40"/>
      <c r="C22" s="42">
        <f t="shared" si="13"/>
        <v>0</v>
      </c>
      <c r="D22" s="40"/>
      <c r="E22" s="40"/>
      <c r="F22" s="40"/>
      <c r="G22" s="43">
        <f t="shared" si="14"/>
        <v>3</v>
      </c>
      <c r="H22" s="43">
        <f t="shared" si="15"/>
        <v>3</v>
      </c>
      <c r="I22" s="44">
        <f t="shared" si="16"/>
        <v>6</v>
      </c>
      <c r="J22" s="45">
        <f t="shared" si="17"/>
        <v>1</v>
      </c>
      <c r="K22" s="41" t="b">
        <f t="shared" si="18"/>
        <v>1</v>
      </c>
      <c r="L22" s="43">
        <f t="shared" si="19"/>
        <v>7</v>
      </c>
      <c r="M22" s="43">
        <f t="shared" si="20"/>
        <v>6</v>
      </c>
      <c r="N22" s="44">
        <f t="shared" si="21"/>
        <v>13</v>
      </c>
      <c r="O22" s="9">
        <f t="shared" si="22"/>
        <v>3</v>
      </c>
      <c r="P22" s="41" t="b">
        <f t="shared" si="23"/>
        <v>1</v>
      </c>
      <c r="Q22" s="43">
        <f t="shared" si="24"/>
        <v>7</v>
      </c>
      <c r="R22" s="43">
        <f t="shared" si="25"/>
        <v>4</v>
      </c>
      <c r="S22" s="44">
        <f t="shared" si="26"/>
        <v>11</v>
      </c>
      <c r="T22" s="9">
        <f t="shared" si="27"/>
        <v>1</v>
      </c>
      <c r="U22" s="41" t="b">
        <f t="shared" si="28"/>
        <v>1</v>
      </c>
      <c r="V22" s="43">
        <f t="shared" si="29"/>
        <v>14</v>
      </c>
      <c r="W22" s="43">
        <f t="shared" si="30"/>
        <v>13</v>
      </c>
      <c r="X22" s="44">
        <f t="shared" si="31"/>
        <v>27</v>
      </c>
      <c r="Y22" s="9">
        <f t="shared" si="32"/>
        <v>1</v>
      </c>
      <c r="Z22" s="41" t="b">
        <f t="shared" si="33"/>
        <v>1</v>
      </c>
      <c r="AA22" s="43">
        <f t="shared" si="34"/>
        <v>4</v>
      </c>
      <c r="AB22" s="43">
        <f t="shared" si="35"/>
        <v>6</v>
      </c>
      <c r="AC22" s="44">
        <f t="shared" si="36"/>
        <v>10</v>
      </c>
      <c r="AD22" s="9">
        <f t="shared" si="37"/>
        <v>1</v>
      </c>
      <c r="AE22" s="41" t="b">
        <f t="shared" si="38"/>
        <v>1</v>
      </c>
      <c r="AF22" s="43">
        <f t="shared" si="39"/>
        <v>0</v>
      </c>
      <c r="AG22" s="43">
        <f t="shared" si="40"/>
        <v>0</v>
      </c>
      <c r="AH22" s="44">
        <f t="shared" si="41"/>
        <v>0</v>
      </c>
      <c r="AI22" s="9">
        <f t="shared" si="42"/>
        <v>6</v>
      </c>
      <c r="AJ22" s="41" t="b">
        <f t="shared" si="43"/>
        <v>1</v>
      </c>
      <c r="AK22" s="43">
        <f t="shared" si="44"/>
        <v>10</v>
      </c>
      <c r="AL22" s="43">
        <f t="shared" si="45"/>
        <v>10</v>
      </c>
      <c r="AM22" s="44">
        <f t="shared" si="46"/>
        <v>20</v>
      </c>
      <c r="AN22" s="9">
        <f t="shared" si="47"/>
        <v>1</v>
      </c>
      <c r="AO22" s="41" t="b">
        <f t="shared" si="48"/>
        <v>1</v>
      </c>
      <c r="AP22" s="43">
        <f t="shared" si="49"/>
        <v>0</v>
      </c>
      <c r="AQ22" s="43">
        <f t="shared" si="50"/>
        <v>10</v>
      </c>
      <c r="AR22" s="44">
        <f t="shared" si="51"/>
        <v>10</v>
      </c>
      <c r="AS22" s="9">
        <f t="shared" si="52"/>
        <v>1</v>
      </c>
      <c r="AT22" s="41" t="b">
        <f t="shared" si="53"/>
        <v>1</v>
      </c>
      <c r="AU22" s="43">
        <f t="shared" si="54"/>
        <v>14</v>
      </c>
      <c r="AV22" s="43">
        <f t="shared" si="55"/>
        <v>13</v>
      </c>
      <c r="AW22" s="44">
        <f t="shared" si="56"/>
        <v>27</v>
      </c>
      <c r="AX22" s="9">
        <f t="shared" si="57"/>
        <v>1</v>
      </c>
      <c r="AY22" s="41" t="b">
        <f t="shared" si="58"/>
        <v>1</v>
      </c>
      <c r="AZ22" s="43">
        <f t="shared" si="59"/>
        <v>1</v>
      </c>
      <c r="BA22" s="43">
        <f t="shared" si="60"/>
        <v>0</v>
      </c>
      <c r="BB22" s="44">
        <f t="shared" si="61"/>
        <v>1</v>
      </c>
      <c r="BC22" s="9">
        <f t="shared" si="62"/>
        <v>1</v>
      </c>
      <c r="BD22" s="41" t="b">
        <f t="shared" si="63"/>
        <v>1</v>
      </c>
      <c r="BE22" s="43" t="str">
        <f t="shared" si="64"/>
        <v/>
      </c>
      <c r="BF22" s="43" t="str">
        <f t="shared" si="65"/>
        <v/>
      </c>
      <c r="BG22" s="44" t="str">
        <f t="shared" si="66"/>
        <v/>
      </c>
      <c r="BH22" s="9">
        <f t="shared" si="67"/>
        <v>0</v>
      </c>
      <c r="BI22" s="41" t="b">
        <f t="shared" si="68"/>
        <v>0</v>
      </c>
      <c r="BJ22" s="43">
        <f t="shared" si="69"/>
        <v>7</v>
      </c>
      <c r="BK22" s="43">
        <f t="shared" si="70"/>
        <v>4</v>
      </c>
      <c r="BL22" s="44">
        <f t="shared" si="71"/>
        <v>11</v>
      </c>
      <c r="BM22" s="9">
        <f t="shared" si="72"/>
        <v>1</v>
      </c>
      <c r="BN22" s="41" t="b">
        <f t="shared" si="73"/>
        <v>1</v>
      </c>
      <c r="BO22" s="40"/>
      <c r="BP22" s="40"/>
      <c r="BQ22" s="40"/>
    </row>
    <row r="23" hidden="1">
      <c r="A23" s="40"/>
      <c r="B23" s="40"/>
      <c r="C23" s="42">
        <f t="shared" si="13"/>
        <v>10</v>
      </c>
      <c r="D23" s="40"/>
      <c r="E23" s="40"/>
      <c r="F23" s="40"/>
      <c r="G23" s="43" t="str">
        <f t="shared" si="14"/>
        <v/>
      </c>
      <c r="H23" s="43" t="str">
        <f t="shared" si="15"/>
        <v/>
      </c>
      <c r="I23" s="44" t="str">
        <f t="shared" si="16"/>
        <v/>
      </c>
      <c r="J23" s="45">
        <f t="shared" si="17"/>
        <v>0</v>
      </c>
      <c r="K23" s="41" t="b">
        <f t="shared" si="18"/>
        <v>0</v>
      </c>
      <c r="L23" s="43" t="str">
        <f t="shared" si="19"/>
        <v/>
      </c>
      <c r="M23" s="43" t="str">
        <f t="shared" si="20"/>
        <v/>
      </c>
      <c r="N23" s="44" t="str">
        <f t="shared" si="21"/>
        <v/>
      </c>
      <c r="O23" s="9">
        <f t="shared" si="22"/>
        <v>0</v>
      </c>
      <c r="P23" s="41" t="b">
        <f t="shared" si="23"/>
        <v>0</v>
      </c>
      <c r="Q23" s="43" t="str">
        <f t="shared" si="24"/>
        <v/>
      </c>
      <c r="R23" s="43" t="str">
        <f t="shared" si="25"/>
        <v/>
      </c>
      <c r="S23" s="44" t="str">
        <f t="shared" si="26"/>
        <v/>
      </c>
      <c r="T23" s="9">
        <f t="shared" si="27"/>
        <v>0</v>
      </c>
      <c r="U23" s="41" t="b">
        <f t="shared" si="28"/>
        <v>0</v>
      </c>
      <c r="V23" s="43" t="str">
        <f t="shared" si="29"/>
        <v/>
      </c>
      <c r="W23" s="43" t="str">
        <f t="shared" si="30"/>
        <v/>
      </c>
      <c r="X23" s="44" t="str">
        <f t="shared" si="31"/>
        <v/>
      </c>
      <c r="Y23" s="9">
        <f t="shared" si="32"/>
        <v>0</v>
      </c>
      <c r="Z23" s="41" t="b">
        <f t="shared" si="33"/>
        <v>0</v>
      </c>
      <c r="AA23" s="43">
        <f t="shared" si="34"/>
        <v>7</v>
      </c>
      <c r="AB23" s="43">
        <f t="shared" si="35"/>
        <v>3</v>
      </c>
      <c r="AC23" s="44">
        <f t="shared" si="36"/>
        <v>10</v>
      </c>
      <c r="AD23" s="9">
        <f t="shared" si="37"/>
        <v>2</v>
      </c>
      <c r="AE23" s="41" t="b">
        <f t="shared" si="38"/>
        <v>1</v>
      </c>
      <c r="AF23" s="43">
        <f t="shared" si="39"/>
        <v>17</v>
      </c>
      <c r="AG23" s="43">
        <f t="shared" si="40"/>
        <v>3</v>
      </c>
      <c r="AH23" s="44">
        <f t="shared" si="41"/>
        <v>20</v>
      </c>
      <c r="AI23" s="9">
        <f t="shared" si="42"/>
        <v>1</v>
      </c>
      <c r="AJ23" s="41" t="b">
        <f t="shared" si="43"/>
        <v>1</v>
      </c>
      <c r="AK23" s="43">
        <f t="shared" si="44"/>
        <v>7</v>
      </c>
      <c r="AL23" s="43">
        <f t="shared" si="45"/>
        <v>6</v>
      </c>
      <c r="AM23" s="44">
        <f t="shared" si="46"/>
        <v>13</v>
      </c>
      <c r="AN23" s="9">
        <f t="shared" si="47"/>
        <v>1</v>
      </c>
      <c r="AO23" s="41" t="b">
        <f t="shared" si="48"/>
        <v>1</v>
      </c>
      <c r="AP23" s="43">
        <f t="shared" si="49"/>
        <v>18</v>
      </c>
      <c r="AQ23" s="43">
        <f t="shared" si="50"/>
        <v>3</v>
      </c>
      <c r="AR23" s="44">
        <f t="shared" si="51"/>
        <v>21</v>
      </c>
      <c r="AS23" s="9">
        <f t="shared" si="52"/>
        <v>1</v>
      </c>
      <c r="AT23" s="41" t="b">
        <f t="shared" si="53"/>
        <v>1</v>
      </c>
      <c r="AU23" s="43">
        <f t="shared" si="54"/>
        <v>7</v>
      </c>
      <c r="AV23" s="43">
        <f t="shared" si="55"/>
        <v>6</v>
      </c>
      <c r="AW23" s="44">
        <f t="shared" si="56"/>
        <v>13</v>
      </c>
      <c r="AX23" s="9">
        <f t="shared" si="57"/>
        <v>1</v>
      </c>
      <c r="AY23" s="41" t="b">
        <f t="shared" si="58"/>
        <v>1</v>
      </c>
      <c r="AZ23" s="43">
        <f t="shared" si="59"/>
        <v>17</v>
      </c>
      <c r="BA23" s="43">
        <f t="shared" si="60"/>
        <v>3</v>
      </c>
      <c r="BB23" s="44">
        <f t="shared" si="61"/>
        <v>20</v>
      </c>
      <c r="BC23" s="9">
        <f t="shared" si="62"/>
        <v>1</v>
      </c>
      <c r="BD23" s="41" t="b">
        <f t="shared" si="63"/>
        <v>1</v>
      </c>
      <c r="BE23" s="43" t="str">
        <f t="shared" si="64"/>
        <v/>
      </c>
      <c r="BF23" s="43" t="str">
        <f t="shared" si="65"/>
        <v/>
      </c>
      <c r="BG23" s="44" t="str">
        <f t="shared" si="66"/>
        <v/>
      </c>
      <c r="BH23" s="9">
        <f t="shared" si="67"/>
        <v>0</v>
      </c>
      <c r="BI23" s="41" t="b">
        <f t="shared" si="68"/>
        <v>0</v>
      </c>
      <c r="BJ23" s="43" t="str">
        <f t="shared" si="69"/>
        <v/>
      </c>
      <c r="BK23" s="43" t="str">
        <f t="shared" si="70"/>
        <v/>
      </c>
      <c r="BL23" s="44" t="str">
        <f t="shared" si="71"/>
        <v/>
      </c>
      <c r="BM23" s="9">
        <f t="shared" si="72"/>
        <v>0</v>
      </c>
      <c r="BN23" s="41" t="b">
        <f t="shared" si="73"/>
        <v>0</v>
      </c>
      <c r="BO23" s="40"/>
      <c r="BP23" s="40"/>
      <c r="BQ23" s="40"/>
    </row>
    <row r="24" hidden="1">
      <c r="A24" s="40"/>
      <c r="B24" s="40"/>
      <c r="C24" s="42">
        <f t="shared" si="13"/>
        <v>0</v>
      </c>
      <c r="D24" s="40"/>
      <c r="E24" s="40"/>
      <c r="F24" s="40"/>
      <c r="G24" s="43">
        <f t="shared" si="14"/>
        <v>1</v>
      </c>
      <c r="H24" s="43">
        <f t="shared" si="15"/>
        <v>0</v>
      </c>
      <c r="I24" s="44">
        <f t="shared" si="16"/>
        <v>1</v>
      </c>
      <c r="J24" s="45">
        <f t="shared" si="17"/>
        <v>1</v>
      </c>
      <c r="K24" s="41" t="b">
        <f t="shared" si="18"/>
        <v>1</v>
      </c>
      <c r="L24" s="43" t="str">
        <f t="shared" si="19"/>
        <v/>
      </c>
      <c r="M24" s="43" t="str">
        <f t="shared" si="20"/>
        <v/>
      </c>
      <c r="N24" s="44" t="str">
        <f t="shared" si="21"/>
        <v/>
      </c>
      <c r="O24" s="9">
        <f t="shared" si="22"/>
        <v>0</v>
      </c>
      <c r="P24" s="41" t="b">
        <f t="shared" si="23"/>
        <v>0</v>
      </c>
      <c r="Q24" s="43">
        <f t="shared" si="24"/>
        <v>4</v>
      </c>
      <c r="R24" s="43">
        <f t="shared" si="25"/>
        <v>4</v>
      </c>
      <c r="S24" s="44">
        <f t="shared" si="26"/>
        <v>8</v>
      </c>
      <c r="T24" s="9">
        <f t="shared" si="27"/>
        <v>1</v>
      </c>
      <c r="U24" s="41" t="b">
        <f t="shared" si="28"/>
        <v>1</v>
      </c>
      <c r="V24" s="43" t="str">
        <f t="shared" si="29"/>
        <v/>
      </c>
      <c r="W24" s="43" t="str">
        <f t="shared" si="30"/>
        <v/>
      </c>
      <c r="X24" s="44" t="str">
        <f t="shared" si="31"/>
        <v/>
      </c>
      <c r="Y24" s="9">
        <f t="shared" si="32"/>
        <v>0</v>
      </c>
      <c r="Z24" s="41" t="b">
        <f t="shared" si="33"/>
        <v>0</v>
      </c>
      <c r="AA24" s="43">
        <f t="shared" si="34"/>
        <v>11</v>
      </c>
      <c r="AB24" s="43">
        <f t="shared" si="35"/>
        <v>3</v>
      </c>
      <c r="AC24" s="44">
        <f t="shared" si="36"/>
        <v>14</v>
      </c>
      <c r="AD24" s="9">
        <f t="shared" si="37"/>
        <v>1</v>
      </c>
      <c r="AE24" s="41" t="b">
        <f t="shared" si="38"/>
        <v>1</v>
      </c>
      <c r="AF24" s="43">
        <f t="shared" si="39"/>
        <v>6</v>
      </c>
      <c r="AG24" s="43">
        <f t="shared" si="40"/>
        <v>10</v>
      </c>
      <c r="AH24" s="44">
        <f t="shared" si="41"/>
        <v>16</v>
      </c>
      <c r="AI24" s="9">
        <f t="shared" si="42"/>
        <v>1</v>
      </c>
      <c r="AJ24" s="41" t="b">
        <f t="shared" si="43"/>
        <v>1</v>
      </c>
      <c r="AK24" s="43">
        <f t="shared" si="44"/>
        <v>1</v>
      </c>
      <c r="AL24" s="43">
        <f t="shared" si="45"/>
        <v>0</v>
      </c>
      <c r="AM24" s="44">
        <f t="shared" si="46"/>
        <v>1</v>
      </c>
      <c r="AN24" s="9">
        <f t="shared" si="47"/>
        <v>1</v>
      </c>
      <c r="AO24" s="41" t="b">
        <f t="shared" si="48"/>
        <v>1</v>
      </c>
      <c r="AP24" s="43">
        <f t="shared" si="49"/>
        <v>0</v>
      </c>
      <c r="AQ24" s="43">
        <f t="shared" si="50"/>
        <v>0</v>
      </c>
      <c r="AR24" s="44">
        <f t="shared" si="51"/>
        <v>0</v>
      </c>
      <c r="AS24" s="9">
        <f t="shared" si="52"/>
        <v>6</v>
      </c>
      <c r="AT24" s="41" t="b">
        <f t="shared" si="53"/>
        <v>1</v>
      </c>
      <c r="AU24" s="43">
        <f t="shared" si="54"/>
        <v>10</v>
      </c>
      <c r="AV24" s="43">
        <f t="shared" si="55"/>
        <v>10</v>
      </c>
      <c r="AW24" s="44">
        <f t="shared" si="56"/>
        <v>20</v>
      </c>
      <c r="AX24" s="9">
        <f t="shared" si="57"/>
        <v>1</v>
      </c>
      <c r="AY24" s="41" t="b">
        <f t="shared" si="58"/>
        <v>1</v>
      </c>
      <c r="AZ24" s="43">
        <f t="shared" si="59"/>
        <v>3</v>
      </c>
      <c r="BA24" s="43">
        <f t="shared" si="60"/>
        <v>3</v>
      </c>
      <c r="BB24" s="44">
        <f t="shared" si="61"/>
        <v>6</v>
      </c>
      <c r="BC24" s="9">
        <f t="shared" si="62"/>
        <v>1</v>
      </c>
      <c r="BD24" s="41" t="b">
        <f t="shared" si="63"/>
        <v>1</v>
      </c>
      <c r="BE24" s="43" t="str">
        <f t="shared" si="64"/>
        <v/>
      </c>
      <c r="BF24" s="43" t="str">
        <f t="shared" si="65"/>
        <v/>
      </c>
      <c r="BG24" s="44" t="str">
        <f t="shared" si="66"/>
        <v/>
      </c>
      <c r="BH24" s="9">
        <f t="shared" si="67"/>
        <v>0</v>
      </c>
      <c r="BI24" s="41" t="b">
        <f t="shared" si="68"/>
        <v>0</v>
      </c>
      <c r="BJ24" s="43">
        <f t="shared" si="69"/>
        <v>8</v>
      </c>
      <c r="BK24" s="43">
        <f t="shared" si="70"/>
        <v>4</v>
      </c>
      <c r="BL24" s="44">
        <f t="shared" si="71"/>
        <v>12</v>
      </c>
      <c r="BM24" s="9">
        <f t="shared" si="72"/>
        <v>3</v>
      </c>
      <c r="BN24" s="41" t="b">
        <f t="shared" si="73"/>
        <v>1</v>
      </c>
      <c r="BO24" s="40"/>
      <c r="BP24" s="40"/>
      <c r="BQ24" s="40"/>
    </row>
    <row r="25" hidden="1">
      <c r="A25" s="40"/>
      <c r="B25" s="40"/>
      <c r="C25" s="42">
        <f t="shared" si="13"/>
        <v>4</v>
      </c>
      <c r="D25" s="40"/>
      <c r="E25" s="40"/>
      <c r="F25" s="40"/>
      <c r="G25" s="43" t="str">
        <f t="shared" si="14"/>
        <v/>
      </c>
      <c r="H25" s="43" t="str">
        <f t="shared" si="15"/>
        <v/>
      </c>
      <c r="I25" s="44" t="str">
        <f t="shared" si="16"/>
        <v/>
      </c>
      <c r="J25" s="45">
        <f t="shared" si="17"/>
        <v>0</v>
      </c>
      <c r="K25" s="41" t="b">
        <f t="shared" si="18"/>
        <v>0</v>
      </c>
      <c r="L25" s="43" t="str">
        <f t="shared" si="19"/>
        <v/>
      </c>
      <c r="M25" s="43" t="str">
        <f t="shared" si="20"/>
        <v/>
      </c>
      <c r="N25" s="44" t="str">
        <f t="shared" si="21"/>
        <v/>
      </c>
      <c r="O25" s="9">
        <f t="shared" si="22"/>
        <v>0</v>
      </c>
      <c r="P25" s="41" t="b">
        <f t="shared" si="23"/>
        <v>0</v>
      </c>
      <c r="Q25" s="43" t="str">
        <f t="shared" si="24"/>
        <v/>
      </c>
      <c r="R25" s="43" t="str">
        <f t="shared" si="25"/>
        <v/>
      </c>
      <c r="S25" s="44" t="str">
        <f t="shared" si="26"/>
        <v/>
      </c>
      <c r="T25" s="9">
        <f t="shared" si="27"/>
        <v>0</v>
      </c>
      <c r="U25" s="41" t="b">
        <f t="shared" si="28"/>
        <v>0</v>
      </c>
      <c r="V25" s="43">
        <f t="shared" si="29"/>
        <v>4</v>
      </c>
      <c r="W25" s="43">
        <f t="shared" si="30"/>
        <v>5</v>
      </c>
      <c r="X25" s="44">
        <f t="shared" si="31"/>
        <v>9</v>
      </c>
      <c r="Y25" s="9">
        <f t="shared" si="32"/>
        <v>1</v>
      </c>
      <c r="Z25" s="41" t="b">
        <f t="shared" si="33"/>
        <v>1</v>
      </c>
      <c r="AA25" s="43" t="str">
        <f t="shared" si="34"/>
        <v/>
      </c>
      <c r="AB25" s="43" t="str">
        <f t="shared" si="35"/>
        <v/>
      </c>
      <c r="AC25" s="44" t="str">
        <f t="shared" si="36"/>
        <v/>
      </c>
      <c r="AD25" s="9">
        <f t="shared" si="37"/>
        <v>0</v>
      </c>
      <c r="AE25" s="41" t="b">
        <f t="shared" si="38"/>
        <v>0</v>
      </c>
      <c r="AF25" s="43">
        <f t="shared" si="39"/>
        <v>2</v>
      </c>
      <c r="AG25" s="43">
        <f t="shared" si="40"/>
        <v>2</v>
      </c>
      <c r="AH25" s="44">
        <f t="shared" si="41"/>
        <v>4</v>
      </c>
      <c r="AI25" s="9">
        <f t="shared" si="42"/>
        <v>1.5</v>
      </c>
      <c r="AJ25" s="41" t="b">
        <f t="shared" si="43"/>
        <v>1</v>
      </c>
      <c r="AK25" s="43" t="str">
        <f t="shared" si="44"/>
        <v/>
      </c>
      <c r="AL25" s="43" t="str">
        <f t="shared" si="45"/>
        <v/>
      </c>
      <c r="AM25" s="44" t="str">
        <f t="shared" si="46"/>
        <v/>
      </c>
      <c r="AN25" s="9">
        <f t="shared" si="47"/>
        <v>0</v>
      </c>
      <c r="AO25" s="41" t="b">
        <f t="shared" si="48"/>
        <v>0</v>
      </c>
      <c r="AP25" s="43" t="str">
        <f t="shared" si="49"/>
        <v/>
      </c>
      <c r="AQ25" s="43" t="str">
        <f t="shared" si="50"/>
        <v/>
      </c>
      <c r="AR25" s="44" t="str">
        <f t="shared" si="51"/>
        <v/>
      </c>
      <c r="AS25" s="9">
        <f t="shared" si="52"/>
        <v>0</v>
      </c>
      <c r="AT25" s="41" t="b">
        <f t="shared" si="53"/>
        <v>0</v>
      </c>
      <c r="AU25" s="43" t="str">
        <f t="shared" si="54"/>
        <v/>
      </c>
      <c r="AV25" s="43" t="str">
        <f t="shared" si="55"/>
        <v/>
      </c>
      <c r="AW25" s="44" t="str">
        <f t="shared" si="56"/>
        <v/>
      </c>
      <c r="AX25" s="9">
        <f t="shared" si="57"/>
        <v>0</v>
      </c>
      <c r="AY25" s="41" t="b">
        <f t="shared" si="58"/>
        <v>0</v>
      </c>
      <c r="AZ25" s="43" t="str">
        <f t="shared" si="59"/>
        <v/>
      </c>
      <c r="BA25" s="43" t="str">
        <f t="shared" si="60"/>
        <v/>
      </c>
      <c r="BB25" s="44" t="str">
        <f t="shared" si="61"/>
        <v/>
      </c>
      <c r="BC25" s="9">
        <f t="shared" si="62"/>
        <v>0</v>
      </c>
      <c r="BD25" s="41" t="b">
        <f t="shared" si="63"/>
        <v>0</v>
      </c>
      <c r="BE25" s="43">
        <f t="shared" si="64"/>
        <v>2</v>
      </c>
      <c r="BF25" s="43">
        <f t="shared" si="65"/>
        <v>2</v>
      </c>
      <c r="BG25" s="44">
        <f t="shared" si="66"/>
        <v>4</v>
      </c>
      <c r="BH25" s="9">
        <f t="shared" si="67"/>
        <v>1.5</v>
      </c>
      <c r="BI25" s="41" t="b">
        <f t="shared" si="68"/>
        <v>1</v>
      </c>
      <c r="BJ25" s="43" t="str">
        <f t="shared" si="69"/>
        <v/>
      </c>
      <c r="BK25" s="43" t="str">
        <f t="shared" si="70"/>
        <v/>
      </c>
      <c r="BL25" s="44" t="str">
        <f t="shared" si="71"/>
        <v/>
      </c>
      <c r="BM25" s="9">
        <f t="shared" si="72"/>
        <v>0</v>
      </c>
      <c r="BN25" s="41" t="b">
        <f t="shared" si="73"/>
        <v>0</v>
      </c>
      <c r="BO25" s="40"/>
      <c r="BP25" s="40"/>
      <c r="BQ25" s="40"/>
    </row>
    <row r="26" hidden="1">
      <c r="A26" s="40"/>
      <c r="B26" s="40"/>
      <c r="C26" s="42">
        <f t="shared" si="13"/>
        <v>0</v>
      </c>
      <c r="D26" s="40"/>
      <c r="E26" s="40"/>
      <c r="F26" s="40"/>
      <c r="G26" s="43" t="str">
        <f t="shared" si="14"/>
        <v/>
      </c>
      <c r="H26" s="43" t="str">
        <f t="shared" si="15"/>
        <v/>
      </c>
      <c r="I26" s="44" t="str">
        <f t="shared" si="16"/>
        <v/>
      </c>
      <c r="J26" s="45">
        <f t="shared" si="17"/>
        <v>0</v>
      </c>
      <c r="K26" s="41" t="b">
        <f t="shared" si="18"/>
        <v>0</v>
      </c>
      <c r="L26" s="43" t="str">
        <f t="shared" si="19"/>
        <v/>
      </c>
      <c r="M26" s="43" t="str">
        <f t="shared" si="20"/>
        <v/>
      </c>
      <c r="N26" s="44" t="str">
        <f t="shared" si="21"/>
        <v/>
      </c>
      <c r="O26" s="9">
        <f t="shared" si="22"/>
        <v>0</v>
      </c>
      <c r="P26" s="41" t="b">
        <f t="shared" si="23"/>
        <v>0</v>
      </c>
      <c r="Q26" s="43" t="str">
        <f t="shared" si="24"/>
        <v/>
      </c>
      <c r="R26" s="43" t="str">
        <f t="shared" si="25"/>
        <v/>
      </c>
      <c r="S26" s="44" t="str">
        <f t="shared" si="26"/>
        <v/>
      </c>
      <c r="T26" s="9">
        <f t="shared" si="27"/>
        <v>0</v>
      </c>
      <c r="U26" s="41" t="b">
        <f t="shared" si="28"/>
        <v>0</v>
      </c>
      <c r="V26" s="43" t="str">
        <f t="shared" si="29"/>
        <v/>
      </c>
      <c r="W26" s="43" t="str">
        <f t="shared" si="30"/>
        <v/>
      </c>
      <c r="X26" s="44" t="str">
        <f t="shared" si="31"/>
        <v/>
      </c>
      <c r="Y26" s="9">
        <f t="shared" si="32"/>
        <v>0</v>
      </c>
      <c r="Z26" s="41" t="b">
        <f t="shared" si="33"/>
        <v>0</v>
      </c>
      <c r="AA26" s="43" t="str">
        <f t="shared" si="34"/>
        <v/>
      </c>
      <c r="AB26" s="43" t="str">
        <f t="shared" si="35"/>
        <v/>
      </c>
      <c r="AC26" s="44" t="str">
        <f t="shared" si="36"/>
        <v/>
      </c>
      <c r="AD26" s="9">
        <f t="shared" si="37"/>
        <v>0</v>
      </c>
      <c r="AE26" s="41" t="b">
        <f t="shared" si="38"/>
        <v>0</v>
      </c>
      <c r="AF26" s="43" t="str">
        <f t="shared" si="39"/>
        <v/>
      </c>
      <c r="AG26" s="43" t="str">
        <f t="shared" si="40"/>
        <v/>
      </c>
      <c r="AH26" s="44" t="str">
        <f t="shared" si="41"/>
        <v/>
      </c>
      <c r="AI26" s="9">
        <f t="shared" si="42"/>
        <v>0</v>
      </c>
      <c r="AJ26" s="41" t="b">
        <f t="shared" si="43"/>
        <v>0</v>
      </c>
      <c r="AK26" s="43" t="str">
        <f t="shared" si="44"/>
        <v/>
      </c>
      <c r="AL26" s="43" t="str">
        <f t="shared" si="45"/>
        <v/>
      </c>
      <c r="AM26" s="44" t="str">
        <f t="shared" si="46"/>
        <v/>
      </c>
      <c r="AN26" s="9">
        <f t="shared" si="47"/>
        <v>0</v>
      </c>
      <c r="AO26" s="41" t="b">
        <f t="shared" si="48"/>
        <v>0</v>
      </c>
      <c r="AP26" s="43" t="str">
        <f t="shared" si="49"/>
        <v/>
      </c>
      <c r="AQ26" s="43" t="str">
        <f t="shared" si="50"/>
        <v/>
      </c>
      <c r="AR26" s="44" t="str">
        <f t="shared" si="51"/>
        <v/>
      </c>
      <c r="AS26" s="9">
        <f t="shared" si="52"/>
        <v>0</v>
      </c>
      <c r="AT26" s="41" t="b">
        <f t="shared" si="53"/>
        <v>0</v>
      </c>
      <c r="AU26" s="43" t="str">
        <f t="shared" si="54"/>
        <v/>
      </c>
      <c r="AV26" s="43" t="str">
        <f t="shared" si="55"/>
        <v/>
      </c>
      <c r="AW26" s="44" t="str">
        <f t="shared" si="56"/>
        <v/>
      </c>
      <c r="AX26" s="9">
        <f t="shared" si="57"/>
        <v>0</v>
      </c>
      <c r="AY26" s="41" t="b">
        <f t="shared" si="58"/>
        <v>0</v>
      </c>
      <c r="AZ26" s="43" t="str">
        <f t="shared" si="59"/>
        <v/>
      </c>
      <c r="BA26" s="43" t="str">
        <f t="shared" si="60"/>
        <v/>
      </c>
      <c r="BB26" s="44" t="str">
        <f t="shared" si="61"/>
        <v/>
      </c>
      <c r="BC26" s="9">
        <f t="shared" si="62"/>
        <v>0</v>
      </c>
      <c r="BD26" s="41" t="b">
        <f t="shared" si="63"/>
        <v>0</v>
      </c>
      <c r="BE26" s="43" t="str">
        <f t="shared" si="64"/>
        <v/>
      </c>
      <c r="BF26" s="43" t="str">
        <f t="shared" si="65"/>
        <v/>
      </c>
      <c r="BG26" s="44" t="str">
        <f t="shared" si="66"/>
        <v/>
      </c>
      <c r="BH26" s="9">
        <f t="shared" si="67"/>
        <v>0</v>
      </c>
      <c r="BI26" s="41" t="b">
        <f t="shared" si="68"/>
        <v>0</v>
      </c>
      <c r="BJ26" s="43" t="str">
        <f t="shared" si="69"/>
        <v/>
      </c>
      <c r="BK26" s="43" t="str">
        <f t="shared" si="70"/>
        <v/>
      </c>
      <c r="BL26" s="44" t="str">
        <f t="shared" si="71"/>
        <v/>
      </c>
      <c r="BM26" s="9">
        <f t="shared" si="72"/>
        <v>0</v>
      </c>
      <c r="BN26" s="41" t="b">
        <f t="shared" si="73"/>
        <v>0</v>
      </c>
      <c r="BO26" s="40"/>
      <c r="BP26" s="40"/>
      <c r="BQ26" s="40"/>
    </row>
    <row r="27" hidden="1">
      <c r="A27" s="40"/>
      <c r="B27" s="40"/>
      <c r="C27" s="42">
        <f t="shared" si="13"/>
        <v>10</v>
      </c>
      <c r="D27" s="40"/>
      <c r="E27" s="40"/>
      <c r="F27" s="40"/>
      <c r="G27" s="43" t="str">
        <f t="shared" si="14"/>
        <v/>
      </c>
      <c r="H27" s="43" t="str">
        <f t="shared" si="15"/>
        <v/>
      </c>
      <c r="I27" s="44" t="str">
        <f t="shared" si="16"/>
        <v/>
      </c>
      <c r="J27" s="45">
        <f t="shared" si="17"/>
        <v>0</v>
      </c>
      <c r="K27" s="41" t="b">
        <f t="shared" si="18"/>
        <v>0</v>
      </c>
      <c r="L27" s="43" t="str">
        <f t="shared" si="19"/>
        <v/>
      </c>
      <c r="M27" s="43" t="str">
        <f t="shared" si="20"/>
        <v/>
      </c>
      <c r="N27" s="44" t="str">
        <f t="shared" si="21"/>
        <v/>
      </c>
      <c r="O27" s="9">
        <f t="shared" si="22"/>
        <v>0</v>
      </c>
      <c r="P27" s="41" t="b">
        <f t="shared" si="23"/>
        <v>0</v>
      </c>
      <c r="Q27" s="43" t="str">
        <f t="shared" si="24"/>
        <v/>
      </c>
      <c r="R27" s="43" t="str">
        <f t="shared" si="25"/>
        <v/>
      </c>
      <c r="S27" s="44" t="str">
        <f t="shared" si="26"/>
        <v/>
      </c>
      <c r="T27" s="9">
        <f t="shared" si="27"/>
        <v>0</v>
      </c>
      <c r="U27" s="41" t="b">
        <f t="shared" si="28"/>
        <v>0</v>
      </c>
      <c r="V27" s="43">
        <f t="shared" si="29"/>
        <v>3</v>
      </c>
      <c r="W27" s="43">
        <f t="shared" si="30"/>
        <v>8</v>
      </c>
      <c r="X27" s="44">
        <f t="shared" si="31"/>
        <v>11</v>
      </c>
      <c r="Y27" s="9">
        <f t="shared" si="32"/>
        <v>3</v>
      </c>
      <c r="Z27" s="41" t="b">
        <f t="shared" si="33"/>
        <v>1</v>
      </c>
      <c r="AA27" s="43">
        <f t="shared" si="34"/>
        <v>6</v>
      </c>
      <c r="AB27" s="43">
        <f t="shared" si="35"/>
        <v>4</v>
      </c>
      <c r="AC27" s="44">
        <f t="shared" si="36"/>
        <v>10</v>
      </c>
      <c r="AD27" s="9">
        <f t="shared" si="37"/>
        <v>4.5</v>
      </c>
      <c r="AE27" s="41" t="b">
        <f t="shared" si="38"/>
        <v>1</v>
      </c>
      <c r="AF27" s="43">
        <f t="shared" si="39"/>
        <v>3</v>
      </c>
      <c r="AG27" s="43">
        <f t="shared" si="40"/>
        <v>8</v>
      </c>
      <c r="AH27" s="44">
        <f t="shared" si="41"/>
        <v>11</v>
      </c>
      <c r="AI27" s="9">
        <f t="shared" si="42"/>
        <v>1</v>
      </c>
      <c r="AJ27" s="41" t="b">
        <f t="shared" si="43"/>
        <v>1</v>
      </c>
      <c r="AK27" s="43">
        <f t="shared" si="44"/>
        <v>6</v>
      </c>
      <c r="AL27" s="43">
        <f t="shared" si="45"/>
        <v>4</v>
      </c>
      <c r="AM27" s="44">
        <f t="shared" si="46"/>
        <v>10</v>
      </c>
      <c r="AN27" s="9">
        <f t="shared" si="47"/>
        <v>1.5</v>
      </c>
      <c r="AO27" s="41" t="b">
        <f t="shared" si="48"/>
        <v>1</v>
      </c>
      <c r="AP27" s="43" t="str">
        <f t="shared" si="49"/>
        <v/>
      </c>
      <c r="AQ27" s="43" t="str">
        <f t="shared" si="50"/>
        <v/>
      </c>
      <c r="AR27" s="44" t="str">
        <f t="shared" si="51"/>
        <v/>
      </c>
      <c r="AS27" s="9">
        <f t="shared" si="52"/>
        <v>0</v>
      </c>
      <c r="AT27" s="41" t="b">
        <f t="shared" si="53"/>
        <v>0</v>
      </c>
      <c r="AU27" s="43">
        <f t="shared" si="54"/>
        <v>1</v>
      </c>
      <c r="AV27" s="43">
        <f t="shared" si="55"/>
        <v>14</v>
      </c>
      <c r="AW27" s="44">
        <f t="shared" si="56"/>
        <v>15</v>
      </c>
      <c r="AX27" s="9">
        <f t="shared" si="57"/>
        <v>1</v>
      </c>
      <c r="AY27" s="41" t="b">
        <f t="shared" si="58"/>
        <v>1</v>
      </c>
      <c r="AZ27" s="43" t="str">
        <f t="shared" si="59"/>
        <v/>
      </c>
      <c r="BA27" s="43" t="str">
        <f t="shared" si="60"/>
        <v/>
      </c>
      <c r="BB27" s="44" t="str">
        <f t="shared" si="61"/>
        <v/>
      </c>
      <c r="BC27" s="9">
        <f t="shared" si="62"/>
        <v>0</v>
      </c>
      <c r="BD27" s="41" t="b">
        <f t="shared" si="63"/>
        <v>0</v>
      </c>
      <c r="BE27" s="43" t="str">
        <f t="shared" si="64"/>
        <v/>
      </c>
      <c r="BF27" s="43" t="str">
        <f t="shared" si="65"/>
        <v/>
      </c>
      <c r="BG27" s="44" t="str">
        <f t="shared" si="66"/>
        <v/>
      </c>
      <c r="BH27" s="9">
        <f t="shared" si="67"/>
        <v>0</v>
      </c>
      <c r="BI27" s="41" t="b">
        <f t="shared" si="68"/>
        <v>0</v>
      </c>
      <c r="BJ27" s="43">
        <f t="shared" si="69"/>
        <v>3</v>
      </c>
      <c r="BK27" s="43">
        <f t="shared" si="70"/>
        <v>8</v>
      </c>
      <c r="BL27" s="44">
        <f t="shared" si="71"/>
        <v>11</v>
      </c>
      <c r="BM27" s="9">
        <f t="shared" si="72"/>
        <v>1</v>
      </c>
      <c r="BN27" s="41" t="b">
        <f t="shared" si="73"/>
        <v>1</v>
      </c>
      <c r="BO27" s="40"/>
      <c r="BP27" s="40"/>
      <c r="BQ27" s="40"/>
    </row>
    <row r="28" hidden="1">
      <c r="A28" s="40"/>
      <c r="B28" s="40"/>
      <c r="C28" s="42">
        <f t="shared" si="13"/>
        <v>2</v>
      </c>
      <c r="D28" s="40"/>
      <c r="E28" s="40"/>
      <c r="F28" s="40"/>
      <c r="G28" s="43">
        <f t="shared" si="14"/>
        <v>7</v>
      </c>
      <c r="H28" s="43">
        <f t="shared" si="15"/>
        <v>3</v>
      </c>
      <c r="I28" s="44">
        <f t="shared" si="16"/>
        <v>10</v>
      </c>
      <c r="J28" s="45">
        <f t="shared" si="17"/>
        <v>1</v>
      </c>
      <c r="K28" s="41" t="b">
        <f t="shared" si="18"/>
        <v>1</v>
      </c>
      <c r="L28" s="43" t="str">
        <f t="shared" si="19"/>
        <v/>
      </c>
      <c r="M28" s="43" t="str">
        <f t="shared" si="20"/>
        <v/>
      </c>
      <c r="N28" s="44" t="str">
        <f t="shared" si="21"/>
        <v/>
      </c>
      <c r="O28" s="9">
        <f t="shared" si="22"/>
        <v>0</v>
      </c>
      <c r="P28" s="41" t="b">
        <f t="shared" si="23"/>
        <v>0</v>
      </c>
      <c r="Q28" s="43">
        <f t="shared" si="24"/>
        <v>7</v>
      </c>
      <c r="R28" s="43">
        <f t="shared" si="25"/>
        <v>3</v>
      </c>
      <c r="S28" s="44">
        <f t="shared" si="26"/>
        <v>10</v>
      </c>
      <c r="T28" s="9">
        <f t="shared" si="27"/>
        <v>1</v>
      </c>
      <c r="U28" s="41" t="b">
        <f t="shared" si="28"/>
        <v>1</v>
      </c>
      <c r="V28" s="43" t="str">
        <f t="shared" si="29"/>
        <v/>
      </c>
      <c r="W28" s="43" t="str">
        <f t="shared" si="30"/>
        <v/>
      </c>
      <c r="X28" s="44" t="str">
        <f t="shared" si="31"/>
        <v/>
      </c>
      <c r="Y28" s="9">
        <f t="shared" si="32"/>
        <v>0</v>
      </c>
      <c r="Z28" s="41" t="b">
        <f t="shared" si="33"/>
        <v>0</v>
      </c>
      <c r="AA28" s="43">
        <f t="shared" si="34"/>
        <v>1</v>
      </c>
      <c r="AB28" s="43">
        <f t="shared" si="35"/>
        <v>3</v>
      </c>
      <c r="AC28" s="44">
        <f t="shared" si="36"/>
        <v>4</v>
      </c>
      <c r="AD28" s="9">
        <f t="shared" si="37"/>
        <v>1</v>
      </c>
      <c r="AE28" s="41" t="b">
        <f t="shared" si="38"/>
        <v>1</v>
      </c>
      <c r="AF28" s="43">
        <f t="shared" si="39"/>
        <v>1</v>
      </c>
      <c r="AG28" s="43">
        <f t="shared" si="40"/>
        <v>3</v>
      </c>
      <c r="AH28" s="44">
        <f t="shared" si="41"/>
        <v>4</v>
      </c>
      <c r="AI28" s="9">
        <f t="shared" si="42"/>
        <v>1</v>
      </c>
      <c r="AJ28" s="41" t="b">
        <f t="shared" si="43"/>
        <v>1</v>
      </c>
      <c r="AK28" s="43">
        <f t="shared" si="44"/>
        <v>8</v>
      </c>
      <c r="AL28" s="43">
        <f t="shared" si="45"/>
        <v>4</v>
      </c>
      <c r="AM28" s="44">
        <f t="shared" si="46"/>
        <v>12</v>
      </c>
      <c r="AN28" s="9">
        <f t="shared" si="47"/>
        <v>1</v>
      </c>
      <c r="AO28" s="41" t="b">
        <f t="shared" si="48"/>
        <v>1</v>
      </c>
      <c r="AP28" s="43">
        <f t="shared" si="49"/>
        <v>4</v>
      </c>
      <c r="AQ28" s="43">
        <f t="shared" si="50"/>
        <v>3</v>
      </c>
      <c r="AR28" s="44">
        <f t="shared" si="51"/>
        <v>7</v>
      </c>
      <c r="AS28" s="9">
        <f t="shared" si="52"/>
        <v>1</v>
      </c>
      <c r="AT28" s="41" t="b">
        <f t="shared" si="53"/>
        <v>1</v>
      </c>
      <c r="AU28" s="43">
        <f t="shared" si="54"/>
        <v>1</v>
      </c>
      <c r="AV28" s="43">
        <f t="shared" si="55"/>
        <v>1</v>
      </c>
      <c r="AW28" s="44">
        <f t="shared" si="56"/>
        <v>2</v>
      </c>
      <c r="AX28" s="9">
        <f t="shared" si="57"/>
        <v>6</v>
      </c>
      <c r="AY28" s="41" t="b">
        <f t="shared" si="58"/>
        <v>1</v>
      </c>
      <c r="AZ28" s="43">
        <f t="shared" si="59"/>
        <v>7</v>
      </c>
      <c r="BA28" s="43">
        <f t="shared" si="60"/>
        <v>3</v>
      </c>
      <c r="BB28" s="44">
        <f t="shared" si="61"/>
        <v>10</v>
      </c>
      <c r="BC28" s="9">
        <f t="shared" si="62"/>
        <v>1</v>
      </c>
      <c r="BD28" s="41" t="b">
        <f t="shared" si="63"/>
        <v>1</v>
      </c>
      <c r="BE28" s="43">
        <f t="shared" si="64"/>
        <v>4</v>
      </c>
      <c r="BF28" s="43">
        <f t="shared" si="65"/>
        <v>1</v>
      </c>
      <c r="BG28" s="44">
        <f t="shared" si="66"/>
        <v>5</v>
      </c>
      <c r="BH28" s="9">
        <f t="shared" si="67"/>
        <v>3</v>
      </c>
      <c r="BI28" s="41" t="b">
        <f t="shared" si="68"/>
        <v>1</v>
      </c>
      <c r="BJ28" s="43" t="str">
        <f t="shared" si="69"/>
        <v/>
      </c>
      <c r="BK28" s="43" t="str">
        <f t="shared" si="70"/>
        <v/>
      </c>
      <c r="BL28" s="44" t="str">
        <f t="shared" si="71"/>
        <v/>
      </c>
      <c r="BM28" s="9">
        <f t="shared" si="72"/>
        <v>0</v>
      </c>
      <c r="BN28" s="41" t="b">
        <f t="shared" si="73"/>
        <v>0</v>
      </c>
      <c r="BO28" s="40"/>
      <c r="BP28" s="40"/>
      <c r="BQ28" s="40"/>
    </row>
    <row r="29" hidden="1">
      <c r="A29" s="40"/>
      <c r="B29" s="40"/>
      <c r="C29" s="42">
        <f t="shared" si="13"/>
        <v>15</v>
      </c>
      <c r="D29" s="40"/>
      <c r="E29" s="40"/>
      <c r="F29" s="40"/>
      <c r="G29" s="43" t="str">
        <f t="shared" si="14"/>
        <v/>
      </c>
      <c r="H29" s="43" t="str">
        <f t="shared" si="15"/>
        <v/>
      </c>
      <c r="I29" s="44" t="str">
        <f t="shared" si="16"/>
        <v/>
      </c>
      <c r="J29" s="45">
        <f t="shared" si="17"/>
        <v>0</v>
      </c>
      <c r="K29" s="41" t="b">
        <f t="shared" si="18"/>
        <v>0</v>
      </c>
      <c r="L29" s="43" t="str">
        <f t="shared" si="19"/>
        <v/>
      </c>
      <c r="M29" s="43" t="str">
        <f t="shared" si="20"/>
        <v/>
      </c>
      <c r="N29" s="44" t="str">
        <f t="shared" si="21"/>
        <v/>
      </c>
      <c r="O29" s="9">
        <f t="shared" si="22"/>
        <v>0</v>
      </c>
      <c r="P29" s="41" t="b">
        <f t="shared" si="23"/>
        <v>0</v>
      </c>
      <c r="Q29" s="43">
        <f t="shared" si="24"/>
        <v>5</v>
      </c>
      <c r="R29" s="43">
        <f t="shared" si="25"/>
        <v>10</v>
      </c>
      <c r="S29" s="44">
        <f t="shared" si="26"/>
        <v>15</v>
      </c>
      <c r="T29" s="9">
        <f t="shared" si="27"/>
        <v>2</v>
      </c>
      <c r="U29" s="41" t="b">
        <f t="shared" si="28"/>
        <v>1</v>
      </c>
      <c r="V29" s="43" t="str">
        <f t="shared" si="29"/>
        <v/>
      </c>
      <c r="W29" s="43" t="str">
        <f t="shared" si="30"/>
        <v/>
      </c>
      <c r="X29" s="44" t="str">
        <f t="shared" si="31"/>
        <v/>
      </c>
      <c r="Y29" s="9">
        <f t="shared" si="32"/>
        <v>0</v>
      </c>
      <c r="Z29" s="41" t="b">
        <f t="shared" si="33"/>
        <v>0</v>
      </c>
      <c r="AA29" s="43" t="str">
        <f t="shared" si="34"/>
        <v/>
      </c>
      <c r="AB29" s="43" t="str">
        <f t="shared" si="35"/>
        <v/>
      </c>
      <c r="AC29" s="44" t="str">
        <f t="shared" si="36"/>
        <v/>
      </c>
      <c r="AD29" s="9">
        <f t="shared" si="37"/>
        <v>0</v>
      </c>
      <c r="AE29" s="41" t="b">
        <f t="shared" si="38"/>
        <v>0</v>
      </c>
      <c r="AF29" s="43" t="str">
        <f t="shared" si="39"/>
        <v/>
      </c>
      <c r="AG29" s="43" t="str">
        <f t="shared" si="40"/>
        <v/>
      </c>
      <c r="AH29" s="44" t="str">
        <f t="shared" si="41"/>
        <v/>
      </c>
      <c r="AI29" s="9">
        <f t="shared" si="42"/>
        <v>0</v>
      </c>
      <c r="AJ29" s="41" t="b">
        <f t="shared" si="43"/>
        <v>0</v>
      </c>
      <c r="AK29" s="43" t="str">
        <f t="shared" si="44"/>
        <v/>
      </c>
      <c r="AL29" s="43" t="str">
        <f t="shared" si="45"/>
        <v/>
      </c>
      <c r="AM29" s="44" t="str">
        <f t="shared" si="46"/>
        <v/>
      </c>
      <c r="AN29" s="9">
        <f t="shared" si="47"/>
        <v>0</v>
      </c>
      <c r="AO29" s="41" t="b">
        <f t="shared" si="48"/>
        <v>0</v>
      </c>
      <c r="AP29" s="43" t="str">
        <f t="shared" si="49"/>
        <v/>
      </c>
      <c r="AQ29" s="43" t="str">
        <f t="shared" si="50"/>
        <v/>
      </c>
      <c r="AR29" s="44" t="str">
        <f t="shared" si="51"/>
        <v/>
      </c>
      <c r="AS29" s="9">
        <f t="shared" si="52"/>
        <v>0</v>
      </c>
      <c r="AT29" s="41" t="b">
        <f t="shared" si="53"/>
        <v>0</v>
      </c>
      <c r="AU29" s="43" t="str">
        <f t="shared" si="54"/>
        <v/>
      </c>
      <c r="AV29" s="43" t="str">
        <f t="shared" si="55"/>
        <v/>
      </c>
      <c r="AW29" s="44" t="str">
        <f t="shared" si="56"/>
        <v/>
      </c>
      <c r="AX29" s="9">
        <f t="shared" si="57"/>
        <v>0</v>
      </c>
      <c r="AY29" s="41" t="b">
        <f t="shared" si="58"/>
        <v>0</v>
      </c>
      <c r="AZ29" s="43" t="str">
        <f t="shared" si="59"/>
        <v/>
      </c>
      <c r="BA29" s="43" t="str">
        <f t="shared" si="60"/>
        <v/>
      </c>
      <c r="BB29" s="44" t="str">
        <f t="shared" si="61"/>
        <v/>
      </c>
      <c r="BC29" s="9">
        <f t="shared" si="62"/>
        <v>0</v>
      </c>
      <c r="BD29" s="41" t="b">
        <f t="shared" si="63"/>
        <v>0</v>
      </c>
      <c r="BE29" s="43" t="str">
        <f t="shared" si="64"/>
        <v/>
      </c>
      <c r="BF29" s="43" t="str">
        <f t="shared" si="65"/>
        <v/>
      </c>
      <c r="BG29" s="44" t="str">
        <f t="shared" si="66"/>
        <v/>
      </c>
      <c r="BH29" s="9">
        <f t="shared" si="67"/>
        <v>0</v>
      </c>
      <c r="BI29" s="41" t="b">
        <f t="shared" si="68"/>
        <v>0</v>
      </c>
      <c r="BJ29" s="43" t="str">
        <f t="shared" si="69"/>
        <v/>
      </c>
      <c r="BK29" s="43" t="str">
        <f t="shared" si="70"/>
        <v/>
      </c>
      <c r="BL29" s="44" t="str">
        <f t="shared" si="71"/>
        <v/>
      </c>
      <c r="BM29" s="9">
        <f t="shared" si="72"/>
        <v>0</v>
      </c>
      <c r="BN29" s="41" t="b">
        <f t="shared" si="73"/>
        <v>0</v>
      </c>
      <c r="BO29" s="40"/>
      <c r="BP29" s="40"/>
      <c r="BQ29" s="40"/>
    </row>
    <row r="30" hidden="1">
      <c r="A30" s="40"/>
      <c r="B30" s="40"/>
      <c r="C30" s="42">
        <f t="shared" si="13"/>
        <v>10</v>
      </c>
      <c r="D30" s="40"/>
      <c r="E30" s="40"/>
      <c r="F30" s="40"/>
      <c r="G30" s="43">
        <f t="shared" si="14"/>
        <v>6</v>
      </c>
      <c r="H30" s="43">
        <f t="shared" si="15"/>
        <v>20</v>
      </c>
      <c r="I30" s="44">
        <f t="shared" si="16"/>
        <v>26</v>
      </c>
      <c r="J30" s="45">
        <f t="shared" si="17"/>
        <v>1</v>
      </c>
      <c r="K30" s="41" t="b">
        <f t="shared" si="18"/>
        <v>1</v>
      </c>
      <c r="L30" s="43" t="str">
        <f t="shared" si="19"/>
        <v/>
      </c>
      <c r="M30" s="43" t="str">
        <f t="shared" si="20"/>
        <v/>
      </c>
      <c r="N30" s="44" t="str">
        <f t="shared" si="21"/>
        <v/>
      </c>
      <c r="O30" s="9">
        <f t="shared" si="22"/>
        <v>0</v>
      </c>
      <c r="P30" s="41" t="b">
        <f t="shared" si="23"/>
        <v>0</v>
      </c>
      <c r="Q30" s="43" t="str">
        <f t="shared" si="24"/>
        <v/>
      </c>
      <c r="R30" s="43" t="str">
        <f t="shared" si="25"/>
        <v/>
      </c>
      <c r="S30" s="44" t="str">
        <f t="shared" si="26"/>
        <v/>
      </c>
      <c r="T30" s="9">
        <f t="shared" si="27"/>
        <v>0</v>
      </c>
      <c r="U30" s="41" t="b">
        <f t="shared" si="28"/>
        <v>0</v>
      </c>
      <c r="V30" s="43">
        <f t="shared" si="29"/>
        <v>3</v>
      </c>
      <c r="W30" s="43">
        <f t="shared" si="30"/>
        <v>16</v>
      </c>
      <c r="X30" s="44">
        <f t="shared" si="31"/>
        <v>19</v>
      </c>
      <c r="Y30" s="9">
        <f t="shared" si="32"/>
        <v>1</v>
      </c>
      <c r="Z30" s="41" t="b">
        <f t="shared" si="33"/>
        <v>1</v>
      </c>
      <c r="AA30" s="43">
        <f t="shared" si="34"/>
        <v>3</v>
      </c>
      <c r="AB30" s="43">
        <f t="shared" si="35"/>
        <v>17</v>
      </c>
      <c r="AC30" s="44">
        <f t="shared" si="36"/>
        <v>20</v>
      </c>
      <c r="AD30" s="9">
        <f t="shared" si="37"/>
        <v>1</v>
      </c>
      <c r="AE30" s="41" t="b">
        <f t="shared" si="38"/>
        <v>1</v>
      </c>
      <c r="AF30" s="43">
        <f t="shared" si="39"/>
        <v>3</v>
      </c>
      <c r="AG30" s="43">
        <f t="shared" si="40"/>
        <v>13</v>
      </c>
      <c r="AH30" s="44">
        <f t="shared" si="41"/>
        <v>16</v>
      </c>
      <c r="AI30" s="9">
        <f t="shared" si="42"/>
        <v>3</v>
      </c>
      <c r="AJ30" s="41" t="b">
        <f t="shared" si="43"/>
        <v>1</v>
      </c>
      <c r="AK30" s="43">
        <f t="shared" si="44"/>
        <v>1</v>
      </c>
      <c r="AL30" s="43">
        <f t="shared" si="45"/>
        <v>13</v>
      </c>
      <c r="AM30" s="44">
        <f t="shared" si="46"/>
        <v>14</v>
      </c>
      <c r="AN30" s="9">
        <f t="shared" si="47"/>
        <v>3</v>
      </c>
      <c r="AO30" s="41" t="b">
        <f t="shared" si="48"/>
        <v>1</v>
      </c>
      <c r="AP30" s="43">
        <f t="shared" si="49"/>
        <v>0</v>
      </c>
      <c r="AQ30" s="43">
        <f t="shared" si="50"/>
        <v>13</v>
      </c>
      <c r="AR30" s="44">
        <f t="shared" si="51"/>
        <v>13</v>
      </c>
      <c r="AS30" s="9">
        <f t="shared" si="52"/>
        <v>1</v>
      </c>
      <c r="AT30" s="41" t="b">
        <f t="shared" si="53"/>
        <v>1</v>
      </c>
      <c r="AU30" s="43">
        <f t="shared" si="54"/>
        <v>1</v>
      </c>
      <c r="AV30" s="43">
        <f t="shared" si="55"/>
        <v>9</v>
      </c>
      <c r="AW30" s="44">
        <f t="shared" si="56"/>
        <v>10</v>
      </c>
      <c r="AX30" s="9">
        <f t="shared" si="57"/>
        <v>1.5</v>
      </c>
      <c r="AY30" s="41" t="b">
        <f t="shared" si="58"/>
        <v>1</v>
      </c>
      <c r="AZ30" s="43">
        <f t="shared" si="59"/>
        <v>0</v>
      </c>
      <c r="BA30" s="43">
        <f t="shared" si="60"/>
        <v>14</v>
      </c>
      <c r="BB30" s="44">
        <f t="shared" si="61"/>
        <v>14</v>
      </c>
      <c r="BC30" s="9">
        <f t="shared" si="62"/>
        <v>1</v>
      </c>
      <c r="BD30" s="41" t="b">
        <f t="shared" si="63"/>
        <v>1</v>
      </c>
      <c r="BE30" s="43">
        <f t="shared" si="64"/>
        <v>4</v>
      </c>
      <c r="BF30" s="43">
        <f t="shared" si="65"/>
        <v>6</v>
      </c>
      <c r="BG30" s="44">
        <f t="shared" si="66"/>
        <v>10</v>
      </c>
      <c r="BH30" s="9">
        <f t="shared" si="67"/>
        <v>1.5</v>
      </c>
      <c r="BI30" s="41" t="b">
        <f t="shared" si="68"/>
        <v>1</v>
      </c>
      <c r="BJ30" s="43" t="str">
        <f t="shared" si="69"/>
        <v/>
      </c>
      <c r="BK30" s="43" t="str">
        <f t="shared" si="70"/>
        <v/>
      </c>
      <c r="BL30" s="44" t="str">
        <f t="shared" si="71"/>
        <v/>
      </c>
      <c r="BM30" s="9">
        <f t="shared" si="72"/>
        <v>0</v>
      </c>
      <c r="BN30" s="41" t="b">
        <f t="shared" si="73"/>
        <v>0</v>
      </c>
      <c r="BO30" s="40"/>
      <c r="BP30" s="40"/>
      <c r="BQ30" s="40"/>
    </row>
    <row r="31" hidden="1">
      <c r="A31" s="40"/>
      <c r="B31" s="40"/>
      <c r="C31" s="42">
        <f t="shared" si="13"/>
        <v>7</v>
      </c>
      <c r="D31" s="40"/>
      <c r="E31" s="40"/>
      <c r="F31" s="40"/>
      <c r="G31" s="43">
        <f t="shared" si="14"/>
        <v>10</v>
      </c>
      <c r="H31" s="43">
        <f t="shared" si="15"/>
        <v>10</v>
      </c>
      <c r="I31" s="44">
        <f t="shared" si="16"/>
        <v>20</v>
      </c>
      <c r="J31" s="45">
        <f t="shared" si="17"/>
        <v>1</v>
      </c>
      <c r="K31" s="41" t="b">
        <f t="shared" si="18"/>
        <v>1</v>
      </c>
      <c r="L31" s="43">
        <f t="shared" si="19"/>
        <v>0</v>
      </c>
      <c r="M31" s="43">
        <f t="shared" si="20"/>
        <v>17</v>
      </c>
      <c r="N31" s="44">
        <f t="shared" si="21"/>
        <v>17</v>
      </c>
      <c r="O31" s="9">
        <f t="shared" si="22"/>
        <v>1</v>
      </c>
      <c r="P31" s="41" t="b">
        <f t="shared" si="23"/>
        <v>1</v>
      </c>
      <c r="Q31" s="43">
        <f t="shared" si="24"/>
        <v>0</v>
      </c>
      <c r="R31" s="43">
        <f t="shared" si="25"/>
        <v>17</v>
      </c>
      <c r="S31" s="44">
        <f t="shared" si="26"/>
        <v>17</v>
      </c>
      <c r="T31" s="9">
        <f t="shared" si="27"/>
        <v>1</v>
      </c>
      <c r="U31" s="41" t="b">
        <f t="shared" si="28"/>
        <v>1</v>
      </c>
      <c r="V31" s="43">
        <f t="shared" si="29"/>
        <v>0</v>
      </c>
      <c r="W31" s="43">
        <f t="shared" si="30"/>
        <v>17</v>
      </c>
      <c r="X31" s="44">
        <f t="shared" si="31"/>
        <v>17</v>
      </c>
      <c r="Y31" s="9">
        <f t="shared" si="32"/>
        <v>1</v>
      </c>
      <c r="Z31" s="41" t="b">
        <f t="shared" si="33"/>
        <v>1</v>
      </c>
      <c r="AA31" s="43">
        <f t="shared" si="34"/>
        <v>3</v>
      </c>
      <c r="AB31" s="43">
        <f t="shared" si="35"/>
        <v>14</v>
      </c>
      <c r="AC31" s="44">
        <f t="shared" si="36"/>
        <v>17</v>
      </c>
      <c r="AD31" s="9">
        <f t="shared" si="37"/>
        <v>1</v>
      </c>
      <c r="AE31" s="41" t="b">
        <f t="shared" si="38"/>
        <v>1</v>
      </c>
      <c r="AF31" s="43">
        <f t="shared" si="39"/>
        <v>7</v>
      </c>
      <c r="AG31" s="43">
        <f t="shared" si="40"/>
        <v>0</v>
      </c>
      <c r="AH31" s="44">
        <f t="shared" si="41"/>
        <v>7</v>
      </c>
      <c r="AI31" s="9">
        <f t="shared" si="42"/>
        <v>2</v>
      </c>
      <c r="AJ31" s="41" t="b">
        <f t="shared" si="43"/>
        <v>1</v>
      </c>
      <c r="AK31" s="43">
        <f t="shared" si="44"/>
        <v>11</v>
      </c>
      <c r="AL31" s="43">
        <f t="shared" si="45"/>
        <v>10</v>
      </c>
      <c r="AM31" s="44">
        <f t="shared" si="46"/>
        <v>21</v>
      </c>
      <c r="AN31" s="9">
        <f t="shared" si="47"/>
        <v>1</v>
      </c>
      <c r="AO31" s="41" t="b">
        <f t="shared" si="48"/>
        <v>1</v>
      </c>
      <c r="AP31" s="43">
        <f t="shared" si="49"/>
        <v>0</v>
      </c>
      <c r="AQ31" s="43">
        <f t="shared" si="50"/>
        <v>16</v>
      </c>
      <c r="AR31" s="44">
        <f t="shared" si="51"/>
        <v>16</v>
      </c>
      <c r="AS31" s="9">
        <f t="shared" si="52"/>
        <v>1</v>
      </c>
      <c r="AT31" s="41" t="b">
        <f t="shared" si="53"/>
        <v>1</v>
      </c>
      <c r="AU31" s="43">
        <f t="shared" si="54"/>
        <v>10</v>
      </c>
      <c r="AV31" s="43">
        <f t="shared" si="55"/>
        <v>10</v>
      </c>
      <c r="AW31" s="44">
        <f t="shared" si="56"/>
        <v>20</v>
      </c>
      <c r="AX31" s="9">
        <f t="shared" si="57"/>
        <v>1</v>
      </c>
      <c r="AY31" s="41" t="b">
        <f t="shared" si="58"/>
        <v>1</v>
      </c>
      <c r="AZ31" s="43">
        <f t="shared" si="59"/>
        <v>8</v>
      </c>
      <c r="BA31" s="43">
        <f t="shared" si="60"/>
        <v>13</v>
      </c>
      <c r="BB31" s="44">
        <f t="shared" si="61"/>
        <v>21</v>
      </c>
      <c r="BC31" s="9">
        <f t="shared" si="62"/>
        <v>1</v>
      </c>
      <c r="BD31" s="41" t="b">
        <f t="shared" si="63"/>
        <v>1</v>
      </c>
      <c r="BE31" s="43">
        <f t="shared" si="64"/>
        <v>17</v>
      </c>
      <c r="BF31" s="43">
        <f t="shared" si="65"/>
        <v>3</v>
      </c>
      <c r="BG31" s="44">
        <f t="shared" si="66"/>
        <v>20</v>
      </c>
      <c r="BH31" s="9">
        <f t="shared" si="67"/>
        <v>1</v>
      </c>
      <c r="BI31" s="41" t="b">
        <f t="shared" si="68"/>
        <v>1</v>
      </c>
      <c r="BJ31" s="43" t="str">
        <f t="shared" si="69"/>
        <v/>
      </c>
      <c r="BK31" s="43" t="str">
        <f t="shared" si="70"/>
        <v/>
      </c>
      <c r="BL31" s="44" t="str">
        <f t="shared" si="71"/>
        <v/>
      </c>
      <c r="BM31" s="9">
        <f t="shared" si="72"/>
        <v>0</v>
      </c>
      <c r="BN31" s="41" t="b">
        <f t="shared" si="73"/>
        <v>0</v>
      </c>
      <c r="BO31" s="40"/>
      <c r="BP31" s="40"/>
      <c r="BQ31" s="40"/>
    </row>
    <row r="32" hidden="1">
      <c r="A32" s="40"/>
      <c r="B32" s="40"/>
      <c r="C32" s="42">
        <f t="shared" si="13"/>
        <v>4</v>
      </c>
      <c r="D32" s="40"/>
      <c r="E32" s="40"/>
      <c r="F32" s="40"/>
      <c r="G32" s="43">
        <f t="shared" si="14"/>
        <v>1</v>
      </c>
      <c r="H32" s="43">
        <f t="shared" si="15"/>
        <v>15</v>
      </c>
      <c r="I32" s="44">
        <f t="shared" si="16"/>
        <v>16</v>
      </c>
      <c r="J32" s="45">
        <f t="shared" si="17"/>
        <v>1</v>
      </c>
      <c r="K32" s="41" t="b">
        <f t="shared" si="18"/>
        <v>1</v>
      </c>
      <c r="L32" s="43">
        <f t="shared" si="19"/>
        <v>4</v>
      </c>
      <c r="M32" s="43">
        <f t="shared" si="20"/>
        <v>14</v>
      </c>
      <c r="N32" s="44">
        <f t="shared" si="21"/>
        <v>18</v>
      </c>
      <c r="O32" s="9">
        <f t="shared" si="22"/>
        <v>1</v>
      </c>
      <c r="P32" s="41" t="b">
        <f t="shared" si="23"/>
        <v>1</v>
      </c>
      <c r="Q32" s="43">
        <f t="shared" si="24"/>
        <v>4</v>
      </c>
      <c r="R32" s="43">
        <f t="shared" si="25"/>
        <v>15</v>
      </c>
      <c r="S32" s="44">
        <f t="shared" si="26"/>
        <v>19</v>
      </c>
      <c r="T32" s="9">
        <f t="shared" si="27"/>
        <v>1</v>
      </c>
      <c r="U32" s="41" t="b">
        <f t="shared" si="28"/>
        <v>1</v>
      </c>
      <c r="V32" s="43">
        <f t="shared" si="29"/>
        <v>8</v>
      </c>
      <c r="W32" s="43">
        <f t="shared" si="30"/>
        <v>7</v>
      </c>
      <c r="X32" s="44">
        <f t="shared" si="31"/>
        <v>15</v>
      </c>
      <c r="Y32" s="9">
        <f t="shared" si="32"/>
        <v>1</v>
      </c>
      <c r="Z32" s="41" t="b">
        <f t="shared" si="33"/>
        <v>1</v>
      </c>
      <c r="AA32" s="43">
        <f t="shared" si="34"/>
        <v>11</v>
      </c>
      <c r="AB32" s="43">
        <f t="shared" si="35"/>
        <v>4</v>
      </c>
      <c r="AC32" s="44">
        <f t="shared" si="36"/>
        <v>15</v>
      </c>
      <c r="AD32" s="9">
        <f t="shared" si="37"/>
        <v>1</v>
      </c>
      <c r="AE32" s="41" t="b">
        <f t="shared" si="38"/>
        <v>1</v>
      </c>
      <c r="AF32" s="43">
        <f t="shared" si="39"/>
        <v>0</v>
      </c>
      <c r="AG32" s="43">
        <f t="shared" si="40"/>
        <v>4</v>
      </c>
      <c r="AH32" s="44">
        <f t="shared" si="41"/>
        <v>4</v>
      </c>
      <c r="AI32" s="9">
        <f t="shared" si="42"/>
        <v>2</v>
      </c>
      <c r="AJ32" s="41" t="b">
        <f t="shared" si="43"/>
        <v>1</v>
      </c>
      <c r="AK32" s="43">
        <f t="shared" si="44"/>
        <v>3</v>
      </c>
      <c r="AL32" s="43">
        <f t="shared" si="45"/>
        <v>21</v>
      </c>
      <c r="AM32" s="44">
        <f t="shared" si="46"/>
        <v>24</v>
      </c>
      <c r="AN32" s="9">
        <f t="shared" si="47"/>
        <v>1</v>
      </c>
      <c r="AO32" s="41" t="b">
        <f t="shared" si="48"/>
        <v>1</v>
      </c>
      <c r="AP32" s="43">
        <f t="shared" si="49"/>
        <v>4</v>
      </c>
      <c r="AQ32" s="43">
        <f t="shared" si="50"/>
        <v>8</v>
      </c>
      <c r="AR32" s="44">
        <f t="shared" si="51"/>
        <v>12</v>
      </c>
      <c r="AS32" s="9">
        <f t="shared" si="52"/>
        <v>1</v>
      </c>
      <c r="AT32" s="41" t="b">
        <f t="shared" si="53"/>
        <v>1</v>
      </c>
      <c r="AU32" s="43">
        <f t="shared" si="54"/>
        <v>1</v>
      </c>
      <c r="AV32" s="43">
        <f t="shared" si="55"/>
        <v>18</v>
      </c>
      <c r="AW32" s="44">
        <f t="shared" si="56"/>
        <v>19</v>
      </c>
      <c r="AX32" s="9">
        <f t="shared" si="57"/>
        <v>1</v>
      </c>
      <c r="AY32" s="41" t="b">
        <f t="shared" si="58"/>
        <v>1</v>
      </c>
      <c r="AZ32" s="43">
        <f t="shared" si="59"/>
        <v>7</v>
      </c>
      <c r="BA32" s="43">
        <f t="shared" si="60"/>
        <v>12</v>
      </c>
      <c r="BB32" s="44">
        <f t="shared" si="61"/>
        <v>19</v>
      </c>
      <c r="BC32" s="9">
        <f t="shared" si="62"/>
        <v>1</v>
      </c>
      <c r="BD32" s="41" t="b">
        <f t="shared" si="63"/>
        <v>1</v>
      </c>
      <c r="BE32" s="43" t="str">
        <f t="shared" si="64"/>
        <v/>
      </c>
      <c r="BF32" s="43" t="str">
        <f t="shared" si="65"/>
        <v/>
      </c>
      <c r="BG32" s="44" t="str">
        <f t="shared" si="66"/>
        <v/>
      </c>
      <c r="BH32" s="9">
        <f t="shared" si="67"/>
        <v>0</v>
      </c>
      <c r="BI32" s="41" t="b">
        <f t="shared" si="68"/>
        <v>0</v>
      </c>
      <c r="BJ32" s="43" t="str">
        <f t="shared" si="69"/>
        <v/>
      </c>
      <c r="BK32" s="43" t="str">
        <f t="shared" si="70"/>
        <v/>
      </c>
      <c r="BL32" s="44" t="str">
        <f t="shared" si="71"/>
        <v/>
      </c>
      <c r="BM32" s="9">
        <f t="shared" si="72"/>
        <v>0</v>
      </c>
      <c r="BN32" s="41" t="b">
        <f t="shared" si="73"/>
        <v>0</v>
      </c>
      <c r="BO32" s="40"/>
      <c r="BP32" s="40"/>
      <c r="BQ32" s="40"/>
    </row>
    <row r="33" hidden="1">
      <c r="A33" s="40"/>
      <c r="B33" s="40"/>
      <c r="C33" s="42">
        <f t="shared" si="13"/>
        <v>14</v>
      </c>
      <c r="D33" s="40"/>
      <c r="E33" s="40"/>
      <c r="F33" s="40"/>
      <c r="G33" s="43" t="str">
        <f t="shared" si="14"/>
        <v/>
      </c>
      <c r="H33" s="43" t="str">
        <f t="shared" si="15"/>
        <v/>
      </c>
      <c r="I33" s="44" t="str">
        <f t="shared" si="16"/>
        <v/>
      </c>
      <c r="J33" s="45">
        <f t="shared" si="17"/>
        <v>0</v>
      </c>
      <c r="K33" s="41" t="b">
        <f t="shared" si="18"/>
        <v>0</v>
      </c>
      <c r="L33" s="43" t="str">
        <f t="shared" si="19"/>
        <v/>
      </c>
      <c r="M33" s="43" t="str">
        <f t="shared" si="20"/>
        <v/>
      </c>
      <c r="N33" s="44" t="str">
        <f t="shared" si="21"/>
        <v/>
      </c>
      <c r="O33" s="9">
        <f t="shared" si="22"/>
        <v>0</v>
      </c>
      <c r="P33" s="41" t="b">
        <f t="shared" si="23"/>
        <v>0</v>
      </c>
      <c r="Q33" s="43" t="str">
        <f t="shared" si="24"/>
        <v/>
      </c>
      <c r="R33" s="43" t="str">
        <f t="shared" si="25"/>
        <v/>
      </c>
      <c r="S33" s="44" t="str">
        <f t="shared" si="26"/>
        <v/>
      </c>
      <c r="T33" s="9">
        <f t="shared" si="27"/>
        <v>0</v>
      </c>
      <c r="U33" s="41" t="b">
        <f t="shared" si="28"/>
        <v>0</v>
      </c>
      <c r="V33" s="43">
        <f t="shared" si="29"/>
        <v>9</v>
      </c>
      <c r="W33" s="43">
        <f t="shared" si="30"/>
        <v>5</v>
      </c>
      <c r="X33" s="44">
        <f t="shared" si="31"/>
        <v>14</v>
      </c>
      <c r="Y33" s="9">
        <f t="shared" si="32"/>
        <v>2</v>
      </c>
      <c r="Z33" s="41" t="b">
        <f t="shared" si="33"/>
        <v>1</v>
      </c>
      <c r="AA33" s="43">
        <f t="shared" si="34"/>
        <v>20</v>
      </c>
      <c r="AB33" s="43">
        <f t="shared" si="35"/>
        <v>19</v>
      </c>
      <c r="AC33" s="44">
        <f t="shared" si="36"/>
        <v>39</v>
      </c>
      <c r="AD33" s="9">
        <f t="shared" si="37"/>
        <v>1</v>
      </c>
      <c r="AE33" s="41" t="b">
        <f t="shared" si="38"/>
        <v>1</v>
      </c>
      <c r="AF33" s="43">
        <f t="shared" si="39"/>
        <v>16</v>
      </c>
      <c r="AG33" s="43">
        <f t="shared" si="40"/>
        <v>16</v>
      </c>
      <c r="AH33" s="44">
        <f t="shared" si="41"/>
        <v>32</v>
      </c>
      <c r="AI33" s="9">
        <f t="shared" si="42"/>
        <v>1</v>
      </c>
      <c r="AJ33" s="41" t="b">
        <f t="shared" si="43"/>
        <v>1</v>
      </c>
      <c r="AK33" s="43">
        <f t="shared" si="44"/>
        <v>10</v>
      </c>
      <c r="AL33" s="43">
        <f t="shared" si="45"/>
        <v>10</v>
      </c>
      <c r="AM33" s="44">
        <f t="shared" si="46"/>
        <v>20</v>
      </c>
      <c r="AN33" s="9">
        <f t="shared" si="47"/>
        <v>1</v>
      </c>
      <c r="AO33" s="41" t="b">
        <f t="shared" si="48"/>
        <v>1</v>
      </c>
      <c r="AP33" s="43">
        <f t="shared" si="49"/>
        <v>10</v>
      </c>
      <c r="AQ33" s="43">
        <f t="shared" si="50"/>
        <v>9</v>
      </c>
      <c r="AR33" s="44">
        <f t="shared" si="51"/>
        <v>19</v>
      </c>
      <c r="AS33" s="9">
        <f t="shared" si="52"/>
        <v>1</v>
      </c>
      <c r="AT33" s="41" t="b">
        <f t="shared" si="53"/>
        <v>1</v>
      </c>
      <c r="AU33" s="43" t="str">
        <f t="shared" si="54"/>
        <v/>
      </c>
      <c r="AV33" s="43" t="str">
        <f t="shared" si="55"/>
        <v/>
      </c>
      <c r="AW33" s="44" t="str">
        <f t="shared" si="56"/>
        <v/>
      </c>
      <c r="AX33" s="9">
        <f t="shared" si="57"/>
        <v>0</v>
      </c>
      <c r="AY33" s="41" t="b">
        <f t="shared" si="58"/>
        <v>0</v>
      </c>
      <c r="AZ33" s="43">
        <f t="shared" si="59"/>
        <v>10</v>
      </c>
      <c r="BA33" s="43">
        <f t="shared" si="60"/>
        <v>10</v>
      </c>
      <c r="BB33" s="44">
        <f t="shared" si="61"/>
        <v>20</v>
      </c>
      <c r="BC33" s="9">
        <f t="shared" si="62"/>
        <v>1</v>
      </c>
      <c r="BD33" s="41" t="b">
        <f t="shared" si="63"/>
        <v>1</v>
      </c>
      <c r="BE33" s="43" t="str">
        <f t="shared" si="64"/>
        <v/>
      </c>
      <c r="BF33" s="43" t="str">
        <f t="shared" si="65"/>
        <v/>
      </c>
      <c r="BG33" s="44" t="str">
        <f t="shared" si="66"/>
        <v/>
      </c>
      <c r="BH33" s="9">
        <f t="shared" si="67"/>
        <v>0</v>
      </c>
      <c r="BI33" s="41" t="b">
        <f t="shared" si="68"/>
        <v>0</v>
      </c>
      <c r="BJ33" s="43" t="str">
        <f t="shared" si="69"/>
        <v/>
      </c>
      <c r="BK33" s="43" t="str">
        <f t="shared" si="70"/>
        <v/>
      </c>
      <c r="BL33" s="44" t="str">
        <f t="shared" si="71"/>
        <v/>
      </c>
      <c r="BM33" s="9">
        <f t="shared" si="72"/>
        <v>0</v>
      </c>
      <c r="BN33" s="41" t="b">
        <f t="shared" si="73"/>
        <v>0</v>
      </c>
      <c r="BO33" s="40"/>
      <c r="BP33" s="40"/>
      <c r="BQ33" s="40"/>
    </row>
    <row r="34" hidden="1">
      <c r="A34" s="40"/>
      <c r="B34" s="40"/>
      <c r="C34" s="42">
        <f t="shared" si="13"/>
        <v>15</v>
      </c>
      <c r="D34" s="40"/>
      <c r="E34" s="40"/>
      <c r="F34" s="40"/>
      <c r="G34" s="43">
        <f t="shared" si="14"/>
        <v>15</v>
      </c>
      <c r="H34" s="43">
        <f t="shared" si="15"/>
        <v>4</v>
      </c>
      <c r="I34" s="44">
        <f t="shared" si="16"/>
        <v>19</v>
      </c>
      <c r="J34" s="45">
        <f t="shared" si="17"/>
        <v>3</v>
      </c>
      <c r="K34" s="41" t="b">
        <f t="shared" si="18"/>
        <v>1</v>
      </c>
      <c r="L34" s="43">
        <f t="shared" si="19"/>
        <v>8</v>
      </c>
      <c r="M34" s="43">
        <f t="shared" si="20"/>
        <v>11</v>
      </c>
      <c r="N34" s="44">
        <f t="shared" si="21"/>
        <v>19</v>
      </c>
      <c r="O34" s="9">
        <f t="shared" si="22"/>
        <v>1</v>
      </c>
      <c r="P34" s="41" t="b">
        <f t="shared" si="23"/>
        <v>1</v>
      </c>
      <c r="Q34" s="43">
        <f t="shared" si="24"/>
        <v>15</v>
      </c>
      <c r="R34" s="43">
        <f t="shared" si="25"/>
        <v>4</v>
      </c>
      <c r="S34" s="44">
        <f t="shared" si="26"/>
        <v>19</v>
      </c>
      <c r="T34" s="9">
        <f t="shared" si="27"/>
        <v>1</v>
      </c>
      <c r="U34" s="41" t="b">
        <f t="shared" si="28"/>
        <v>1</v>
      </c>
      <c r="V34" s="43">
        <f t="shared" si="29"/>
        <v>15</v>
      </c>
      <c r="W34" s="43">
        <f t="shared" si="30"/>
        <v>0</v>
      </c>
      <c r="X34" s="44">
        <f t="shared" si="31"/>
        <v>15</v>
      </c>
      <c r="Y34" s="9">
        <f t="shared" si="32"/>
        <v>1.5</v>
      </c>
      <c r="Z34" s="41" t="b">
        <f t="shared" si="33"/>
        <v>1</v>
      </c>
      <c r="AA34" s="43">
        <f t="shared" si="34"/>
        <v>8</v>
      </c>
      <c r="AB34" s="43">
        <f t="shared" si="35"/>
        <v>7</v>
      </c>
      <c r="AC34" s="44">
        <f t="shared" si="36"/>
        <v>15</v>
      </c>
      <c r="AD34" s="9">
        <f t="shared" si="37"/>
        <v>1.5</v>
      </c>
      <c r="AE34" s="41" t="b">
        <f t="shared" si="38"/>
        <v>1</v>
      </c>
      <c r="AF34" s="43">
        <f t="shared" si="39"/>
        <v>15</v>
      </c>
      <c r="AG34" s="43">
        <f t="shared" si="40"/>
        <v>0</v>
      </c>
      <c r="AH34" s="44">
        <f t="shared" si="41"/>
        <v>15</v>
      </c>
      <c r="AI34" s="9">
        <f t="shared" si="42"/>
        <v>1.5</v>
      </c>
      <c r="AJ34" s="41" t="b">
        <f t="shared" si="43"/>
        <v>1</v>
      </c>
      <c r="AK34" s="43">
        <f t="shared" si="44"/>
        <v>4</v>
      </c>
      <c r="AL34" s="43">
        <f t="shared" si="45"/>
        <v>14</v>
      </c>
      <c r="AM34" s="44">
        <f t="shared" si="46"/>
        <v>18</v>
      </c>
      <c r="AN34" s="9">
        <f t="shared" si="47"/>
        <v>1</v>
      </c>
      <c r="AO34" s="41" t="b">
        <f t="shared" si="48"/>
        <v>1</v>
      </c>
      <c r="AP34" s="43">
        <f t="shared" si="49"/>
        <v>14</v>
      </c>
      <c r="AQ34" s="43">
        <f t="shared" si="50"/>
        <v>3</v>
      </c>
      <c r="AR34" s="44">
        <f t="shared" si="51"/>
        <v>17</v>
      </c>
      <c r="AS34" s="9">
        <f t="shared" si="52"/>
        <v>3</v>
      </c>
      <c r="AT34" s="41" t="b">
        <f t="shared" si="53"/>
        <v>1</v>
      </c>
      <c r="AU34" s="43">
        <f t="shared" si="54"/>
        <v>15</v>
      </c>
      <c r="AV34" s="43">
        <f t="shared" si="55"/>
        <v>4</v>
      </c>
      <c r="AW34" s="44">
        <f t="shared" si="56"/>
        <v>19</v>
      </c>
      <c r="AX34" s="9">
        <f t="shared" si="57"/>
        <v>1</v>
      </c>
      <c r="AY34" s="41" t="b">
        <f t="shared" si="58"/>
        <v>1</v>
      </c>
      <c r="AZ34" s="43">
        <f t="shared" si="59"/>
        <v>14</v>
      </c>
      <c r="BA34" s="43">
        <f t="shared" si="60"/>
        <v>5</v>
      </c>
      <c r="BB34" s="44">
        <f t="shared" si="61"/>
        <v>19</v>
      </c>
      <c r="BC34" s="9">
        <f t="shared" si="62"/>
        <v>3</v>
      </c>
      <c r="BD34" s="41" t="b">
        <f t="shared" si="63"/>
        <v>1</v>
      </c>
      <c r="BE34" s="43">
        <f t="shared" si="64"/>
        <v>15</v>
      </c>
      <c r="BF34" s="43">
        <f t="shared" si="65"/>
        <v>4</v>
      </c>
      <c r="BG34" s="44">
        <f t="shared" si="66"/>
        <v>19</v>
      </c>
      <c r="BH34" s="9">
        <f t="shared" si="67"/>
        <v>1</v>
      </c>
      <c r="BI34" s="41" t="b">
        <f t="shared" si="68"/>
        <v>1</v>
      </c>
      <c r="BJ34" s="43">
        <f t="shared" si="69"/>
        <v>11</v>
      </c>
      <c r="BK34" s="43">
        <f t="shared" si="70"/>
        <v>7</v>
      </c>
      <c r="BL34" s="44">
        <f t="shared" si="71"/>
        <v>18</v>
      </c>
      <c r="BM34" s="9">
        <f t="shared" si="72"/>
        <v>1</v>
      </c>
      <c r="BN34" s="41" t="b">
        <f t="shared" si="73"/>
        <v>1</v>
      </c>
      <c r="BO34" s="40"/>
      <c r="BP34" s="40"/>
      <c r="BQ34" s="40"/>
    </row>
    <row r="35" hidden="1">
      <c r="A35" s="40"/>
      <c r="B35" s="40"/>
      <c r="C35" s="40"/>
      <c r="D35" s="40"/>
      <c r="E35" s="40"/>
      <c r="F35" s="40"/>
      <c r="G35" s="40"/>
      <c r="H35" s="40"/>
      <c r="I35" s="40"/>
      <c r="J35" s="50">
        <f>MULTIPLY(SUM(J19:J34),10)</f>
        <v>100</v>
      </c>
      <c r="K35" s="51">
        <f>COUNTIF(K19:K34,"TRUE")</f>
        <v>8</v>
      </c>
      <c r="L35" s="40"/>
      <c r="M35" s="40"/>
      <c r="N35" s="40"/>
      <c r="O35" s="59">
        <f>MULTIPLY(SUM(O19:O34),10)</f>
        <v>70</v>
      </c>
      <c r="P35" s="62">
        <f>COUNTIF(P19:P34,"TRUE")</f>
        <v>5</v>
      </c>
      <c r="Q35" s="40"/>
      <c r="R35" s="40"/>
      <c r="S35" s="40"/>
      <c r="T35" s="59">
        <f>MULTIPLY(SUM(T19:T34),10)</f>
        <v>80</v>
      </c>
      <c r="U35" s="62">
        <f>COUNTIF(U19:U34,"TRUE")</f>
        <v>7</v>
      </c>
      <c r="V35" s="40"/>
      <c r="W35" s="40"/>
      <c r="X35" s="40"/>
      <c r="Y35" s="59">
        <f>MULTIPLY(SUM(Y19:Y34),10)</f>
        <v>135</v>
      </c>
      <c r="Z35" s="51">
        <f>COUNTIF(Z19:Z34,"TRUE")</f>
        <v>10</v>
      </c>
      <c r="AA35" s="40"/>
      <c r="AB35" s="40"/>
      <c r="AC35" s="40"/>
      <c r="AD35" s="59">
        <f>MULTIPLY(SUM(AD19:AD34),10)</f>
        <v>170</v>
      </c>
      <c r="AE35" s="51">
        <f>COUNTIF(AE19:AE34,"TRUE")</f>
        <v>12</v>
      </c>
      <c r="AF35" s="40"/>
      <c r="AG35" s="40"/>
      <c r="AH35" s="40"/>
      <c r="AI35" s="59">
        <f>MULTIPLY(SUM(AI19:AI34),10)</f>
        <v>240</v>
      </c>
      <c r="AJ35" s="51">
        <f>COUNTIF(AJ19:AJ34,"TRUE")</f>
        <v>14</v>
      </c>
      <c r="AK35" s="40"/>
      <c r="AL35" s="40"/>
      <c r="AM35" s="40"/>
      <c r="AN35" s="59">
        <f>MULTIPLY(SUM(AN19:AN34),10)</f>
        <v>135</v>
      </c>
      <c r="AO35" s="51">
        <f>COUNTIF(AO19:AO34,"TRUE")</f>
        <v>11</v>
      </c>
      <c r="AP35" s="40"/>
      <c r="AQ35" s="40"/>
      <c r="AR35" s="40"/>
      <c r="AS35" s="59">
        <f>MULTIPLY(SUM(AS19:AS34),10)</f>
        <v>180</v>
      </c>
      <c r="AT35" s="51">
        <f>COUNTIF(AT19:AT34,"TRUE")</f>
        <v>10</v>
      </c>
      <c r="AU35" s="40"/>
      <c r="AV35" s="40"/>
      <c r="AW35" s="40"/>
      <c r="AX35" s="59">
        <f>MULTIPLY(SUM(AX19:AX34),10)</f>
        <v>165</v>
      </c>
      <c r="AY35" s="51">
        <f>COUNTIF(AY19:AY34,"TRUE")</f>
        <v>11</v>
      </c>
      <c r="AZ35" s="40"/>
      <c r="BA35" s="40"/>
      <c r="BB35" s="40"/>
      <c r="BC35" s="59">
        <f>MULTIPLY(SUM(BC19:BC34),10)</f>
        <v>130</v>
      </c>
      <c r="BD35" s="51">
        <f>COUNTIF(BD19:BD34,"TRUE")</f>
        <v>11</v>
      </c>
      <c r="BE35" s="40"/>
      <c r="BF35" s="40"/>
      <c r="BG35" s="40"/>
      <c r="BH35" s="59">
        <f>MULTIPLY(SUM(BH19:BH34),10)</f>
        <v>110</v>
      </c>
      <c r="BI35" s="51">
        <f>COUNTIF(BI19:BI34,"TRUE")</f>
        <v>7</v>
      </c>
      <c r="BJ35" s="40"/>
      <c r="BK35" s="40"/>
      <c r="BL35" s="40"/>
      <c r="BM35" s="59">
        <f>MULTIPLY(SUM(BM19:BM34),10)</f>
        <v>90</v>
      </c>
      <c r="BN35" s="51">
        <f>COUNTIF(BN19:BN34,"TRUE")</f>
        <v>6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40"/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40"/>
      <c r="B38" s="57" t="s">
        <v>141</v>
      </c>
      <c r="C38" s="58">
        <f t="array" ref="C38">INDEX(J35,0)</f>
        <v>100</v>
      </c>
      <c r="D38" s="58">
        <f t="array" ref="D38">INDEX(O35,0)</f>
        <v>70</v>
      </c>
      <c r="E38" s="58">
        <f t="array" ref="E38">INDEX(T35,0)</f>
        <v>80</v>
      </c>
      <c r="F38" s="58">
        <f t="array" ref="F38">INDEX(Y35,0)</f>
        <v>135</v>
      </c>
      <c r="G38" s="58">
        <f t="array" ref="G38">INDEX(AD35,0)</f>
        <v>170</v>
      </c>
      <c r="H38" s="58">
        <f t="array" ref="H38">INDEX(AI35,0)</f>
        <v>240</v>
      </c>
      <c r="I38" s="58">
        <f t="array" ref="I38">INDEX(AN35,0)</f>
        <v>135</v>
      </c>
      <c r="J38" s="58">
        <f t="array" ref="J38">INDEX(AS35,0)</f>
        <v>180</v>
      </c>
      <c r="K38" s="58">
        <f t="array" ref="K38">INDEX(AX35,0)</f>
        <v>165</v>
      </c>
      <c r="L38" s="58">
        <f t="array" ref="L38">INDEX(BC35,0)</f>
        <v>130</v>
      </c>
      <c r="M38" s="58">
        <f t="array" ref="M38">INDEX(BH35,0)</f>
        <v>110</v>
      </c>
      <c r="N38" s="60">
        <f t="array" ref="N38">INDEX(BM35,0)</f>
        <v>90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63" t="s">
        <v>142</v>
      </c>
      <c r="C39" s="64">
        <f>COUNTIF(K19:K34,true)</f>
        <v>8</v>
      </c>
      <c r="D39" s="64">
        <f>COUNTIF(P19:P34,true)</f>
        <v>5</v>
      </c>
      <c r="E39" s="64">
        <f>COUNTIF(U19:U34,true)</f>
        <v>7</v>
      </c>
      <c r="F39" s="64">
        <f>COUNTIF(Z19:Z34,true)</f>
        <v>10</v>
      </c>
      <c r="G39" s="64">
        <f>COUNTIF(AE19:AE34,true)</f>
        <v>12</v>
      </c>
      <c r="H39" s="64">
        <f>COUNTIF(AJ19:AJ34,true)</f>
        <v>14</v>
      </c>
      <c r="I39" s="64">
        <f>COUNTIF(AO19:AO34,true)</f>
        <v>11</v>
      </c>
      <c r="J39" s="64">
        <f>COUNTIF(AT19:AT34,true)</f>
        <v>10</v>
      </c>
      <c r="K39" s="64">
        <f>COUNTIF(AY19:AY34,true)</f>
        <v>11</v>
      </c>
      <c r="L39" s="64">
        <f>COUNTIF(BD19:BD34,true)</f>
        <v>11</v>
      </c>
      <c r="M39" s="64">
        <f>COUNTIF(BI19:BI34,true)</f>
        <v>7</v>
      </c>
      <c r="N39" s="65">
        <f>COUNTIF(BN19:BN34,true)</f>
        <v>6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63" t="s">
        <v>143</v>
      </c>
      <c r="C40" s="68">
        <f>COUNTIF(K19:K34,FALSE)</f>
        <v>8</v>
      </c>
      <c r="D40" s="68">
        <f>COUNTIF(P19:P34,FALSE)</f>
        <v>11</v>
      </c>
      <c r="E40" s="68">
        <f>COUNTIF(U19:U34,FALSE)</f>
        <v>9</v>
      </c>
      <c r="F40" s="68">
        <f>COUNTIF(Z19:Z34,FALSE)</f>
        <v>6</v>
      </c>
      <c r="G40" s="68">
        <f>COUNTIF(AE19:AE34,FALSE)</f>
        <v>4</v>
      </c>
      <c r="H40" s="68">
        <f>COUNTIF(AJ19:AJ34,FALSE)</f>
        <v>2</v>
      </c>
      <c r="I40" s="68">
        <f>COUNTIF(AO19:AO34,FALSE)</f>
        <v>5</v>
      </c>
      <c r="J40" s="68">
        <f>COUNTIF(AT19:AT34,FALSE)</f>
        <v>6</v>
      </c>
      <c r="K40" s="68">
        <f>COUNTIF(AY19:AY34,FALSE)</f>
        <v>5</v>
      </c>
      <c r="L40" s="68">
        <f>COUNTIF(BD19:BD34,FALSE)</f>
        <v>5</v>
      </c>
      <c r="M40" s="68">
        <f>COUNTIF(BI19:BI34,FALSE)</f>
        <v>9</v>
      </c>
      <c r="N40" s="69">
        <f>COUNTIF(BN19:BN34,FALSE)</f>
        <v>10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>SUM('Week 1'!C38,C38)</f>
        <v>220</v>
      </c>
      <c r="D42" s="71">
        <f>SUM('Week 1'!D38,D38)</f>
        <v>200</v>
      </c>
      <c r="E42" s="71">
        <f>SUM('Week 1'!E38,E38)</f>
        <v>220</v>
      </c>
      <c r="F42" s="71">
        <f>SUM('Week 1'!F38,F38)</f>
        <v>295</v>
      </c>
      <c r="G42" s="71">
        <f>SUM('Week 1'!G38,G38)</f>
        <v>300</v>
      </c>
      <c r="H42" s="71">
        <f>SUM('Week 1'!H38,H38)</f>
        <v>370</v>
      </c>
      <c r="I42" s="71">
        <f>SUM('Week 1'!I38,I38)</f>
        <v>240</v>
      </c>
      <c r="J42" s="71">
        <f>SUM('Week 1'!J38,J38)</f>
        <v>335</v>
      </c>
      <c r="K42" s="71">
        <f>SUM('Week 1'!K38,K38)</f>
        <v>245</v>
      </c>
      <c r="L42" s="71">
        <f>SUM('Week 1'!L38,L38)</f>
        <v>220</v>
      </c>
      <c r="M42" s="71">
        <f>SUM('Week 1'!M38,M38)</f>
        <v>260</v>
      </c>
      <c r="N42" s="72">
        <f>SUM('Week 1'!N38,N38)</f>
        <v>210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>CONCATENATE(SUM('Week 1'!C39,C39)," - ",SUM('Week 1'!C40,C40))</f>
        <v>19 - 13</v>
      </c>
      <c r="D43" s="73" t="str">
        <f>CONCATENATE(SUM('Week 1'!D39,D39)," - ",SUM('Week 1'!D40,D40))</f>
        <v>17 - 15</v>
      </c>
      <c r="E43" s="73" t="str">
        <f>CONCATENATE(SUM('Week 1'!E39,E39)," - ",SUM('Week 1'!E40,E40))</f>
        <v>18 - 14</v>
      </c>
      <c r="F43" s="73" t="str">
        <f>CONCATENATE(SUM('Week 1'!F39,F39)," - ",SUM('Week 1'!F40,F40))</f>
        <v>23 - 9</v>
      </c>
      <c r="G43" s="73" t="str">
        <f>CONCATENATE(SUM('Week 1'!G39,G39)," - ",SUM('Week 1'!G40,G40))</f>
        <v>22 - 10</v>
      </c>
      <c r="H43" s="73" t="str">
        <f>CONCATENATE(SUM('Week 1'!H39,H39)," - ",SUM('Week 1'!H40,H40))</f>
        <v>24 - 8</v>
      </c>
      <c r="I43" s="73" t="str">
        <f>CONCATENATE(SUM('Week 1'!I39,I39)," - ",SUM('Week 1'!I40,I40))</f>
        <v>19 - 13</v>
      </c>
      <c r="J43" s="73" t="str">
        <f>CONCATENATE(SUM('Week 1'!J39,J39)," - ",SUM('Week 1'!J40,J40))</f>
        <v>19 - 13</v>
      </c>
      <c r="K43" s="73" t="str">
        <f>CONCATENATE(SUM('Week 1'!K39,K39)," - ",SUM('Week 1'!K40,K40))</f>
        <v>19 - 13</v>
      </c>
      <c r="L43" s="73" t="str">
        <f>CONCATENATE(SUM('Week 1'!L39,L39)," - ",SUM('Week 1'!L40,L40))</f>
        <v>20 - 12</v>
      </c>
      <c r="M43" s="73" t="str">
        <f>CONCATENATE(SUM('Week 1'!M39,M39)," - ",SUM('Week 1'!M40,M40))</f>
        <v>17 - 15</v>
      </c>
      <c r="N43" s="74" t="str">
        <f>CONCATENATE(SUM('Week 1'!N39,N39)," - ",SUM('Week 1'!N40,N40))</f>
        <v>17 - 15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11</v>
      </c>
      <c r="E45" s="29">
        <v>370.0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335.0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300.0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295.0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16</v>
      </c>
      <c r="E49" s="29">
        <v>260.0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14</v>
      </c>
      <c r="E50" s="29">
        <v>245.0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12</v>
      </c>
      <c r="E51" s="29">
        <v>240.0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6</v>
      </c>
      <c r="E52" s="29">
        <v>220.0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8.0</v>
      </c>
      <c r="D53" s="29" t="s">
        <v>8</v>
      </c>
      <c r="E53" s="29">
        <v>220.0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8.0</v>
      </c>
      <c r="D54" s="29" t="s">
        <v>15</v>
      </c>
      <c r="E54" s="29">
        <v>220.0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17</v>
      </c>
      <c r="E55" s="29">
        <v>210.0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200.0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220</v>
      </c>
      <c r="D63" s="40"/>
      <c r="G63" s="40"/>
      <c r="H63" s="40">
        <f t="shared" ref="H63:H74" si="74">RANK(J63,$J$63:$J$74,false)</f>
        <v>1</v>
      </c>
      <c r="I63" s="40" t="str">
        <f t="array" ref="I63:J79">SORT(B63:C79,2,false)</f>
        <v>Caleb</v>
      </c>
      <c r="J63" s="40">
        <v>370.0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200</v>
      </c>
      <c r="D64" s="40"/>
      <c r="G64" s="40"/>
      <c r="H64" s="40">
        <f t="shared" si="74"/>
        <v>2</v>
      </c>
      <c r="I64" s="40" t="s">
        <v>13</v>
      </c>
      <c r="J64" s="40">
        <v>335.0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220</v>
      </c>
      <c r="D65" s="40"/>
      <c r="G65" s="40"/>
      <c r="H65" s="40">
        <f t="shared" si="74"/>
        <v>3</v>
      </c>
      <c r="I65" s="40" t="s">
        <v>10</v>
      </c>
      <c r="J65" s="40">
        <v>300.0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295</v>
      </c>
      <c r="D66" s="40"/>
      <c r="G66" s="40"/>
      <c r="H66" s="40">
        <f t="shared" si="74"/>
        <v>4</v>
      </c>
      <c r="I66" s="40" t="s">
        <v>9</v>
      </c>
      <c r="J66" s="40">
        <v>295.0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300</v>
      </c>
      <c r="D67" s="40"/>
      <c r="G67" s="40"/>
      <c r="H67" s="40">
        <f t="shared" si="74"/>
        <v>5</v>
      </c>
      <c r="I67" s="40" t="s">
        <v>16</v>
      </c>
      <c r="J67" s="40">
        <v>260.0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370</v>
      </c>
      <c r="D68" s="40"/>
      <c r="G68" s="40"/>
      <c r="H68" s="40">
        <f t="shared" si="74"/>
        <v>6</v>
      </c>
      <c r="I68" s="40" t="s">
        <v>14</v>
      </c>
      <c r="J68" s="40">
        <v>245.0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240</v>
      </c>
      <c r="D69" s="40"/>
      <c r="G69" s="40"/>
      <c r="H69" s="40">
        <f t="shared" si="74"/>
        <v>7</v>
      </c>
      <c r="I69" s="40" t="s">
        <v>12</v>
      </c>
      <c r="J69" s="40">
        <v>240.0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335</v>
      </c>
      <c r="D70" s="40"/>
      <c r="G70" s="40"/>
      <c r="H70" s="40">
        <f t="shared" si="74"/>
        <v>8</v>
      </c>
      <c r="I70" s="40" t="s">
        <v>6</v>
      </c>
      <c r="J70" s="40">
        <v>220.0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245</v>
      </c>
      <c r="D71" s="40"/>
      <c r="G71" s="40"/>
      <c r="H71" s="40">
        <f t="shared" si="74"/>
        <v>8</v>
      </c>
      <c r="I71" s="40" t="s">
        <v>8</v>
      </c>
      <c r="J71" s="40">
        <v>220.0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220</v>
      </c>
      <c r="D72" s="40"/>
      <c r="G72" s="40"/>
      <c r="H72" s="40">
        <f t="shared" si="74"/>
        <v>8</v>
      </c>
      <c r="I72" s="40" t="s">
        <v>15</v>
      </c>
      <c r="J72" s="40">
        <v>220.0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260</v>
      </c>
      <c r="D73" s="40"/>
      <c r="G73" s="40"/>
      <c r="H73" s="40">
        <f t="shared" si="74"/>
        <v>11</v>
      </c>
      <c r="I73" s="40" t="s">
        <v>17</v>
      </c>
      <c r="J73" s="40">
        <v>210.0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210</v>
      </c>
      <c r="D74" s="40"/>
      <c r="G74" s="40"/>
      <c r="H74" s="40">
        <f t="shared" si="74"/>
        <v>12</v>
      </c>
      <c r="I74" s="40" t="s">
        <v>7</v>
      </c>
      <c r="J74" s="40">
        <v>200.0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AND($I19=$C19,$C19=0)</formula>
    </cfRule>
  </conditionalFormatting>
  <conditionalFormatting sqref="G2:K17">
    <cfRule type="expression" dxfId="1" priority="2">
      <formula>$I19=$C19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AND($N19=$C19,$C19=0)</formula>
    </cfRule>
  </conditionalFormatting>
  <conditionalFormatting sqref="L2:P17">
    <cfRule type="expression" dxfId="1" priority="9">
      <formula>$N19=$C19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AND($S19=$C19,$C19=0)</formula>
    </cfRule>
  </conditionalFormatting>
  <conditionalFormatting sqref="Q2:U17">
    <cfRule type="expression" dxfId="1" priority="16">
      <formula>$S19=$C19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AND($X19=$C19,$C19=0)</formula>
    </cfRule>
  </conditionalFormatting>
  <conditionalFormatting sqref="V2:Z17">
    <cfRule type="expression" dxfId="1" priority="78">
      <formula>$X19=$C19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AND($AC19=$C19,$C19=0)</formula>
    </cfRule>
  </conditionalFormatting>
  <conditionalFormatting sqref="AA2:AE17">
    <cfRule type="expression" dxfId="1" priority="81">
      <formula>$AC19=$C19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AND($AH19=$C19,$C19=0)</formula>
    </cfRule>
  </conditionalFormatting>
  <conditionalFormatting sqref="AF2:AJ17">
    <cfRule type="expression" dxfId="1" priority="84">
      <formula>$AH19=$C19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AND($AM19=$C19,$C19=0)</formula>
    </cfRule>
  </conditionalFormatting>
  <conditionalFormatting sqref="AK2:AO17">
    <cfRule type="expression" dxfId="1" priority="87">
      <formula>$AM19=$C19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AND($AR19=$C19,$C19=0)</formula>
    </cfRule>
  </conditionalFormatting>
  <conditionalFormatting sqref="AP2:AT17">
    <cfRule type="expression" dxfId="1" priority="90">
      <formula>$AR19=$C19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AND($AW19=$C19,$C19=0)</formula>
    </cfRule>
  </conditionalFormatting>
  <conditionalFormatting sqref="AU2:AY17">
    <cfRule type="expression" dxfId="1" priority="93">
      <formula>$AW19=$C19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AND($BB19=$C19,$C19=0)</formula>
    </cfRule>
  </conditionalFormatting>
  <conditionalFormatting sqref="AZ2:BD17">
    <cfRule type="expression" dxfId="1" priority="96">
      <formula>$BB19=$C19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AND($BG19=$C19,$C19=0)</formula>
    </cfRule>
  </conditionalFormatting>
  <conditionalFormatting sqref="BE2:BI17">
    <cfRule type="expression" dxfId="1" priority="99">
      <formula>$BG19=$C19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AND($BL19=$C19,$C19=0)</formula>
    </cfRule>
  </conditionalFormatting>
  <conditionalFormatting sqref="BJ2:BN17">
    <cfRule type="expression" dxfId="1" priority="102">
      <formula>$BL19=$C19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4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22</v>
      </c>
      <c r="B2" s="17" t="s">
        <v>25</v>
      </c>
      <c r="C2" s="18" t="str">
        <f>IFERROR(__xludf.DUMMYFUNCTION("IMPORTRANGE(""https://docs.google.com/spreadsheets/d/1v9a6MxzpyXdVbef97sptWrOJUpuAu6ldKC6wbegqpyg/edit?gid=2047684673#gid=2047684673"",""Week 3!C3:F18"")"),"ATL")</f>
        <v>ATL</v>
      </c>
      <c r="D2" s="11" t="str">
        <f>IFERROR(__xludf.DUMMYFUNCTION("""COMPUTED_VALUE"""),"")</f>
        <v/>
      </c>
      <c r="E2" s="19">
        <f>IFERROR(__xludf.DUMMYFUNCTION("""COMPUTED_VALUE"""),35.0)</f>
        <v>35</v>
      </c>
      <c r="F2" s="20">
        <f>IFERROR(__xludf.DUMMYFUNCTION("""COMPUTED_VALUE"""),14.0)</f>
        <v>14</v>
      </c>
      <c r="G2" s="19" t="s">
        <v>26</v>
      </c>
      <c r="H2" s="11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17.0</v>
      </c>
      <c r="J2" s="19">
        <v>21.0</v>
      </c>
      <c r="K2" s="20" t="b">
        <v>0</v>
      </c>
      <c r="L2" s="24" t="s">
        <v>26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10.0</v>
      </c>
      <c r="O2" s="24">
        <v>14.0</v>
      </c>
      <c r="P2" s="24" t="b">
        <v>0</v>
      </c>
      <c r="Q2" s="27" t="s">
        <v>29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23.0</v>
      </c>
      <c r="T2" s="19">
        <v>20.0</v>
      </c>
      <c r="U2" s="20" t="b">
        <v>0</v>
      </c>
      <c r="V2" s="19" t="s">
        <v>26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21.0</v>
      </c>
      <c r="Y2" s="19">
        <v>28.0</v>
      </c>
      <c r="Z2" s="20" t="b">
        <v>0</v>
      </c>
      <c r="AA2" s="27" t="s">
        <v>26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26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7.0</v>
      </c>
      <c r="AI2" s="19">
        <v>21.0</v>
      </c>
      <c r="AJ2" s="20" t="b">
        <v>0</v>
      </c>
      <c r="AK2" s="19" t="s">
        <v>29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27.0</v>
      </c>
      <c r="AN2" s="19">
        <v>24.0</v>
      </c>
      <c r="AO2" s="20" t="b">
        <v>0</v>
      </c>
      <c r="AP2" s="27" t="s">
        <v>26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20.0</v>
      </c>
      <c r="AS2" s="19">
        <v>27.0</v>
      </c>
      <c r="AT2" s="20" t="b">
        <v>0</v>
      </c>
      <c r="AU2" s="27" t="s">
        <v>29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28.0</v>
      </c>
      <c r="AX2" s="19">
        <v>21.0</v>
      </c>
      <c r="AY2" s="20" t="b">
        <v>0</v>
      </c>
      <c r="AZ2" s="27" t="s">
        <v>26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26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21.0</v>
      </c>
      <c r="BH2" s="19">
        <v>28.0</v>
      </c>
      <c r="BI2" s="20" t="b">
        <v>0</v>
      </c>
      <c r="BJ2" s="27" t="s">
        <v>26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24.0</v>
      </c>
      <c r="BM2" s="19">
        <v>27.0</v>
      </c>
      <c r="BN2" s="20" t="b">
        <v>0</v>
      </c>
      <c r="BO2" s="19"/>
      <c r="BP2" s="19"/>
      <c r="BQ2" s="19"/>
    </row>
    <row r="3">
      <c r="A3" s="16" t="s">
        <v>47</v>
      </c>
      <c r="B3" s="17" t="s">
        <v>49</v>
      </c>
      <c r="C3" s="18" t="str">
        <f>IFERROR(__xludf.DUMMYFUNCTION("""COMPUTED_VALUE"""),"BUF")</f>
        <v>BUF</v>
      </c>
      <c r="D3" s="11" t="str">
        <f>IFERROR(__xludf.DUMMYFUNCTION("""COMPUTED_VALUE"""),"")</f>
        <v/>
      </c>
      <c r="E3" s="17">
        <f>IFERROR(__xludf.DUMMYFUNCTION("""COMPUTED_VALUE"""),14.0)</f>
        <v>14</v>
      </c>
      <c r="F3" s="31">
        <f>IFERROR(__xludf.DUMMYFUNCTION("""COMPUTED_VALUE"""),26.0)</f>
        <v>26</v>
      </c>
      <c r="G3" s="19" t="s">
        <v>23</v>
      </c>
      <c r="H3" s="11" t="str">
        <f t="shared" si="1"/>
        <v/>
      </c>
      <c r="I3" s="19">
        <v>21.0</v>
      </c>
      <c r="J3" s="19">
        <v>28.0</v>
      </c>
      <c r="K3" s="20" t="b">
        <v>0</v>
      </c>
      <c r="L3" s="19" t="s">
        <v>50</v>
      </c>
      <c r="M3" s="11" t="str">
        <f t="shared" si="2"/>
        <v/>
      </c>
      <c r="N3" s="19">
        <v>31.0</v>
      </c>
      <c r="O3" s="19">
        <v>24.0</v>
      </c>
      <c r="P3" s="19" t="b">
        <v>0</v>
      </c>
      <c r="Q3" s="27" t="s">
        <v>50</v>
      </c>
      <c r="R3" s="11" t="str">
        <f t="shared" si="3"/>
        <v/>
      </c>
      <c r="S3" s="19">
        <v>23.0</v>
      </c>
      <c r="T3" s="19">
        <v>20.0</v>
      </c>
      <c r="U3" s="20" t="b">
        <v>0</v>
      </c>
      <c r="V3" s="19" t="s">
        <v>50</v>
      </c>
      <c r="W3" s="11" t="str">
        <f t="shared" si="4"/>
        <v/>
      </c>
      <c r="X3" s="19">
        <v>24.0</v>
      </c>
      <c r="Y3" s="19">
        <v>21.0</v>
      </c>
      <c r="Z3" s="20" t="b">
        <v>0</v>
      </c>
      <c r="AA3" s="27" t="s">
        <v>23</v>
      </c>
      <c r="AB3" s="11" t="str">
        <f t="shared" si="5"/>
        <v/>
      </c>
      <c r="AC3" s="19">
        <v>17.0</v>
      </c>
      <c r="AD3" s="19">
        <v>24.0</v>
      </c>
      <c r="AE3" s="19" t="b">
        <v>0</v>
      </c>
      <c r="AF3" s="27" t="s">
        <v>23</v>
      </c>
      <c r="AG3" s="11" t="str">
        <f t="shared" si="6"/>
        <v/>
      </c>
      <c r="AH3" s="19">
        <v>24.0</v>
      </c>
      <c r="AI3" s="19">
        <v>31.0</v>
      </c>
      <c r="AJ3" s="20" t="b">
        <v>0</v>
      </c>
      <c r="AK3" s="19" t="s">
        <v>23</v>
      </c>
      <c r="AL3" s="11" t="str">
        <f t="shared" si="7"/>
        <v/>
      </c>
      <c r="AM3" s="19">
        <v>20.0</v>
      </c>
      <c r="AN3" s="19">
        <v>23.0</v>
      </c>
      <c r="AO3" s="20" t="b">
        <v>0</v>
      </c>
      <c r="AP3" s="27" t="s">
        <v>23</v>
      </c>
      <c r="AQ3" s="11" t="str">
        <f t="shared" si="8"/>
        <v/>
      </c>
      <c r="AR3" s="19">
        <v>24.0</v>
      </c>
      <c r="AS3" s="19">
        <v>27.0</v>
      </c>
      <c r="AT3" s="20" t="b">
        <v>0</v>
      </c>
      <c r="AU3" s="27" t="s">
        <v>23</v>
      </c>
      <c r="AV3" s="11" t="str">
        <f t="shared" si="9"/>
        <v/>
      </c>
      <c r="AW3" s="19">
        <v>24.0</v>
      </c>
      <c r="AX3" s="19">
        <v>31.0</v>
      </c>
      <c r="AY3" s="20" t="b">
        <v>0</v>
      </c>
      <c r="AZ3" s="27" t="s">
        <v>23</v>
      </c>
      <c r="BA3" s="11" t="str">
        <f t="shared" si="10"/>
        <v/>
      </c>
      <c r="BB3" s="19">
        <v>20.0</v>
      </c>
      <c r="BC3" s="19">
        <v>23.0</v>
      </c>
      <c r="BD3" s="20" t="b">
        <v>0</v>
      </c>
      <c r="BE3" s="27" t="s">
        <v>50</v>
      </c>
      <c r="BF3" s="11" t="str">
        <f t="shared" si="11"/>
        <v/>
      </c>
      <c r="BG3" s="19">
        <v>24.0</v>
      </c>
      <c r="BH3" s="19">
        <v>21.0</v>
      </c>
      <c r="BI3" s="20" t="b">
        <v>0</v>
      </c>
      <c r="BJ3" s="27" t="s">
        <v>23</v>
      </c>
      <c r="BK3" s="11" t="str">
        <f t="shared" si="12"/>
        <v/>
      </c>
      <c r="BL3" s="19">
        <v>21.0</v>
      </c>
      <c r="BM3" s="19">
        <v>28.0</v>
      </c>
      <c r="BN3" s="20" t="b">
        <v>0</v>
      </c>
      <c r="BO3" s="17"/>
      <c r="BP3" s="17"/>
      <c r="BQ3" s="17"/>
    </row>
    <row r="4">
      <c r="A4" s="16" t="s">
        <v>47</v>
      </c>
      <c r="B4" s="17" t="s">
        <v>62</v>
      </c>
      <c r="C4" s="18" t="str">
        <f>IFERROR(__xludf.DUMMYFUNCTION("""COMPUTED_VALUE"""),"CLE")</f>
        <v>CLE</v>
      </c>
      <c r="D4" s="11" t="str">
        <f>IFERROR(__xludf.DUMMYFUNCTION("""COMPUTED_VALUE"""),"")</f>
        <v/>
      </c>
      <c r="E4" s="19">
        <f>IFERROR(__xludf.DUMMYFUNCTION("""COMPUTED_VALUE"""),18.0)</f>
        <v>18</v>
      </c>
      <c r="F4" s="20">
        <f>IFERROR(__xludf.DUMMYFUNCTION("""COMPUTED_VALUE"""),21.0)</f>
        <v>21</v>
      </c>
      <c r="G4" s="19" t="s">
        <v>41</v>
      </c>
      <c r="H4" s="11" t="str">
        <f t="shared" si="1"/>
        <v/>
      </c>
      <c r="I4" s="19">
        <v>20.0</v>
      </c>
      <c r="J4" s="19">
        <v>14.0</v>
      </c>
      <c r="K4" s="20" t="b">
        <v>0</v>
      </c>
      <c r="L4" s="19" t="s">
        <v>34</v>
      </c>
      <c r="M4" s="11" t="str">
        <f t="shared" si="2"/>
        <v/>
      </c>
      <c r="N4" s="19">
        <v>17.0</v>
      </c>
      <c r="O4" s="19">
        <v>20.0</v>
      </c>
      <c r="P4" s="19" t="b">
        <v>0</v>
      </c>
      <c r="Q4" s="27" t="s">
        <v>41</v>
      </c>
      <c r="R4" s="11" t="str">
        <f t="shared" si="3"/>
        <v/>
      </c>
      <c r="S4" s="19">
        <v>10.0</v>
      </c>
      <c r="T4" s="19">
        <v>7.0</v>
      </c>
      <c r="U4" s="20" t="b">
        <v>0</v>
      </c>
      <c r="V4" s="19" t="s">
        <v>41</v>
      </c>
      <c r="W4" s="11" t="str">
        <f t="shared" si="4"/>
        <v/>
      </c>
      <c r="X4" s="19">
        <v>28.0</v>
      </c>
      <c r="Y4" s="19">
        <v>21.0</v>
      </c>
      <c r="Z4" s="20" t="b">
        <v>0</v>
      </c>
      <c r="AA4" s="27" t="s">
        <v>41</v>
      </c>
      <c r="AB4" s="11" t="str">
        <f t="shared" si="5"/>
        <v/>
      </c>
      <c r="AC4" s="19">
        <v>24.0</v>
      </c>
      <c r="AD4" s="19">
        <v>17.0</v>
      </c>
      <c r="AE4" s="19" t="b">
        <v>0</v>
      </c>
      <c r="AF4" s="27" t="s">
        <v>41</v>
      </c>
      <c r="AG4" s="11" t="str">
        <f t="shared" si="6"/>
        <v/>
      </c>
      <c r="AH4" s="19">
        <v>17.0</v>
      </c>
      <c r="AI4" s="19">
        <v>14.0</v>
      </c>
      <c r="AJ4" s="20" t="b">
        <v>0</v>
      </c>
      <c r="AK4" s="19" t="s">
        <v>41</v>
      </c>
      <c r="AL4" s="11" t="str">
        <f t="shared" si="7"/>
        <v/>
      </c>
      <c r="AM4" s="19">
        <v>28.0</v>
      </c>
      <c r="AN4" s="19">
        <v>21.0</v>
      </c>
      <c r="AO4" s="20" t="b">
        <v>0</v>
      </c>
      <c r="AP4" s="27" t="s">
        <v>41</v>
      </c>
      <c r="AQ4" s="11" t="str">
        <f t="shared" si="8"/>
        <v/>
      </c>
      <c r="AR4" s="19">
        <v>21.0</v>
      </c>
      <c r="AS4" s="19">
        <v>20.0</v>
      </c>
      <c r="AT4" s="20" t="b">
        <v>0</v>
      </c>
      <c r="AU4" s="27" t="s">
        <v>34</v>
      </c>
      <c r="AV4" s="11" t="str">
        <f t="shared" si="9"/>
        <v/>
      </c>
      <c r="AW4" s="19">
        <v>17.0</v>
      </c>
      <c r="AX4" s="19">
        <v>20.0</v>
      </c>
      <c r="AY4" s="20" t="b">
        <v>0</v>
      </c>
      <c r="AZ4" s="27" t="s">
        <v>41</v>
      </c>
      <c r="BA4" s="11" t="str">
        <f t="shared" si="10"/>
        <v/>
      </c>
      <c r="BB4" s="19">
        <v>23.0</v>
      </c>
      <c r="BC4" s="19">
        <v>20.0</v>
      </c>
      <c r="BD4" s="20" t="b">
        <v>0</v>
      </c>
      <c r="BE4" s="27" t="s">
        <v>34</v>
      </c>
      <c r="BF4" s="11" t="str">
        <f t="shared" si="11"/>
        <v/>
      </c>
      <c r="BG4" s="19">
        <v>24.0</v>
      </c>
      <c r="BH4" s="19">
        <v>31.0</v>
      </c>
      <c r="BI4" s="20" t="b">
        <v>0</v>
      </c>
      <c r="BJ4" s="27" t="s">
        <v>41</v>
      </c>
      <c r="BK4" s="11" t="str">
        <f t="shared" si="12"/>
        <v/>
      </c>
      <c r="BL4" s="19">
        <v>17.0</v>
      </c>
      <c r="BM4" s="19">
        <v>14.0</v>
      </c>
      <c r="BN4" s="20" t="b">
        <v>0</v>
      </c>
      <c r="BO4" s="17"/>
      <c r="BP4" s="17"/>
      <c r="BQ4" s="17"/>
    </row>
    <row r="5">
      <c r="A5" s="16" t="s">
        <v>47</v>
      </c>
      <c r="B5" s="17" t="s">
        <v>67</v>
      </c>
      <c r="C5" s="18" t="str">
        <f>IFERROR(__xludf.DUMMYFUNCTION("""COMPUTED_VALUE"""),"DET")</f>
        <v>DET</v>
      </c>
      <c r="D5" s="11" t="str">
        <f>IFERROR(__xludf.DUMMYFUNCTION("""COMPUTED_VALUE"""),"")</f>
        <v/>
      </c>
      <c r="E5" s="19">
        <f>IFERROR(__xludf.DUMMYFUNCTION("""COMPUTED_VALUE"""),24.0)</f>
        <v>24</v>
      </c>
      <c r="F5" s="20">
        <f>IFERROR(__xludf.DUMMYFUNCTION("""COMPUTED_VALUE"""),31.0)</f>
        <v>31</v>
      </c>
      <c r="G5" s="19" t="s">
        <v>27</v>
      </c>
      <c r="H5" s="11" t="str">
        <f t="shared" si="1"/>
        <v/>
      </c>
      <c r="I5" s="19">
        <v>24.0</v>
      </c>
      <c r="J5" s="19">
        <v>27.0</v>
      </c>
      <c r="K5" s="20" t="b">
        <v>0</v>
      </c>
      <c r="L5" s="19" t="s">
        <v>27</v>
      </c>
      <c r="M5" s="11" t="str">
        <f t="shared" si="2"/>
        <v/>
      </c>
      <c r="N5" s="19">
        <v>17.0</v>
      </c>
      <c r="O5" s="19">
        <v>21.0</v>
      </c>
      <c r="P5" s="19" t="b">
        <v>0</v>
      </c>
      <c r="Q5" s="27" t="s">
        <v>58</v>
      </c>
      <c r="R5" s="11" t="str">
        <f t="shared" si="3"/>
        <v/>
      </c>
      <c r="S5" s="19">
        <v>21.0</v>
      </c>
      <c r="T5" s="19">
        <v>17.0</v>
      </c>
      <c r="U5" s="20" t="b">
        <v>0</v>
      </c>
      <c r="V5" s="19" t="s">
        <v>27</v>
      </c>
      <c r="W5" s="11" t="str">
        <f t="shared" si="4"/>
        <v/>
      </c>
      <c r="X5" s="19">
        <v>7.0</v>
      </c>
      <c r="Y5" s="19">
        <v>10.0</v>
      </c>
      <c r="Z5" s="20" t="b">
        <v>0</v>
      </c>
      <c r="AA5" s="27" t="s">
        <v>27</v>
      </c>
      <c r="AB5" s="11" t="str">
        <f t="shared" si="5"/>
        <v/>
      </c>
      <c r="AC5" s="19">
        <v>17.0</v>
      </c>
      <c r="AD5" s="19">
        <v>24.0</v>
      </c>
      <c r="AE5" s="19" t="b">
        <v>0</v>
      </c>
      <c r="AF5" s="27" t="s">
        <v>27</v>
      </c>
      <c r="AG5" s="11" t="str">
        <f t="shared" si="6"/>
        <v/>
      </c>
      <c r="AH5" s="19">
        <v>14.0</v>
      </c>
      <c r="AI5" s="19">
        <v>24.0</v>
      </c>
      <c r="AJ5" s="20" t="b">
        <v>0</v>
      </c>
      <c r="AK5" s="19" t="s">
        <v>27</v>
      </c>
      <c r="AL5" s="11" t="str">
        <f t="shared" si="7"/>
        <v/>
      </c>
      <c r="AM5" s="19">
        <v>17.0</v>
      </c>
      <c r="AN5" s="19">
        <v>21.0</v>
      </c>
      <c r="AO5" s="20" t="b">
        <v>0</v>
      </c>
      <c r="AP5" s="27" t="s">
        <v>27</v>
      </c>
      <c r="AQ5" s="11" t="str">
        <f t="shared" si="8"/>
        <v/>
      </c>
      <c r="AR5" s="19">
        <v>17.0</v>
      </c>
      <c r="AS5" s="19">
        <v>30.0</v>
      </c>
      <c r="AT5" s="20" t="b">
        <v>0</v>
      </c>
      <c r="AU5" s="27" t="s">
        <v>27</v>
      </c>
      <c r="AV5" s="11" t="str">
        <f t="shared" si="9"/>
        <v/>
      </c>
      <c r="AW5" s="19">
        <v>21.0</v>
      </c>
      <c r="AX5" s="19">
        <v>24.0</v>
      </c>
      <c r="AY5" s="20" t="b">
        <v>0</v>
      </c>
      <c r="AZ5" s="27" t="s">
        <v>27</v>
      </c>
      <c r="BA5" s="11" t="str">
        <f t="shared" si="10"/>
        <v/>
      </c>
      <c r="BB5" s="19">
        <v>20.0</v>
      </c>
      <c r="BC5" s="19">
        <v>23.0</v>
      </c>
      <c r="BD5" s="20" t="b">
        <v>0</v>
      </c>
      <c r="BE5" s="27" t="s">
        <v>27</v>
      </c>
      <c r="BF5" s="11" t="str">
        <f t="shared" si="11"/>
        <v/>
      </c>
      <c r="BG5" s="19">
        <v>10.0</v>
      </c>
      <c r="BH5" s="19">
        <v>14.0</v>
      </c>
      <c r="BI5" s="20" t="b">
        <v>0</v>
      </c>
      <c r="BJ5" s="27" t="s">
        <v>27</v>
      </c>
      <c r="BK5" s="11" t="str">
        <f t="shared" si="12"/>
        <v/>
      </c>
      <c r="BL5" s="19">
        <v>24.0</v>
      </c>
      <c r="BM5" s="19">
        <v>31.0</v>
      </c>
      <c r="BN5" s="20" t="b">
        <v>0</v>
      </c>
      <c r="BO5" s="17"/>
      <c r="BP5" s="17"/>
      <c r="BQ5" s="17"/>
    </row>
    <row r="6">
      <c r="A6" s="16" t="s">
        <v>47</v>
      </c>
      <c r="B6" s="30" t="s">
        <v>75</v>
      </c>
      <c r="C6" s="18" t="str">
        <f>IFERROR(__xludf.DUMMYFUNCTION("""COMPUTED_VALUE"""),"IND")</f>
        <v>IND</v>
      </c>
      <c r="D6" s="11" t="str">
        <f>IFERROR(__xludf.DUMMYFUNCTION("""COMPUTED_VALUE"""),"")</f>
        <v/>
      </c>
      <c r="E6" s="19">
        <f>IFERROR(__xludf.DUMMYFUNCTION("""COMPUTED_VALUE"""),19.0)</f>
        <v>19</v>
      </c>
      <c r="F6" s="20">
        <f>IFERROR(__xludf.DUMMYFUNCTION("""COMPUTED_VALUE"""),27.0)</f>
        <v>27</v>
      </c>
      <c r="G6" s="19" t="s">
        <v>69</v>
      </c>
      <c r="H6" s="11" t="str">
        <f t="shared" si="1"/>
        <v/>
      </c>
      <c r="I6" s="19">
        <v>31.0</v>
      </c>
      <c r="J6" s="19">
        <v>24.0</v>
      </c>
      <c r="K6" s="20" t="b">
        <v>0</v>
      </c>
      <c r="L6" s="19" t="s">
        <v>76</v>
      </c>
      <c r="M6" s="11" t="str">
        <f t="shared" si="2"/>
        <v/>
      </c>
      <c r="N6" s="19">
        <v>17.0</v>
      </c>
      <c r="O6" s="19">
        <v>20.0</v>
      </c>
      <c r="P6" s="19" t="b">
        <v>0</v>
      </c>
      <c r="Q6" s="27" t="s">
        <v>69</v>
      </c>
      <c r="R6" s="11" t="str">
        <f t="shared" si="3"/>
        <v/>
      </c>
      <c r="S6" s="19">
        <v>14.0</v>
      </c>
      <c r="T6" s="19">
        <v>10.0</v>
      </c>
      <c r="U6" s="20" t="b">
        <v>0</v>
      </c>
      <c r="V6" s="19" t="s">
        <v>69</v>
      </c>
      <c r="W6" s="11" t="str">
        <f t="shared" si="4"/>
        <v/>
      </c>
      <c r="X6" s="19">
        <v>24.0</v>
      </c>
      <c r="Y6" s="19">
        <v>21.0</v>
      </c>
      <c r="Z6" s="20" t="b">
        <v>0</v>
      </c>
      <c r="AA6" s="27" t="s">
        <v>69</v>
      </c>
      <c r="AB6" s="11" t="str">
        <f t="shared" si="5"/>
        <v/>
      </c>
      <c r="AC6" s="19">
        <v>24.0</v>
      </c>
      <c r="AD6" s="19">
        <v>17.0</v>
      </c>
      <c r="AE6" s="19" t="b">
        <v>0</v>
      </c>
      <c r="AF6" s="27" t="s">
        <v>76</v>
      </c>
      <c r="AG6" s="11" t="str">
        <f t="shared" si="6"/>
        <v/>
      </c>
      <c r="AH6" s="19">
        <v>24.0</v>
      </c>
      <c r="AI6" s="19">
        <v>31.0</v>
      </c>
      <c r="AJ6" s="20" t="b">
        <v>0</v>
      </c>
      <c r="AK6" s="19" t="s">
        <v>76</v>
      </c>
      <c r="AL6" s="11" t="str">
        <f t="shared" si="7"/>
        <v/>
      </c>
      <c r="AM6" s="19">
        <v>20.0</v>
      </c>
      <c r="AN6" s="19">
        <v>23.0</v>
      </c>
      <c r="AO6" s="20" t="b">
        <v>0</v>
      </c>
      <c r="AP6" s="27" t="s">
        <v>69</v>
      </c>
      <c r="AQ6" s="11" t="str">
        <f t="shared" si="8"/>
        <v/>
      </c>
      <c r="AR6" s="19">
        <v>23.0</v>
      </c>
      <c r="AS6" s="19">
        <v>20.0</v>
      </c>
      <c r="AT6" s="20" t="b">
        <v>0</v>
      </c>
      <c r="AU6" s="27" t="s">
        <v>69</v>
      </c>
      <c r="AV6" s="11" t="str">
        <f t="shared" si="9"/>
        <v/>
      </c>
      <c r="AW6" s="19">
        <v>20.0</v>
      </c>
      <c r="AX6" s="19">
        <v>17.0</v>
      </c>
      <c r="AY6" s="20" t="b">
        <v>0</v>
      </c>
      <c r="AZ6" s="27" t="s">
        <v>69</v>
      </c>
      <c r="BA6" s="11" t="str">
        <f t="shared" si="10"/>
        <v/>
      </c>
      <c r="BB6" s="19">
        <v>23.0</v>
      </c>
      <c r="BC6" s="19">
        <v>20.0</v>
      </c>
      <c r="BD6" s="20" t="b">
        <v>0</v>
      </c>
      <c r="BE6" s="27" t="s">
        <v>76</v>
      </c>
      <c r="BF6" s="11" t="str">
        <f t="shared" si="11"/>
        <v/>
      </c>
      <c r="BG6" s="19">
        <v>14.0</v>
      </c>
      <c r="BH6" s="19">
        <v>17.0</v>
      </c>
      <c r="BI6" s="20" t="b">
        <v>0</v>
      </c>
      <c r="BJ6" s="27" t="s">
        <v>69</v>
      </c>
      <c r="BK6" s="11" t="str">
        <f t="shared" si="12"/>
        <v/>
      </c>
      <c r="BL6" s="19">
        <v>31.0</v>
      </c>
      <c r="BM6" s="19">
        <v>24.0</v>
      </c>
      <c r="BN6" s="20" t="b">
        <v>0</v>
      </c>
      <c r="BO6" s="17"/>
      <c r="BP6" s="17"/>
      <c r="BQ6" s="17"/>
    </row>
    <row r="7">
      <c r="A7" s="16" t="s">
        <v>47</v>
      </c>
      <c r="B7" s="17" t="s">
        <v>86</v>
      </c>
      <c r="C7" s="18" t="str">
        <f>IFERROR(__xludf.DUMMYFUNCTION("""COMPUTED_VALUE"""),"KC")</f>
        <v>KC</v>
      </c>
      <c r="D7" s="11" t="str">
        <f>IFERROR(__xludf.DUMMYFUNCTION("""COMPUTED_VALUE"""),"")</f>
        <v/>
      </c>
      <c r="E7" s="19">
        <f>IFERROR(__xludf.DUMMYFUNCTION("""COMPUTED_VALUE"""),24.0)</f>
        <v>24</v>
      </c>
      <c r="F7" s="20">
        <f>IFERROR(__xludf.DUMMYFUNCTION("""COMPUTED_VALUE"""),10.0)</f>
        <v>10</v>
      </c>
      <c r="G7" s="19" t="s">
        <v>88</v>
      </c>
      <c r="H7" s="11" t="str">
        <f t="shared" si="1"/>
        <v/>
      </c>
      <c r="I7" s="19">
        <v>27.0</v>
      </c>
      <c r="J7" s="19">
        <v>20.0</v>
      </c>
      <c r="K7" s="20" t="b">
        <v>1</v>
      </c>
      <c r="L7" s="19" t="s">
        <v>88</v>
      </c>
      <c r="M7" s="11" t="str">
        <f t="shared" si="2"/>
        <v/>
      </c>
      <c r="N7" s="19">
        <v>23.0</v>
      </c>
      <c r="O7" s="19">
        <v>20.0</v>
      </c>
      <c r="P7" s="19" t="b">
        <v>0</v>
      </c>
      <c r="Q7" s="27" t="s">
        <v>88</v>
      </c>
      <c r="R7" s="11" t="str">
        <f t="shared" si="3"/>
        <v/>
      </c>
      <c r="S7" s="19">
        <v>20.0</v>
      </c>
      <c r="T7" s="19">
        <v>17.0</v>
      </c>
      <c r="U7" s="20" t="b">
        <v>1</v>
      </c>
      <c r="V7" s="19" t="s">
        <v>88</v>
      </c>
      <c r="W7" s="11" t="str">
        <f t="shared" si="4"/>
        <v/>
      </c>
      <c r="X7" s="19">
        <v>21.0</v>
      </c>
      <c r="Y7" s="19">
        <v>17.0</v>
      </c>
      <c r="Z7" s="20" t="b">
        <v>0</v>
      </c>
      <c r="AA7" s="27" t="s">
        <v>88</v>
      </c>
      <c r="AB7" s="11" t="str">
        <f t="shared" si="5"/>
        <v/>
      </c>
      <c r="AC7" s="19">
        <v>24.0</v>
      </c>
      <c r="AD7" s="19">
        <v>17.0</v>
      </c>
      <c r="AE7" s="19" t="b">
        <v>0</v>
      </c>
      <c r="AF7" s="27" t="s">
        <v>88</v>
      </c>
      <c r="AG7" s="11" t="str">
        <f t="shared" si="6"/>
        <v/>
      </c>
      <c r="AH7" s="19">
        <v>20.0</v>
      </c>
      <c r="AI7" s="19">
        <v>17.0</v>
      </c>
      <c r="AJ7" s="20" t="b">
        <v>1</v>
      </c>
      <c r="AK7" s="19" t="s">
        <v>88</v>
      </c>
      <c r="AL7" s="11" t="str">
        <f t="shared" si="7"/>
        <v/>
      </c>
      <c r="AM7" s="19">
        <v>24.0</v>
      </c>
      <c r="AN7" s="19">
        <v>21.0</v>
      </c>
      <c r="AO7" s="20" t="b">
        <v>0</v>
      </c>
      <c r="AP7" s="27" t="s">
        <v>88</v>
      </c>
      <c r="AQ7" s="11" t="str">
        <f t="shared" si="8"/>
        <v/>
      </c>
      <c r="AR7" s="19">
        <v>27.0</v>
      </c>
      <c r="AS7" s="19">
        <v>20.0</v>
      </c>
      <c r="AT7" s="20" t="b">
        <v>0</v>
      </c>
      <c r="AU7" s="27" t="s">
        <v>88</v>
      </c>
      <c r="AV7" s="11" t="str">
        <f t="shared" si="9"/>
        <v/>
      </c>
      <c r="AW7" s="19">
        <v>14.0</v>
      </c>
      <c r="AX7" s="19">
        <v>10.0</v>
      </c>
      <c r="AY7" s="20" t="b">
        <v>0</v>
      </c>
      <c r="AZ7" s="27" t="s">
        <v>88</v>
      </c>
      <c r="BA7" s="11" t="str">
        <f t="shared" si="10"/>
        <v/>
      </c>
      <c r="BB7" s="19">
        <v>23.0</v>
      </c>
      <c r="BC7" s="19">
        <v>20.0</v>
      </c>
      <c r="BD7" s="20" t="b">
        <v>0</v>
      </c>
      <c r="BE7" s="27" t="s">
        <v>88</v>
      </c>
      <c r="BF7" s="11" t="str">
        <f t="shared" si="11"/>
        <v/>
      </c>
      <c r="BG7" s="19">
        <v>10.0</v>
      </c>
      <c r="BH7" s="19">
        <v>7.0</v>
      </c>
      <c r="BI7" s="20" t="b">
        <v>1</v>
      </c>
      <c r="BJ7" s="27" t="s">
        <v>87</v>
      </c>
      <c r="BK7" s="11" t="str">
        <f t="shared" si="12"/>
        <v/>
      </c>
      <c r="BL7" s="19">
        <v>17.0</v>
      </c>
      <c r="BM7" s="19">
        <v>21.0</v>
      </c>
      <c r="BN7" s="20" t="b">
        <v>0</v>
      </c>
      <c r="BO7" s="17"/>
      <c r="BP7" s="17"/>
      <c r="BQ7" s="17"/>
    </row>
    <row r="8">
      <c r="A8" s="16" t="s">
        <v>47</v>
      </c>
      <c r="B8" s="17" t="s">
        <v>91</v>
      </c>
      <c r="C8" s="18" t="str">
        <f>IFERROR(__xludf.DUMMYFUNCTION("""COMPUTED_VALUE"""),"NYG")</f>
        <v>NYG</v>
      </c>
      <c r="D8" s="11" t="str">
        <f>IFERROR(__xludf.DUMMYFUNCTION("""COMPUTED_VALUE"""),"")</f>
        <v/>
      </c>
      <c r="E8" s="19">
        <f>IFERROR(__xludf.DUMMYFUNCTION("""COMPUTED_VALUE"""),7.0)</f>
        <v>7</v>
      </c>
      <c r="F8" s="20">
        <f>IFERROR(__xludf.DUMMYFUNCTION("""COMPUTED_VALUE"""),12.0)</f>
        <v>12</v>
      </c>
      <c r="G8" s="19" t="s">
        <v>92</v>
      </c>
      <c r="H8" s="11" t="str">
        <f t="shared" si="1"/>
        <v/>
      </c>
      <c r="I8" s="19">
        <v>17.0</v>
      </c>
      <c r="J8" s="19">
        <v>20.0</v>
      </c>
      <c r="K8" s="20" t="b">
        <v>0</v>
      </c>
      <c r="L8" s="19" t="s">
        <v>92</v>
      </c>
      <c r="M8" s="11" t="str">
        <f t="shared" si="2"/>
        <v/>
      </c>
      <c r="N8" s="19">
        <v>17.0</v>
      </c>
      <c r="O8" s="19">
        <v>21.0</v>
      </c>
      <c r="P8" s="19" t="b">
        <v>0</v>
      </c>
      <c r="Q8" s="27" t="s">
        <v>55</v>
      </c>
      <c r="R8" s="11" t="str">
        <f t="shared" si="3"/>
        <v/>
      </c>
      <c r="S8" s="19">
        <v>20.0</v>
      </c>
      <c r="T8" s="19">
        <v>17.0</v>
      </c>
      <c r="U8" s="20" t="b">
        <v>0</v>
      </c>
      <c r="V8" s="19" t="s">
        <v>55</v>
      </c>
      <c r="W8" s="11" t="str">
        <f t="shared" si="4"/>
        <v/>
      </c>
      <c r="X8" s="19">
        <v>28.0</v>
      </c>
      <c r="Y8" s="19">
        <v>21.0</v>
      </c>
      <c r="Z8" s="20" t="b">
        <v>0</v>
      </c>
      <c r="AA8" s="27" t="s">
        <v>92</v>
      </c>
      <c r="AB8" s="11" t="str">
        <f t="shared" si="5"/>
        <v/>
      </c>
      <c r="AC8" s="19">
        <v>17.0</v>
      </c>
      <c r="AD8" s="19">
        <v>24.0</v>
      </c>
      <c r="AE8" s="19" t="b">
        <v>0</v>
      </c>
      <c r="AF8" s="27" t="s">
        <v>92</v>
      </c>
      <c r="AG8" s="11" t="str">
        <f t="shared" si="6"/>
        <v/>
      </c>
      <c r="AH8" s="19">
        <v>24.0</v>
      </c>
      <c r="AI8" s="19">
        <v>27.0</v>
      </c>
      <c r="AJ8" s="20" t="b">
        <v>0</v>
      </c>
      <c r="AK8" s="19" t="s">
        <v>92</v>
      </c>
      <c r="AL8" s="11" t="str">
        <f t="shared" si="7"/>
        <v/>
      </c>
      <c r="AM8" s="19">
        <v>21.0</v>
      </c>
      <c r="AN8" s="19">
        <v>28.0</v>
      </c>
      <c r="AO8" s="20" t="b">
        <v>0</v>
      </c>
      <c r="AP8" s="27" t="s">
        <v>92</v>
      </c>
      <c r="AQ8" s="11" t="str">
        <f t="shared" si="8"/>
        <v/>
      </c>
      <c r="AR8" s="19">
        <v>20.0</v>
      </c>
      <c r="AS8" s="19">
        <v>23.0</v>
      </c>
      <c r="AT8" s="20" t="b">
        <v>0</v>
      </c>
      <c r="AU8" s="27" t="s">
        <v>92</v>
      </c>
      <c r="AV8" s="11" t="str">
        <f t="shared" si="9"/>
        <v/>
      </c>
      <c r="AW8" s="19">
        <v>20.0</v>
      </c>
      <c r="AX8" s="19">
        <v>23.0</v>
      </c>
      <c r="AY8" s="20" t="b">
        <v>0</v>
      </c>
      <c r="AZ8" s="27" t="s">
        <v>92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55</v>
      </c>
      <c r="BF8" s="11" t="str">
        <f t="shared" si="11"/>
        <v/>
      </c>
      <c r="BG8" s="19">
        <v>31.0</v>
      </c>
      <c r="BH8" s="19">
        <v>24.0</v>
      </c>
      <c r="BI8" s="20" t="b">
        <v>0</v>
      </c>
      <c r="BJ8" s="27" t="s">
        <v>55</v>
      </c>
      <c r="BK8" s="11" t="str">
        <f t="shared" si="12"/>
        <v/>
      </c>
      <c r="BL8" s="19">
        <v>10.0</v>
      </c>
      <c r="BM8" s="19">
        <v>7.0</v>
      </c>
      <c r="BN8" s="20" t="b">
        <v>1</v>
      </c>
      <c r="BO8" s="19"/>
      <c r="BP8" s="19"/>
      <c r="BQ8" s="19"/>
    </row>
    <row r="9">
      <c r="A9" s="16" t="s">
        <v>47</v>
      </c>
      <c r="B9" s="30" t="s">
        <v>98</v>
      </c>
      <c r="C9" s="18" t="str">
        <f>IFERROR(__xludf.DUMMYFUNCTION("""COMPUTED_VALUE"""),"PIT")</f>
        <v>PIT</v>
      </c>
      <c r="D9" s="11" t="str">
        <f>IFERROR(__xludf.DUMMYFUNCTION("""COMPUTED_VALUE"""),"")</f>
        <v/>
      </c>
      <c r="E9" s="19">
        <f>IFERROR(__xludf.DUMMYFUNCTION("""COMPUTED_VALUE"""),27.0)</f>
        <v>27</v>
      </c>
      <c r="F9" s="20">
        <f>IFERROR(__xludf.DUMMYFUNCTION("""COMPUTED_VALUE"""),30.0)</f>
        <v>30</v>
      </c>
      <c r="G9" s="19" t="s">
        <v>46</v>
      </c>
      <c r="H9" s="11" t="str">
        <f t="shared" si="1"/>
        <v/>
      </c>
      <c r="I9" s="19">
        <v>27.0</v>
      </c>
      <c r="J9" s="19">
        <v>24.0</v>
      </c>
      <c r="K9" s="20" t="b">
        <v>0</v>
      </c>
      <c r="L9" s="19" t="s">
        <v>46</v>
      </c>
      <c r="M9" s="11" t="str">
        <f t="shared" si="2"/>
        <v/>
      </c>
      <c r="N9" s="19">
        <v>24.0</v>
      </c>
      <c r="O9" s="19">
        <v>23.0</v>
      </c>
      <c r="P9" s="19" t="b">
        <v>0</v>
      </c>
      <c r="Q9" s="27" t="s">
        <v>46</v>
      </c>
      <c r="R9" s="11" t="str">
        <f t="shared" si="3"/>
        <v/>
      </c>
      <c r="S9" s="19">
        <v>17.0</v>
      </c>
      <c r="T9" s="19">
        <v>14.0</v>
      </c>
      <c r="U9" s="20" t="b">
        <v>0</v>
      </c>
      <c r="V9" s="19" t="s">
        <v>46</v>
      </c>
      <c r="W9" s="11" t="str">
        <f t="shared" si="4"/>
        <v/>
      </c>
      <c r="X9" s="19">
        <v>17.0</v>
      </c>
      <c r="Y9" s="19">
        <v>14.0</v>
      </c>
      <c r="Z9" s="20" t="b">
        <v>0</v>
      </c>
      <c r="AA9" s="27" t="s">
        <v>33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33</v>
      </c>
      <c r="AG9" s="11" t="str">
        <f t="shared" si="6"/>
        <v/>
      </c>
      <c r="AH9" s="19">
        <v>35.0</v>
      </c>
      <c r="AI9" s="19">
        <v>38.0</v>
      </c>
      <c r="AJ9" s="20" t="b">
        <v>0</v>
      </c>
      <c r="AK9" s="19" t="s">
        <v>46</v>
      </c>
      <c r="AL9" s="11" t="str">
        <f t="shared" si="7"/>
        <v/>
      </c>
      <c r="AM9" s="19">
        <v>28.0</v>
      </c>
      <c r="AN9" s="19">
        <v>21.0</v>
      </c>
      <c r="AO9" s="20" t="b">
        <v>0</v>
      </c>
      <c r="AP9" s="27" t="s">
        <v>33</v>
      </c>
      <c r="AQ9" s="11" t="str">
        <f t="shared" si="8"/>
        <v/>
      </c>
      <c r="AR9" s="19">
        <v>21.0</v>
      </c>
      <c r="AS9" s="19">
        <v>23.0</v>
      </c>
      <c r="AT9" s="20" t="b">
        <v>0</v>
      </c>
      <c r="AU9" s="27" t="s">
        <v>33</v>
      </c>
      <c r="AV9" s="11" t="str">
        <f t="shared" si="9"/>
        <v/>
      </c>
      <c r="AW9" s="19">
        <v>21.0</v>
      </c>
      <c r="AX9" s="19">
        <v>24.0</v>
      </c>
      <c r="AY9" s="20" t="b">
        <v>0</v>
      </c>
      <c r="AZ9" s="27" t="s">
        <v>46</v>
      </c>
      <c r="BA9" s="11" t="str">
        <f t="shared" si="10"/>
        <v/>
      </c>
      <c r="BB9" s="19">
        <v>23.0</v>
      </c>
      <c r="BC9" s="19">
        <v>20.0</v>
      </c>
      <c r="BD9" s="20" t="b">
        <v>0</v>
      </c>
      <c r="BE9" s="27" t="s">
        <v>46</v>
      </c>
      <c r="BF9" s="11" t="str">
        <f t="shared" si="11"/>
        <v/>
      </c>
      <c r="BG9" s="19">
        <v>20.0</v>
      </c>
      <c r="BH9" s="19">
        <v>17.0</v>
      </c>
      <c r="BI9" s="20" t="b">
        <v>0</v>
      </c>
      <c r="BJ9" s="27" t="s">
        <v>46</v>
      </c>
      <c r="BK9" s="11" t="str">
        <f t="shared" si="12"/>
        <v/>
      </c>
      <c r="BL9" s="19">
        <v>17.0</v>
      </c>
      <c r="BM9" s="19">
        <v>14.0</v>
      </c>
      <c r="BN9" s="20" t="b">
        <v>0</v>
      </c>
      <c r="BO9" s="17"/>
      <c r="BP9" s="17"/>
      <c r="BQ9" s="17"/>
    </row>
    <row r="10">
      <c r="A10" s="16" t="s">
        <v>47</v>
      </c>
      <c r="B10" s="17" t="s">
        <v>108</v>
      </c>
      <c r="C10" s="18" t="str">
        <f>IFERROR(__xludf.DUMMYFUNCTION("""COMPUTED_VALUE"""),"WSH")</f>
        <v>WSH</v>
      </c>
      <c r="D10" s="11" t="str">
        <f>IFERROR(__xludf.DUMMYFUNCTION("""COMPUTED_VALUE"""),"")</f>
        <v/>
      </c>
      <c r="E10" s="19">
        <f>IFERROR(__xludf.DUMMYFUNCTION("""COMPUTED_VALUE"""),31.0)</f>
        <v>31</v>
      </c>
      <c r="F10" s="20">
        <f>IFERROR(__xludf.DUMMYFUNCTION("""COMPUTED_VALUE"""),33.0)</f>
        <v>33</v>
      </c>
      <c r="G10" s="19" t="s">
        <v>24</v>
      </c>
      <c r="H10" s="11" t="str">
        <f t="shared" si="1"/>
        <v/>
      </c>
      <c r="I10" s="19">
        <v>28.0</v>
      </c>
      <c r="J10" s="19">
        <v>21.0</v>
      </c>
      <c r="K10" s="20" t="b">
        <v>0</v>
      </c>
      <c r="L10" s="19" t="s">
        <v>24</v>
      </c>
      <c r="M10" s="11" t="str">
        <f t="shared" si="2"/>
        <v/>
      </c>
      <c r="N10" s="19">
        <v>17.0</v>
      </c>
      <c r="O10" s="19">
        <v>14.0</v>
      </c>
      <c r="P10" s="19" t="b">
        <v>1</v>
      </c>
      <c r="Q10" s="27" t="s">
        <v>24</v>
      </c>
      <c r="R10" s="11" t="str">
        <f t="shared" si="3"/>
        <v/>
      </c>
      <c r="S10" s="19">
        <v>20.0</v>
      </c>
      <c r="T10" s="19">
        <v>17.0</v>
      </c>
      <c r="U10" s="20" t="b">
        <v>0</v>
      </c>
      <c r="V10" s="19" t="s">
        <v>85</v>
      </c>
      <c r="W10" s="11" t="str">
        <f t="shared" si="4"/>
        <v/>
      </c>
      <c r="X10" s="19">
        <v>20.0</v>
      </c>
      <c r="Y10" s="19">
        <v>23.0</v>
      </c>
      <c r="Z10" s="20" t="b">
        <v>1</v>
      </c>
      <c r="AA10" s="27" t="s">
        <v>24</v>
      </c>
      <c r="AB10" s="11" t="str">
        <f t="shared" si="5"/>
        <v/>
      </c>
      <c r="AC10" s="19">
        <v>24.0</v>
      </c>
      <c r="AD10" s="19">
        <v>17.0</v>
      </c>
      <c r="AE10" s="19" t="b">
        <v>0</v>
      </c>
      <c r="AF10" s="27" t="s">
        <v>24</v>
      </c>
      <c r="AG10" s="11" t="str">
        <f t="shared" si="6"/>
        <v/>
      </c>
      <c r="AH10" s="19">
        <v>28.0</v>
      </c>
      <c r="AI10" s="19">
        <v>21.0</v>
      </c>
      <c r="AJ10" s="20" t="b">
        <v>0</v>
      </c>
      <c r="AK10" s="19" t="s">
        <v>24</v>
      </c>
      <c r="AL10" s="11" t="str">
        <f t="shared" si="7"/>
        <v/>
      </c>
      <c r="AM10" s="19">
        <v>23.0</v>
      </c>
      <c r="AN10" s="19">
        <v>20.0</v>
      </c>
      <c r="AO10" s="20" t="b">
        <v>0</v>
      </c>
      <c r="AP10" s="27" t="s">
        <v>24</v>
      </c>
      <c r="AQ10" s="11" t="str">
        <f t="shared" si="8"/>
        <v/>
      </c>
      <c r="AR10" s="19">
        <v>27.0</v>
      </c>
      <c r="AS10" s="19">
        <v>24.0</v>
      </c>
      <c r="AT10" s="20" t="b">
        <v>0</v>
      </c>
      <c r="AU10" s="27" t="s">
        <v>24</v>
      </c>
      <c r="AV10" s="11" t="str">
        <f t="shared" si="9"/>
        <v/>
      </c>
      <c r="AW10" s="19">
        <v>21.0</v>
      </c>
      <c r="AX10" s="19">
        <v>17.0</v>
      </c>
      <c r="AY10" s="20" t="b">
        <v>0</v>
      </c>
      <c r="AZ10" s="27" t="s">
        <v>24</v>
      </c>
      <c r="BA10" s="11" t="str">
        <f t="shared" si="10"/>
        <v/>
      </c>
      <c r="BB10" s="19">
        <v>23.0</v>
      </c>
      <c r="BC10" s="19">
        <v>20.0</v>
      </c>
      <c r="BD10" s="20" t="b">
        <v>1</v>
      </c>
      <c r="BE10" s="27" t="s">
        <v>24</v>
      </c>
      <c r="BF10" s="11" t="str">
        <f t="shared" si="11"/>
        <v/>
      </c>
      <c r="BG10" s="19">
        <v>21.0</v>
      </c>
      <c r="BH10" s="19">
        <v>17.0</v>
      </c>
      <c r="BI10" s="20" t="b">
        <v>0</v>
      </c>
      <c r="BJ10" s="27" t="s">
        <v>24</v>
      </c>
      <c r="BK10" s="11" t="str">
        <f t="shared" si="12"/>
        <v/>
      </c>
      <c r="BL10" s="19">
        <v>28.0</v>
      </c>
      <c r="BM10" s="19">
        <v>21.0</v>
      </c>
      <c r="BN10" s="20" t="b">
        <v>0</v>
      </c>
      <c r="BO10" s="17"/>
      <c r="BP10" s="17"/>
      <c r="BQ10" s="17"/>
    </row>
    <row r="11">
      <c r="A11" s="16" t="s">
        <v>47</v>
      </c>
      <c r="B11" s="17" t="s">
        <v>112</v>
      </c>
      <c r="C11" s="18" t="str">
        <f>IFERROR(__xludf.DUMMYFUNCTION("""COMPUTED_VALUE"""),"JAX")</f>
        <v>JAX</v>
      </c>
      <c r="D11" s="11" t="str">
        <f>IFERROR(__xludf.DUMMYFUNCTION("""COMPUTED_VALUE"""),"")</f>
        <v/>
      </c>
      <c r="E11" s="19">
        <f>IFERROR(__xludf.DUMMYFUNCTION("""COMPUTED_VALUE"""),6.0)</f>
        <v>6</v>
      </c>
      <c r="F11" s="20">
        <f>IFERROR(__xludf.DUMMYFUNCTION("""COMPUTED_VALUE"""),35.0)</f>
        <v>35</v>
      </c>
      <c r="G11" s="19" t="s">
        <v>28</v>
      </c>
      <c r="H11" s="11" t="str">
        <f t="shared" si="1"/>
        <v/>
      </c>
      <c r="I11" s="19">
        <v>31.0</v>
      </c>
      <c r="J11" s="19">
        <v>24.0</v>
      </c>
      <c r="K11" s="20" t="b">
        <v>0</v>
      </c>
      <c r="L11" s="19" t="s">
        <v>28</v>
      </c>
      <c r="M11" s="11" t="str">
        <f t="shared" si="2"/>
        <v/>
      </c>
      <c r="N11" s="19">
        <v>10.0</v>
      </c>
      <c r="O11" s="19">
        <v>7.0</v>
      </c>
      <c r="P11" s="19" t="b">
        <v>0</v>
      </c>
      <c r="Q11" s="27" t="s">
        <v>71</v>
      </c>
      <c r="R11" s="11" t="str">
        <f t="shared" si="3"/>
        <v/>
      </c>
      <c r="S11" s="19">
        <v>14.0</v>
      </c>
      <c r="T11" s="19">
        <v>17.0</v>
      </c>
      <c r="U11" s="20" t="b">
        <v>0</v>
      </c>
      <c r="V11" s="19" t="s">
        <v>28</v>
      </c>
      <c r="W11" s="11" t="str">
        <f t="shared" si="4"/>
        <v/>
      </c>
      <c r="X11" s="19">
        <v>14.0</v>
      </c>
      <c r="Y11" s="19">
        <v>10.0</v>
      </c>
      <c r="Z11" s="20" t="b">
        <v>0</v>
      </c>
      <c r="AA11" s="27" t="s">
        <v>71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28</v>
      </c>
      <c r="AG11" s="11" t="str">
        <f t="shared" si="6"/>
        <v/>
      </c>
      <c r="AH11" s="19">
        <v>23.0</v>
      </c>
      <c r="AI11" s="19">
        <v>17.0</v>
      </c>
      <c r="AJ11" s="20" t="b">
        <v>0</v>
      </c>
      <c r="AK11" s="19" t="s">
        <v>28</v>
      </c>
      <c r="AL11" s="11" t="str">
        <f t="shared" si="7"/>
        <v/>
      </c>
      <c r="AM11" s="19">
        <v>21.0</v>
      </c>
      <c r="AN11" s="19">
        <v>17.0</v>
      </c>
      <c r="AO11" s="20" t="b">
        <v>0</v>
      </c>
      <c r="AP11" s="27" t="s">
        <v>28</v>
      </c>
      <c r="AQ11" s="11" t="str">
        <f t="shared" si="8"/>
        <v/>
      </c>
      <c r="AR11" s="19">
        <v>24.0</v>
      </c>
      <c r="AS11" s="19">
        <v>21.0</v>
      </c>
      <c r="AT11" s="20" t="b">
        <v>0</v>
      </c>
      <c r="AU11" s="27" t="s">
        <v>71</v>
      </c>
      <c r="AV11" s="11" t="str">
        <f t="shared" si="9"/>
        <v/>
      </c>
      <c r="AW11" s="19">
        <v>20.0</v>
      </c>
      <c r="AX11" s="19">
        <v>23.0</v>
      </c>
      <c r="AY11" s="20" t="b">
        <v>0</v>
      </c>
      <c r="AZ11" s="27" t="s">
        <v>28</v>
      </c>
      <c r="BA11" s="11" t="str">
        <f t="shared" si="10"/>
        <v/>
      </c>
      <c r="BB11" s="19">
        <v>23.0</v>
      </c>
      <c r="BC11" s="19">
        <v>20.0</v>
      </c>
      <c r="BD11" s="20" t="b">
        <v>0</v>
      </c>
      <c r="BE11" s="27" t="s">
        <v>71</v>
      </c>
      <c r="BF11" s="11" t="str">
        <f t="shared" si="11"/>
        <v/>
      </c>
      <c r="BG11" s="19">
        <v>17.0</v>
      </c>
      <c r="BH11" s="19">
        <v>20.0</v>
      </c>
      <c r="BI11" s="20" t="b">
        <v>0</v>
      </c>
      <c r="BJ11" s="27" t="s">
        <v>28</v>
      </c>
      <c r="BK11" s="11" t="str">
        <f t="shared" si="12"/>
        <v/>
      </c>
      <c r="BL11" s="19">
        <v>28.0</v>
      </c>
      <c r="BM11" s="19">
        <v>21.0</v>
      </c>
      <c r="BN11" s="20" t="b">
        <v>0</v>
      </c>
      <c r="BO11" s="19"/>
      <c r="BP11" s="19"/>
      <c r="BQ11" s="19"/>
    </row>
    <row r="12">
      <c r="A12" s="16" t="s">
        <v>114</v>
      </c>
      <c r="B12" s="30" t="s">
        <v>115</v>
      </c>
      <c r="C12" s="18" t="str">
        <f>IFERROR(__xludf.DUMMYFUNCTION("""COMPUTED_VALUE"""),"SF")</f>
        <v>SF</v>
      </c>
      <c r="D12" s="11" t="str">
        <f>IFERROR(__xludf.DUMMYFUNCTION("""COMPUTED_VALUE"""),"")</f>
        <v/>
      </c>
      <c r="E12" s="19">
        <f>IFERROR(__xludf.DUMMYFUNCTION("""COMPUTED_VALUE"""),30.0)</f>
        <v>30</v>
      </c>
      <c r="F12" s="20">
        <f>IFERROR(__xludf.DUMMYFUNCTION("""COMPUTED_VALUE"""),36.0)</f>
        <v>36</v>
      </c>
      <c r="G12" s="19" t="s">
        <v>40</v>
      </c>
      <c r="H12" s="11" t="str">
        <f t="shared" si="1"/>
        <v/>
      </c>
      <c r="I12" s="19">
        <v>24.0</v>
      </c>
      <c r="J12" s="19">
        <v>27.0</v>
      </c>
      <c r="K12" s="20" t="b">
        <v>0</v>
      </c>
      <c r="L12" s="19" t="s">
        <v>40</v>
      </c>
      <c r="M12" s="11" t="str">
        <f t="shared" si="2"/>
        <v/>
      </c>
      <c r="N12" s="19">
        <v>21.0</v>
      </c>
      <c r="O12" s="19">
        <v>24.0</v>
      </c>
      <c r="P12" s="19" t="b">
        <v>0</v>
      </c>
      <c r="Q12" s="27" t="s">
        <v>40</v>
      </c>
      <c r="R12" s="11" t="str">
        <f t="shared" si="3"/>
        <v/>
      </c>
      <c r="S12" s="19">
        <v>21.0</v>
      </c>
      <c r="T12" s="19">
        <v>28.0</v>
      </c>
      <c r="U12" s="20" t="b">
        <v>0</v>
      </c>
      <c r="V12" s="19" t="s">
        <v>93</v>
      </c>
      <c r="W12" s="11" t="str">
        <f t="shared" si="4"/>
        <v/>
      </c>
      <c r="X12" s="19">
        <v>27.0</v>
      </c>
      <c r="Y12" s="19">
        <v>24.0</v>
      </c>
      <c r="Z12" s="20" t="b">
        <v>0</v>
      </c>
      <c r="AA12" s="27" t="s">
        <v>40</v>
      </c>
      <c r="AB12" s="11" t="str">
        <f t="shared" si="5"/>
        <v/>
      </c>
      <c r="AC12" s="19">
        <v>17.0</v>
      </c>
      <c r="AD12" s="19">
        <v>24.0</v>
      </c>
      <c r="AE12" s="19" t="b">
        <v>0</v>
      </c>
      <c r="AF12" s="27" t="s">
        <v>40</v>
      </c>
      <c r="AG12" s="11" t="str">
        <f t="shared" si="6"/>
        <v/>
      </c>
      <c r="AH12" s="19">
        <v>13.0</v>
      </c>
      <c r="AI12" s="19">
        <v>27.0</v>
      </c>
      <c r="AJ12" s="20" t="b">
        <v>0</v>
      </c>
      <c r="AK12" s="19" t="s">
        <v>40</v>
      </c>
      <c r="AL12" s="11" t="str">
        <f t="shared" si="7"/>
        <v/>
      </c>
      <c r="AM12" s="19">
        <v>10.0</v>
      </c>
      <c r="AN12" s="19">
        <v>14.0</v>
      </c>
      <c r="AO12" s="20" t="b">
        <v>0</v>
      </c>
      <c r="AP12" s="27" t="s">
        <v>40</v>
      </c>
      <c r="AQ12" s="11" t="str">
        <f t="shared" si="8"/>
        <v/>
      </c>
      <c r="AR12" s="19">
        <v>13.0</v>
      </c>
      <c r="AS12" s="19">
        <v>31.0</v>
      </c>
      <c r="AT12" s="20" t="b">
        <v>1</v>
      </c>
      <c r="AU12" s="27" t="s">
        <v>40</v>
      </c>
      <c r="AV12" s="11" t="str">
        <f t="shared" si="9"/>
        <v/>
      </c>
      <c r="AW12" s="19">
        <v>20.0</v>
      </c>
      <c r="AX12" s="19">
        <v>23.0</v>
      </c>
      <c r="AY12" s="20" t="b">
        <v>0</v>
      </c>
      <c r="AZ12" s="27" t="s">
        <v>40</v>
      </c>
      <c r="BA12" s="11" t="str">
        <f t="shared" si="10"/>
        <v/>
      </c>
      <c r="BB12" s="19">
        <v>20.0</v>
      </c>
      <c r="BC12" s="19">
        <v>23.0</v>
      </c>
      <c r="BD12" s="20" t="b">
        <v>0</v>
      </c>
      <c r="BE12" s="27" t="s">
        <v>93</v>
      </c>
      <c r="BF12" s="11" t="str">
        <f t="shared" si="11"/>
        <v/>
      </c>
      <c r="BG12" s="19">
        <v>28.0</v>
      </c>
      <c r="BH12" s="19">
        <v>21.0</v>
      </c>
      <c r="BI12" s="20" t="b">
        <v>0</v>
      </c>
      <c r="BJ12" s="27" t="s">
        <v>93</v>
      </c>
      <c r="BK12" s="11" t="str">
        <f t="shared" si="12"/>
        <v/>
      </c>
      <c r="BL12" s="19">
        <v>10.0</v>
      </c>
      <c r="BM12" s="19">
        <v>7.0</v>
      </c>
      <c r="BN12" s="20" t="b">
        <v>0</v>
      </c>
      <c r="BO12" s="17"/>
      <c r="BP12" s="17"/>
      <c r="BQ12" s="17"/>
    </row>
    <row r="13">
      <c r="A13" s="16" t="s">
        <v>114</v>
      </c>
      <c r="B13" s="17" t="s">
        <v>118</v>
      </c>
      <c r="C13" s="18" t="str">
        <f>IFERROR(__xludf.DUMMYFUNCTION("""COMPUTED_VALUE"""),"MIN")</f>
        <v>MIN</v>
      </c>
      <c r="D13" s="11" t="str">
        <f>IFERROR(__xludf.DUMMYFUNCTION("""COMPUTED_VALUE"""),"")</f>
        <v/>
      </c>
      <c r="E13" s="19">
        <f>IFERROR(__xludf.DUMMYFUNCTION("""COMPUTED_VALUE"""),23.0)</f>
        <v>23</v>
      </c>
      <c r="F13" s="20">
        <f>IFERROR(__xludf.DUMMYFUNCTION("""COMPUTED_VALUE"""),16.0)</f>
        <v>16</v>
      </c>
      <c r="G13" s="19" t="s">
        <v>51</v>
      </c>
      <c r="H13" s="11" t="str">
        <f t="shared" si="1"/>
        <v/>
      </c>
      <c r="I13" s="19">
        <v>21.0</v>
      </c>
      <c r="J13" s="19">
        <v>17.0</v>
      </c>
      <c r="K13" s="20" t="b">
        <v>0</v>
      </c>
      <c r="L13" s="19" t="s">
        <v>51</v>
      </c>
      <c r="M13" s="11" t="str">
        <f t="shared" si="2"/>
        <v/>
      </c>
      <c r="N13" s="19">
        <v>24.0</v>
      </c>
      <c r="O13" s="19">
        <v>21.0</v>
      </c>
      <c r="P13" s="19" t="b">
        <v>0</v>
      </c>
      <c r="Q13" s="27" t="s">
        <v>51</v>
      </c>
      <c r="R13" s="11" t="str">
        <f t="shared" si="3"/>
        <v/>
      </c>
      <c r="S13" s="19">
        <v>23.0</v>
      </c>
      <c r="T13" s="19">
        <v>20.0</v>
      </c>
      <c r="U13" s="20" t="b">
        <v>0</v>
      </c>
      <c r="V13" s="19" t="s">
        <v>48</v>
      </c>
      <c r="W13" s="11" t="str">
        <f t="shared" si="4"/>
        <v/>
      </c>
      <c r="X13" s="19">
        <v>17.0</v>
      </c>
      <c r="Y13" s="19">
        <v>21.0</v>
      </c>
      <c r="Z13" s="20" t="b">
        <v>0</v>
      </c>
      <c r="AA13" s="27" t="s">
        <v>48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48</v>
      </c>
      <c r="AG13" s="11" t="str">
        <f t="shared" si="6"/>
        <v/>
      </c>
      <c r="AH13" s="19">
        <v>10.0</v>
      </c>
      <c r="AI13" s="19">
        <v>14.0</v>
      </c>
      <c r="AJ13" s="20" t="b">
        <v>0</v>
      </c>
      <c r="AK13" s="19" t="s">
        <v>48</v>
      </c>
      <c r="AL13" s="11" t="str">
        <f t="shared" si="7"/>
        <v/>
      </c>
      <c r="AM13" s="19">
        <v>20.0</v>
      </c>
      <c r="AN13" s="19">
        <v>23.0</v>
      </c>
      <c r="AO13" s="20" t="b">
        <v>0</v>
      </c>
      <c r="AP13" s="27" t="s">
        <v>48</v>
      </c>
      <c r="AQ13" s="11" t="str">
        <f t="shared" si="8"/>
        <v/>
      </c>
      <c r="AR13" s="19">
        <v>21.0</v>
      </c>
      <c r="AS13" s="19">
        <v>23.0</v>
      </c>
      <c r="AT13" s="20" t="b">
        <v>0</v>
      </c>
      <c r="AU13" s="27" t="s">
        <v>48</v>
      </c>
      <c r="AV13" s="11" t="str">
        <f t="shared" si="9"/>
        <v/>
      </c>
      <c r="AW13" s="19">
        <v>14.0</v>
      </c>
      <c r="AX13" s="19">
        <v>17.0</v>
      </c>
      <c r="AY13" s="20" t="b">
        <v>1</v>
      </c>
      <c r="AZ13" s="27" t="s">
        <v>48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51</v>
      </c>
      <c r="BF13" s="11" t="str">
        <f t="shared" si="11"/>
        <v/>
      </c>
      <c r="BG13" s="19">
        <v>21.0</v>
      </c>
      <c r="BH13" s="19">
        <v>17.0</v>
      </c>
      <c r="BI13" s="20" t="b">
        <v>0</v>
      </c>
      <c r="BJ13" s="27" t="s">
        <v>48</v>
      </c>
      <c r="BK13" s="11" t="str">
        <f t="shared" si="12"/>
        <v/>
      </c>
      <c r="BL13" s="19">
        <v>17.0</v>
      </c>
      <c r="BM13" s="19">
        <v>21.0</v>
      </c>
      <c r="BN13" s="20" t="b">
        <v>0</v>
      </c>
      <c r="BO13" s="17"/>
      <c r="BP13" s="17"/>
      <c r="BQ13" s="17"/>
    </row>
    <row r="14">
      <c r="A14" s="16" t="s">
        <v>120</v>
      </c>
      <c r="B14" s="17" t="s">
        <v>121</v>
      </c>
      <c r="C14" s="18" t="str">
        <f>IFERROR(__xludf.DUMMYFUNCTION("""COMPUTED_VALUE"""),"BAL")</f>
        <v>BAL</v>
      </c>
      <c r="D14" s="11" t="str">
        <f>IFERROR(__xludf.DUMMYFUNCTION("""COMPUTED_VALUE"""),"")</f>
        <v/>
      </c>
      <c r="E14" s="19">
        <f>IFERROR(__xludf.DUMMYFUNCTION("""COMPUTED_VALUE"""),34.0)</f>
        <v>34</v>
      </c>
      <c r="F14" s="20">
        <f>IFERROR(__xludf.DUMMYFUNCTION("""COMPUTED_VALUE"""),31.0)</f>
        <v>31</v>
      </c>
      <c r="G14" s="19" t="s">
        <v>84</v>
      </c>
      <c r="H14" s="11" t="str">
        <f t="shared" si="1"/>
        <v/>
      </c>
      <c r="I14" s="19">
        <v>13.0</v>
      </c>
      <c r="J14" s="19">
        <v>20.0</v>
      </c>
      <c r="K14" s="20" t="b">
        <v>0</v>
      </c>
      <c r="L14" s="19" t="s">
        <v>84</v>
      </c>
      <c r="M14" s="11" t="str">
        <f t="shared" si="2"/>
        <v/>
      </c>
      <c r="N14" s="19">
        <v>20.0</v>
      </c>
      <c r="O14" s="19">
        <v>23.0</v>
      </c>
      <c r="P14" s="19" t="b">
        <v>0</v>
      </c>
      <c r="Q14" s="27" t="s">
        <v>84</v>
      </c>
      <c r="R14" s="11" t="str">
        <f t="shared" si="3"/>
        <v/>
      </c>
      <c r="S14" s="19">
        <v>24.0</v>
      </c>
      <c r="T14" s="19">
        <v>31.0</v>
      </c>
      <c r="U14" s="20" t="b">
        <v>0</v>
      </c>
      <c r="V14" s="19" t="s">
        <v>84</v>
      </c>
      <c r="W14" s="11" t="str">
        <f t="shared" si="4"/>
        <v/>
      </c>
      <c r="X14" s="19">
        <v>24.0</v>
      </c>
      <c r="Y14" s="19">
        <v>31.0</v>
      </c>
      <c r="Z14" s="20" t="b">
        <v>0</v>
      </c>
      <c r="AA14" s="27" t="s">
        <v>61</v>
      </c>
      <c r="AB14" s="11" t="str">
        <f t="shared" si="5"/>
        <v/>
      </c>
      <c r="AC14" s="19">
        <v>24.0</v>
      </c>
      <c r="AD14" s="19">
        <v>17.0</v>
      </c>
      <c r="AE14" s="19" t="b">
        <v>0</v>
      </c>
      <c r="AF14" s="27" t="s">
        <v>61</v>
      </c>
      <c r="AG14" s="11" t="str">
        <f t="shared" si="6"/>
        <v/>
      </c>
      <c r="AH14" s="19">
        <v>27.0</v>
      </c>
      <c r="AI14" s="19">
        <v>24.0</v>
      </c>
      <c r="AJ14" s="20" t="b">
        <v>0</v>
      </c>
      <c r="AK14" s="19" t="s">
        <v>84</v>
      </c>
      <c r="AL14" s="11" t="str">
        <f t="shared" si="7"/>
        <v/>
      </c>
      <c r="AM14" s="19">
        <v>10.0</v>
      </c>
      <c r="AN14" s="19">
        <v>14.0</v>
      </c>
      <c r="AO14" s="20" t="b">
        <v>1</v>
      </c>
      <c r="AP14" s="27" t="s">
        <v>61</v>
      </c>
      <c r="AQ14" s="11" t="str">
        <f t="shared" si="8"/>
        <v/>
      </c>
      <c r="AR14" s="19">
        <v>30.0</v>
      </c>
      <c r="AS14" s="19">
        <v>24.0</v>
      </c>
      <c r="AT14" s="20" t="b">
        <v>0</v>
      </c>
      <c r="AU14" s="27" t="s">
        <v>61</v>
      </c>
      <c r="AV14" s="11" t="str">
        <f t="shared" si="9"/>
        <v/>
      </c>
      <c r="AW14" s="19">
        <v>20.0</v>
      </c>
      <c r="AX14" s="19">
        <v>17.0</v>
      </c>
      <c r="AY14" s="20" t="b">
        <v>0</v>
      </c>
      <c r="AZ14" s="27" t="s">
        <v>61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84</v>
      </c>
      <c r="BF14" s="11" t="str">
        <f t="shared" si="11"/>
        <v/>
      </c>
      <c r="BG14" s="19">
        <v>20.0</v>
      </c>
      <c r="BH14" s="19">
        <v>23.0</v>
      </c>
      <c r="BI14" s="20" t="b">
        <v>0</v>
      </c>
      <c r="BJ14" s="27" t="s">
        <v>61</v>
      </c>
      <c r="BK14" s="11" t="str">
        <f t="shared" si="12"/>
        <v/>
      </c>
      <c r="BL14" s="19">
        <v>20.0</v>
      </c>
      <c r="BM14" s="19">
        <v>17.0</v>
      </c>
      <c r="BN14" s="20" t="b">
        <v>0</v>
      </c>
      <c r="BO14" s="17"/>
      <c r="BP14" s="17"/>
      <c r="BQ14" s="17"/>
    </row>
    <row r="15">
      <c r="A15" s="16" t="s">
        <v>124</v>
      </c>
      <c r="B15" s="17" t="s">
        <v>125</v>
      </c>
      <c r="C15" s="18" t="str">
        <f>IFERROR(__xludf.DUMMYFUNCTION("""COMPUTED_VALUE"""),"LV")</f>
        <v>LV</v>
      </c>
      <c r="D15" s="11" t="str">
        <f>IFERROR(__xludf.DUMMYFUNCTION("""COMPUTED_VALUE"""),"")</f>
        <v/>
      </c>
      <c r="E15" s="19">
        <f>IFERROR(__xludf.DUMMYFUNCTION("""COMPUTED_VALUE"""),35.0)</f>
        <v>35</v>
      </c>
      <c r="F15" s="20">
        <f>IFERROR(__xludf.DUMMYFUNCTION("""COMPUTED_VALUE"""),27.0)</f>
        <v>27</v>
      </c>
      <c r="G15" s="19" t="s">
        <v>126</v>
      </c>
      <c r="H15" s="11" t="str">
        <f t="shared" si="1"/>
        <v/>
      </c>
      <c r="I15" s="19">
        <v>24.0</v>
      </c>
      <c r="J15" s="19">
        <v>31.0</v>
      </c>
      <c r="K15" s="20" t="b">
        <v>0</v>
      </c>
      <c r="L15" s="19" t="s">
        <v>126</v>
      </c>
      <c r="M15" s="11" t="str">
        <f t="shared" si="2"/>
        <v/>
      </c>
      <c r="N15" s="19">
        <v>24.0</v>
      </c>
      <c r="O15" s="19">
        <v>31.0</v>
      </c>
      <c r="P15" s="19" t="b">
        <v>0</v>
      </c>
      <c r="Q15" s="27" t="s">
        <v>126</v>
      </c>
      <c r="R15" s="11" t="str">
        <f t="shared" si="3"/>
        <v/>
      </c>
      <c r="S15" s="19">
        <v>7.0</v>
      </c>
      <c r="T15" s="19">
        <v>10.0</v>
      </c>
      <c r="U15" s="20" t="b">
        <v>0</v>
      </c>
      <c r="V15" s="19" t="s">
        <v>126</v>
      </c>
      <c r="W15" s="11" t="str">
        <f t="shared" si="4"/>
        <v/>
      </c>
      <c r="X15" s="19">
        <v>20.0</v>
      </c>
      <c r="Y15" s="19">
        <v>23.0</v>
      </c>
      <c r="Z15" s="20" t="b">
        <v>0</v>
      </c>
      <c r="AA15" s="27" t="s">
        <v>126</v>
      </c>
      <c r="AB15" s="11" t="str">
        <f t="shared" si="5"/>
        <v/>
      </c>
      <c r="AC15" s="19">
        <v>17.0</v>
      </c>
      <c r="AD15" s="19">
        <v>24.0</v>
      </c>
      <c r="AE15" s="19" t="b">
        <v>0</v>
      </c>
      <c r="AF15" s="27" t="s">
        <v>79</v>
      </c>
      <c r="AG15" s="11" t="str">
        <f t="shared" si="6"/>
        <v/>
      </c>
      <c r="AH15" s="19">
        <v>21.0</v>
      </c>
      <c r="AI15" s="19">
        <v>17.0</v>
      </c>
      <c r="AJ15" s="20" t="b">
        <v>0</v>
      </c>
      <c r="AK15" s="19" t="s">
        <v>126</v>
      </c>
      <c r="AL15" s="11" t="str">
        <f t="shared" si="7"/>
        <v/>
      </c>
      <c r="AM15" s="19">
        <v>17.0</v>
      </c>
      <c r="AN15" s="19">
        <v>20.0</v>
      </c>
      <c r="AO15" s="20" t="b">
        <v>0</v>
      </c>
      <c r="AP15" s="27" t="s">
        <v>79</v>
      </c>
      <c r="AQ15" s="11" t="str">
        <f t="shared" si="8"/>
        <v/>
      </c>
      <c r="AR15" s="19">
        <v>23.0</v>
      </c>
      <c r="AS15" s="19">
        <v>20.0</v>
      </c>
      <c r="AT15" s="20" t="b">
        <v>0</v>
      </c>
      <c r="AU15" s="27" t="s">
        <v>126</v>
      </c>
      <c r="AV15" s="11" t="str">
        <f t="shared" si="9"/>
        <v/>
      </c>
      <c r="AW15" s="19">
        <v>14.0</v>
      </c>
      <c r="AX15" s="19">
        <v>17.0</v>
      </c>
      <c r="AY15" s="20" t="b">
        <v>0</v>
      </c>
      <c r="AZ15" s="27" t="s">
        <v>126</v>
      </c>
      <c r="BA15" s="11" t="str">
        <f t="shared" si="10"/>
        <v/>
      </c>
      <c r="BB15" s="19">
        <v>20.0</v>
      </c>
      <c r="BC15" s="19">
        <v>23.0</v>
      </c>
      <c r="BD15" s="20" t="b">
        <v>0</v>
      </c>
      <c r="BE15" s="27" t="s">
        <v>79</v>
      </c>
      <c r="BF15" s="11" t="str">
        <f t="shared" si="11"/>
        <v/>
      </c>
      <c r="BG15" s="19">
        <v>28.0</v>
      </c>
      <c r="BH15" s="19">
        <v>21.0</v>
      </c>
      <c r="BI15" s="20" t="b">
        <v>0</v>
      </c>
      <c r="BJ15" s="27" t="s">
        <v>126</v>
      </c>
      <c r="BK15" s="11" t="str">
        <f t="shared" si="12"/>
        <v/>
      </c>
      <c r="BL15" s="19">
        <v>14.0</v>
      </c>
      <c r="BM15" s="19">
        <v>17.0</v>
      </c>
      <c r="BN15" s="20" t="b">
        <v>0</v>
      </c>
      <c r="BO15" s="17"/>
      <c r="BP15" s="17"/>
      <c r="BQ15" s="17"/>
    </row>
    <row r="16">
      <c r="A16" s="16" t="s">
        <v>129</v>
      </c>
      <c r="B16" s="17" t="s">
        <v>130</v>
      </c>
      <c r="C16" s="18"/>
      <c r="D16" s="11" t="str">
        <f>IFERROR(__xludf.DUMMYFUNCTION("""COMPUTED_VALUE"""),"")</f>
        <v/>
      </c>
      <c r="E16" s="19"/>
      <c r="F16" s="20"/>
      <c r="G16" s="19" t="s">
        <v>74</v>
      </c>
      <c r="H16" s="11" t="str">
        <f t="shared" si="1"/>
        <v/>
      </c>
      <c r="I16" s="19">
        <v>24.0</v>
      </c>
      <c r="J16" s="19">
        <v>31.0</v>
      </c>
      <c r="K16" s="20" t="b">
        <v>0</v>
      </c>
      <c r="L16" s="19" t="s">
        <v>39</v>
      </c>
      <c r="M16" s="11" t="str">
        <f t="shared" si="2"/>
        <v/>
      </c>
      <c r="N16" s="19">
        <v>10.0</v>
      </c>
      <c r="O16" s="19">
        <v>7.0</v>
      </c>
      <c r="P16" s="19" t="b">
        <v>0</v>
      </c>
      <c r="Q16" s="27" t="s">
        <v>39</v>
      </c>
      <c r="R16" s="11" t="str">
        <f t="shared" si="3"/>
        <v/>
      </c>
      <c r="S16" s="19">
        <v>10.0</v>
      </c>
      <c r="T16" s="19">
        <v>7.0</v>
      </c>
      <c r="U16" s="20" t="b">
        <v>0</v>
      </c>
      <c r="V16" s="19" t="s">
        <v>39</v>
      </c>
      <c r="W16" s="11" t="str">
        <f t="shared" si="4"/>
        <v/>
      </c>
      <c r="X16" s="19">
        <v>24.0</v>
      </c>
      <c r="Y16" s="19">
        <v>21.0</v>
      </c>
      <c r="Z16" s="20" t="b">
        <v>0</v>
      </c>
      <c r="AA16" s="27" t="s">
        <v>74</v>
      </c>
      <c r="AB16" s="11" t="str">
        <f t="shared" si="5"/>
        <v/>
      </c>
      <c r="AC16" s="19">
        <v>17.0</v>
      </c>
      <c r="AD16" s="19">
        <v>24.0</v>
      </c>
      <c r="AE16" s="19" t="b">
        <v>1</v>
      </c>
      <c r="AF16" s="27" t="s">
        <v>39</v>
      </c>
      <c r="AG16" s="11" t="str">
        <f t="shared" si="6"/>
        <v/>
      </c>
      <c r="AH16" s="19">
        <v>21.0</v>
      </c>
      <c r="AI16" s="19">
        <v>14.0</v>
      </c>
      <c r="AJ16" s="20" t="b">
        <v>0</v>
      </c>
      <c r="AK16" s="19" t="s">
        <v>74</v>
      </c>
      <c r="AL16" s="11" t="str">
        <f t="shared" si="7"/>
        <v/>
      </c>
      <c r="AM16" s="19">
        <v>14.0</v>
      </c>
      <c r="AN16" s="19">
        <v>17.0</v>
      </c>
      <c r="AO16" s="20" t="b">
        <v>0</v>
      </c>
      <c r="AP16" s="27" t="s">
        <v>39</v>
      </c>
      <c r="AQ16" s="11" t="str">
        <f t="shared" si="8"/>
        <v/>
      </c>
      <c r="AR16" s="19">
        <v>20.0</v>
      </c>
      <c r="AS16" s="19">
        <v>17.0</v>
      </c>
      <c r="AT16" s="20" t="b">
        <v>0</v>
      </c>
      <c r="AU16" s="27" t="s">
        <v>74</v>
      </c>
      <c r="AV16" s="11" t="str">
        <f t="shared" si="9"/>
        <v/>
      </c>
      <c r="AW16" s="19">
        <v>21.0</v>
      </c>
      <c r="AX16" s="19">
        <v>24.0</v>
      </c>
      <c r="AY16" s="20" t="b">
        <v>0</v>
      </c>
      <c r="AZ16" s="27" t="s">
        <v>39</v>
      </c>
      <c r="BA16" s="11" t="str">
        <f t="shared" si="10"/>
        <v/>
      </c>
      <c r="BB16" s="19">
        <v>23.0</v>
      </c>
      <c r="BC16" s="19">
        <v>20.0</v>
      </c>
      <c r="BD16" s="20" t="b">
        <v>0</v>
      </c>
      <c r="BE16" s="27" t="s">
        <v>74</v>
      </c>
      <c r="BF16" s="11" t="str">
        <f t="shared" si="11"/>
        <v/>
      </c>
      <c r="BG16" s="19">
        <v>20.0</v>
      </c>
      <c r="BH16" s="19">
        <v>23.0</v>
      </c>
      <c r="BI16" s="20" t="b">
        <v>0</v>
      </c>
      <c r="BJ16" s="27" t="s">
        <v>39</v>
      </c>
      <c r="BK16" s="11" t="str">
        <f t="shared" si="12"/>
        <v/>
      </c>
      <c r="BL16" s="19">
        <v>10.0</v>
      </c>
      <c r="BM16" s="19">
        <v>7.0</v>
      </c>
      <c r="BN16" s="20" t="b">
        <v>0</v>
      </c>
      <c r="BO16" s="17"/>
      <c r="BP16" s="17"/>
      <c r="BQ16" s="17"/>
    </row>
    <row r="17">
      <c r="A17" s="16" t="s">
        <v>133</v>
      </c>
      <c r="B17" s="17" t="s">
        <v>134</v>
      </c>
      <c r="C17" s="34"/>
      <c r="D17" s="35" t="str">
        <f>IFERROR(__xludf.DUMMYFUNCTION("""COMPUTED_VALUE"""),"")</f>
        <v/>
      </c>
      <c r="E17" s="36"/>
      <c r="F17" s="37"/>
      <c r="G17" s="36" t="s">
        <v>54</v>
      </c>
      <c r="H17" s="35" t="str">
        <f t="shared" si="1"/>
        <v/>
      </c>
      <c r="I17" s="36">
        <v>17.0</v>
      </c>
      <c r="J17" s="36">
        <v>14.0</v>
      </c>
      <c r="K17" s="37" t="b">
        <v>0</v>
      </c>
      <c r="L17" s="36" t="s">
        <v>44</v>
      </c>
      <c r="M17" s="35" t="str">
        <f t="shared" si="2"/>
        <v/>
      </c>
      <c r="N17" s="36">
        <v>21.0</v>
      </c>
      <c r="O17" s="36">
        <v>28.0</v>
      </c>
      <c r="P17" s="36" t="b">
        <v>0</v>
      </c>
      <c r="Q17" s="38" t="s">
        <v>44</v>
      </c>
      <c r="R17" s="35" t="str">
        <f t="shared" si="3"/>
        <v/>
      </c>
      <c r="S17" s="36">
        <v>20.0</v>
      </c>
      <c r="T17" s="36">
        <v>23.0</v>
      </c>
      <c r="U17" s="37" t="b">
        <v>0</v>
      </c>
      <c r="V17" s="36" t="s">
        <v>54</v>
      </c>
      <c r="W17" s="35" t="str">
        <f t="shared" si="4"/>
        <v/>
      </c>
      <c r="X17" s="36">
        <v>21.0</v>
      </c>
      <c r="Y17" s="36">
        <v>17.0</v>
      </c>
      <c r="Z17" s="37" t="b">
        <v>0</v>
      </c>
      <c r="AA17" s="38" t="s">
        <v>44</v>
      </c>
      <c r="AB17" s="35" t="str">
        <f t="shared" si="5"/>
        <v/>
      </c>
      <c r="AC17" s="36">
        <v>17.0</v>
      </c>
      <c r="AD17" s="36">
        <v>24.0</v>
      </c>
      <c r="AE17" s="36" t="b">
        <v>0</v>
      </c>
      <c r="AF17" s="38" t="s">
        <v>44</v>
      </c>
      <c r="AG17" s="35" t="str">
        <f t="shared" si="6"/>
        <v/>
      </c>
      <c r="AH17" s="36">
        <v>17.0</v>
      </c>
      <c r="AI17" s="36">
        <v>21.0</v>
      </c>
      <c r="AJ17" s="37" t="b">
        <v>0</v>
      </c>
      <c r="AK17" s="36" t="s">
        <v>54</v>
      </c>
      <c r="AL17" s="35" t="str">
        <f t="shared" si="7"/>
        <v/>
      </c>
      <c r="AM17" s="36">
        <v>24.0</v>
      </c>
      <c r="AN17" s="36">
        <v>21.0</v>
      </c>
      <c r="AO17" s="37" t="b">
        <v>0</v>
      </c>
      <c r="AP17" s="38" t="s">
        <v>54</v>
      </c>
      <c r="AQ17" s="35" t="str">
        <f t="shared" si="8"/>
        <v/>
      </c>
      <c r="AR17" s="36">
        <v>24.0</v>
      </c>
      <c r="AS17" s="36">
        <v>17.0</v>
      </c>
      <c r="AT17" s="37" t="b">
        <v>0</v>
      </c>
      <c r="AU17" s="38" t="s">
        <v>54</v>
      </c>
      <c r="AV17" s="35" t="str">
        <f t="shared" si="9"/>
        <v/>
      </c>
      <c r="AW17" s="36">
        <v>28.0</v>
      </c>
      <c r="AX17" s="36">
        <v>21.0</v>
      </c>
      <c r="AY17" s="37" t="b">
        <v>0</v>
      </c>
      <c r="AZ17" s="38" t="s">
        <v>54</v>
      </c>
      <c r="BA17" s="35" t="str">
        <f t="shared" si="10"/>
        <v/>
      </c>
      <c r="BB17" s="36">
        <v>23.0</v>
      </c>
      <c r="BC17" s="36">
        <v>20.0</v>
      </c>
      <c r="BD17" s="37" t="b">
        <v>0</v>
      </c>
      <c r="BE17" s="38" t="s">
        <v>44</v>
      </c>
      <c r="BF17" s="35" t="str">
        <f t="shared" si="11"/>
        <v/>
      </c>
      <c r="BG17" s="36">
        <v>7.0</v>
      </c>
      <c r="BH17" s="36">
        <v>10.0</v>
      </c>
      <c r="BI17" s="37" t="b">
        <v>0</v>
      </c>
      <c r="BJ17" s="38" t="s">
        <v>54</v>
      </c>
      <c r="BK17" s="35" t="str">
        <f t="shared" si="12"/>
        <v/>
      </c>
      <c r="BL17" s="36">
        <v>31.0</v>
      </c>
      <c r="BM17" s="36">
        <v>24.0</v>
      </c>
      <c r="BN17" s="37" t="b">
        <v>0</v>
      </c>
      <c r="BO17" s="19"/>
      <c r="BP17" s="19"/>
      <c r="BQ17" s="19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6">
        <f t="shared" ref="C19:C34" si="13">MIN(I19,N19,S19,X19,AC19,AH19,AM19,AR19,AW19,BB19,BG19,BL19)</f>
        <v>14</v>
      </c>
      <c r="D19" s="41"/>
      <c r="E19" s="41"/>
      <c r="F19" s="41"/>
      <c r="G19" s="47" t="str">
        <f t="shared" ref="G19:G34" si="14">IF(G2=C2,ABS(I2-E2),"")</f>
        <v/>
      </c>
      <c r="H19" s="47" t="str">
        <f t="shared" ref="H19:H34" si="15">IF(G2=C2,ABS(J2-F2),"")</f>
        <v/>
      </c>
      <c r="I19" s="48" t="str">
        <f t="shared" ref="I19:I34" si="16">IF(G2=C2,SUM(G19,H19),"")</f>
        <v/>
      </c>
      <c r="J19" s="9">
        <f t="shared" ref="J19:J34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
)</f>
        <v>0</v>
      </c>
      <c r="K19" s="49" t="b">
        <f t="shared" ref="K19:K34" si="18">IF($C2="","",
IF(G2=$C2,TRUE,FALSE))</f>
        <v>0</v>
      </c>
      <c r="L19" s="47" t="str">
        <f t="shared" ref="L19:L34" si="19">IF(L2=C2,ABS(N2-E2),"")</f>
        <v/>
      </c>
      <c r="M19" s="47" t="str">
        <f t="shared" ref="M19:M34" si="20">IF(L2=C2,ABS(O2-F2),"")</f>
        <v/>
      </c>
      <c r="N19" s="48" t="str">
        <f t="shared" ref="N19:N34" si="21">IF(L2=C2,SUM(L19,M19),"")</f>
        <v/>
      </c>
      <c r="O19" s="9">
        <f t="shared" ref="O19:O34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
)</f>
        <v>0</v>
      </c>
      <c r="P19" s="49" t="b">
        <f t="shared" ref="P19:P34" si="23">IF($C2="","",
IF(L2=$C2,TRUE,FALSE))</f>
        <v>0</v>
      </c>
      <c r="Q19" s="47">
        <f t="shared" ref="Q19:Q34" si="24">IF(Q2=C2,ABS(S2-E2),"")</f>
        <v>12</v>
      </c>
      <c r="R19" s="47">
        <f t="shared" ref="R19:R34" si="25">IF(Q2=C2,ABS(T2-F2),"")</f>
        <v>6</v>
      </c>
      <c r="S19" s="48">
        <f t="shared" ref="S19:S34" si="26">IF(Q2=C2,SUM(Q19,R19),"")</f>
        <v>18</v>
      </c>
      <c r="T19" s="9">
        <f t="shared" ref="T19:T34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
)</f>
        <v>1</v>
      </c>
      <c r="U19" s="49" t="b">
        <f t="shared" ref="U19:U34" si="28">IF($C2="","",
IF(Q2=$C2,TRUE,FALSE))</f>
        <v>1</v>
      </c>
      <c r="V19" s="47" t="str">
        <f t="shared" ref="V19:V34" si="29">IF(V2=C2,ABS(X2-E2),"")</f>
        <v/>
      </c>
      <c r="W19" s="47" t="str">
        <f t="shared" ref="W19:W34" si="30">IF(V2=C2,ABS(Y2-F2),"")</f>
        <v/>
      </c>
      <c r="X19" s="48" t="str">
        <f t="shared" ref="X19:X34" si="31">IF(V2=C2,SUM(V19,W19),"")</f>
        <v/>
      </c>
      <c r="Y19" s="9">
        <f t="shared" ref="Y19:Y34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
)</f>
        <v>0</v>
      </c>
      <c r="Z19" s="49" t="b">
        <f t="shared" ref="Z19:Z34" si="33">IF($C2="","",
IF(V2=$C2,TRUE,FALSE))</f>
        <v>0</v>
      </c>
      <c r="AA19" s="47" t="str">
        <f t="shared" ref="AA19:AA34" si="34">IF(AA2=C2,ABS(AC2-E2),"")</f>
        <v/>
      </c>
      <c r="AB19" s="47" t="str">
        <f t="shared" ref="AB19:AB34" si="35">IF(AA2=C2,ABS(AD2-F2),"")</f>
        <v/>
      </c>
      <c r="AC19" s="48" t="str">
        <f t="shared" ref="AC19:AC34" si="36">IF(AA2=C2,SUM(AA19,AB19),"")</f>
        <v/>
      </c>
      <c r="AD19" s="9">
        <f t="shared" ref="AD19:AD34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
)</f>
        <v>0</v>
      </c>
      <c r="AE19" s="49" t="b">
        <f t="shared" ref="AE19:AE34" si="38">IF($C2="","",
IF(AA2=$C2,TRUE,FALSE))</f>
        <v>0</v>
      </c>
      <c r="AF19" s="47" t="str">
        <f t="shared" ref="AF19:AF34" si="39">IF(AF2=C2,ABS(AH2-E2),"")</f>
        <v/>
      </c>
      <c r="AG19" s="47" t="str">
        <f t="shared" ref="AG19:AG34" si="40">IF(AF2=C2,ABS(AI2-F2),"")</f>
        <v/>
      </c>
      <c r="AH19" s="48" t="str">
        <f t="shared" ref="AH19:AH34" si="41">IF(AF2=C2,SUM(AF19,AG19),"")</f>
        <v/>
      </c>
      <c r="AI19" s="9">
        <f t="shared" ref="AI19:AI34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
)</f>
        <v>0</v>
      </c>
      <c r="AJ19" s="49" t="b">
        <f t="shared" ref="AJ19:AJ34" si="43">IF($C2="","",
IF(AF2=$C2,TRUE,FALSE))</f>
        <v>0</v>
      </c>
      <c r="AK19" s="47">
        <f t="shared" ref="AK19:AK34" si="44">IF(AK2=C2,ABS(AM2-E2),"")</f>
        <v>8</v>
      </c>
      <c r="AL19" s="47">
        <f t="shared" ref="AL19:AL34" si="45">IF(AK2=C2,ABS(AN2-F2),"")</f>
        <v>10</v>
      </c>
      <c r="AM19" s="48">
        <f t="shared" ref="AM19:AM34" si="46">IF(AK2=C2,SUM(AK19,AL19),"")</f>
        <v>18</v>
      </c>
      <c r="AN19" s="9">
        <f t="shared" ref="AN19:AN34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
)</f>
        <v>1</v>
      </c>
      <c r="AO19" s="49" t="b">
        <f t="shared" ref="AO19:AO34" si="48">IF($C2="","",
IF(AK2=$C2,TRUE,FALSE))</f>
        <v>1</v>
      </c>
      <c r="AP19" s="47" t="str">
        <f t="shared" ref="AP19:AP34" si="49">IF(AP2=C2,ABS(AR2-E2),"")</f>
        <v/>
      </c>
      <c r="AQ19" s="47" t="str">
        <f t="shared" ref="AQ19:AQ34" si="50">IF(AP2=C2,ABS(AS2-F2),"")</f>
        <v/>
      </c>
      <c r="AR19" s="48" t="str">
        <f t="shared" ref="AR19:AR34" si="51">IF(AP2=C2,SUM(AP19,AQ19),"")</f>
        <v/>
      </c>
      <c r="AS19" s="9">
        <f t="shared" ref="AS19:AS34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
)</f>
        <v>0</v>
      </c>
      <c r="AT19" s="49" t="b">
        <f t="shared" ref="AT19:AT34" si="53">IF($C2="","",
IF(AP2=$C2,TRUE,FALSE))</f>
        <v>0</v>
      </c>
      <c r="AU19" s="47">
        <f t="shared" ref="AU19:AU34" si="54">IF(AU2=C2,ABS(AW2-E2),"")</f>
        <v>7</v>
      </c>
      <c r="AV19" s="47">
        <f t="shared" ref="AV19:AV34" si="55">IF(AU2=C2,ABS(AX2-F2),"")</f>
        <v>7</v>
      </c>
      <c r="AW19" s="48">
        <f t="shared" ref="AW19:AW34" si="56">IF(AU2=C2,SUM(AU19,AV19),"")</f>
        <v>14</v>
      </c>
      <c r="AX19" s="9">
        <f t="shared" ref="AX19:AX34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
)</f>
        <v>2</v>
      </c>
      <c r="AY19" s="49" t="b">
        <f t="shared" ref="AY19:AY34" si="58">IF($C2="","",
IF(AU2=$C2,TRUE,FALSE))</f>
        <v>1</v>
      </c>
      <c r="AZ19" s="47" t="str">
        <f t="shared" ref="AZ19:AZ34" si="59">IF(AZ2=C2,ABS(BB2-E2),"")</f>
        <v/>
      </c>
      <c r="BA19" s="47" t="str">
        <f t="shared" ref="BA19:BA34" si="60">IF(AZ2=C2,ABS(BC2-F2),"")</f>
        <v/>
      </c>
      <c r="BB19" s="48" t="str">
        <f t="shared" ref="BB19:BB34" si="61">IF(AZ2=C2,SUM(AZ19,BA19),"")</f>
        <v/>
      </c>
      <c r="BC19" s="9">
        <f t="shared" ref="BC19:BC34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
)</f>
        <v>0</v>
      </c>
      <c r="BD19" s="49" t="b">
        <f t="shared" ref="BD19:BD34" si="63">IF($C2="","",
IF(AZ2=$C2,TRUE,FALSE))</f>
        <v>0</v>
      </c>
      <c r="BE19" s="47" t="str">
        <f t="shared" ref="BE19:BE34" si="64">IF(BE2=C2,ABS(BG2-E2),"")</f>
        <v/>
      </c>
      <c r="BF19" s="47" t="str">
        <f t="shared" ref="BF19:BF34" si="65">IF(BE2=C2,ABS(BH2-F2),"")</f>
        <v/>
      </c>
      <c r="BG19" s="48" t="str">
        <f t="shared" ref="BG19:BG34" si="66">IF(BE2=C2,SUM(BE19,BF19),"")</f>
        <v/>
      </c>
      <c r="BH19" s="9">
        <f t="shared" ref="BH19:BH34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
)</f>
        <v>0</v>
      </c>
      <c r="BI19" s="49" t="b">
        <f t="shared" ref="BI19:BI34" si="68">IF($C2="","",
IF(BE2=$C2,TRUE,FALSE))</f>
        <v>0</v>
      </c>
      <c r="BJ19" s="47" t="str">
        <f t="shared" ref="BJ19:BJ34" si="69">IF(BJ2=C2,ABS(BL2-E2),"")</f>
        <v/>
      </c>
      <c r="BK19" s="47" t="str">
        <f t="shared" ref="BK19:BK34" si="70">IF(BJ2=C2,ABS(BM2-F2),"")</f>
        <v/>
      </c>
      <c r="BL19" s="48" t="str">
        <f t="shared" ref="BL19:BL34" si="71">IF(BJ2=C2,SUM(BJ19,BK19),"")</f>
        <v/>
      </c>
      <c r="BM19" s="9">
        <f t="shared" ref="BM19:BM34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
)</f>
        <v>0</v>
      </c>
      <c r="BN19" s="49" t="b">
        <f t="shared" ref="BN19:BN34" si="73">IF($C2="","",
IF(BJ2=$C2,TRUE,FALSE))</f>
        <v>0</v>
      </c>
      <c r="BO19" s="41"/>
      <c r="BP19" s="41"/>
      <c r="BQ19" s="41"/>
    </row>
    <row r="20" hidden="1">
      <c r="A20" s="40"/>
      <c r="B20" s="40"/>
      <c r="C20" s="46">
        <f t="shared" si="13"/>
        <v>5</v>
      </c>
      <c r="D20" s="40"/>
      <c r="E20" s="40"/>
      <c r="F20" s="40"/>
      <c r="G20" s="47">
        <f t="shared" si="14"/>
        <v>7</v>
      </c>
      <c r="H20" s="47">
        <f t="shared" si="15"/>
        <v>2</v>
      </c>
      <c r="I20" s="48">
        <f t="shared" si="16"/>
        <v>9</v>
      </c>
      <c r="J20" s="9">
        <f t="shared" si="17"/>
        <v>1</v>
      </c>
      <c r="K20" s="49" t="b">
        <f t="shared" si="18"/>
        <v>1</v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b">
        <f t="shared" si="23"/>
        <v>0</v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b">
        <f t="shared" si="28"/>
        <v>0</v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b">
        <f t="shared" si="33"/>
        <v>0</v>
      </c>
      <c r="AA20" s="47">
        <f t="shared" si="34"/>
        <v>3</v>
      </c>
      <c r="AB20" s="47">
        <f t="shared" si="35"/>
        <v>2</v>
      </c>
      <c r="AC20" s="48">
        <f t="shared" si="36"/>
        <v>5</v>
      </c>
      <c r="AD20" s="9">
        <f t="shared" si="37"/>
        <v>2</v>
      </c>
      <c r="AE20" s="49" t="b">
        <f t="shared" si="38"/>
        <v>1</v>
      </c>
      <c r="AF20" s="47">
        <f t="shared" si="39"/>
        <v>10</v>
      </c>
      <c r="AG20" s="47">
        <f t="shared" si="40"/>
        <v>5</v>
      </c>
      <c r="AH20" s="48">
        <f t="shared" si="41"/>
        <v>15</v>
      </c>
      <c r="AI20" s="9">
        <f t="shared" si="42"/>
        <v>1</v>
      </c>
      <c r="AJ20" s="49" t="b">
        <f t="shared" si="43"/>
        <v>1</v>
      </c>
      <c r="AK20" s="47">
        <f t="shared" si="44"/>
        <v>6</v>
      </c>
      <c r="AL20" s="47">
        <f t="shared" si="45"/>
        <v>3</v>
      </c>
      <c r="AM20" s="48">
        <f t="shared" si="46"/>
        <v>9</v>
      </c>
      <c r="AN20" s="9">
        <f t="shared" si="47"/>
        <v>1</v>
      </c>
      <c r="AO20" s="49" t="b">
        <f t="shared" si="48"/>
        <v>1</v>
      </c>
      <c r="AP20" s="47">
        <f t="shared" si="49"/>
        <v>10</v>
      </c>
      <c r="AQ20" s="47">
        <f t="shared" si="50"/>
        <v>1</v>
      </c>
      <c r="AR20" s="48">
        <f t="shared" si="51"/>
        <v>11</v>
      </c>
      <c r="AS20" s="9">
        <f t="shared" si="52"/>
        <v>1</v>
      </c>
      <c r="AT20" s="49" t="b">
        <f t="shared" si="53"/>
        <v>1</v>
      </c>
      <c r="AU20" s="47">
        <f t="shared" si="54"/>
        <v>10</v>
      </c>
      <c r="AV20" s="47">
        <f t="shared" si="55"/>
        <v>5</v>
      </c>
      <c r="AW20" s="48">
        <f t="shared" si="56"/>
        <v>15</v>
      </c>
      <c r="AX20" s="9">
        <f t="shared" si="57"/>
        <v>1</v>
      </c>
      <c r="AY20" s="49" t="b">
        <f t="shared" si="58"/>
        <v>1</v>
      </c>
      <c r="AZ20" s="47">
        <f t="shared" si="59"/>
        <v>6</v>
      </c>
      <c r="BA20" s="47">
        <f t="shared" si="60"/>
        <v>3</v>
      </c>
      <c r="BB20" s="48">
        <f t="shared" si="61"/>
        <v>9</v>
      </c>
      <c r="BC20" s="9">
        <f t="shared" si="62"/>
        <v>1</v>
      </c>
      <c r="BD20" s="49" t="b">
        <f t="shared" si="63"/>
        <v>1</v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b">
        <f t="shared" si="68"/>
        <v>0</v>
      </c>
      <c r="BJ20" s="47">
        <f t="shared" si="69"/>
        <v>7</v>
      </c>
      <c r="BK20" s="47">
        <f t="shared" si="70"/>
        <v>2</v>
      </c>
      <c r="BL20" s="48">
        <f t="shared" si="71"/>
        <v>9</v>
      </c>
      <c r="BM20" s="9">
        <f t="shared" si="72"/>
        <v>1</v>
      </c>
      <c r="BN20" s="49" t="b">
        <f t="shared" si="73"/>
        <v>1</v>
      </c>
      <c r="BO20" s="40"/>
      <c r="BP20" s="40"/>
      <c r="BQ20" s="40"/>
    </row>
    <row r="21" hidden="1">
      <c r="A21" s="40"/>
      <c r="B21" s="40"/>
      <c r="C21" s="46">
        <f t="shared" si="13"/>
        <v>2</v>
      </c>
      <c r="D21" s="40"/>
      <c r="E21" s="40"/>
      <c r="F21" s="40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b">
        <f t="shared" si="18"/>
        <v>0</v>
      </c>
      <c r="L21" s="47">
        <f t="shared" si="19"/>
        <v>1</v>
      </c>
      <c r="M21" s="47">
        <f t="shared" si="20"/>
        <v>1</v>
      </c>
      <c r="N21" s="48">
        <f t="shared" si="21"/>
        <v>2</v>
      </c>
      <c r="O21" s="9">
        <f t="shared" si="22"/>
        <v>1.5</v>
      </c>
      <c r="P21" s="49" t="b">
        <f t="shared" si="23"/>
        <v>1</v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b">
        <f t="shared" si="28"/>
        <v>0</v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b">
        <f t="shared" si="33"/>
        <v>0</v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b">
        <f t="shared" si="38"/>
        <v>0</v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b">
        <f t="shared" si="43"/>
        <v>0</v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b">
        <f t="shared" si="48"/>
        <v>0</v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b">
        <f t="shared" si="53"/>
        <v>0</v>
      </c>
      <c r="AU21" s="47">
        <f t="shared" si="54"/>
        <v>1</v>
      </c>
      <c r="AV21" s="47">
        <f t="shared" si="55"/>
        <v>1</v>
      </c>
      <c r="AW21" s="48">
        <f t="shared" si="56"/>
        <v>2</v>
      </c>
      <c r="AX21" s="9">
        <f t="shared" si="57"/>
        <v>1.5</v>
      </c>
      <c r="AY21" s="49" t="b">
        <f t="shared" si="58"/>
        <v>1</v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b">
        <f t="shared" si="63"/>
        <v>0</v>
      </c>
      <c r="BE21" s="47">
        <f t="shared" si="64"/>
        <v>6</v>
      </c>
      <c r="BF21" s="47">
        <f t="shared" si="65"/>
        <v>10</v>
      </c>
      <c r="BG21" s="48">
        <f t="shared" si="66"/>
        <v>16</v>
      </c>
      <c r="BH21" s="9">
        <f t="shared" si="67"/>
        <v>1</v>
      </c>
      <c r="BI21" s="49" t="b">
        <f t="shared" si="68"/>
        <v>1</v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b">
        <f t="shared" si="73"/>
        <v>0</v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0"/>
      <c r="E22" s="40"/>
      <c r="F22" s="40"/>
      <c r="G22" s="47">
        <f t="shared" si="14"/>
        <v>0</v>
      </c>
      <c r="H22" s="47">
        <f t="shared" si="15"/>
        <v>4</v>
      </c>
      <c r="I22" s="48">
        <f t="shared" si="16"/>
        <v>4</v>
      </c>
      <c r="J22" s="9">
        <f t="shared" si="17"/>
        <v>1</v>
      </c>
      <c r="K22" s="49" t="b">
        <f t="shared" si="18"/>
        <v>1</v>
      </c>
      <c r="L22" s="47">
        <f t="shared" si="19"/>
        <v>7</v>
      </c>
      <c r="M22" s="47">
        <f t="shared" si="20"/>
        <v>10</v>
      </c>
      <c r="N22" s="48">
        <f t="shared" si="21"/>
        <v>17</v>
      </c>
      <c r="O22" s="9">
        <f t="shared" si="22"/>
        <v>1</v>
      </c>
      <c r="P22" s="49" t="b">
        <f t="shared" si="23"/>
        <v>1</v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b">
        <f t="shared" si="28"/>
        <v>0</v>
      </c>
      <c r="V22" s="47">
        <f t="shared" si="29"/>
        <v>17</v>
      </c>
      <c r="W22" s="47">
        <f t="shared" si="30"/>
        <v>21</v>
      </c>
      <c r="X22" s="48">
        <f t="shared" si="31"/>
        <v>38</v>
      </c>
      <c r="Y22" s="9">
        <f t="shared" si="32"/>
        <v>1</v>
      </c>
      <c r="Z22" s="49" t="b">
        <f t="shared" si="33"/>
        <v>1</v>
      </c>
      <c r="AA22" s="47">
        <f t="shared" si="34"/>
        <v>7</v>
      </c>
      <c r="AB22" s="47">
        <f t="shared" si="35"/>
        <v>7</v>
      </c>
      <c r="AC22" s="48">
        <f t="shared" si="36"/>
        <v>14</v>
      </c>
      <c r="AD22" s="9">
        <f t="shared" si="37"/>
        <v>1</v>
      </c>
      <c r="AE22" s="49" t="b">
        <f t="shared" si="38"/>
        <v>1</v>
      </c>
      <c r="AF22" s="47">
        <f t="shared" si="39"/>
        <v>10</v>
      </c>
      <c r="AG22" s="47">
        <f t="shared" si="40"/>
        <v>7</v>
      </c>
      <c r="AH22" s="48">
        <f t="shared" si="41"/>
        <v>17</v>
      </c>
      <c r="AI22" s="9">
        <f t="shared" si="42"/>
        <v>1</v>
      </c>
      <c r="AJ22" s="49" t="b">
        <f t="shared" si="43"/>
        <v>1</v>
      </c>
      <c r="AK22" s="47">
        <f t="shared" si="44"/>
        <v>7</v>
      </c>
      <c r="AL22" s="47">
        <f t="shared" si="45"/>
        <v>10</v>
      </c>
      <c r="AM22" s="48">
        <f t="shared" si="46"/>
        <v>17</v>
      </c>
      <c r="AN22" s="9">
        <f t="shared" si="47"/>
        <v>1</v>
      </c>
      <c r="AO22" s="49" t="b">
        <f t="shared" si="48"/>
        <v>1</v>
      </c>
      <c r="AP22" s="47">
        <f t="shared" si="49"/>
        <v>7</v>
      </c>
      <c r="AQ22" s="47">
        <f t="shared" si="50"/>
        <v>1</v>
      </c>
      <c r="AR22" s="48">
        <f t="shared" si="51"/>
        <v>8</v>
      </c>
      <c r="AS22" s="9">
        <f t="shared" si="52"/>
        <v>1</v>
      </c>
      <c r="AT22" s="49" t="b">
        <f t="shared" si="53"/>
        <v>1</v>
      </c>
      <c r="AU22" s="47">
        <f t="shared" si="54"/>
        <v>3</v>
      </c>
      <c r="AV22" s="47">
        <f t="shared" si="55"/>
        <v>7</v>
      </c>
      <c r="AW22" s="48">
        <f t="shared" si="56"/>
        <v>10</v>
      </c>
      <c r="AX22" s="9">
        <f t="shared" si="57"/>
        <v>1</v>
      </c>
      <c r="AY22" s="49" t="b">
        <f t="shared" si="58"/>
        <v>1</v>
      </c>
      <c r="AZ22" s="47">
        <f t="shared" si="59"/>
        <v>4</v>
      </c>
      <c r="BA22" s="47">
        <f t="shared" si="60"/>
        <v>8</v>
      </c>
      <c r="BB22" s="48">
        <f t="shared" si="61"/>
        <v>12</v>
      </c>
      <c r="BC22" s="9">
        <f t="shared" si="62"/>
        <v>1</v>
      </c>
      <c r="BD22" s="49" t="b">
        <f t="shared" si="63"/>
        <v>1</v>
      </c>
      <c r="BE22" s="47">
        <f t="shared" si="64"/>
        <v>14</v>
      </c>
      <c r="BF22" s="47">
        <f t="shared" si="65"/>
        <v>17</v>
      </c>
      <c r="BG22" s="48">
        <f t="shared" si="66"/>
        <v>31</v>
      </c>
      <c r="BH22" s="9">
        <f t="shared" si="67"/>
        <v>1</v>
      </c>
      <c r="BI22" s="49" t="b">
        <f t="shared" si="68"/>
        <v>1</v>
      </c>
      <c r="BJ22" s="47">
        <f t="shared" si="69"/>
        <v>0</v>
      </c>
      <c r="BK22" s="47">
        <f t="shared" si="70"/>
        <v>0</v>
      </c>
      <c r="BL22" s="48">
        <f t="shared" si="71"/>
        <v>0</v>
      </c>
      <c r="BM22" s="9">
        <f t="shared" si="72"/>
        <v>6</v>
      </c>
      <c r="BN22" s="49" t="b">
        <f t="shared" si="73"/>
        <v>1</v>
      </c>
      <c r="BO22" s="40"/>
      <c r="BP22" s="40"/>
      <c r="BQ22" s="40"/>
    </row>
    <row r="23" hidden="1">
      <c r="A23" s="40"/>
      <c r="B23" s="40"/>
      <c r="C23" s="46">
        <f t="shared" si="13"/>
        <v>5</v>
      </c>
      <c r="D23" s="40"/>
      <c r="E23" s="40"/>
      <c r="F23" s="40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b">
        <f t="shared" si="18"/>
        <v>0</v>
      </c>
      <c r="L23" s="47">
        <f t="shared" si="19"/>
        <v>2</v>
      </c>
      <c r="M23" s="47">
        <f t="shared" si="20"/>
        <v>7</v>
      </c>
      <c r="N23" s="48">
        <f t="shared" si="21"/>
        <v>9</v>
      </c>
      <c r="O23" s="9">
        <f t="shared" si="22"/>
        <v>1</v>
      </c>
      <c r="P23" s="49" t="b">
        <f t="shared" si="23"/>
        <v>1</v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b">
        <f t="shared" si="28"/>
        <v>0</v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b">
        <f t="shared" si="33"/>
        <v>0</v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b">
        <f t="shared" si="38"/>
        <v>0</v>
      </c>
      <c r="AF23" s="47">
        <f t="shared" si="39"/>
        <v>5</v>
      </c>
      <c r="AG23" s="47">
        <f t="shared" si="40"/>
        <v>4</v>
      </c>
      <c r="AH23" s="48">
        <f t="shared" si="41"/>
        <v>9</v>
      </c>
      <c r="AI23" s="9">
        <f t="shared" si="42"/>
        <v>1</v>
      </c>
      <c r="AJ23" s="49" t="b">
        <f t="shared" si="43"/>
        <v>1</v>
      </c>
      <c r="AK23" s="47">
        <f t="shared" si="44"/>
        <v>1</v>
      </c>
      <c r="AL23" s="47">
        <f t="shared" si="45"/>
        <v>4</v>
      </c>
      <c r="AM23" s="48">
        <f t="shared" si="46"/>
        <v>5</v>
      </c>
      <c r="AN23" s="9">
        <f t="shared" si="47"/>
        <v>2</v>
      </c>
      <c r="AO23" s="49" t="b">
        <f t="shared" si="48"/>
        <v>1</v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b">
        <f t="shared" si="53"/>
        <v>0</v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b">
        <f t="shared" si="58"/>
        <v>0</v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b">
        <f t="shared" si="63"/>
        <v>0</v>
      </c>
      <c r="BE23" s="47">
        <f t="shared" si="64"/>
        <v>5</v>
      </c>
      <c r="BF23" s="47">
        <f t="shared" si="65"/>
        <v>10</v>
      </c>
      <c r="BG23" s="48">
        <f t="shared" si="66"/>
        <v>15</v>
      </c>
      <c r="BH23" s="9">
        <f t="shared" si="67"/>
        <v>1</v>
      </c>
      <c r="BI23" s="49" t="b">
        <f t="shared" si="68"/>
        <v>1</v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b">
        <f t="shared" si="73"/>
        <v>0</v>
      </c>
      <c r="BO23" s="40"/>
      <c r="BP23" s="40"/>
      <c r="BQ23" s="40"/>
    </row>
    <row r="24" hidden="1">
      <c r="A24" s="40"/>
      <c r="B24" s="40"/>
      <c r="C24" s="46">
        <f t="shared" si="13"/>
        <v>7</v>
      </c>
      <c r="D24" s="40"/>
      <c r="E24" s="40"/>
      <c r="F24" s="40"/>
      <c r="G24" s="47">
        <f t="shared" si="14"/>
        <v>3</v>
      </c>
      <c r="H24" s="47">
        <f t="shared" si="15"/>
        <v>10</v>
      </c>
      <c r="I24" s="48">
        <f t="shared" si="16"/>
        <v>13</v>
      </c>
      <c r="J24" s="9">
        <f t="shared" si="17"/>
        <v>3</v>
      </c>
      <c r="K24" s="49" t="b">
        <f t="shared" si="18"/>
        <v>1</v>
      </c>
      <c r="L24" s="47">
        <f t="shared" si="19"/>
        <v>1</v>
      </c>
      <c r="M24" s="47">
        <f t="shared" si="20"/>
        <v>10</v>
      </c>
      <c r="N24" s="48">
        <f t="shared" si="21"/>
        <v>11</v>
      </c>
      <c r="O24" s="9">
        <f t="shared" si="22"/>
        <v>1</v>
      </c>
      <c r="P24" s="49" t="b">
        <f t="shared" si="23"/>
        <v>1</v>
      </c>
      <c r="Q24" s="47">
        <f t="shared" si="24"/>
        <v>4</v>
      </c>
      <c r="R24" s="47">
        <f t="shared" si="25"/>
        <v>7</v>
      </c>
      <c r="S24" s="48">
        <f t="shared" si="26"/>
        <v>11</v>
      </c>
      <c r="T24" s="9">
        <f t="shared" si="27"/>
        <v>3</v>
      </c>
      <c r="U24" s="49" t="b">
        <f t="shared" si="28"/>
        <v>1</v>
      </c>
      <c r="V24" s="47">
        <f t="shared" si="29"/>
        <v>3</v>
      </c>
      <c r="W24" s="47">
        <f t="shared" si="30"/>
        <v>7</v>
      </c>
      <c r="X24" s="48">
        <f t="shared" si="31"/>
        <v>10</v>
      </c>
      <c r="Y24" s="9">
        <f t="shared" si="32"/>
        <v>1</v>
      </c>
      <c r="Z24" s="49" t="b">
        <f t="shared" si="33"/>
        <v>1</v>
      </c>
      <c r="AA24" s="47">
        <f t="shared" si="34"/>
        <v>0</v>
      </c>
      <c r="AB24" s="47">
        <f t="shared" si="35"/>
        <v>7</v>
      </c>
      <c r="AC24" s="48">
        <f t="shared" si="36"/>
        <v>7</v>
      </c>
      <c r="AD24" s="9">
        <f t="shared" si="37"/>
        <v>2</v>
      </c>
      <c r="AE24" s="49" t="b">
        <f t="shared" si="38"/>
        <v>1</v>
      </c>
      <c r="AF24" s="47">
        <f t="shared" si="39"/>
        <v>4</v>
      </c>
      <c r="AG24" s="47">
        <f t="shared" si="40"/>
        <v>7</v>
      </c>
      <c r="AH24" s="48">
        <f t="shared" si="41"/>
        <v>11</v>
      </c>
      <c r="AI24" s="9">
        <f t="shared" si="42"/>
        <v>3</v>
      </c>
      <c r="AJ24" s="49" t="b">
        <f t="shared" si="43"/>
        <v>1</v>
      </c>
      <c r="AK24" s="47">
        <f t="shared" si="44"/>
        <v>0</v>
      </c>
      <c r="AL24" s="47">
        <f t="shared" si="45"/>
        <v>11</v>
      </c>
      <c r="AM24" s="48">
        <f t="shared" si="46"/>
        <v>11</v>
      </c>
      <c r="AN24" s="9">
        <f t="shared" si="47"/>
        <v>1</v>
      </c>
      <c r="AO24" s="49" t="b">
        <f t="shared" si="48"/>
        <v>1</v>
      </c>
      <c r="AP24" s="47">
        <f t="shared" si="49"/>
        <v>3</v>
      </c>
      <c r="AQ24" s="47">
        <f t="shared" si="50"/>
        <v>10</v>
      </c>
      <c r="AR24" s="48">
        <f t="shared" si="51"/>
        <v>13</v>
      </c>
      <c r="AS24" s="9">
        <f t="shared" si="52"/>
        <v>1</v>
      </c>
      <c r="AT24" s="49" t="b">
        <f t="shared" si="53"/>
        <v>1</v>
      </c>
      <c r="AU24" s="47">
        <f t="shared" si="54"/>
        <v>10</v>
      </c>
      <c r="AV24" s="47">
        <f t="shared" si="55"/>
        <v>0</v>
      </c>
      <c r="AW24" s="48">
        <f t="shared" si="56"/>
        <v>10</v>
      </c>
      <c r="AX24" s="9">
        <f t="shared" si="57"/>
        <v>1</v>
      </c>
      <c r="AY24" s="49" t="b">
        <f t="shared" si="58"/>
        <v>1</v>
      </c>
      <c r="AZ24" s="47">
        <f t="shared" si="59"/>
        <v>1</v>
      </c>
      <c r="BA24" s="47">
        <f t="shared" si="60"/>
        <v>10</v>
      </c>
      <c r="BB24" s="48">
        <f t="shared" si="61"/>
        <v>11</v>
      </c>
      <c r="BC24" s="9">
        <f t="shared" si="62"/>
        <v>1</v>
      </c>
      <c r="BD24" s="49" t="b">
        <f t="shared" si="63"/>
        <v>1</v>
      </c>
      <c r="BE24" s="47">
        <f t="shared" si="64"/>
        <v>14</v>
      </c>
      <c r="BF24" s="47">
        <f t="shared" si="65"/>
        <v>3</v>
      </c>
      <c r="BG24" s="48">
        <f t="shared" si="66"/>
        <v>17</v>
      </c>
      <c r="BH24" s="9">
        <f t="shared" si="67"/>
        <v>3</v>
      </c>
      <c r="BI24" s="49" t="b">
        <f t="shared" si="68"/>
        <v>1</v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b">
        <f t="shared" si="73"/>
        <v>0</v>
      </c>
      <c r="BO24" s="40"/>
      <c r="BP24" s="40"/>
      <c r="BQ24" s="40"/>
    </row>
    <row r="25" hidden="1">
      <c r="A25" s="40"/>
      <c r="B25" s="40"/>
      <c r="C25" s="46">
        <f t="shared" si="13"/>
        <v>18</v>
      </c>
      <c r="D25" s="40"/>
      <c r="E25" s="40"/>
      <c r="F25" s="40"/>
      <c r="G25" s="47">
        <f t="shared" si="14"/>
        <v>10</v>
      </c>
      <c r="H25" s="47">
        <f t="shared" si="15"/>
        <v>8</v>
      </c>
      <c r="I25" s="48">
        <f t="shared" si="16"/>
        <v>18</v>
      </c>
      <c r="J25" s="9">
        <f t="shared" si="17"/>
        <v>2</v>
      </c>
      <c r="K25" s="49" t="b">
        <f t="shared" si="18"/>
        <v>1</v>
      </c>
      <c r="L25" s="47">
        <f t="shared" si="19"/>
        <v>10</v>
      </c>
      <c r="M25" s="47">
        <f t="shared" si="20"/>
        <v>9</v>
      </c>
      <c r="N25" s="48">
        <f t="shared" si="21"/>
        <v>19</v>
      </c>
      <c r="O25" s="9">
        <f t="shared" si="22"/>
        <v>1</v>
      </c>
      <c r="P25" s="49" t="b">
        <f t="shared" si="23"/>
        <v>1</v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b">
        <f t="shared" si="28"/>
        <v>0</v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b">
        <f t="shared" si="33"/>
        <v>0</v>
      </c>
      <c r="AA25" s="47">
        <f t="shared" si="34"/>
        <v>10</v>
      </c>
      <c r="AB25" s="47">
        <f t="shared" si="35"/>
        <v>12</v>
      </c>
      <c r="AC25" s="48">
        <f t="shared" si="36"/>
        <v>22</v>
      </c>
      <c r="AD25" s="9">
        <f t="shared" si="37"/>
        <v>1</v>
      </c>
      <c r="AE25" s="49" t="b">
        <f t="shared" si="38"/>
        <v>1</v>
      </c>
      <c r="AF25" s="47">
        <f t="shared" si="39"/>
        <v>17</v>
      </c>
      <c r="AG25" s="47">
        <f t="shared" si="40"/>
        <v>15</v>
      </c>
      <c r="AH25" s="48">
        <f t="shared" si="41"/>
        <v>32</v>
      </c>
      <c r="AI25" s="9">
        <f t="shared" si="42"/>
        <v>1</v>
      </c>
      <c r="AJ25" s="49" t="b">
        <f t="shared" si="43"/>
        <v>1</v>
      </c>
      <c r="AK25" s="47">
        <f t="shared" si="44"/>
        <v>14</v>
      </c>
      <c r="AL25" s="47">
        <f t="shared" si="45"/>
        <v>16</v>
      </c>
      <c r="AM25" s="48">
        <f t="shared" si="46"/>
        <v>30</v>
      </c>
      <c r="AN25" s="9">
        <f t="shared" si="47"/>
        <v>1</v>
      </c>
      <c r="AO25" s="49" t="b">
        <f t="shared" si="48"/>
        <v>1</v>
      </c>
      <c r="AP25" s="47">
        <f t="shared" si="49"/>
        <v>13</v>
      </c>
      <c r="AQ25" s="47">
        <f t="shared" si="50"/>
        <v>11</v>
      </c>
      <c r="AR25" s="48">
        <f t="shared" si="51"/>
        <v>24</v>
      </c>
      <c r="AS25" s="9">
        <f t="shared" si="52"/>
        <v>1</v>
      </c>
      <c r="AT25" s="49" t="b">
        <f t="shared" si="53"/>
        <v>1</v>
      </c>
      <c r="AU25" s="47">
        <f t="shared" si="54"/>
        <v>13</v>
      </c>
      <c r="AV25" s="47">
        <f t="shared" si="55"/>
        <v>11</v>
      </c>
      <c r="AW25" s="48">
        <f t="shared" si="56"/>
        <v>24</v>
      </c>
      <c r="AX25" s="9">
        <f t="shared" si="57"/>
        <v>1</v>
      </c>
      <c r="AY25" s="49" t="b">
        <f t="shared" si="58"/>
        <v>1</v>
      </c>
      <c r="AZ25" s="47">
        <f t="shared" si="59"/>
        <v>13</v>
      </c>
      <c r="BA25" s="47">
        <f t="shared" si="60"/>
        <v>11</v>
      </c>
      <c r="BB25" s="48">
        <f t="shared" si="61"/>
        <v>24</v>
      </c>
      <c r="BC25" s="9">
        <f t="shared" si="62"/>
        <v>1</v>
      </c>
      <c r="BD25" s="49" t="b">
        <f t="shared" si="63"/>
        <v>1</v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b">
        <f t="shared" si="68"/>
        <v>0</v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b">
        <f t="shared" si="73"/>
        <v>0</v>
      </c>
      <c r="BO25" s="40"/>
      <c r="BP25" s="40"/>
      <c r="BQ25" s="40"/>
    </row>
    <row r="26" hidden="1">
      <c r="A26" s="40"/>
      <c r="B26" s="40"/>
      <c r="C26" s="46">
        <f t="shared" si="13"/>
        <v>12</v>
      </c>
      <c r="D26" s="40"/>
      <c r="E26" s="40"/>
      <c r="F26" s="40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b">
        <f t="shared" si="18"/>
        <v>0</v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b">
        <f t="shared" si="23"/>
        <v>0</v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b">
        <f t="shared" si="28"/>
        <v>0</v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b">
        <f t="shared" si="33"/>
        <v>0</v>
      </c>
      <c r="AA26" s="47">
        <f t="shared" si="34"/>
        <v>10</v>
      </c>
      <c r="AB26" s="47">
        <f t="shared" si="35"/>
        <v>6</v>
      </c>
      <c r="AC26" s="48">
        <f t="shared" si="36"/>
        <v>16</v>
      </c>
      <c r="AD26" s="9">
        <f t="shared" si="37"/>
        <v>1</v>
      </c>
      <c r="AE26" s="49" t="b">
        <f t="shared" si="38"/>
        <v>1</v>
      </c>
      <c r="AF26" s="47">
        <f t="shared" si="39"/>
        <v>8</v>
      </c>
      <c r="AG26" s="47">
        <f t="shared" si="40"/>
        <v>8</v>
      </c>
      <c r="AH26" s="48">
        <f t="shared" si="41"/>
        <v>16</v>
      </c>
      <c r="AI26" s="9">
        <f t="shared" si="42"/>
        <v>1</v>
      </c>
      <c r="AJ26" s="49" t="b">
        <f t="shared" si="43"/>
        <v>1</v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b">
        <f t="shared" si="48"/>
        <v>0</v>
      </c>
      <c r="AP26" s="47">
        <f t="shared" si="49"/>
        <v>6</v>
      </c>
      <c r="AQ26" s="47">
        <f t="shared" si="50"/>
        <v>7</v>
      </c>
      <c r="AR26" s="48">
        <f t="shared" si="51"/>
        <v>13</v>
      </c>
      <c r="AS26" s="9">
        <f t="shared" si="52"/>
        <v>1</v>
      </c>
      <c r="AT26" s="49" t="b">
        <f t="shared" si="53"/>
        <v>1</v>
      </c>
      <c r="AU26" s="47">
        <f t="shared" si="54"/>
        <v>6</v>
      </c>
      <c r="AV26" s="47">
        <f t="shared" si="55"/>
        <v>6</v>
      </c>
      <c r="AW26" s="48">
        <f t="shared" si="56"/>
        <v>12</v>
      </c>
      <c r="AX26" s="9">
        <f t="shared" si="57"/>
        <v>2</v>
      </c>
      <c r="AY26" s="49" t="b">
        <f t="shared" si="58"/>
        <v>1</v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b">
        <f t="shared" si="63"/>
        <v>0</v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b">
        <f t="shared" si="68"/>
        <v>0</v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b">
        <f t="shared" si="73"/>
        <v>0</v>
      </c>
      <c r="BO26" s="40"/>
      <c r="BP26" s="40"/>
      <c r="BQ26" s="40"/>
    </row>
    <row r="27" hidden="1">
      <c r="A27" s="40"/>
      <c r="B27" s="40"/>
      <c r="C27" s="46">
        <f t="shared" si="13"/>
        <v>21</v>
      </c>
      <c r="D27" s="40"/>
      <c r="E27" s="40"/>
      <c r="F27" s="40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b">
        <f t="shared" si="18"/>
        <v>0</v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b">
        <f t="shared" si="23"/>
        <v>0</v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b">
        <f t="shared" si="28"/>
        <v>0</v>
      </c>
      <c r="V27" s="47">
        <f t="shared" si="29"/>
        <v>11</v>
      </c>
      <c r="W27" s="47">
        <f t="shared" si="30"/>
        <v>10</v>
      </c>
      <c r="X27" s="48">
        <f t="shared" si="31"/>
        <v>21</v>
      </c>
      <c r="Y27" s="9">
        <f t="shared" si="32"/>
        <v>6</v>
      </c>
      <c r="Z27" s="49" t="b">
        <f t="shared" si="33"/>
        <v>1</v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b">
        <f t="shared" si="38"/>
        <v>0</v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b">
        <f t="shared" si="43"/>
        <v>0</v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b">
        <f t="shared" si="48"/>
        <v>0</v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b">
        <f t="shared" si="53"/>
        <v>0</v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b">
        <f t="shared" si="58"/>
        <v>0</v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b">
        <f t="shared" si="63"/>
        <v>0</v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b">
        <f t="shared" si="68"/>
        <v>0</v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b">
        <f t="shared" si="73"/>
        <v>0</v>
      </c>
      <c r="BO27" s="40"/>
      <c r="BP27" s="40"/>
      <c r="BQ27" s="40"/>
    </row>
    <row r="28" hidden="1">
      <c r="A28" s="40"/>
      <c r="B28" s="40"/>
      <c r="C28" s="46">
        <f t="shared" si="13"/>
        <v>22</v>
      </c>
      <c r="D28" s="40"/>
      <c r="E28" s="40"/>
      <c r="F28" s="40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b">
        <f t="shared" si="18"/>
        <v>0</v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b">
        <f t="shared" si="23"/>
        <v>0</v>
      </c>
      <c r="Q28" s="47">
        <f t="shared" si="24"/>
        <v>8</v>
      </c>
      <c r="R28" s="47">
        <f t="shared" si="25"/>
        <v>18</v>
      </c>
      <c r="S28" s="48">
        <f t="shared" si="26"/>
        <v>26</v>
      </c>
      <c r="T28" s="9">
        <f t="shared" si="27"/>
        <v>1</v>
      </c>
      <c r="U28" s="49" t="b">
        <f t="shared" si="28"/>
        <v>1</v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b">
        <f t="shared" si="33"/>
        <v>0</v>
      </c>
      <c r="AA28" s="47">
        <f t="shared" si="34"/>
        <v>11</v>
      </c>
      <c r="AB28" s="47">
        <f t="shared" si="35"/>
        <v>11</v>
      </c>
      <c r="AC28" s="48">
        <f t="shared" si="36"/>
        <v>22</v>
      </c>
      <c r="AD28" s="9">
        <f t="shared" si="37"/>
        <v>2</v>
      </c>
      <c r="AE28" s="49" t="b">
        <f t="shared" si="38"/>
        <v>1</v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b">
        <f t="shared" si="43"/>
        <v>0</v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b">
        <f t="shared" si="48"/>
        <v>0</v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b">
        <f t="shared" si="53"/>
        <v>0</v>
      </c>
      <c r="AU28" s="47">
        <f t="shared" si="54"/>
        <v>14</v>
      </c>
      <c r="AV28" s="47">
        <f t="shared" si="55"/>
        <v>12</v>
      </c>
      <c r="AW28" s="48">
        <f t="shared" si="56"/>
        <v>26</v>
      </c>
      <c r="AX28" s="9">
        <f t="shared" si="57"/>
        <v>1</v>
      </c>
      <c r="AY28" s="49" t="b">
        <f t="shared" si="58"/>
        <v>1</v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b">
        <f t="shared" si="63"/>
        <v>0</v>
      </c>
      <c r="BE28" s="47">
        <f t="shared" si="64"/>
        <v>11</v>
      </c>
      <c r="BF28" s="47">
        <f t="shared" si="65"/>
        <v>15</v>
      </c>
      <c r="BG28" s="48">
        <f t="shared" si="66"/>
        <v>26</v>
      </c>
      <c r="BH28" s="9">
        <f t="shared" si="67"/>
        <v>1</v>
      </c>
      <c r="BI28" s="49" t="b">
        <f t="shared" si="68"/>
        <v>1</v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b">
        <f t="shared" si="73"/>
        <v>0</v>
      </c>
      <c r="BO28" s="40"/>
      <c r="BP28" s="40"/>
      <c r="BQ28" s="40"/>
    </row>
    <row r="29" hidden="1">
      <c r="A29" s="40"/>
      <c r="B29" s="40"/>
      <c r="C29" s="46">
        <f t="shared" si="13"/>
        <v>15</v>
      </c>
      <c r="D29" s="40"/>
      <c r="E29" s="40"/>
      <c r="F29" s="40"/>
      <c r="G29" s="47">
        <f t="shared" si="14"/>
        <v>6</v>
      </c>
      <c r="H29" s="47">
        <f t="shared" si="15"/>
        <v>9</v>
      </c>
      <c r="I29" s="48">
        <f t="shared" si="16"/>
        <v>15</v>
      </c>
      <c r="J29" s="9">
        <f t="shared" si="17"/>
        <v>2</v>
      </c>
      <c r="K29" s="49" t="b">
        <f t="shared" si="18"/>
        <v>1</v>
      </c>
      <c r="L29" s="47">
        <f t="shared" si="19"/>
        <v>9</v>
      </c>
      <c r="M29" s="47">
        <f t="shared" si="20"/>
        <v>12</v>
      </c>
      <c r="N29" s="48">
        <f t="shared" si="21"/>
        <v>21</v>
      </c>
      <c r="O29" s="9">
        <f t="shared" si="22"/>
        <v>1</v>
      </c>
      <c r="P29" s="49" t="b">
        <f t="shared" si="23"/>
        <v>1</v>
      </c>
      <c r="Q29" s="47">
        <f t="shared" si="24"/>
        <v>9</v>
      </c>
      <c r="R29" s="47">
        <f t="shared" si="25"/>
        <v>8</v>
      </c>
      <c r="S29" s="48">
        <f t="shared" si="26"/>
        <v>17</v>
      </c>
      <c r="T29" s="9">
        <f t="shared" si="27"/>
        <v>1</v>
      </c>
      <c r="U29" s="49" t="b">
        <f t="shared" si="28"/>
        <v>1</v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b">
        <f t="shared" si="33"/>
        <v>0</v>
      </c>
      <c r="AA29" s="47">
        <f t="shared" si="34"/>
        <v>13</v>
      </c>
      <c r="AB29" s="47">
        <f t="shared" si="35"/>
        <v>12</v>
      </c>
      <c r="AC29" s="48">
        <f t="shared" si="36"/>
        <v>25</v>
      </c>
      <c r="AD29" s="9">
        <f t="shared" si="37"/>
        <v>1</v>
      </c>
      <c r="AE29" s="49" t="b">
        <f t="shared" si="38"/>
        <v>1</v>
      </c>
      <c r="AF29" s="47">
        <f t="shared" si="39"/>
        <v>17</v>
      </c>
      <c r="AG29" s="47">
        <f t="shared" si="40"/>
        <v>9</v>
      </c>
      <c r="AH29" s="48">
        <f t="shared" si="41"/>
        <v>26</v>
      </c>
      <c r="AI29" s="9">
        <f t="shared" si="42"/>
        <v>1</v>
      </c>
      <c r="AJ29" s="49" t="b">
        <f t="shared" si="43"/>
        <v>1</v>
      </c>
      <c r="AK29" s="47">
        <f t="shared" si="44"/>
        <v>20</v>
      </c>
      <c r="AL29" s="47">
        <f t="shared" si="45"/>
        <v>22</v>
      </c>
      <c r="AM29" s="48">
        <f t="shared" si="46"/>
        <v>42</v>
      </c>
      <c r="AN29" s="9">
        <f t="shared" si="47"/>
        <v>1</v>
      </c>
      <c r="AO29" s="49" t="b">
        <f t="shared" si="48"/>
        <v>1</v>
      </c>
      <c r="AP29" s="47">
        <f t="shared" si="49"/>
        <v>17</v>
      </c>
      <c r="AQ29" s="47">
        <f t="shared" si="50"/>
        <v>5</v>
      </c>
      <c r="AR29" s="48">
        <f t="shared" si="51"/>
        <v>22</v>
      </c>
      <c r="AS29" s="9">
        <f t="shared" si="52"/>
        <v>3</v>
      </c>
      <c r="AT29" s="49" t="b">
        <f t="shared" si="53"/>
        <v>1</v>
      </c>
      <c r="AU29" s="47">
        <f t="shared" si="54"/>
        <v>10</v>
      </c>
      <c r="AV29" s="47">
        <f t="shared" si="55"/>
        <v>13</v>
      </c>
      <c r="AW29" s="48">
        <f t="shared" si="56"/>
        <v>23</v>
      </c>
      <c r="AX29" s="9">
        <f t="shared" si="57"/>
        <v>1</v>
      </c>
      <c r="AY29" s="49" t="b">
        <f t="shared" si="58"/>
        <v>1</v>
      </c>
      <c r="AZ29" s="47">
        <f t="shared" si="59"/>
        <v>10</v>
      </c>
      <c r="BA29" s="47">
        <f t="shared" si="60"/>
        <v>13</v>
      </c>
      <c r="BB29" s="48">
        <f t="shared" si="61"/>
        <v>23</v>
      </c>
      <c r="BC29" s="9">
        <f t="shared" si="62"/>
        <v>1</v>
      </c>
      <c r="BD29" s="49" t="b">
        <f t="shared" si="63"/>
        <v>1</v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b">
        <f t="shared" si="68"/>
        <v>0</v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b">
        <f t="shared" si="73"/>
        <v>0</v>
      </c>
      <c r="BO29" s="40"/>
      <c r="BP29" s="40"/>
      <c r="BQ29" s="40"/>
    </row>
    <row r="30" hidden="1">
      <c r="A30" s="40"/>
      <c r="B30" s="40"/>
      <c r="C30" s="46">
        <f t="shared" si="13"/>
        <v>3</v>
      </c>
      <c r="D30" s="40"/>
      <c r="E30" s="40"/>
      <c r="F30" s="40"/>
      <c r="G30" s="47">
        <f t="shared" si="14"/>
        <v>2</v>
      </c>
      <c r="H30" s="47">
        <f t="shared" si="15"/>
        <v>1</v>
      </c>
      <c r="I30" s="48">
        <f t="shared" si="16"/>
        <v>3</v>
      </c>
      <c r="J30" s="9">
        <f t="shared" si="17"/>
        <v>1.5</v>
      </c>
      <c r="K30" s="49" t="b">
        <f t="shared" si="18"/>
        <v>1</v>
      </c>
      <c r="L30" s="47">
        <f t="shared" si="19"/>
        <v>1</v>
      </c>
      <c r="M30" s="47">
        <f t="shared" si="20"/>
        <v>5</v>
      </c>
      <c r="N30" s="48">
        <f t="shared" si="21"/>
        <v>6</v>
      </c>
      <c r="O30" s="9">
        <f t="shared" si="22"/>
        <v>1</v>
      </c>
      <c r="P30" s="49" t="b">
        <f t="shared" si="23"/>
        <v>1</v>
      </c>
      <c r="Q30" s="47">
        <f t="shared" si="24"/>
        <v>0</v>
      </c>
      <c r="R30" s="47">
        <f t="shared" si="25"/>
        <v>4</v>
      </c>
      <c r="S30" s="48">
        <f t="shared" si="26"/>
        <v>4</v>
      </c>
      <c r="T30" s="9">
        <f t="shared" si="27"/>
        <v>1</v>
      </c>
      <c r="U30" s="49" t="b">
        <f t="shared" si="28"/>
        <v>1</v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b">
        <f t="shared" si="33"/>
        <v>0</v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b">
        <f t="shared" si="38"/>
        <v>0</v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b">
        <f t="shared" si="43"/>
        <v>0</v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b">
        <f t="shared" si="48"/>
        <v>0</v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b">
        <f t="shared" si="53"/>
        <v>0</v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b">
        <f t="shared" si="58"/>
        <v>0</v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b">
        <f t="shared" si="63"/>
        <v>0</v>
      </c>
      <c r="BE30" s="47">
        <f t="shared" si="64"/>
        <v>2</v>
      </c>
      <c r="BF30" s="47">
        <f t="shared" si="65"/>
        <v>1</v>
      </c>
      <c r="BG30" s="48">
        <f t="shared" si="66"/>
        <v>3</v>
      </c>
      <c r="BH30" s="9">
        <f t="shared" si="67"/>
        <v>1.5</v>
      </c>
      <c r="BI30" s="49" t="b">
        <f t="shared" si="68"/>
        <v>1</v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b">
        <f t="shared" si="73"/>
        <v>0</v>
      </c>
      <c r="BO30" s="40"/>
      <c r="BP30" s="40"/>
      <c r="BQ30" s="40"/>
    </row>
    <row r="31" hidden="1">
      <c r="A31" s="40"/>
      <c r="B31" s="40"/>
      <c r="C31" s="46">
        <f t="shared" si="13"/>
        <v>11</v>
      </c>
      <c r="D31" s="40"/>
      <c r="E31" s="40"/>
      <c r="F31" s="40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b">
        <f t="shared" si="18"/>
        <v>0</v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b">
        <f t="shared" si="23"/>
        <v>0</v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b">
        <f t="shared" si="28"/>
        <v>0</v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b">
        <f t="shared" si="33"/>
        <v>0</v>
      </c>
      <c r="AA31" s="47">
        <f t="shared" si="34"/>
        <v>10</v>
      </c>
      <c r="AB31" s="47">
        <f t="shared" si="35"/>
        <v>14</v>
      </c>
      <c r="AC31" s="48">
        <f t="shared" si="36"/>
        <v>24</v>
      </c>
      <c r="AD31" s="9">
        <f t="shared" si="37"/>
        <v>1</v>
      </c>
      <c r="AE31" s="49" t="b">
        <f t="shared" si="38"/>
        <v>1</v>
      </c>
      <c r="AF31" s="47">
        <f t="shared" si="39"/>
        <v>7</v>
      </c>
      <c r="AG31" s="47">
        <f t="shared" si="40"/>
        <v>7</v>
      </c>
      <c r="AH31" s="48">
        <f t="shared" si="41"/>
        <v>14</v>
      </c>
      <c r="AI31" s="9">
        <f t="shared" si="42"/>
        <v>1</v>
      </c>
      <c r="AJ31" s="49" t="b">
        <f t="shared" si="43"/>
        <v>1</v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b">
        <f t="shared" si="48"/>
        <v>0</v>
      </c>
      <c r="AP31" s="47">
        <f t="shared" si="49"/>
        <v>4</v>
      </c>
      <c r="AQ31" s="47">
        <f t="shared" si="50"/>
        <v>7</v>
      </c>
      <c r="AR31" s="48">
        <f t="shared" si="51"/>
        <v>11</v>
      </c>
      <c r="AS31" s="9">
        <f t="shared" si="52"/>
        <v>2</v>
      </c>
      <c r="AT31" s="49" t="b">
        <f t="shared" si="53"/>
        <v>1</v>
      </c>
      <c r="AU31" s="47">
        <f t="shared" si="54"/>
        <v>14</v>
      </c>
      <c r="AV31" s="47">
        <f t="shared" si="55"/>
        <v>14</v>
      </c>
      <c r="AW31" s="48">
        <f t="shared" si="56"/>
        <v>28</v>
      </c>
      <c r="AX31" s="9">
        <f t="shared" si="57"/>
        <v>1</v>
      </c>
      <c r="AY31" s="49" t="b">
        <f t="shared" si="58"/>
        <v>1</v>
      </c>
      <c r="AZ31" s="47">
        <f t="shared" si="59"/>
        <v>11</v>
      </c>
      <c r="BA31" s="47">
        <f t="shared" si="60"/>
        <v>11</v>
      </c>
      <c r="BB31" s="48">
        <f t="shared" si="61"/>
        <v>22</v>
      </c>
      <c r="BC31" s="9">
        <f t="shared" si="62"/>
        <v>1</v>
      </c>
      <c r="BD31" s="49" t="b">
        <f t="shared" si="63"/>
        <v>1</v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b">
        <f t="shared" si="68"/>
        <v>0</v>
      </c>
      <c r="BJ31" s="47">
        <f t="shared" si="69"/>
        <v>14</v>
      </c>
      <c r="BK31" s="47">
        <f t="shared" si="70"/>
        <v>14</v>
      </c>
      <c r="BL31" s="48">
        <f t="shared" si="71"/>
        <v>28</v>
      </c>
      <c r="BM31" s="9">
        <f t="shared" si="72"/>
        <v>1</v>
      </c>
      <c r="BN31" s="49" t="b">
        <f t="shared" si="73"/>
        <v>1</v>
      </c>
      <c r="BO31" s="40"/>
      <c r="BP31" s="40"/>
      <c r="BQ31" s="40"/>
    </row>
    <row r="32" hidden="1">
      <c r="A32" s="40"/>
      <c r="B32" s="40"/>
      <c r="C32" s="46">
        <f t="shared" si="13"/>
        <v>13</v>
      </c>
      <c r="D32" s="40"/>
      <c r="E32" s="40"/>
      <c r="F32" s="40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b">
        <f t="shared" si="18"/>
        <v>0</v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b">
        <f t="shared" si="23"/>
        <v>0</v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b">
        <f t="shared" si="28"/>
        <v>0</v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b">
        <f t="shared" si="33"/>
        <v>0</v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b">
        <f t="shared" si="38"/>
        <v>0</v>
      </c>
      <c r="AF32" s="47">
        <f t="shared" si="39"/>
        <v>14</v>
      </c>
      <c r="AG32" s="47">
        <f t="shared" si="40"/>
        <v>10</v>
      </c>
      <c r="AH32" s="48">
        <f t="shared" si="41"/>
        <v>24</v>
      </c>
      <c r="AI32" s="9">
        <f t="shared" si="42"/>
        <v>1</v>
      </c>
      <c r="AJ32" s="49" t="b">
        <f t="shared" si="43"/>
        <v>1</v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b">
        <f t="shared" si="48"/>
        <v>0</v>
      </c>
      <c r="AP32" s="47">
        <f t="shared" si="49"/>
        <v>12</v>
      </c>
      <c r="AQ32" s="47">
        <f t="shared" si="50"/>
        <v>7</v>
      </c>
      <c r="AR32" s="48">
        <f t="shared" si="51"/>
        <v>19</v>
      </c>
      <c r="AS32" s="9">
        <f t="shared" si="52"/>
        <v>1</v>
      </c>
      <c r="AT32" s="49" t="b">
        <f t="shared" si="53"/>
        <v>1</v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b">
        <f t="shared" si="58"/>
        <v>0</v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b">
        <f t="shared" si="63"/>
        <v>0</v>
      </c>
      <c r="BE32" s="47">
        <f t="shared" si="64"/>
        <v>7</v>
      </c>
      <c r="BF32" s="47">
        <f t="shared" si="65"/>
        <v>6</v>
      </c>
      <c r="BG32" s="48">
        <f t="shared" si="66"/>
        <v>13</v>
      </c>
      <c r="BH32" s="9">
        <f t="shared" si="67"/>
        <v>2</v>
      </c>
      <c r="BI32" s="49" t="b">
        <f t="shared" si="68"/>
        <v>1</v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b">
        <f t="shared" si="73"/>
        <v>0</v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0"/>
      <c r="E33" s="40"/>
      <c r="F33" s="40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0"/>
      <c r="E34" s="40"/>
      <c r="F34" s="40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0"/>
      <c r="BP34" s="40"/>
      <c r="BQ34" s="40"/>
    </row>
    <row r="35" hidden="1">
      <c r="A35" s="40"/>
      <c r="B35" s="40"/>
      <c r="C35" s="40"/>
      <c r="D35" s="40"/>
      <c r="E35" s="40"/>
      <c r="F35" s="40"/>
      <c r="G35" s="49"/>
      <c r="H35" s="49"/>
      <c r="I35" s="49"/>
      <c r="J35" s="59">
        <f>MULTIPLY(SUM(J19:J34),10)</f>
        <v>105</v>
      </c>
      <c r="K35" s="62">
        <f>COUNTIF(K19:K34,"TRUE")</f>
        <v>6</v>
      </c>
      <c r="L35" s="49"/>
      <c r="M35" s="49"/>
      <c r="N35" s="49"/>
      <c r="O35" s="59">
        <f>MULTIPLY(SUM(O19:O34),10)</f>
        <v>75</v>
      </c>
      <c r="P35" s="62">
        <f>COUNTIF(P19:P34,"TRUE")</f>
        <v>7</v>
      </c>
      <c r="Q35" s="49"/>
      <c r="R35" s="49"/>
      <c r="S35" s="49"/>
      <c r="T35" s="59">
        <f>MULTIPLY(SUM(T19:T34),10)</f>
        <v>70</v>
      </c>
      <c r="U35" s="62">
        <f>COUNTIF(U19:U34,"TRUE")</f>
        <v>5</v>
      </c>
      <c r="V35" s="49"/>
      <c r="W35" s="49"/>
      <c r="X35" s="49"/>
      <c r="Y35" s="59">
        <f>MULTIPLY(SUM(Y19:Y34),10)</f>
        <v>80</v>
      </c>
      <c r="Z35" s="62">
        <f>COUNTIF(Z19:Z34,"TRUE")</f>
        <v>3</v>
      </c>
      <c r="AA35" s="49"/>
      <c r="AB35" s="49"/>
      <c r="AC35" s="49"/>
      <c r="AD35" s="59">
        <f>MULTIPLY(SUM(AD19:AD34),10)</f>
        <v>110</v>
      </c>
      <c r="AE35" s="62">
        <f>COUNTIF(AE19:AE34,"TRUE")</f>
        <v>8</v>
      </c>
      <c r="AF35" s="49"/>
      <c r="AG35" s="49"/>
      <c r="AH35" s="49"/>
      <c r="AI35" s="59">
        <f>MULTIPLY(SUM(AI19:AI34),10)</f>
        <v>110</v>
      </c>
      <c r="AJ35" s="62">
        <f>COUNTIF(AJ19:AJ34,"TRUE")</f>
        <v>9</v>
      </c>
      <c r="AK35" s="49"/>
      <c r="AL35" s="49"/>
      <c r="AM35" s="49"/>
      <c r="AN35" s="59">
        <f>MULTIPLY(SUM(AN19:AN34),10)</f>
        <v>80</v>
      </c>
      <c r="AO35" s="62">
        <f>COUNTIF(AO19:AO34,"TRUE")</f>
        <v>7</v>
      </c>
      <c r="AP35" s="49"/>
      <c r="AQ35" s="49"/>
      <c r="AR35" s="49"/>
      <c r="AS35" s="59">
        <f>MULTIPLY(SUM(AS19:AS34),10)</f>
        <v>110</v>
      </c>
      <c r="AT35" s="62">
        <f>COUNTIF(AT19:AT34,"TRUE")</f>
        <v>8</v>
      </c>
      <c r="AU35" s="49"/>
      <c r="AV35" s="49"/>
      <c r="AW35" s="49"/>
      <c r="AX35" s="59">
        <f>MULTIPLY(SUM(AX19:AX34),10)</f>
        <v>125</v>
      </c>
      <c r="AY35" s="62">
        <f>COUNTIF(AY19:AY34,"TRUE")</f>
        <v>10</v>
      </c>
      <c r="AZ35" s="49"/>
      <c r="BA35" s="49"/>
      <c r="BB35" s="49"/>
      <c r="BC35" s="59">
        <f>MULTIPLY(SUM(BC19:BC34),10)</f>
        <v>60</v>
      </c>
      <c r="BD35" s="62">
        <f>COUNTIF(BD19:BD34,"TRUE")</f>
        <v>6</v>
      </c>
      <c r="BE35" s="49"/>
      <c r="BF35" s="49"/>
      <c r="BG35" s="49"/>
      <c r="BH35" s="59">
        <f>MULTIPLY(SUM(BH19:BH34),10)</f>
        <v>105</v>
      </c>
      <c r="BI35" s="62">
        <f>COUNTIF(BI19:BI34,"TRUE")</f>
        <v>7</v>
      </c>
      <c r="BJ35" s="49"/>
      <c r="BK35" s="49"/>
      <c r="BL35" s="49"/>
      <c r="BM35" s="59">
        <f>MULTIPLY(SUM(BM19:BM34),10)</f>
        <v>80</v>
      </c>
      <c r="BN35" s="62">
        <f>COUNTIF(BN19:BN34,"TRUE")</f>
        <v>3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40"/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40"/>
      <c r="B38" s="57" t="s">
        <v>141</v>
      </c>
      <c r="C38" s="58">
        <f t="array" ref="C38">INDEX(J35,0)</f>
        <v>105</v>
      </c>
      <c r="D38" s="58">
        <f t="array" ref="D38">INDEX(O35,0)</f>
        <v>75</v>
      </c>
      <c r="E38" s="58">
        <f t="array" ref="E38">INDEX(T35,0)</f>
        <v>70</v>
      </c>
      <c r="F38" s="58">
        <f t="array" ref="F38">INDEX(Y35,0)</f>
        <v>80</v>
      </c>
      <c r="G38" s="58">
        <f t="array" ref="G38">INDEX(AD35,0)</f>
        <v>110</v>
      </c>
      <c r="H38" s="58">
        <f t="array" ref="H38">INDEX(AI35,0)</f>
        <v>110</v>
      </c>
      <c r="I38" s="58">
        <f t="array" ref="I38">INDEX(AN35,0)</f>
        <v>80</v>
      </c>
      <c r="J38" s="58">
        <f t="array" ref="J38">INDEX(AS35,0)</f>
        <v>110</v>
      </c>
      <c r="K38" s="58">
        <f t="array" ref="K38">INDEX(AX35,0)</f>
        <v>125</v>
      </c>
      <c r="L38" s="58">
        <f t="array" ref="L38">INDEX(BC35,0)</f>
        <v>60</v>
      </c>
      <c r="M38" s="58">
        <f t="array" ref="M38">INDEX(BH35,0)</f>
        <v>105</v>
      </c>
      <c r="N38" s="60">
        <f t="array" ref="N38">INDEX(BM35,0)</f>
        <v>80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63" t="s">
        <v>142</v>
      </c>
      <c r="C39" s="64">
        <f>COUNTIF(K19:K34,true)</f>
        <v>6</v>
      </c>
      <c r="D39" s="64">
        <f>COUNTIF(P19:P34,true)</f>
        <v>7</v>
      </c>
      <c r="E39" s="64">
        <f>COUNTIF(U19:U34,true)</f>
        <v>5</v>
      </c>
      <c r="F39" s="64">
        <f>COUNTIF(Z19:Z34,true)</f>
        <v>3</v>
      </c>
      <c r="G39" s="64">
        <f>COUNTIF(AE19:AE34,true)</f>
        <v>8</v>
      </c>
      <c r="H39" s="64">
        <f>COUNTIF(AJ19:AJ34,true)</f>
        <v>9</v>
      </c>
      <c r="I39" s="64">
        <f>COUNTIF(AO19:AO34,true)</f>
        <v>7</v>
      </c>
      <c r="J39" s="64">
        <f>COUNTIF(AT19:AT34,true)</f>
        <v>8</v>
      </c>
      <c r="K39" s="64">
        <f>COUNTIF(AY19:AY34,true)</f>
        <v>10</v>
      </c>
      <c r="L39" s="64">
        <f>COUNTIF(BD19:BD34,true)</f>
        <v>6</v>
      </c>
      <c r="M39" s="64">
        <f>COUNTIF(BI19:BI34,true)</f>
        <v>7</v>
      </c>
      <c r="N39" s="65">
        <f>COUNTIF(BN19:BN34,true)</f>
        <v>3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63" t="s">
        <v>143</v>
      </c>
      <c r="C40" s="68">
        <f>COUNTIF(K19:K34,FALSE)</f>
        <v>8</v>
      </c>
      <c r="D40" s="68">
        <f>COUNTIF(P19:P34,FALSE)</f>
        <v>7</v>
      </c>
      <c r="E40" s="68">
        <f>COUNTIF(U19:U34,FALSE)</f>
        <v>9</v>
      </c>
      <c r="F40" s="68">
        <f>COUNTIF(Z19:Z34,FALSE)</f>
        <v>11</v>
      </c>
      <c r="G40" s="68">
        <f>COUNTIF(AE19:AE34,FALSE)</f>
        <v>6</v>
      </c>
      <c r="H40" s="68">
        <f>COUNTIF(AJ19:AJ34,FALSE)</f>
        <v>5</v>
      </c>
      <c r="I40" s="68">
        <f>COUNTIF(AO19:AO34,FALSE)</f>
        <v>7</v>
      </c>
      <c r="J40" s="68">
        <f>COUNTIF(AT19:AT34,FALSE)</f>
        <v>6</v>
      </c>
      <c r="K40" s="68">
        <f>COUNTIF(AY19:AY34,FALSE)</f>
        <v>4</v>
      </c>
      <c r="L40" s="68">
        <f>COUNTIF(BD19:BD34,FALSE)</f>
        <v>8</v>
      </c>
      <c r="M40" s="68">
        <f>COUNTIF(BI19:BI34,FALSE)</f>
        <v>7</v>
      </c>
      <c r="N40" s="69">
        <f>COUNTIF(BN19:BN34,FALSE)</f>
        <v>11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>SUM('Week 1'!C38,'Week 2'!C38,C38)</f>
        <v>325</v>
      </c>
      <c r="D42" s="71">
        <f>SUM('Week 1'!D38,'Week 2'!D38,D38)</f>
        <v>275</v>
      </c>
      <c r="E42" s="71">
        <f>SUM('Week 1'!E38,'Week 2'!E38,E38)</f>
        <v>290</v>
      </c>
      <c r="F42" s="71">
        <f>SUM('Week 1'!F38,'Week 2'!F38,F38)</f>
        <v>375</v>
      </c>
      <c r="G42" s="71">
        <f>SUM('Week 1'!G38,'Week 2'!G38,G38)</f>
        <v>410</v>
      </c>
      <c r="H42" s="71">
        <f>SUM('Week 1'!H38,'Week 2'!H38,H38)</f>
        <v>480</v>
      </c>
      <c r="I42" s="71">
        <f>SUM('Week 1'!I38,'Week 2'!I38,I38)</f>
        <v>320</v>
      </c>
      <c r="J42" s="71">
        <f>SUM('Week 1'!J38,'Week 2'!J38,J38)</f>
        <v>445</v>
      </c>
      <c r="K42" s="71">
        <f>SUM('Week 1'!K38,'Week 2'!K38,K38)</f>
        <v>370</v>
      </c>
      <c r="L42" s="71">
        <f>SUM('Week 1'!L38,'Week 2'!L38,L38)</f>
        <v>280</v>
      </c>
      <c r="M42" s="71">
        <f>SUM('Week 1'!M38,'Week 2'!M38,M38)</f>
        <v>365</v>
      </c>
      <c r="N42" s="72">
        <f>SUM('Week 1'!N38,'Week 2'!N38,N38)</f>
        <v>290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>CONCATENATE(SUM('Week 1'!C39,'Week 2'!C39,C39)," - ",SUM('Week 1'!C40,'Week 2'!C40,C40))</f>
        <v>25 - 21</v>
      </c>
      <c r="D43" s="73" t="str">
        <f>CONCATENATE(SUM('Week 1'!D39,'Week 2'!D39,D39)," - ",SUM('Week 1'!D40,'Week 2'!D40,D40))</f>
        <v>24 - 22</v>
      </c>
      <c r="E43" s="73" t="str">
        <f>CONCATENATE(SUM('Week 1'!E39,'Week 2'!E39,E39)," - ",SUM('Week 1'!E40,'Week 2'!E40,E40))</f>
        <v>23 - 23</v>
      </c>
      <c r="F43" s="73" t="str">
        <f>CONCATENATE(SUM('Week 1'!F39,'Week 2'!F39,F39)," - ",SUM('Week 1'!F40,'Week 2'!F40,F40))</f>
        <v>26 - 20</v>
      </c>
      <c r="G43" s="73" t="str">
        <f>CONCATENATE(SUM('Week 1'!G39,'Week 2'!G39,G39)," - ",SUM('Week 1'!G40,'Week 2'!G40,G40))</f>
        <v>30 - 16</v>
      </c>
      <c r="H43" s="73" t="str">
        <f>CONCATENATE(SUM('Week 1'!H39,'Week 2'!H39,H39)," - ",SUM('Week 1'!H40,'Week 2'!H40,H40))</f>
        <v>33 - 13</v>
      </c>
      <c r="I43" s="73" t="str">
        <f>CONCATENATE(SUM('Week 1'!I39,'Week 2'!I39,I39)," - ",SUM('Week 1'!I40,'Week 2'!I40,I40))</f>
        <v>26 - 20</v>
      </c>
      <c r="J43" s="73" t="str">
        <f>CONCATENATE(SUM('Week 1'!J39,'Week 2'!J39,J39)," - ",SUM('Week 1'!J40,'Week 2'!J40,J40))</f>
        <v>27 - 19</v>
      </c>
      <c r="K43" s="73" t="str">
        <f>CONCATENATE(SUM('Week 1'!K39,'Week 2'!K39,K39)," - ",SUM('Week 1'!K40,'Week 2'!K40,K40))</f>
        <v>29 - 17</v>
      </c>
      <c r="L43" s="73" t="str">
        <f>CONCATENATE(SUM('Week 1'!L39,'Week 2'!L39,L39)," - ",SUM('Week 1'!L40,'Week 2'!L40,L40))</f>
        <v>26 - 20</v>
      </c>
      <c r="M43" s="73" t="str">
        <f>CONCATENATE(SUM('Week 1'!M39,'Week 2'!M39,M39)," - ",SUM('Week 1'!M40,'Week 2'!M40,M40))</f>
        <v>24 - 22</v>
      </c>
      <c r="N43" s="74" t="str">
        <f>CONCATENATE(SUM('Week 1'!N39,'Week 2'!N39,N39)," - ",SUM('Week 1'!N40,'Week 2'!N40,N40))</f>
        <v>20 - 26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11</v>
      </c>
      <c r="E45" s="29">
        <v>480.0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445.0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410.0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375.0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14</v>
      </c>
      <c r="E49" s="29">
        <v>370.0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16</v>
      </c>
      <c r="E50" s="29">
        <v>365.0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6</v>
      </c>
      <c r="E51" s="29">
        <v>325.0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12</v>
      </c>
      <c r="E52" s="29">
        <v>320.0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8</v>
      </c>
      <c r="E53" s="29">
        <v>290.0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17</v>
      </c>
      <c r="E54" s="29">
        <v>290.0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280.0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275.0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325</v>
      </c>
      <c r="D63" s="40"/>
      <c r="G63" s="40"/>
      <c r="H63" s="40">
        <f t="shared" ref="H63:H74" si="74">RANK(J63,$J$63:$J$74,false)</f>
        <v>1</v>
      </c>
      <c r="I63" s="40" t="str">
        <f t="array" ref="I63:J79">SORT(B63:C79,2,false)</f>
        <v>Caleb</v>
      </c>
      <c r="J63" s="40">
        <v>480.0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275</v>
      </c>
      <c r="D64" s="40"/>
      <c r="G64" s="40"/>
      <c r="H64" s="40">
        <f t="shared" si="74"/>
        <v>2</v>
      </c>
      <c r="I64" s="40" t="s">
        <v>13</v>
      </c>
      <c r="J64" s="40">
        <v>445.0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290</v>
      </c>
      <c r="D65" s="40"/>
      <c r="G65" s="40"/>
      <c r="H65" s="40">
        <f t="shared" si="74"/>
        <v>3</v>
      </c>
      <c r="I65" s="40" t="s">
        <v>10</v>
      </c>
      <c r="J65" s="40">
        <v>410.0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375</v>
      </c>
      <c r="D66" s="40"/>
      <c r="G66" s="40"/>
      <c r="H66" s="40">
        <f t="shared" si="74"/>
        <v>4</v>
      </c>
      <c r="I66" s="40" t="s">
        <v>9</v>
      </c>
      <c r="J66" s="40">
        <v>375.0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410</v>
      </c>
      <c r="D67" s="40"/>
      <c r="G67" s="40"/>
      <c r="H67" s="40">
        <f t="shared" si="74"/>
        <v>5</v>
      </c>
      <c r="I67" s="40" t="s">
        <v>14</v>
      </c>
      <c r="J67" s="40">
        <v>370.0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480</v>
      </c>
      <c r="D68" s="40"/>
      <c r="G68" s="40"/>
      <c r="H68" s="40">
        <f t="shared" si="74"/>
        <v>6</v>
      </c>
      <c r="I68" s="40" t="s">
        <v>16</v>
      </c>
      <c r="J68" s="40">
        <v>365.0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320</v>
      </c>
      <c r="D69" s="40"/>
      <c r="G69" s="40"/>
      <c r="H69" s="40">
        <f t="shared" si="74"/>
        <v>7</v>
      </c>
      <c r="I69" s="40" t="s">
        <v>6</v>
      </c>
      <c r="J69" s="40">
        <v>325.0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445</v>
      </c>
      <c r="D70" s="40"/>
      <c r="G70" s="40"/>
      <c r="H70" s="40">
        <f t="shared" si="74"/>
        <v>8</v>
      </c>
      <c r="I70" s="40" t="s">
        <v>12</v>
      </c>
      <c r="J70" s="40">
        <v>320.0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370</v>
      </c>
      <c r="D71" s="40"/>
      <c r="G71" s="40"/>
      <c r="H71" s="40">
        <f t="shared" si="74"/>
        <v>9</v>
      </c>
      <c r="I71" s="40" t="s">
        <v>8</v>
      </c>
      <c r="J71" s="40">
        <v>290.0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280</v>
      </c>
      <c r="D72" s="40"/>
      <c r="G72" s="40"/>
      <c r="H72" s="40">
        <f t="shared" si="74"/>
        <v>9</v>
      </c>
      <c r="I72" s="40" t="s">
        <v>17</v>
      </c>
      <c r="J72" s="40">
        <v>290.0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365</v>
      </c>
      <c r="D73" s="40"/>
      <c r="G73" s="40"/>
      <c r="H73" s="40">
        <f t="shared" si="74"/>
        <v>11</v>
      </c>
      <c r="I73" s="40" t="s">
        <v>15</v>
      </c>
      <c r="J73" s="40">
        <v>280.0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290</v>
      </c>
      <c r="D74" s="40"/>
      <c r="G74" s="40"/>
      <c r="H74" s="40">
        <f t="shared" si="74"/>
        <v>12</v>
      </c>
      <c r="I74" s="40" t="s">
        <v>7</v>
      </c>
      <c r="J74" s="40">
        <v>275.0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 t="str">
        <f t="array" ref="C79">INDEX(S42,0)</f>
        <v/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AND($I19=$C19,$C19=0)</formula>
    </cfRule>
  </conditionalFormatting>
  <conditionalFormatting sqref="G2:K17">
    <cfRule type="expression" dxfId="7" priority="2">
      <formula>$I19=$C19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AND($N19=$C19,$C19=0)</formula>
    </cfRule>
  </conditionalFormatting>
  <conditionalFormatting sqref="L2:P17">
    <cfRule type="expression" dxfId="7" priority="9">
      <formula>$N19=$C19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AND($S19=$C19,$C19=0)</formula>
    </cfRule>
  </conditionalFormatting>
  <conditionalFormatting sqref="Q2:U17">
    <cfRule type="expression" dxfId="7" priority="16">
      <formula>$S19=$C19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AND($X19=$C19,$C19=0)</formula>
    </cfRule>
  </conditionalFormatting>
  <conditionalFormatting sqref="V2:Z17">
    <cfRule type="expression" dxfId="7" priority="78">
      <formula>$X19=$C19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AND($AC19=$C19,$C19=0)</formula>
    </cfRule>
  </conditionalFormatting>
  <conditionalFormatting sqref="AA2:AE17">
    <cfRule type="expression" dxfId="7" priority="81">
      <formula>$AC19=$C19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AND($AH19=$C19,$C19=0)</formula>
    </cfRule>
  </conditionalFormatting>
  <conditionalFormatting sqref="AF2:AJ17">
    <cfRule type="expression" dxfId="7" priority="84">
      <formula>$AH19=$C19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AND($AM19=$C19,$C19=0)</formula>
    </cfRule>
  </conditionalFormatting>
  <conditionalFormatting sqref="AK2:AO17">
    <cfRule type="expression" dxfId="7" priority="87">
      <formula>$AM19=$C19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AND($AR19=$C19,$C19=0)</formula>
    </cfRule>
  </conditionalFormatting>
  <conditionalFormatting sqref="AP2:AT17">
    <cfRule type="expression" dxfId="7" priority="90">
      <formula>$AR19=$C19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AND($AW19=$C19,$C19=0)</formula>
    </cfRule>
  </conditionalFormatting>
  <conditionalFormatting sqref="AU2:AY17">
    <cfRule type="expression" dxfId="7" priority="93">
      <formula>$AW19=$C19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AND($BB19=$C19,$C19=0)</formula>
    </cfRule>
  </conditionalFormatting>
  <conditionalFormatting sqref="AZ2:BD17">
    <cfRule type="expression" dxfId="7" priority="96">
      <formula>$BB19=$C19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AND($BG19=$C19,$C19=0)</formula>
    </cfRule>
  </conditionalFormatting>
  <conditionalFormatting sqref="BE2:BI17">
    <cfRule type="expression" dxfId="7" priority="99">
      <formula>$BG19=$C19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AND($BL19=$C19,$C19=0)</formula>
    </cfRule>
  </conditionalFormatting>
  <conditionalFormatting sqref="BJ2:BN17">
    <cfRule type="expression" dxfId="7" priority="102">
      <formula>$BL19=$C19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30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31</v>
      </c>
      <c r="B2" s="30" t="s">
        <v>32</v>
      </c>
      <c r="C2" s="18" t="str">
        <f>IFERROR(__xludf.DUMMYFUNCTION("IMPORTRANGE(""https://docs.google.com/spreadsheets/d/1v9a6MxzpyXdVbef97sptWrOJUpuAu6ldKC6wbegqpyg/edit?gid=130428154#gid=130428154"",""Week 4!C3:F18"")"),"")</f>
        <v/>
      </c>
      <c r="D2" s="11" t="str">
        <f>IFERROR(__xludf.DUMMYFUNCTION("""COMPUTED_VALUE"""),"")</f>
        <v/>
      </c>
      <c r="E2" s="19"/>
      <c r="F2" s="20"/>
      <c r="G2" s="19" t="s">
        <v>33</v>
      </c>
      <c r="H2" s="11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31.0</v>
      </c>
      <c r="J2" s="19">
        <v>24.0</v>
      </c>
      <c r="K2" s="20" t="b">
        <v>0</v>
      </c>
      <c r="L2" s="24" t="s">
        <v>33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10.0</v>
      </c>
      <c r="O2" s="24">
        <v>7.0</v>
      </c>
      <c r="P2" s="24" t="b">
        <v>0</v>
      </c>
      <c r="Q2" s="27" t="s">
        <v>34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17.0</v>
      </c>
      <c r="T2" s="19">
        <v>20.0</v>
      </c>
      <c r="U2" s="20" t="b">
        <v>0</v>
      </c>
      <c r="V2" s="19" t="s">
        <v>34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24.0</v>
      </c>
      <c r="Y2" s="19">
        <v>27.0</v>
      </c>
      <c r="Z2" s="20" t="b">
        <v>1</v>
      </c>
      <c r="AA2" s="27" t="s">
        <v>33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24.0</v>
      </c>
      <c r="AD2" s="19">
        <v>17.0</v>
      </c>
      <c r="AE2" s="19" t="b">
        <v>0</v>
      </c>
      <c r="AF2" s="27" t="s">
        <v>34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7.0</v>
      </c>
      <c r="AI2" s="19">
        <v>10.0</v>
      </c>
      <c r="AJ2" s="20" t="b">
        <v>0</v>
      </c>
      <c r="AK2" s="19" t="s">
        <v>34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24.0</v>
      </c>
      <c r="AN2" s="19">
        <v>31.0</v>
      </c>
      <c r="AO2" s="20" t="b">
        <v>0</v>
      </c>
      <c r="AP2" s="27" t="s">
        <v>34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17.0</v>
      </c>
      <c r="AS2" s="19">
        <v>20.0</v>
      </c>
      <c r="AT2" s="20" t="b">
        <v>0</v>
      </c>
      <c r="AU2" s="27" t="s">
        <v>34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24.0</v>
      </c>
      <c r="AX2" s="19">
        <v>27.0</v>
      </c>
      <c r="AY2" s="20" t="b">
        <v>0</v>
      </c>
      <c r="AZ2" s="27" t="s">
        <v>33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23.0</v>
      </c>
      <c r="BC2" s="19">
        <v>20.0</v>
      </c>
      <c r="BD2" s="20" t="b">
        <v>0</v>
      </c>
      <c r="BE2" s="27" t="s">
        <v>33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31.0</v>
      </c>
      <c r="BH2" s="19">
        <v>24.0</v>
      </c>
      <c r="BI2" s="20" t="b">
        <v>0</v>
      </c>
      <c r="BJ2" s="27" t="s">
        <v>33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28.0</v>
      </c>
      <c r="BM2" s="19">
        <v>21.0</v>
      </c>
      <c r="BN2" s="20" t="b">
        <v>0</v>
      </c>
      <c r="BO2" s="19"/>
      <c r="BP2" s="19"/>
      <c r="BQ2" s="19"/>
    </row>
    <row r="3">
      <c r="A3" s="16" t="s">
        <v>96</v>
      </c>
      <c r="B3" s="17" t="s">
        <v>97</v>
      </c>
      <c r="C3" s="18"/>
      <c r="D3" s="11" t="str">
        <f>IFERROR(__xludf.DUMMYFUNCTION("""COMPUTED_VALUE"""),"")</f>
        <v/>
      </c>
      <c r="E3" s="17"/>
      <c r="F3" s="31"/>
      <c r="G3" s="19" t="s">
        <v>85</v>
      </c>
      <c r="H3" s="11" t="str">
        <f t="shared" si="1"/>
        <v/>
      </c>
      <c r="I3" s="19">
        <v>21.0</v>
      </c>
      <c r="J3" s="19">
        <v>24.0</v>
      </c>
      <c r="K3" s="20" t="b">
        <v>0</v>
      </c>
      <c r="L3" s="19" t="s">
        <v>85</v>
      </c>
      <c r="M3" s="11" t="str">
        <f t="shared" si="2"/>
        <v/>
      </c>
      <c r="N3" s="19">
        <v>20.0</v>
      </c>
      <c r="O3" s="19">
        <v>23.0</v>
      </c>
      <c r="P3" s="19" t="b">
        <v>0</v>
      </c>
      <c r="Q3" s="27" t="s">
        <v>76</v>
      </c>
      <c r="R3" s="11" t="str">
        <f t="shared" si="3"/>
        <v/>
      </c>
      <c r="S3" s="19">
        <v>17.0</v>
      </c>
      <c r="T3" s="19">
        <v>14.0</v>
      </c>
      <c r="U3" s="20" t="b">
        <v>0</v>
      </c>
      <c r="V3" s="19" t="s">
        <v>76</v>
      </c>
      <c r="W3" s="11" t="str">
        <f t="shared" si="4"/>
        <v/>
      </c>
      <c r="X3" s="19">
        <v>17.0</v>
      </c>
      <c r="Y3" s="19">
        <v>14.0</v>
      </c>
      <c r="Z3" s="20" t="b">
        <v>0</v>
      </c>
      <c r="AA3" s="27" t="s">
        <v>85</v>
      </c>
      <c r="AB3" s="11" t="str">
        <f t="shared" si="5"/>
        <v/>
      </c>
      <c r="AC3" s="19">
        <v>17.0</v>
      </c>
      <c r="AD3" s="19">
        <v>24.0</v>
      </c>
      <c r="AE3" s="19" t="b">
        <v>0</v>
      </c>
      <c r="AF3" s="27" t="s">
        <v>85</v>
      </c>
      <c r="AG3" s="11" t="str">
        <f t="shared" si="6"/>
        <v/>
      </c>
      <c r="AH3" s="19">
        <v>21.0</v>
      </c>
      <c r="AI3" s="19">
        <v>28.0</v>
      </c>
      <c r="AJ3" s="20" t="b">
        <v>0</v>
      </c>
      <c r="AK3" s="19" t="s">
        <v>85</v>
      </c>
      <c r="AL3" s="11" t="str">
        <f t="shared" si="7"/>
        <v/>
      </c>
      <c r="AM3" s="19">
        <v>24.0</v>
      </c>
      <c r="AN3" s="19">
        <v>27.0</v>
      </c>
      <c r="AO3" s="20" t="b">
        <v>0</v>
      </c>
      <c r="AP3" s="27" t="s">
        <v>85</v>
      </c>
      <c r="AQ3" s="11" t="str">
        <f t="shared" si="8"/>
        <v/>
      </c>
      <c r="AR3" s="19">
        <v>23.0</v>
      </c>
      <c r="AS3" s="19">
        <v>27.0</v>
      </c>
      <c r="AT3" s="20" t="b">
        <v>0</v>
      </c>
      <c r="AU3" s="27" t="s">
        <v>76</v>
      </c>
      <c r="AV3" s="11" t="str">
        <f t="shared" si="9"/>
        <v/>
      </c>
      <c r="AW3" s="19">
        <v>10.0</v>
      </c>
      <c r="AX3" s="19">
        <v>7.0</v>
      </c>
      <c r="AY3" s="20" t="b">
        <v>1</v>
      </c>
      <c r="AZ3" s="27" t="s">
        <v>76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76</v>
      </c>
      <c r="BF3" s="11" t="str">
        <f t="shared" si="11"/>
        <v/>
      </c>
      <c r="BG3" s="19">
        <v>20.0</v>
      </c>
      <c r="BH3" s="19">
        <v>17.0</v>
      </c>
      <c r="BI3" s="20" t="b">
        <v>0</v>
      </c>
      <c r="BJ3" s="27" t="s">
        <v>76</v>
      </c>
      <c r="BK3" s="11" t="str">
        <f t="shared" si="12"/>
        <v/>
      </c>
      <c r="BL3" s="19">
        <v>20.0</v>
      </c>
      <c r="BM3" s="19">
        <v>17.0</v>
      </c>
      <c r="BN3" s="20" t="b">
        <v>0</v>
      </c>
      <c r="BO3" s="17"/>
      <c r="BP3" s="17"/>
      <c r="BQ3" s="17"/>
    </row>
    <row r="4">
      <c r="A4" s="16" t="s">
        <v>106</v>
      </c>
      <c r="B4" s="30" t="s">
        <v>107</v>
      </c>
      <c r="C4" s="18"/>
      <c r="D4" s="11" t="str">
        <f>IFERROR(__xludf.DUMMYFUNCTION("""COMPUTED_VALUE"""),"")</f>
        <v/>
      </c>
      <c r="E4" s="19"/>
      <c r="F4" s="20"/>
      <c r="G4" s="19" t="s">
        <v>28</v>
      </c>
      <c r="H4" s="11" t="str">
        <f t="shared" si="1"/>
        <v/>
      </c>
      <c r="I4" s="19">
        <v>21.0</v>
      </c>
      <c r="J4" s="19">
        <v>17.0</v>
      </c>
      <c r="K4" s="20" t="b">
        <v>0</v>
      </c>
      <c r="L4" s="19" t="s">
        <v>23</v>
      </c>
      <c r="M4" s="11" t="str">
        <f t="shared" si="2"/>
        <v/>
      </c>
      <c r="N4" s="19">
        <v>10.0</v>
      </c>
      <c r="O4" s="19">
        <v>14.0</v>
      </c>
      <c r="P4" s="19" t="b">
        <v>0</v>
      </c>
      <c r="Q4" s="27" t="s">
        <v>23</v>
      </c>
      <c r="R4" s="11" t="str">
        <f t="shared" si="3"/>
        <v/>
      </c>
      <c r="S4" s="19">
        <v>7.0</v>
      </c>
      <c r="T4" s="19">
        <v>10.0</v>
      </c>
      <c r="U4" s="20" t="b">
        <v>0</v>
      </c>
      <c r="V4" s="19" t="s">
        <v>23</v>
      </c>
      <c r="W4" s="11" t="str">
        <f t="shared" si="4"/>
        <v/>
      </c>
      <c r="X4" s="19">
        <v>24.0</v>
      </c>
      <c r="Y4" s="19">
        <v>31.0</v>
      </c>
      <c r="Z4" s="20" t="b">
        <v>0</v>
      </c>
      <c r="AA4" s="27" t="s">
        <v>23</v>
      </c>
      <c r="AB4" s="11" t="str">
        <f t="shared" si="5"/>
        <v/>
      </c>
      <c r="AC4" s="19">
        <v>17.0</v>
      </c>
      <c r="AD4" s="19">
        <v>24.0</v>
      </c>
      <c r="AE4" s="19" t="b">
        <v>0</v>
      </c>
      <c r="AF4" s="27" t="s">
        <v>23</v>
      </c>
      <c r="AG4" s="11" t="str">
        <f t="shared" si="6"/>
        <v/>
      </c>
      <c r="AH4" s="19">
        <v>7.0</v>
      </c>
      <c r="AI4" s="19">
        <v>10.0</v>
      </c>
      <c r="AJ4" s="20" t="b">
        <v>0</v>
      </c>
      <c r="AK4" s="19" t="s">
        <v>23</v>
      </c>
      <c r="AL4" s="11" t="str">
        <f t="shared" si="7"/>
        <v/>
      </c>
      <c r="AM4" s="19">
        <v>7.0</v>
      </c>
      <c r="AN4" s="19">
        <v>10.0</v>
      </c>
      <c r="AO4" s="20" t="b">
        <v>0</v>
      </c>
      <c r="AP4" s="27" t="s">
        <v>23</v>
      </c>
      <c r="AQ4" s="11" t="str">
        <f t="shared" si="8"/>
        <v/>
      </c>
      <c r="AR4" s="19">
        <v>17.0</v>
      </c>
      <c r="AS4" s="19">
        <v>27.0</v>
      </c>
      <c r="AT4" s="20" t="b">
        <v>0</v>
      </c>
      <c r="AU4" s="27" t="s">
        <v>28</v>
      </c>
      <c r="AV4" s="11" t="str">
        <f t="shared" si="9"/>
        <v/>
      </c>
      <c r="AW4" s="19">
        <v>14.0</v>
      </c>
      <c r="AX4" s="19">
        <v>10.0</v>
      </c>
      <c r="AY4" s="20" t="b">
        <v>0</v>
      </c>
      <c r="AZ4" s="27" t="s">
        <v>23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23</v>
      </c>
      <c r="BF4" s="11" t="str">
        <f t="shared" si="11"/>
        <v/>
      </c>
      <c r="BG4" s="19">
        <v>21.0</v>
      </c>
      <c r="BH4" s="19">
        <v>28.0</v>
      </c>
      <c r="BI4" s="20" t="b">
        <v>0</v>
      </c>
      <c r="BJ4" s="27" t="s">
        <v>23</v>
      </c>
      <c r="BK4" s="11" t="str">
        <f t="shared" si="12"/>
        <v/>
      </c>
      <c r="BL4" s="19">
        <v>24.0</v>
      </c>
      <c r="BM4" s="19">
        <v>31.0</v>
      </c>
      <c r="BN4" s="20" t="b">
        <v>0</v>
      </c>
      <c r="BO4" s="17"/>
      <c r="BP4" s="17"/>
      <c r="BQ4" s="17"/>
    </row>
    <row r="5">
      <c r="A5" s="16" t="s">
        <v>106</v>
      </c>
      <c r="B5" s="17" t="s">
        <v>111</v>
      </c>
      <c r="C5" s="18"/>
      <c r="D5" s="11" t="str">
        <f>IFERROR(__xludf.DUMMYFUNCTION("""COMPUTED_VALUE"""),"")</f>
        <v/>
      </c>
      <c r="E5" s="19"/>
      <c r="F5" s="20"/>
      <c r="G5" s="19" t="s">
        <v>39</v>
      </c>
      <c r="H5" s="11" t="str">
        <f t="shared" si="1"/>
        <v/>
      </c>
      <c r="I5" s="19">
        <v>20.0</v>
      </c>
      <c r="J5" s="19">
        <v>17.0</v>
      </c>
      <c r="K5" s="20" t="b">
        <v>0</v>
      </c>
      <c r="L5" s="19" t="s">
        <v>39</v>
      </c>
      <c r="M5" s="11" t="str">
        <f t="shared" si="2"/>
        <v/>
      </c>
      <c r="N5" s="19">
        <v>23.0</v>
      </c>
      <c r="O5" s="19">
        <v>20.0</v>
      </c>
      <c r="P5" s="19" t="b">
        <v>0</v>
      </c>
      <c r="Q5" s="27" t="s">
        <v>54</v>
      </c>
      <c r="R5" s="11" t="str">
        <f t="shared" si="3"/>
        <v/>
      </c>
      <c r="S5" s="19">
        <v>10.0</v>
      </c>
      <c r="T5" s="19">
        <v>14.0</v>
      </c>
      <c r="U5" s="20" t="b">
        <v>0</v>
      </c>
      <c r="V5" s="19" t="s">
        <v>39</v>
      </c>
      <c r="W5" s="11" t="str">
        <f t="shared" si="4"/>
        <v/>
      </c>
      <c r="X5" s="19">
        <v>27.0</v>
      </c>
      <c r="Y5" s="19">
        <v>24.0</v>
      </c>
      <c r="Z5" s="20" t="b">
        <v>0</v>
      </c>
      <c r="AA5" s="27" t="s">
        <v>54</v>
      </c>
      <c r="AB5" s="11" t="str">
        <f t="shared" si="5"/>
        <v/>
      </c>
      <c r="AC5" s="19">
        <v>17.0</v>
      </c>
      <c r="AD5" s="19">
        <v>24.0</v>
      </c>
      <c r="AE5" s="19" t="b">
        <v>0</v>
      </c>
      <c r="AF5" s="27" t="s">
        <v>39</v>
      </c>
      <c r="AG5" s="11" t="str">
        <f t="shared" si="6"/>
        <v/>
      </c>
      <c r="AH5" s="19">
        <v>17.0</v>
      </c>
      <c r="AI5" s="19">
        <v>14.0</v>
      </c>
      <c r="AJ5" s="20" t="b">
        <v>0</v>
      </c>
      <c r="AK5" s="19" t="s">
        <v>39</v>
      </c>
      <c r="AL5" s="11" t="str">
        <f t="shared" si="7"/>
        <v/>
      </c>
      <c r="AM5" s="19">
        <v>21.0</v>
      </c>
      <c r="AN5" s="19">
        <v>17.0</v>
      </c>
      <c r="AO5" s="20" t="b">
        <v>0</v>
      </c>
      <c r="AP5" s="27" t="s">
        <v>54</v>
      </c>
      <c r="AQ5" s="11" t="str">
        <f t="shared" si="8"/>
        <v/>
      </c>
      <c r="AR5" s="19">
        <v>23.0</v>
      </c>
      <c r="AS5" s="19">
        <v>28.0</v>
      </c>
      <c r="AT5" s="20" t="b">
        <v>0</v>
      </c>
      <c r="AU5" s="27" t="s">
        <v>54</v>
      </c>
      <c r="AV5" s="11" t="str">
        <f t="shared" si="9"/>
        <v/>
      </c>
      <c r="AW5" s="19">
        <v>21.0</v>
      </c>
      <c r="AX5" s="19">
        <v>28.0</v>
      </c>
      <c r="AY5" s="20" t="b">
        <v>0</v>
      </c>
      <c r="AZ5" s="27" t="s">
        <v>39</v>
      </c>
      <c r="BA5" s="11" t="str">
        <f t="shared" si="10"/>
        <v/>
      </c>
      <c r="BB5" s="19">
        <v>23.0</v>
      </c>
      <c r="BC5" s="19">
        <v>20.0</v>
      </c>
      <c r="BD5" s="20" t="b">
        <v>0</v>
      </c>
      <c r="BE5" s="27" t="s">
        <v>39</v>
      </c>
      <c r="BF5" s="11" t="str">
        <f t="shared" si="11"/>
        <v/>
      </c>
      <c r="BG5" s="19">
        <v>21.0</v>
      </c>
      <c r="BH5" s="19">
        <v>17.0</v>
      </c>
      <c r="BI5" s="20" t="b">
        <v>1</v>
      </c>
      <c r="BJ5" s="27" t="s">
        <v>54</v>
      </c>
      <c r="BK5" s="11" t="str">
        <f t="shared" si="12"/>
        <v/>
      </c>
      <c r="BL5" s="19">
        <v>7.0</v>
      </c>
      <c r="BM5" s="19">
        <v>10.0</v>
      </c>
      <c r="BN5" s="20" t="b">
        <v>0</v>
      </c>
      <c r="BO5" s="17"/>
      <c r="BP5" s="17"/>
      <c r="BQ5" s="17"/>
    </row>
    <row r="6">
      <c r="A6" s="16" t="s">
        <v>106</v>
      </c>
      <c r="B6" s="17" t="s">
        <v>113</v>
      </c>
      <c r="C6" s="18"/>
      <c r="D6" s="11" t="str">
        <f>IFERROR(__xludf.DUMMYFUNCTION("""COMPUTED_VALUE"""),"")</f>
        <v/>
      </c>
      <c r="E6" s="19"/>
      <c r="F6" s="20"/>
      <c r="G6" s="19" t="s">
        <v>44</v>
      </c>
      <c r="H6" s="11" t="str">
        <f t="shared" si="1"/>
        <v/>
      </c>
      <c r="I6" s="19">
        <v>24.0</v>
      </c>
      <c r="J6" s="19">
        <v>31.0</v>
      </c>
      <c r="K6" s="20" t="b">
        <v>0</v>
      </c>
      <c r="L6" s="19" t="s">
        <v>44</v>
      </c>
      <c r="M6" s="11" t="str">
        <f t="shared" si="2"/>
        <v/>
      </c>
      <c r="N6" s="19">
        <v>7.0</v>
      </c>
      <c r="O6" s="19">
        <v>10.0</v>
      </c>
      <c r="P6" s="19" t="b">
        <v>0</v>
      </c>
      <c r="Q6" s="27" t="s">
        <v>44</v>
      </c>
      <c r="R6" s="11" t="str">
        <f t="shared" si="3"/>
        <v/>
      </c>
      <c r="S6" s="19">
        <v>10.0</v>
      </c>
      <c r="T6" s="19">
        <v>14.0</v>
      </c>
      <c r="U6" s="20" t="b">
        <v>1</v>
      </c>
      <c r="V6" s="19" t="s">
        <v>44</v>
      </c>
      <c r="W6" s="11" t="str">
        <f t="shared" si="4"/>
        <v/>
      </c>
      <c r="X6" s="19">
        <v>7.0</v>
      </c>
      <c r="Y6" s="19">
        <v>10.0</v>
      </c>
      <c r="Z6" s="20" t="b">
        <v>0</v>
      </c>
      <c r="AA6" s="27" t="s">
        <v>44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44</v>
      </c>
      <c r="AG6" s="11" t="str">
        <f t="shared" si="6"/>
        <v/>
      </c>
      <c r="AH6" s="19">
        <v>10.0</v>
      </c>
      <c r="AI6" s="19">
        <v>24.0</v>
      </c>
      <c r="AJ6" s="20" t="b">
        <v>0</v>
      </c>
      <c r="AK6" s="19" t="s">
        <v>44</v>
      </c>
      <c r="AL6" s="11" t="str">
        <f t="shared" si="7"/>
        <v/>
      </c>
      <c r="AM6" s="19">
        <v>24.0</v>
      </c>
      <c r="AN6" s="19">
        <v>27.0</v>
      </c>
      <c r="AO6" s="20" t="b">
        <v>0</v>
      </c>
      <c r="AP6" s="27" t="s">
        <v>44</v>
      </c>
      <c r="AQ6" s="11" t="str">
        <f t="shared" si="8"/>
        <v/>
      </c>
      <c r="AR6" s="19">
        <v>17.0</v>
      </c>
      <c r="AS6" s="19">
        <v>27.0</v>
      </c>
      <c r="AT6" s="20" t="b">
        <v>0</v>
      </c>
      <c r="AU6" s="27" t="s">
        <v>44</v>
      </c>
      <c r="AV6" s="11" t="str">
        <f t="shared" si="9"/>
        <v/>
      </c>
      <c r="AW6" s="19">
        <v>24.0</v>
      </c>
      <c r="AX6" s="19">
        <v>31.0</v>
      </c>
      <c r="AY6" s="20" t="b">
        <v>0</v>
      </c>
      <c r="AZ6" s="27" t="s">
        <v>44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44</v>
      </c>
      <c r="BF6" s="11" t="str">
        <f t="shared" si="11"/>
        <v/>
      </c>
      <c r="BG6" s="19">
        <v>24.0</v>
      </c>
      <c r="BH6" s="19">
        <v>31.0</v>
      </c>
      <c r="BI6" s="20" t="b">
        <v>0</v>
      </c>
      <c r="BJ6" s="27" t="s">
        <v>44</v>
      </c>
      <c r="BK6" s="11" t="str">
        <f t="shared" si="12"/>
        <v/>
      </c>
      <c r="BL6" s="19">
        <v>10.0</v>
      </c>
      <c r="BM6" s="19">
        <v>14.0</v>
      </c>
      <c r="BN6" s="20" t="b">
        <v>1</v>
      </c>
      <c r="BO6" s="17"/>
      <c r="BP6" s="17"/>
      <c r="BQ6" s="17"/>
    </row>
    <row r="7">
      <c r="A7" s="16" t="s">
        <v>106</v>
      </c>
      <c r="B7" s="17" t="s">
        <v>116</v>
      </c>
      <c r="C7" s="18"/>
      <c r="D7" s="11" t="str">
        <f>IFERROR(__xludf.DUMMYFUNCTION("""COMPUTED_VALUE"""),"")</f>
        <v/>
      </c>
      <c r="E7" s="19"/>
      <c r="F7" s="20"/>
      <c r="G7" s="19" t="s">
        <v>71</v>
      </c>
      <c r="H7" s="11" t="str">
        <f t="shared" si="1"/>
        <v/>
      </c>
      <c r="I7" s="19">
        <v>20.0</v>
      </c>
      <c r="J7" s="19">
        <v>14.0</v>
      </c>
      <c r="K7" s="20" t="b">
        <v>0</v>
      </c>
      <c r="L7" s="19" t="s">
        <v>71</v>
      </c>
      <c r="M7" s="11" t="str">
        <f t="shared" si="2"/>
        <v/>
      </c>
      <c r="N7" s="19">
        <v>24.0</v>
      </c>
      <c r="O7" s="19">
        <v>21.0</v>
      </c>
      <c r="P7" s="19" t="b">
        <v>0</v>
      </c>
      <c r="Q7" s="27" t="s">
        <v>46</v>
      </c>
      <c r="R7" s="11" t="str">
        <f t="shared" si="3"/>
        <v/>
      </c>
      <c r="S7" s="19">
        <v>24.0</v>
      </c>
      <c r="T7" s="19">
        <v>27.0</v>
      </c>
      <c r="U7" s="20" t="b">
        <v>0</v>
      </c>
      <c r="V7" s="19" t="s">
        <v>46</v>
      </c>
      <c r="W7" s="11" t="str">
        <f t="shared" si="4"/>
        <v/>
      </c>
      <c r="X7" s="19">
        <v>10.0</v>
      </c>
      <c r="Y7" s="19">
        <v>23.0</v>
      </c>
      <c r="Z7" s="20" t="b">
        <v>0</v>
      </c>
      <c r="AA7" s="27" t="s">
        <v>46</v>
      </c>
      <c r="AB7" s="11" t="str">
        <f t="shared" si="5"/>
        <v/>
      </c>
      <c r="AC7" s="19">
        <v>17.0</v>
      </c>
      <c r="AD7" s="19">
        <v>24.0</v>
      </c>
      <c r="AE7" s="19" t="b">
        <v>0</v>
      </c>
      <c r="AF7" s="27" t="s">
        <v>71</v>
      </c>
      <c r="AG7" s="11" t="str">
        <f t="shared" si="6"/>
        <v/>
      </c>
      <c r="AH7" s="19">
        <v>27.0</v>
      </c>
      <c r="AI7" s="19">
        <v>24.0</v>
      </c>
      <c r="AJ7" s="20" t="b">
        <v>0</v>
      </c>
      <c r="AK7" s="19" t="s">
        <v>71</v>
      </c>
      <c r="AL7" s="11" t="str">
        <f t="shared" si="7"/>
        <v/>
      </c>
      <c r="AM7" s="19">
        <v>10.0</v>
      </c>
      <c r="AN7" s="19">
        <v>7.0</v>
      </c>
      <c r="AO7" s="20" t="b">
        <v>0</v>
      </c>
      <c r="AP7" s="27" t="s">
        <v>46</v>
      </c>
      <c r="AQ7" s="11" t="str">
        <f t="shared" si="8"/>
        <v/>
      </c>
      <c r="AR7" s="19">
        <v>24.0</v>
      </c>
      <c r="AS7" s="19">
        <v>30.0</v>
      </c>
      <c r="AT7" s="20" t="b">
        <v>0</v>
      </c>
      <c r="AU7" s="27" t="s">
        <v>46</v>
      </c>
      <c r="AV7" s="11" t="str">
        <f t="shared" si="9"/>
        <v/>
      </c>
      <c r="AW7" s="19">
        <v>7.0</v>
      </c>
      <c r="AX7" s="19">
        <v>10.0</v>
      </c>
      <c r="AY7" s="20" t="b">
        <v>0</v>
      </c>
      <c r="AZ7" s="27" t="s">
        <v>46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71</v>
      </c>
      <c r="BF7" s="11" t="str">
        <f t="shared" si="11"/>
        <v/>
      </c>
      <c r="BG7" s="19">
        <v>20.0</v>
      </c>
      <c r="BH7" s="19">
        <v>17.0</v>
      </c>
      <c r="BI7" s="20" t="b">
        <v>0</v>
      </c>
      <c r="BJ7" s="27" t="s">
        <v>71</v>
      </c>
      <c r="BK7" s="11" t="str">
        <f t="shared" si="12"/>
        <v/>
      </c>
      <c r="BL7" s="19">
        <v>24.0</v>
      </c>
      <c r="BM7" s="19">
        <v>17.0</v>
      </c>
      <c r="BN7" s="20" t="b">
        <v>0</v>
      </c>
      <c r="BO7" s="17"/>
      <c r="BP7" s="17"/>
      <c r="BQ7" s="17"/>
    </row>
    <row r="8">
      <c r="A8" s="16" t="s">
        <v>106</v>
      </c>
      <c r="B8" s="17" t="s">
        <v>117</v>
      </c>
      <c r="C8" s="18"/>
      <c r="D8" s="11" t="str">
        <f>IFERROR(__xludf.DUMMYFUNCTION("""COMPUTED_VALUE"""),"")</f>
        <v/>
      </c>
      <c r="E8" s="19"/>
      <c r="F8" s="20"/>
      <c r="G8" s="19" t="s">
        <v>48</v>
      </c>
      <c r="H8" s="11" t="str">
        <f t="shared" si="1"/>
        <v/>
      </c>
      <c r="I8" s="19">
        <v>20.0</v>
      </c>
      <c r="J8" s="19">
        <v>23.0</v>
      </c>
      <c r="K8" s="20" t="b">
        <v>0</v>
      </c>
      <c r="L8" s="19" t="s">
        <v>26</v>
      </c>
      <c r="M8" s="11" t="str">
        <f t="shared" si="2"/>
        <v/>
      </c>
      <c r="N8" s="19">
        <v>24.0</v>
      </c>
      <c r="O8" s="19">
        <v>21.0</v>
      </c>
      <c r="P8" s="19" t="b">
        <v>0</v>
      </c>
      <c r="Q8" s="27" t="s">
        <v>48</v>
      </c>
      <c r="R8" s="11" t="str">
        <f t="shared" si="3"/>
        <v/>
      </c>
      <c r="S8" s="19">
        <v>21.0</v>
      </c>
      <c r="T8" s="19">
        <v>24.0</v>
      </c>
      <c r="U8" s="20" t="b">
        <v>0</v>
      </c>
      <c r="V8" s="19" t="s">
        <v>48</v>
      </c>
      <c r="W8" s="11" t="str">
        <f t="shared" si="4"/>
        <v/>
      </c>
      <c r="X8" s="19">
        <v>21.0</v>
      </c>
      <c r="Y8" s="19">
        <v>28.0</v>
      </c>
      <c r="Z8" s="20" t="b">
        <v>0</v>
      </c>
      <c r="AA8" s="27" t="s">
        <v>48</v>
      </c>
      <c r="AB8" s="11" t="str">
        <f t="shared" si="5"/>
        <v/>
      </c>
      <c r="AC8" s="19">
        <v>17.0</v>
      </c>
      <c r="AD8" s="19">
        <v>24.0</v>
      </c>
      <c r="AE8" s="19" t="b">
        <v>0</v>
      </c>
      <c r="AF8" s="27" t="s">
        <v>48</v>
      </c>
      <c r="AG8" s="11" t="str">
        <f t="shared" si="6"/>
        <v/>
      </c>
      <c r="AH8" s="19">
        <v>7.0</v>
      </c>
      <c r="AI8" s="19">
        <v>10.0</v>
      </c>
      <c r="AJ8" s="20" t="b">
        <v>0</v>
      </c>
      <c r="AK8" s="19" t="s">
        <v>26</v>
      </c>
      <c r="AL8" s="11" t="str">
        <f t="shared" si="7"/>
        <v/>
      </c>
      <c r="AM8" s="19">
        <v>31.0</v>
      </c>
      <c r="AN8" s="19">
        <v>24.0</v>
      </c>
      <c r="AO8" s="20" t="b">
        <v>0</v>
      </c>
      <c r="AP8" s="27" t="s">
        <v>48</v>
      </c>
      <c r="AQ8" s="11" t="str">
        <f t="shared" si="8"/>
        <v/>
      </c>
      <c r="AR8" s="19">
        <v>23.0</v>
      </c>
      <c r="AS8" s="19">
        <v>27.0</v>
      </c>
      <c r="AT8" s="20" t="b">
        <v>0</v>
      </c>
      <c r="AU8" s="27" t="s">
        <v>48</v>
      </c>
      <c r="AV8" s="11" t="str">
        <f t="shared" si="9"/>
        <v/>
      </c>
      <c r="AW8" s="19">
        <v>10.0</v>
      </c>
      <c r="AX8" s="19">
        <v>14.0</v>
      </c>
      <c r="AY8" s="20" t="b">
        <v>0</v>
      </c>
      <c r="AZ8" s="27" t="s">
        <v>26</v>
      </c>
      <c r="BA8" s="11" t="str">
        <f t="shared" si="10"/>
        <v/>
      </c>
      <c r="BB8" s="19">
        <v>23.0</v>
      </c>
      <c r="BC8" s="19">
        <v>20.0</v>
      </c>
      <c r="BD8" s="20" t="b">
        <v>1</v>
      </c>
      <c r="BE8" s="27" t="s">
        <v>26</v>
      </c>
      <c r="BF8" s="11" t="str">
        <f t="shared" si="11"/>
        <v/>
      </c>
      <c r="BG8" s="19">
        <v>24.0</v>
      </c>
      <c r="BH8" s="19">
        <v>21.0</v>
      </c>
      <c r="BI8" s="20" t="b">
        <v>0</v>
      </c>
      <c r="BJ8" s="27" t="s">
        <v>26</v>
      </c>
      <c r="BK8" s="11" t="str">
        <f t="shared" si="12"/>
        <v/>
      </c>
      <c r="BL8" s="19">
        <v>20.0</v>
      </c>
      <c r="BM8" s="19">
        <v>17.0</v>
      </c>
      <c r="BN8" s="20" t="b">
        <v>0</v>
      </c>
      <c r="BO8" s="19"/>
      <c r="BP8" s="19"/>
      <c r="BQ8" s="19"/>
    </row>
    <row r="9">
      <c r="A9" s="16" t="s">
        <v>106</v>
      </c>
      <c r="B9" s="17" t="s">
        <v>119</v>
      </c>
      <c r="C9" s="18"/>
      <c r="D9" s="11" t="str">
        <f>IFERROR(__xludf.DUMMYFUNCTION("""COMPUTED_VALUE"""),"")</f>
        <v/>
      </c>
      <c r="E9" s="19"/>
      <c r="F9" s="20"/>
      <c r="G9" s="19" t="s">
        <v>69</v>
      </c>
      <c r="H9" s="11" t="str">
        <f t="shared" si="1"/>
        <v/>
      </c>
      <c r="I9" s="19">
        <v>21.0</v>
      </c>
      <c r="J9" s="19">
        <v>24.0</v>
      </c>
      <c r="K9" s="20" t="b">
        <v>0</v>
      </c>
      <c r="L9" s="19" t="s">
        <v>84</v>
      </c>
      <c r="M9" s="11" t="str">
        <f t="shared" si="2"/>
        <v/>
      </c>
      <c r="N9" s="19">
        <v>23.0</v>
      </c>
      <c r="O9" s="19">
        <v>20.0</v>
      </c>
      <c r="P9" s="19" t="b">
        <v>0</v>
      </c>
      <c r="Q9" s="27" t="s">
        <v>69</v>
      </c>
      <c r="R9" s="11" t="str">
        <f t="shared" si="3"/>
        <v/>
      </c>
      <c r="S9" s="19">
        <v>17.0</v>
      </c>
      <c r="T9" s="19">
        <v>21.0</v>
      </c>
      <c r="U9" s="20" t="b">
        <v>0</v>
      </c>
      <c r="V9" s="19" t="s">
        <v>69</v>
      </c>
      <c r="W9" s="11" t="str">
        <f t="shared" si="4"/>
        <v/>
      </c>
      <c r="X9" s="19">
        <v>24.0</v>
      </c>
      <c r="Y9" s="19">
        <v>27.0</v>
      </c>
      <c r="Z9" s="20" t="b">
        <v>0</v>
      </c>
      <c r="AA9" s="27" t="s">
        <v>84</v>
      </c>
      <c r="AB9" s="11" t="str">
        <f t="shared" si="5"/>
        <v/>
      </c>
      <c r="AC9" s="19">
        <v>24.0</v>
      </c>
      <c r="AD9" s="19">
        <v>17.0</v>
      </c>
      <c r="AE9" s="19" t="b">
        <v>0</v>
      </c>
      <c r="AF9" s="27" t="s">
        <v>69</v>
      </c>
      <c r="AG9" s="11" t="str">
        <f t="shared" si="6"/>
        <v/>
      </c>
      <c r="AH9" s="19">
        <v>21.0</v>
      </c>
      <c r="AI9" s="19">
        <v>24.0</v>
      </c>
      <c r="AJ9" s="20" t="b">
        <v>0</v>
      </c>
      <c r="AK9" s="19" t="s">
        <v>69</v>
      </c>
      <c r="AL9" s="11" t="str">
        <f t="shared" si="7"/>
        <v/>
      </c>
      <c r="AM9" s="19">
        <v>21.0</v>
      </c>
      <c r="AN9" s="19">
        <v>28.0</v>
      </c>
      <c r="AO9" s="20" t="b">
        <v>0</v>
      </c>
      <c r="AP9" s="27" t="s">
        <v>69</v>
      </c>
      <c r="AQ9" s="11" t="str">
        <f t="shared" si="8"/>
        <v/>
      </c>
      <c r="AR9" s="19">
        <v>21.0</v>
      </c>
      <c r="AS9" s="19">
        <v>24.0</v>
      </c>
      <c r="AT9" s="20" t="b">
        <v>0</v>
      </c>
      <c r="AU9" s="27" t="s">
        <v>69</v>
      </c>
      <c r="AV9" s="11" t="str">
        <f t="shared" si="9"/>
        <v/>
      </c>
      <c r="AW9" s="19">
        <v>17.0</v>
      </c>
      <c r="AX9" s="19">
        <v>21.0</v>
      </c>
      <c r="AY9" s="20" t="b">
        <v>0</v>
      </c>
      <c r="AZ9" s="27" t="s">
        <v>69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69</v>
      </c>
      <c r="BF9" s="11" t="str">
        <f t="shared" si="11"/>
        <v/>
      </c>
      <c r="BG9" s="19">
        <v>7.0</v>
      </c>
      <c r="BH9" s="19">
        <v>10.0</v>
      </c>
      <c r="BI9" s="20" t="b">
        <v>0</v>
      </c>
      <c r="BJ9" s="27" t="s">
        <v>84</v>
      </c>
      <c r="BK9" s="11" t="str">
        <f t="shared" si="12"/>
        <v/>
      </c>
      <c r="BL9" s="19">
        <v>20.0</v>
      </c>
      <c r="BM9" s="19">
        <v>17.0</v>
      </c>
      <c r="BN9" s="20" t="b">
        <v>0</v>
      </c>
      <c r="BO9" s="17"/>
      <c r="BP9" s="17"/>
      <c r="BQ9" s="17"/>
    </row>
    <row r="10">
      <c r="A10" s="16" t="s">
        <v>106</v>
      </c>
      <c r="B10" s="17" t="s">
        <v>122</v>
      </c>
      <c r="C10" s="18"/>
      <c r="D10" s="11" t="str">
        <f>IFERROR(__xludf.DUMMYFUNCTION("""COMPUTED_VALUE"""),"")</f>
        <v/>
      </c>
      <c r="E10" s="19"/>
      <c r="F10" s="20"/>
      <c r="G10" s="19" t="s">
        <v>61</v>
      </c>
      <c r="H10" s="11" t="str">
        <f t="shared" si="1"/>
        <v/>
      </c>
      <c r="I10" s="19">
        <v>13.0</v>
      </c>
      <c r="J10" s="19">
        <v>20.0</v>
      </c>
      <c r="K10" s="20" t="b">
        <v>1</v>
      </c>
      <c r="L10" s="19" t="s">
        <v>61</v>
      </c>
      <c r="M10" s="11" t="str">
        <f t="shared" si="2"/>
        <v/>
      </c>
      <c r="N10" s="19">
        <v>21.0</v>
      </c>
      <c r="O10" s="19">
        <v>28.0</v>
      </c>
      <c r="P10" s="19" t="b">
        <v>0</v>
      </c>
      <c r="Q10" s="27" t="s">
        <v>55</v>
      </c>
      <c r="R10" s="11" t="str">
        <f t="shared" si="3"/>
        <v/>
      </c>
      <c r="S10" s="19">
        <v>23.0</v>
      </c>
      <c r="T10" s="19">
        <v>20.0</v>
      </c>
      <c r="U10" s="20" t="b">
        <v>0</v>
      </c>
      <c r="V10" s="19" t="s">
        <v>61</v>
      </c>
      <c r="W10" s="11" t="str">
        <f t="shared" si="4"/>
        <v/>
      </c>
      <c r="X10" s="19">
        <v>21.0</v>
      </c>
      <c r="Y10" s="19">
        <v>27.0</v>
      </c>
      <c r="Z10" s="20" t="b">
        <v>0</v>
      </c>
      <c r="AA10" s="27" t="s">
        <v>61</v>
      </c>
      <c r="AB10" s="11" t="str">
        <f t="shared" si="5"/>
        <v/>
      </c>
      <c r="AC10" s="19">
        <v>17.0</v>
      </c>
      <c r="AD10" s="19">
        <v>24.0</v>
      </c>
      <c r="AE10" s="19" t="b">
        <v>0</v>
      </c>
      <c r="AF10" s="27" t="s">
        <v>61</v>
      </c>
      <c r="AG10" s="11" t="str">
        <f t="shared" si="6"/>
        <v/>
      </c>
      <c r="AH10" s="19">
        <v>10.0</v>
      </c>
      <c r="AI10" s="19">
        <v>21.0</v>
      </c>
      <c r="AJ10" s="20" t="b">
        <v>0</v>
      </c>
      <c r="AK10" s="19" t="s">
        <v>61</v>
      </c>
      <c r="AL10" s="11" t="str">
        <f t="shared" si="7"/>
        <v/>
      </c>
      <c r="AM10" s="19">
        <v>20.0</v>
      </c>
      <c r="AN10" s="19">
        <v>23.0</v>
      </c>
      <c r="AO10" s="20" t="b">
        <v>0</v>
      </c>
      <c r="AP10" s="27" t="s">
        <v>61</v>
      </c>
      <c r="AQ10" s="11" t="str">
        <f t="shared" si="8"/>
        <v/>
      </c>
      <c r="AR10" s="19">
        <v>14.0</v>
      </c>
      <c r="AS10" s="19">
        <v>27.0</v>
      </c>
      <c r="AT10" s="20" t="b">
        <v>0</v>
      </c>
      <c r="AU10" s="27" t="s">
        <v>61</v>
      </c>
      <c r="AV10" s="11" t="str">
        <f t="shared" si="9"/>
        <v/>
      </c>
      <c r="AW10" s="19">
        <v>21.0</v>
      </c>
      <c r="AX10" s="19">
        <v>24.0</v>
      </c>
      <c r="AY10" s="20" t="b">
        <v>0</v>
      </c>
      <c r="AZ10" s="27" t="s">
        <v>61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55</v>
      </c>
      <c r="BF10" s="11" t="str">
        <f t="shared" si="11"/>
        <v/>
      </c>
      <c r="BG10" s="19">
        <v>31.0</v>
      </c>
      <c r="BH10" s="19">
        <v>24.0</v>
      </c>
      <c r="BI10" s="20" t="b">
        <v>0</v>
      </c>
      <c r="BJ10" s="27" t="s">
        <v>55</v>
      </c>
      <c r="BK10" s="11" t="str">
        <f t="shared" si="12"/>
        <v/>
      </c>
      <c r="BL10" s="19">
        <v>21.0</v>
      </c>
      <c r="BM10" s="19">
        <v>20.0</v>
      </c>
      <c r="BN10" s="20" t="b">
        <v>0</v>
      </c>
      <c r="BO10" s="17"/>
      <c r="BP10" s="17"/>
      <c r="BQ10" s="17"/>
    </row>
    <row r="11">
      <c r="A11" s="16" t="s">
        <v>106</v>
      </c>
      <c r="B11" s="17" t="s">
        <v>123</v>
      </c>
      <c r="C11" s="18"/>
      <c r="D11" s="11" t="str">
        <f>IFERROR(__xludf.DUMMYFUNCTION("""COMPUTED_VALUE"""),"")</f>
        <v/>
      </c>
      <c r="E11" s="19"/>
      <c r="F11" s="20"/>
      <c r="G11" s="19" t="s">
        <v>92</v>
      </c>
      <c r="H11" s="11" t="str">
        <f t="shared" si="1"/>
        <v/>
      </c>
      <c r="I11" s="19">
        <v>24.0</v>
      </c>
      <c r="J11" s="19">
        <v>31.0</v>
      </c>
      <c r="K11" s="20" t="b">
        <v>0</v>
      </c>
      <c r="L11" s="19" t="s">
        <v>93</v>
      </c>
      <c r="M11" s="11" t="str">
        <f t="shared" si="2"/>
        <v/>
      </c>
      <c r="N11" s="19">
        <v>31.0</v>
      </c>
      <c r="O11" s="19">
        <v>24.0</v>
      </c>
      <c r="P11" s="19" t="b">
        <v>0</v>
      </c>
      <c r="Q11" s="27" t="s">
        <v>92</v>
      </c>
      <c r="R11" s="11" t="str">
        <f t="shared" si="3"/>
        <v/>
      </c>
      <c r="S11" s="19">
        <v>17.0</v>
      </c>
      <c r="T11" s="19">
        <v>21.0</v>
      </c>
      <c r="U11" s="20" t="b">
        <v>0</v>
      </c>
      <c r="V11" s="19" t="s">
        <v>92</v>
      </c>
      <c r="W11" s="11" t="str">
        <f t="shared" si="4"/>
        <v/>
      </c>
      <c r="X11" s="19">
        <v>21.0</v>
      </c>
      <c r="Y11" s="19">
        <v>24.0</v>
      </c>
      <c r="Z11" s="20" t="b">
        <v>0</v>
      </c>
      <c r="AA11" s="27" t="s">
        <v>92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92</v>
      </c>
      <c r="AG11" s="11" t="str">
        <f t="shared" si="6"/>
        <v/>
      </c>
      <c r="AH11" s="19">
        <v>7.0</v>
      </c>
      <c r="AI11" s="19">
        <v>13.0</v>
      </c>
      <c r="AJ11" s="20" t="b">
        <v>0</v>
      </c>
      <c r="AK11" s="19" t="s">
        <v>92</v>
      </c>
      <c r="AL11" s="11" t="str">
        <f t="shared" si="7"/>
        <v/>
      </c>
      <c r="AM11" s="19">
        <v>14.0</v>
      </c>
      <c r="AN11" s="19">
        <v>17.0</v>
      </c>
      <c r="AO11" s="20" t="b">
        <v>0</v>
      </c>
      <c r="AP11" s="27" t="s">
        <v>93</v>
      </c>
      <c r="AQ11" s="11" t="str">
        <f t="shared" si="8"/>
        <v/>
      </c>
      <c r="AR11" s="19">
        <v>24.0</v>
      </c>
      <c r="AS11" s="19">
        <v>17.0</v>
      </c>
      <c r="AT11" s="20" t="b">
        <v>0</v>
      </c>
      <c r="AU11" s="27" t="s">
        <v>92</v>
      </c>
      <c r="AV11" s="11" t="str">
        <f t="shared" si="9"/>
        <v/>
      </c>
      <c r="AW11" s="19">
        <v>24.0</v>
      </c>
      <c r="AX11" s="19">
        <v>27.0</v>
      </c>
      <c r="AY11" s="20" t="b">
        <v>0</v>
      </c>
      <c r="AZ11" s="27" t="s">
        <v>92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93</v>
      </c>
      <c r="BF11" s="11" t="str">
        <f t="shared" si="11"/>
        <v/>
      </c>
      <c r="BG11" s="19">
        <v>27.0</v>
      </c>
      <c r="BH11" s="19">
        <v>24.0</v>
      </c>
      <c r="BI11" s="20" t="b">
        <v>0</v>
      </c>
      <c r="BJ11" s="27" t="s">
        <v>93</v>
      </c>
      <c r="BK11" s="11" t="str">
        <f t="shared" si="12"/>
        <v/>
      </c>
      <c r="BL11" s="19">
        <v>28.0</v>
      </c>
      <c r="BM11" s="19">
        <v>21.0</v>
      </c>
      <c r="BN11" s="20" t="b">
        <v>0</v>
      </c>
      <c r="BO11" s="19"/>
      <c r="BP11" s="19"/>
      <c r="BQ11" s="19"/>
    </row>
    <row r="12">
      <c r="A12" s="16" t="s">
        <v>127</v>
      </c>
      <c r="B12" s="17" t="s">
        <v>128</v>
      </c>
      <c r="C12" s="18"/>
      <c r="D12" s="11" t="str">
        <f>IFERROR(__xludf.DUMMYFUNCTION("""COMPUTED_VALUE"""),"")</f>
        <v/>
      </c>
      <c r="E12" s="19"/>
      <c r="F12" s="20"/>
      <c r="G12" s="19" t="s">
        <v>51</v>
      </c>
      <c r="H12" s="11" t="str">
        <f t="shared" si="1"/>
        <v/>
      </c>
      <c r="I12" s="19">
        <v>10.0</v>
      </c>
      <c r="J12" s="19">
        <v>14.0</v>
      </c>
      <c r="K12" s="20" t="b">
        <v>0</v>
      </c>
      <c r="L12" s="19" t="s">
        <v>51</v>
      </c>
      <c r="M12" s="11" t="str">
        <f t="shared" si="2"/>
        <v/>
      </c>
      <c r="N12" s="19">
        <v>14.0</v>
      </c>
      <c r="O12" s="19">
        <v>17.0</v>
      </c>
      <c r="P12" s="19" t="b">
        <v>0</v>
      </c>
      <c r="Q12" s="27" t="s">
        <v>51</v>
      </c>
      <c r="R12" s="11" t="str">
        <f t="shared" si="3"/>
        <v/>
      </c>
      <c r="S12" s="19">
        <v>17.0</v>
      </c>
      <c r="T12" s="19">
        <v>20.0</v>
      </c>
      <c r="U12" s="20" t="b">
        <v>0</v>
      </c>
      <c r="V12" s="19" t="s">
        <v>51</v>
      </c>
      <c r="W12" s="11" t="str">
        <f t="shared" si="4"/>
        <v/>
      </c>
      <c r="X12" s="19">
        <v>10.0</v>
      </c>
      <c r="Y12" s="19">
        <v>17.0</v>
      </c>
      <c r="Z12" s="20" t="b">
        <v>0</v>
      </c>
      <c r="AA12" s="27" t="s">
        <v>87</v>
      </c>
      <c r="AB12" s="11" t="str">
        <f t="shared" si="5"/>
        <v/>
      </c>
      <c r="AC12" s="19">
        <v>24.0</v>
      </c>
      <c r="AD12" s="19">
        <v>17.0</v>
      </c>
      <c r="AE12" s="19" t="b">
        <v>0</v>
      </c>
      <c r="AF12" s="27" t="s">
        <v>51</v>
      </c>
      <c r="AG12" s="11" t="str">
        <f t="shared" si="6"/>
        <v/>
      </c>
      <c r="AH12" s="19">
        <v>17.0</v>
      </c>
      <c r="AI12" s="19">
        <v>31.0</v>
      </c>
      <c r="AJ12" s="20" t="b">
        <v>1</v>
      </c>
      <c r="AK12" s="19" t="s">
        <v>51</v>
      </c>
      <c r="AL12" s="11" t="str">
        <f t="shared" si="7"/>
        <v/>
      </c>
      <c r="AM12" s="19">
        <v>21.0</v>
      </c>
      <c r="AN12" s="19">
        <v>24.0</v>
      </c>
      <c r="AO12" s="20" t="b">
        <v>0</v>
      </c>
      <c r="AP12" s="27" t="s">
        <v>51</v>
      </c>
      <c r="AQ12" s="11" t="str">
        <f t="shared" si="8"/>
        <v/>
      </c>
      <c r="AR12" s="19">
        <v>14.0</v>
      </c>
      <c r="AS12" s="19">
        <v>17.0</v>
      </c>
      <c r="AT12" s="20" t="b">
        <v>0</v>
      </c>
      <c r="AU12" s="27" t="s">
        <v>87</v>
      </c>
      <c r="AV12" s="11" t="str">
        <f t="shared" si="9"/>
        <v/>
      </c>
      <c r="AW12" s="19">
        <v>28.0</v>
      </c>
      <c r="AX12" s="19">
        <v>21.0</v>
      </c>
      <c r="AY12" s="20" t="b">
        <v>0</v>
      </c>
      <c r="AZ12" s="27" t="s">
        <v>51</v>
      </c>
      <c r="BA12" s="11" t="str">
        <f t="shared" si="10"/>
        <v/>
      </c>
      <c r="BB12" s="19">
        <v>20.0</v>
      </c>
      <c r="BC12" s="19">
        <v>23.0</v>
      </c>
      <c r="BD12" s="20" t="b">
        <v>0</v>
      </c>
      <c r="BE12" s="27" t="s">
        <v>87</v>
      </c>
      <c r="BF12" s="11" t="str">
        <f t="shared" si="11"/>
        <v/>
      </c>
      <c r="BG12" s="19">
        <v>10.0</v>
      </c>
      <c r="BH12" s="19">
        <v>7.0</v>
      </c>
      <c r="BI12" s="20" t="b">
        <v>0</v>
      </c>
      <c r="BJ12" s="27" t="s">
        <v>87</v>
      </c>
      <c r="BK12" s="11" t="str">
        <f t="shared" si="12"/>
        <v/>
      </c>
      <c r="BL12" s="19">
        <v>20.0</v>
      </c>
      <c r="BM12" s="19">
        <v>17.0</v>
      </c>
      <c r="BN12" s="20" t="b">
        <v>0</v>
      </c>
      <c r="BO12" s="17"/>
      <c r="BP12" s="17"/>
      <c r="BQ12" s="17"/>
    </row>
    <row r="13">
      <c r="A13" s="16" t="s">
        <v>131</v>
      </c>
      <c r="B13" s="17" t="s">
        <v>132</v>
      </c>
      <c r="C13" s="18"/>
      <c r="D13" s="11" t="str">
        <f>IFERROR(__xludf.DUMMYFUNCTION("""COMPUTED_VALUE"""),"")</f>
        <v/>
      </c>
      <c r="E13" s="19"/>
      <c r="F13" s="20"/>
      <c r="G13" s="19" t="s">
        <v>24</v>
      </c>
      <c r="H13" s="11" t="str">
        <f t="shared" si="1"/>
        <v/>
      </c>
      <c r="I13" s="19">
        <v>10.0</v>
      </c>
      <c r="J13" s="19">
        <v>14.0</v>
      </c>
      <c r="K13" s="20" t="b">
        <v>0</v>
      </c>
      <c r="L13" s="19" t="s">
        <v>50</v>
      </c>
      <c r="M13" s="11" t="str">
        <f t="shared" si="2"/>
        <v/>
      </c>
      <c r="N13" s="19">
        <v>10.0</v>
      </c>
      <c r="O13" s="19">
        <v>7.0</v>
      </c>
      <c r="P13" s="19" t="b">
        <v>0</v>
      </c>
      <c r="Q13" s="27" t="s">
        <v>50</v>
      </c>
      <c r="R13" s="11" t="str">
        <f t="shared" si="3"/>
        <v/>
      </c>
      <c r="S13" s="19">
        <v>27.0</v>
      </c>
      <c r="T13" s="19">
        <v>24.0</v>
      </c>
      <c r="U13" s="20" t="b">
        <v>0</v>
      </c>
      <c r="V13" s="19" t="s">
        <v>24</v>
      </c>
      <c r="W13" s="11" t="str">
        <f t="shared" si="4"/>
        <v/>
      </c>
      <c r="X13" s="19">
        <v>17.0</v>
      </c>
      <c r="Y13" s="19">
        <v>21.0</v>
      </c>
      <c r="Z13" s="20" t="b">
        <v>0</v>
      </c>
      <c r="AA13" s="27" t="s">
        <v>24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50</v>
      </c>
      <c r="AG13" s="11" t="str">
        <f t="shared" si="6"/>
        <v/>
      </c>
      <c r="AH13" s="19">
        <v>27.0</v>
      </c>
      <c r="AI13" s="19">
        <v>24.0</v>
      </c>
      <c r="AJ13" s="20" t="b">
        <v>0</v>
      </c>
      <c r="AK13" s="19" t="s">
        <v>24</v>
      </c>
      <c r="AL13" s="11" t="str">
        <f t="shared" si="7"/>
        <v/>
      </c>
      <c r="AM13" s="19">
        <v>7.0</v>
      </c>
      <c r="AN13" s="19">
        <v>10.0</v>
      </c>
      <c r="AO13" s="20" t="b">
        <v>0</v>
      </c>
      <c r="AP13" s="27" t="s">
        <v>50</v>
      </c>
      <c r="AQ13" s="11" t="str">
        <f t="shared" si="8"/>
        <v/>
      </c>
      <c r="AR13" s="19">
        <v>24.0</v>
      </c>
      <c r="AS13" s="19">
        <v>17.0</v>
      </c>
      <c r="AT13" s="20" t="b">
        <v>0</v>
      </c>
      <c r="AU13" s="27" t="s">
        <v>50</v>
      </c>
      <c r="AV13" s="11" t="str">
        <f t="shared" si="9"/>
        <v/>
      </c>
      <c r="AW13" s="19">
        <v>24.0</v>
      </c>
      <c r="AX13" s="19">
        <v>21.0</v>
      </c>
      <c r="AY13" s="20" t="b">
        <v>0</v>
      </c>
      <c r="AZ13" s="27" t="s">
        <v>24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50</v>
      </c>
      <c r="BF13" s="11" t="str">
        <f t="shared" si="11"/>
        <v/>
      </c>
      <c r="BG13" s="19">
        <v>24.0</v>
      </c>
      <c r="BH13" s="19">
        <v>21.0</v>
      </c>
      <c r="BI13" s="20" t="b">
        <v>0</v>
      </c>
      <c r="BJ13" s="27" t="s">
        <v>24</v>
      </c>
      <c r="BK13" s="11" t="str">
        <f t="shared" si="12"/>
        <v/>
      </c>
      <c r="BL13" s="19">
        <v>24.0</v>
      </c>
      <c r="BM13" s="19">
        <v>31.0</v>
      </c>
      <c r="BN13" s="20" t="b">
        <v>0</v>
      </c>
      <c r="BO13" s="17"/>
      <c r="BP13" s="17"/>
      <c r="BQ13" s="17"/>
    </row>
    <row r="14">
      <c r="A14" s="16" t="s">
        <v>131</v>
      </c>
      <c r="B14" s="17" t="s">
        <v>135</v>
      </c>
      <c r="C14" s="18"/>
      <c r="D14" s="11" t="str">
        <f>IFERROR(__xludf.DUMMYFUNCTION("""COMPUTED_VALUE"""),"")</f>
        <v/>
      </c>
      <c r="E14" s="19"/>
      <c r="F14" s="20"/>
      <c r="G14" s="19" t="s">
        <v>40</v>
      </c>
      <c r="H14" s="11" t="str">
        <f t="shared" si="1"/>
        <v/>
      </c>
      <c r="I14" s="19">
        <v>21.0</v>
      </c>
      <c r="J14" s="19">
        <v>24.0</v>
      </c>
      <c r="K14" s="20" t="b">
        <v>0</v>
      </c>
      <c r="L14" s="19" t="s">
        <v>74</v>
      </c>
      <c r="M14" s="11" t="str">
        <f t="shared" si="2"/>
        <v/>
      </c>
      <c r="N14" s="19">
        <v>31.0</v>
      </c>
      <c r="O14" s="19">
        <v>24.0</v>
      </c>
      <c r="P14" s="19" t="b">
        <v>0</v>
      </c>
      <c r="Q14" s="27" t="s">
        <v>40</v>
      </c>
      <c r="R14" s="11" t="str">
        <f t="shared" si="3"/>
        <v/>
      </c>
      <c r="S14" s="19">
        <v>14.0</v>
      </c>
      <c r="T14" s="19">
        <v>17.0</v>
      </c>
      <c r="U14" s="20" t="b">
        <v>0</v>
      </c>
      <c r="V14" s="19" t="s">
        <v>40</v>
      </c>
      <c r="W14" s="11" t="str">
        <f t="shared" si="4"/>
        <v/>
      </c>
      <c r="X14" s="19">
        <v>21.0</v>
      </c>
      <c r="Y14" s="19">
        <v>24.0</v>
      </c>
      <c r="Z14" s="20" t="b">
        <v>0</v>
      </c>
      <c r="AA14" s="27" t="s">
        <v>40</v>
      </c>
      <c r="AB14" s="11" t="str">
        <f t="shared" si="5"/>
        <v/>
      </c>
      <c r="AC14" s="19">
        <v>17.0</v>
      </c>
      <c r="AD14" s="19">
        <v>24.0</v>
      </c>
      <c r="AE14" s="19" t="b">
        <v>0</v>
      </c>
      <c r="AF14" s="27" t="s">
        <v>40</v>
      </c>
      <c r="AG14" s="11" t="str">
        <f t="shared" si="6"/>
        <v/>
      </c>
      <c r="AH14" s="19">
        <v>14.0</v>
      </c>
      <c r="AI14" s="19">
        <v>17.0</v>
      </c>
      <c r="AJ14" s="20" t="b">
        <v>0</v>
      </c>
      <c r="AK14" s="19" t="s">
        <v>40</v>
      </c>
      <c r="AL14" s="11" t="str">
        <f t="shared" si="7"/>
        <v/>
      </c>
      <c r="AM14" s="19">
        <v>14.0</v>
      </c>
      <c r="AN14" s="19">
        <v>17.0</v>
      </c>
      <c r="AO14" s="20" t="b">
        <v>0</v>
      </c>
      <c r="AP14" s="27" t="s">
        <v>40</v>
      </c>
      <c r="AQ14" s="11" t="str">
        <f t="shared" si="8"/>
        <v/>
      </c>
      <c r="AR14" s="19">
        <v>14.0</v>
      </c>
      <c r="AS14" s="19">
        <v>28.0</v>
      </c>
      <c r="AT14" s="20" t="b">
        <v>1</v>
      </c>
      <c r="AU14" s="27" t="s">
        <v>74</v>
      </c>
      <c r="AV14" s="11" t="str">
        <f t="shared" si="9"/>
        <v/>
      </c>
      <c r="AW14" s="19">
        <v>31.0</v>
      </c>
      <c r="AX14" s="19">
        <v>24.0</v>
      </c>
      <c r="AY14" s="20" t="b">
        <v>0</v>
      </c>
      <c r="AZ14" s="27" t="s">
        <v>74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74</v>
      </c>
      <c r="BF14" s="11" t="str">
        <f t="shared" si="11"/>
        <v/>
      </c>
      <c r="BG14" s="19">
        <v>20.0</v>
      </c>
      <c r="BH14" s="19">
        <v>17.0</v>
      </c>
      <c r="BI14" s="20" t="b">
        <v>0</v>
      </c>
      <c r="BJ14" s="27" t="s">
        <v>40</v>
      </c>
      <c r="BK14" s="11" t="str">
        <f t="shared" si="12"/>
        <v/>
      </c>
      <c r="BL14" s="19">
        <v>27.0</v>
      </c>
      <c r="BM14" s="19">
        <v>31.0</v>
      </c>
      <c r="BN14" s="20" t="b">
        <v>0</v>
      </c>
      <c r="BO14" s="17"/>
      <c r="BP14" s="17"/>
      <c r="BQ14" s="17"/>
    </row>
    <row r="15">
      <c r="A15" s="16" t="s">
        <v>131</v>
      </c>
      <c r="B15" s="30" t="s">
        <v>136</v>
      </c>
      <c r="C15" s="18"/>
      <c r="D15" s="11" t="str">
        <f>IFERROR(__xludf.DUMMYFUNCTION("""COMPUTED_VALUE"""),"")</f>
        <v/>
      </c>
      <c r="E15" s="19"/>
      <c r="F15" s="20"/>
      <c r="G15" s="19" t="s">
        <v>79</v>
      </c>
      <c r="H15" s="11" t="str">
        <f t="shared" si="1"/>
        <v/>
      </c>
      <c r="I15" s="19">
        <v>21.0</v>
      </c>
      <c r="J15" s="19">
        <v>28.0</v>
      </c>
      <c r="K15" s="20" t="b">
        <v>0</v>
      </c>
      <c r="L15" s="19" t="s">
        <v>88</v>
      </c>
      <c r="M15" s="11" t="str">
        <f t="shared" si="2"/>
        <v/>
      </c>
      <c r="N15" s="19">
        <v>28.0</v>
      </c>
      <c r="O15" s="19">
        <v>21.0</v>
      </c>
      <c r="P15" s="19" t="b">
        <v>0</v>
      </c>
      <c r="Q15" s="27" t="s">
        <v>88</v>
      </c>
      <c r="R15" s="11" t="str">
        <f t="shared" si="3"/>
        <v/>
      </c>
      <c r="S15" s="19">
        <v>31.0</v>
      </c>
      <c r="T15" s="19">
        <v>24.0</v>
      </c>
      <c r="U15" s="20" t="b">
        <v>0</v>
      </c>
      <c r="V15" s="19" t="s">
        <v>88</v>
      </c>
      <c r="W15" s="11" t="str">
        <f t="shared" si="4"/>
        <v/>
      </c>
      <c r="X15" s="19">
        <v>28.0</v>
      </c>
      <c r="Y15" s="19">
        <v>23.0</v>
      </c>
      <c r="Z15" s="20" t="b">
        <v>0</v>
      </c>
      <c r="AA15" s="27" t="s">
        <v>88</v>
      </c>
      <c r="AB15" s="11" t="str">
        <f t="shared" si="5"/>
        <v/>
      </c>
      <c r="AC15" s="19">
        <v>24.0</v>
      </c>
      <c r="AD15" s="19">
        <v>17.0</v>
      </c>
      <c r="AE15" s="19" t="b">
        <v>1</v>
      </c>
      <c r="AF15" s="27" t="s">
        <v>88</v>
      </c>
      <c r="AG15" s="11" t="str">
        <f t="shared" si="6"/>
        <v/>
      </c>
      <c r="AH15" s="19">
        <v>21.0</v>
      </c>
      <c r="AI15" s="19">
        <v>17.0</v>
      </c>
      <c r="AJ15" s="20" t="b">
        <v>0</v>
      </c>
      <c r="AK15" s="19" t="s">
        <v>88</v>
      </c>
      <c r="AL15" s="11" t="str">
        <f t="shared" si="7"/>
        <v/>
      </c>
      <c r="AM15" s="19">
        <v>27.0</v>
      </c>
      <c r="AN15" s="19">
        <v>14.0</v>
      </c>
      <c r="AO15" s="20" t="b">
        <v>1</v>
      </c>
      <c r="AP15" s="27" t="s">
        <v>88</v>
      </c>
      <c r="AQ15" s="11" t="str">
        <f t="shared" si="8"/>
        <v/>
      </c>
      <c r="AR15" s="19">
        <v>31.0</v>
      </c>
      <c r="AS15" s="19">
        <v>20.0</v>
      </c>
      <c r="AT15" s="20" t="b">
        <v>0</v>
      </c>
      <c r="AU15" s="27" t="s">
        <v>88</v>
      </c>
      <c r="AV15" s="11" t="str">
        <f t="shared" si="9"/>
        <v/>
      </c>
      <c r="AW15" s="19">
        <v>27.0</v>
      </c>
      <c r="AX15" s="19">
        <v>24.0</v>
      </c>
      <c r="AY15" s="20" t="b">
        <v>0</v>
      </c>
      <c r="AZ15" s="27" t="s">
        <v>88</v>
      </c>
      <c r="BA15" s="11" t="str">
        <f t="shared" si="10"/>
        <v/>
      </c>
      <c r="BB15" s="19">
        <v>23.0</v>
      </c>
      <c r="BC15" s="19">
        <v>20.0</v>
      </c>
      <c r="BD15" s="20" t="b">
        <v>0</v>
      </c>
      <c r="BE15" s="27" t="s">
        <v>88</v>
      </c>
      <c r="BF15" s="11" t="str">
        <f t="shared" si="11"/>
        <v/>
      </c>
      <c r="BG15" s="19">
        <v>28.0</v>
      </c>
      <c r="BH15" s="19">
        <v>21.0</v>
      </c>
      <c r="BI15" s="20" t="b">
        <v>0</v>
      </c>
      <c r="BJ15" s="27" t="s">
        <v>88</v>
      </c>
      <c r="BK15" s="11" t="str">
        <f t="shared" si="12"/>
        <v/>
      </c>
      <c r="BL15" s="19">
        <v>31.0</v>
      </c>
      <c r="BM15" s="19">
        <v>24.0</v>
      </c>
      <c r="BN15" s="20" t="b">
        <v>0</v>
      </c>
      <c r="BO15" s="17"/>
      <c r="BP15" s="17"/>
      <c r="BQ15" s="17"/>
    </row>
    <row r="16">
      <c r="A16" s="16" t="s">
        <v>137</v>
      </c>
      <c r="B16" s="17" t="s">
        <v>138</v>
      </c>
      <c r="C16" s="18"/>
      <c r="D16" s="11" t="str">
        <f>IFERROR(__xludf.DUMMYFUNCTION("""COMPUTED_VALUE"""),"")</f>
        <v/>
      </c>
      <c r="E16" s="19"/>
      <c r="F16" s="20"/>
      <c r="G16" s="19" t="s">
        <v>27</v>
      </c>
      <c r="H16" s="11" t="str">
        <f t="shared" si="1"/>
        <v/>
      </c>
      <c r="I16" s="19">
        <v>14.0</v>
      </c>
      <c r="J16" s="19">
        <v>10.0</v>
      </c>
      <c r="K16" s="20" t="b">
        <v>0</v>
      </c>
      <c r="L16" s="19" t="s">
        <v>27</v>
      </c>
      <c r="M16" s="11" t="str">
        <f t="shared" si="2"/>
        <v/>
      </c>
      <c r="N16" s="19">
        <v>23.0</v>
      </c>
      <c r="O16" s="19">
        <v>20.0</v>
      </c>
      <c r="P16" s="19" t="b">
        <v>1</v>
      </c>
      <c r="Q16" s="27" t="s">
        <v>27</v>
      </c>
      <c r="R16" s="11" t="str">
        <f t="shared" si="3"/>
        <v/>
      </c>
      <c r="S16" s="19">
        <v>10.0</v>
      </c>
      <c r="T16" s="19">
        <v>7.0</v>
      </c>
      <c r="U16" s="20" t="b">
        <v>0</v>
      </c>
      <c r="V16" s="19" t="s">
        <v>27</v>
      </c>
      <c r="W16" s="11" t="str">
        <f t="shared" si="4"/>
        <v/>
      </c>
      <c r="X16" s="19">
        <v>27.0</v>
      </c>
      <c r="Y16" s="19">
        <v>24.0</v>
      </c>
      <c r="Z16" s="20" t="b">
        <v>0</v>
      </c>
      <c r="AA16" s="27" t="s">
        <v>27</v>
      </c>
      <c r="AB16" s="11" t="str">
        <f t="shared" si="5"/>
        <v/>
      </c>
      <c r="AC16" s="19">
        <v>24.0</v>
      </c>
      <c r="AD16" s="19">
        <v>17.0</v>
      </c>
      <c r="AE16" s="19" t="b">
        <v>0</v>
      </c>
      <c r="AF16" s="27" t="s">
        <v>27</v>
      </c>
      <c r="AG16" s="11" t="str">
        <f t="shared" si="6"/>
        <v/>
      </c>
      <c r="AH16" s="19">
        <v>20.0</v>
      </c>
      <c r="AI16" s="19">
        <v>17.0</v>
      </c>
      <c r="AJ16" s="20" t="b">
        <v>0</v>
      </c>
      <c r="AK16" s="19" t="s">
        <v>27</v>
      </c>
      <c r="AL16" s="11" t="str">
        <f t="shared" si="7"/>
        <v/>
      </c>
      <c r="AM16" s="19">
        <v>21.0</v>
      </c>
      <c r="AN16" s="19">
        <v>17.0</v>
      </c>
      <c r="AO16" s="20" t="b">
        <v>0</v>
      </c>
      <c r="AP16" s="27" t="s">
        <v>27</v>
      </c>
      <c r="AQ16" s="11" t="str">
        <f t="shared" si="8"/>
        <v/>
      </c>
      <c r="AR16" s="19">
        <v>34.0</v>
      </c>
      <c r="AS16" s="19">
        <v>20.0</v>
      </c>
      <c r="AT16" s="20" t="b">
        <v>0</v>
      </c>
      <c r="AU16" s="27" t="s">
        <v>27</v>
      </c>
      <c r="AV16" s="11" t="str">
        <f t="shared" si="9"/>
        <v/>
      </c>
      <c r="AW16" s="19">
        <v>14.0</v>
      </c>
      <c r="AX16" s="19">
        <v>10.0</v>
      </c>
      <c r="AY16" s="20" t="b">
        <v>0</v>
      </c>
      <c r="AZ16" s="27" t="s">
        <v>27</v>
      </c>
      <c r="BA16" s="11" t="str">
        <f t="shared" si="10"/>
        <v/>
      </c>
      <c r="BB16" s="19">
        <v>23.0</v>
      </c>
      <c r="BC16" s="19">
        <v>20.0</v>
      </c>
      <c r="BD16" s="20" t="b">
        <v>0</v>
      </c>
      <c r="BE16" s="27" t="s">
        <v>27</v>
      </c>
      <c r="BF16" s="11" t="str">
        <f t="shared" si="11"/>
        <v/>
      </c>
      <c r="BG16" s="19">
        <v>14.0</v>
      </c>
      <c r="BH16" s="19">
        <v>10.0</v>
      </c>
      <c r="BI16" s="20" t="b">
        <v>0</v>
      </c>
      <c r="BJ16" s="27" t="s">
        <v>41</v>
      </c>
      <c r="BK16" s="11" t="str">
        <f t="shared" si="12"/>
        <v/>
      </c>
      <c r="BL16" s="19">
        <v>24.0</v>
      </c>
      <c r="BM16" s="19">
        <v>31.0</v>
      </c>
      <c r="BN16" s="20" t="b">
        <v>0</v>
      </c>
      <c r="BO16" s="17"/>
      <c r="BP16" s="17"/>
      <c r="BQ16" s="17"/>
    </row>
    <row r="17">
      <c r="A17" s="16" t="s">
        <v>139</v>
      </c>
      <c r="B17" s="30" t="s">
        <v>140</v>
      </c>
      <c r="C17" s="34"/>
      <c r="D17" s="35" t="str">
        <f>IFERROR(__xludf.DUMMYFUNCTION("""COMPUTED_VALUE"""),"")</f>
        <v/>
      </c>
      <c r="E17" s="36"/>
      <c r="F17" s="37"/>
      <c r="G17" s="36" t="s">
        <v>29</v>
      </c>
      <c r="H17" s="35" t="str">
        <f t="shared" si="1"/>
        <v/>
      </c>
      <c r="I17" s="36">
        <v>23.0</v>
      </c>
      <c r="J17" s="36">
        <v>20.0</v>
      </c>
      <c r="K17" s="37" t="b">
        <v>0</v>
      </c>
      <c r="L17" s="36" t="s">
        <v>29</v>
      </c>
      <c r="M17" s="35" t="str">
        <f t="shared" si="2"/>
        <v/>
      </c>
      <c r="N17" s="36">
        <v>21.0</v>
      </c>
      <c r="O17" s="36">
        <v>17.0</v>
      </c>
      <c r="P17" s="36" t="b">
        <v>0</v>
      </c>
      <c r="Q17" s="38" t="s">
        <v>126</v>
      </c>
      <c r="R17" s="35" t="str">
        <f t="shared" si="3"/>
        <v/>
      </c>
      <c r="S17" s="36">
        <v>20.0</v>
      </c>
      <c r="T17" s="36">
        <v>23.0</v>
      </c>
      <c r="U17" s="37" t="b">
        <v>0</v>
      </c>
      <c r="V17" s="36" t="s">
        <v>29</v>
      </c>
      <c r="W17" s="35" t="str">
        <f t="shared" si="4"/>
        <v/>
      </c>
      <c r="X17" s="36">
        <v>23.0</v>
      </c>
      <c r="Y17" s="36">
        <v>20.0</v>
      </c>
      <c r="Z17" s="37" t="b">
        <v>0</v>
      </c>
      <c r="AA17" s="38" t="s">
        <v>126</v>
      </c>
      <c r="AB17" s="35" t="str">
        <f t="shared" si="5"/>
        <v/>
      </c>
      <c r="AC17" s="36">
        <v>17.0</v>
      </c>
      <c r="AD17" s="36">
        <v>24.0</v>
      </c>
      <c r="AE17" s="36" t="b">
        <v>0</v>
      </c>
      <c r="AF17" s="38" t="s">
        <v>29</v>
      </c>
      <c r="AG17" s="35" t="str">
        <f t="shared" si="6"/>
        <v/>
      </c>
      <c r="AH17" s="36">
        <v>31.0</v>
      </c>
      <c r="AI17" s="36">
        <v>24.0</v>
      </c>
      <c r="AJ17" s="37" t="b">
        <v>0</v>
      </c>
      <c r="AK17" s="36" t="s">
        <v>126</v>
      </c>
      <c r="AL17" s="35" t="str">
        <f t="shared" si="7"/>
        <v/>
      </c>
      <c r="AM17" s="36">
        <v>24.0</v>
      </c>
      <c r="AN17" s="36">
        <v>27.0</v>
      </c>
      <c r="AO17" s="37" t="b">
        <v>0</v>
      </c>
      <c r="AP17" s="38" t="s">
        <v>126</v>
      </c>
      <c r="AQ17" s="35" t="str">
        <f t="shared" si="8"/>
        <v/>
      </c>
      <c r="AR17" s="36">
        <v>17.0</v>
      </c>
      <c r="AS17" s="36">
        <v>20.0</v>
      </c>
      <c r="AT17" s="37" t="b">
        <v>0</v>
      </c>
      <c r="AU17" s="38" t="s">
        <v>126</v>
      </c>
      <c r="AV17" s="35" t="str">
        <f t="shared" si="9"/>
        <v/>
      </c>
      <c r="AW17" s="36">
        <v>14.0</v>
      </c>
      <c r="AX17" s="36">
        <v>17.0</v>
      </c>
      <c r="AY17" s="37" t="b">
        <v>0</v>
      </c>
      <c r="AZ17" s="38" t="s">
        <v>126</v>
      </c>
      <c r="BA17" s="35" t="str">
        <f t="shared" si="10"/>
        <v/>
      </c>
      <c r="BB17" s="36">
        <v>20.0</v>
      </c>
      <c r="BC17" s="36">
        <v>23.0</v>
      </c>
      <c r="BD17" s="37" t="b">
        <v>0</v>
      </c>
      <c r="BE17" s="38" t="s">
        <v>126</v>
      </c>
      <c r="BF17" s="35" t="str">
        <f t="shared" si="11"/>
        <v/>
      </c>
      <c r="BG17" s="36">
        <v>24.0</v>
      </c>
      <c r="BH17" s="36">
        <v>27.0</v>
      </c>
      <c r="BI17" s="37" t="b">
        <v>0</v>
      </c>
      <c r="BJ17" s="38" t="s">
        <v>126</v>
      </c>
      <c r="BK17" s="35" t="str">
        <f t="shared" si="12"/>
        <v/>
      </c>
      <c r="BL17" s="36">
        <v>7.0</v>
      </c>
      <c r="BM17" s="36">
        <v>10.0</v>
      </c>
      <c r="BN17" s="37" t="b">
        <v>0</v>
      </c>
      <c r="BO17" s="19"/>
      <c r="BP17" s="19"/>
      <c r="BQ17" s="19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6">
        <f t="shared" ref="C19:C34" si="13">MIN(I19,N19,S19,X19,AC19,AH19,AM19,AR19,AW19,BB19,BG19,BL19)</f>
        <v>0</v>
      </c>
      <c r="D19" s="49"/>
      <c r="E19" s="49"/>
      <c r="F19" s="49"/>
      <c r="G19" s="47" t="str">
        <f t="shared" ref="G19:G34" si="14">IF(G2=C2,ABS(I2-E2),"")</f>
        <v/>
      </c>
      <c r="H19" s="47" t="str">
        <f t="shared" ref="H19:H34" si="15">IF(G2=C2,ABS(J2-F2),"")</f>
        <v/>
      </c>
      <c r="I19" s="48" t="str">
        <f t="shared" ref="I19:I34" si="16">IF(G2=C2,SUM(G19,H19),"")</f>
        <v/>
      </c>
      <c r="J19" s="9">
        <f t="shared" ref="J19:J34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
)</f>
        <v>0</v>
      </c>
      <c r="K19" s="49" t="str">
        <f t="shared" ref="K19:K34" si="18">IF($C2="","",
IF(G2=$C2,TRUE,FALSE))</f>
        <v/>
      </c>
      <c r="L19" s="47" t="str">
        <f t="shared" ref="L19:L34" si="19">IF(L2=C2,ABS(N2-E2),"")</f>
        <v/>
      </c>
      <c r="M19" s="47" t="str">
        <f t="shared" ref="M19:M34" si="20">IF(L2=C2,ABS(O2-F2),"")</f>
        <v/>
      </c>
      <c r="N19" s="48" t="str">
        <f t="shared" ref="N19:N34" si="21">IF(L2=C2,SUM(L19,M19),"")</f>
        <v/>
      </c>
      <c r="O19" s="9">
        <f t="shared" ref="O19:O34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
)</f>
        <v>0</v>
      </c>
      <c r="P19" s="49" t="str">
        <f t="shared" ref="P19:P34" si="23">IF($C2="","",
IF(L2=$C2,TRUE,FALSE))</f>
        <v/>
      </c>
      <c r="Q19" s="47" t="str">
        <f t="shared" ref="Q19:Q34" si="24">IF(Q2=C2,ABS(S2-E2),"")</f>
        <v/>
      </c>
      <c r="R19" s="47" t="str">
        <f t="shared" ref="R19:R34" si="25">IF(Q2=C2,ABS(T2-F2),"")</f>
        <v/>
      </c>
      <c r="S19" s="48" t="str">
        <f t="shared" ref="S19:S34" si="26">IF(Q2=C2,SUM(Q19,R19),"")</f>
        <v/>
      </c>
      <c r="T19" s="9">
        <f t="shared" ref="T19:T34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
)</f>
        <v>0</v>
      </c>
      <c r="U19" s="49" t="str">
        <f t="shared" ref="U19:U34" si="28">IF($C2="","",
IF(Q2=$C2,TRUE,FALSE))</f>
        <v/>
      </c>
      <c r="V19" s="47" t="str">
        <f t="shared" ref="V19:V34" si="29">IF(V2=C2,ABS(X2-E2),"")</f>
        <v/>
      </c>
      <c r="W19" s="47" t="str">
        <f t="shared" ref="W19:W34" si="30">IF(V2=C2,ABS(Y2-F2),"")</f>
        <v/>
      </c>
      <c r="X19" s="48" t="str">
        <f t="shared" ref="X19:X34" si="31">IF(V2=C2,SUM(V19,W19),"")</f>
        <v/>
      </c>
      <c r="Y19" s="9">
        <f t="shared" ref="Y19:Y34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
)</f>
        <v>0</v>
      </c>
      <c r="Z19" s="49" t="str">
        <f t="shared" ref="Z19:Z34" si="33">IF($C2="","",
IF(V2=$C2,TRUE,FALSE))</f>
        <v/>
      </c>
      <c r="AA19" s="47" t="str">
        <f t="shared" ref="AA19:AA34" si="34">IF(AA2=C2,ABS(AC2-E2),"")</f>
        <v/>
      </c>
      <c r="AB19" s="47" t="str">
        <f t="shared" ref="AB19:AB34" si="35">IF(AA2=C2,ABS(AD2-F2),"")</f>
        <v/>
      </c>
      <c r="AC19" s="48" t="str">
        <f t="shared" ref="AC19:AC34" si="36">IF(AA2=C2,SUM(AA19,AB19),"")</f>
        <v/>
      </c>
      <c r="AD19" s="9">
        <f t="shared" ref="AD19:AD34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
)</f>
        <v>0</v>
      </c>
      <c r="AE19" s="49" t="str">
        <f t="shared" ref="AE19:AE34" si="38">IF($C2="","",
IF(AA2=$C2,TRUE,FALSE))</f>
        <v/>
      </c>
      <c r="AF19" s="47" t="str">
        <f t="shared" ref="AF19:AF34" si="39">IF(AF2=C2,ABS(AH2-E2),"")</f>
        <v/>
      </c>
      <c r="AG19" s="47" t="str">
        <f t="shared" ref="AG19:AG34" si="40">IF(AF2=C2,ABS(AI2-F2),"")</f>
        <v/>
      </c>
      <c r="AH19" s="48" t="str">
        <f t="shared" ref="AH19:AH34" si="41">IF(AF2=C2,SUM(AF19,AG19),"")</f>
        <v/>
      </c>
      <c r="AI19" s="9">
        <f t="shared" ref="AI19:AI34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
)</f>
        <v>0</v>
      </c>
      <c r="AJ19" s="49" t="str">
        <f t="shared" ref="AJ19:AJ34" si="43">IF($C2="","",
IF(AF2=$C2,TRUE,FALSE))</f>
        <v/>
      </c>
      <c r="AK19" s="47" t="str">
        <f t="shared" ref="AK19:AK34" si="44">IF(AK2=C2,ABS(AM2-E2),"")</f>
        <v/>
      </c>
      <c r="AL19" s="47" t="str">
        <f t="shared" ref="AL19:AL34" si="45">IF(AK2=C2,ABS(AN2-F2),"")</f>
        <v/>
      </c>
      <c r="AM19" s="48" t="str">
        <f t="shared" ref="AM19:AM34" si="46">IF(AK2=C2,SUM(AK19,AL19),"")</f>
        <v/>
      </c>
      <c r="AN19" s="9">
        <f t="shared" ref="AN19:AN34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
)</f>
        <v>0</v>
      </c>
      <c r="AO19" s="49" t="str">
        <f t="shared" ref="AO19:AO34" si="48">IF($C2="","",
IF(AK2=$C2,TRUE,FALSE))</f>
        <v/>
      </c>
      <c r="AP19" s="47" t="str">
        <f t="shared" ref="AP19:AP34" si="49">IF(AP2=C2,ABS(AR2-E2),"")</f>
        <v/>
      </c>
      <c r="AQ19" s="47" t="str">
        <f t="shared" ref="AQ19:AQ34" si="50">IF(AP2=C2,ABS(AS2-F2),"")</f>
        <v/>
      </c>
      <c r="AR19" s="48" t="str">
        <f t="shared" ref="AR19:AR34" si="51">IF(AP2=C2,SUM(AP19,AQ19),"")</f>
        <v/>
      </c>
      <c r="AS19" s="9">
        <f t="shared" ref="AS19:AS34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
)</f>
        <v>0</v>
      </c>
      <c r="AT19" s="49" t="str">
        <f t="shared" ref="AT19:AT34" si="53">IF($C2="","",
IF(AP2=$C2,TRUE,FALSE))</f>
        <v/>
      </c>
      <c r="AU19" s="47" t="str">
        <f t="shared" ref="AU19:AU34" si="54">IF(AU2=C2,ABS(AW2-E2),"")</f>
        <v/>
      </c>
      <c r="AV19" s="47" t="str">
        <f t="shared" ref="AV19:AV34" si="55">IF(AU2=C2,ABS(AX2-F2),"")</f>
        <v/>
      </c>
      <c r="AW19" s="48" t="str">
        <f t="shared" ref="AW19:AW34" si="56">IF(AU2=C2,SUM(AU19,AV19),"")</f>
        <v/>
      </c>
      <c r="AX19" s="9">
        <f t="shared" ref="AX19:AX34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
)</f>
        <v>0</v>
      </c>
      <c r="AY19" s="49" t="str">
        <f t="shared" ref="AY19:AY34" si="58">IF($C2="","",
IF(AU2=$C2,TRUE,FALSE))</f>
        <v/>
      </c>
      <c r="AZ19" s="47" t="str">
        <f t="shared" ref="AZ19:AZ34" si="59">IF(AZ2=C2,ABS(BB2-E2),"")</f>
        <v/>
      </c>
      <c r="BA19" s="47" t="str">
        <f t="shared" ref="BA19:BA34" si="60">IF(AZ2=C2,ABS(BC2-F2),"")</f>
        <v/>
      </c>
      <c r="BB19" s="48" t="str">
        <f t="shared" ref="BB19:BB34" si="61">IF(AZ2=C2,SUM(AZ19,BA19),"")</f>
        <v/>
      </c>
      <c r="BC19" s="9">
        <f t="shared" ref="BC19:BC34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
)</f>
        <v>0</v>
      </c>
      <c r="BD19" s="49" t="str">
        <f t="shared" ref="BD19:BD34" si="63">IF($C2="","",
IF(AZ2=$C2,TRUE,FALSE))</f>
        <v/>
      </c>
      <c r="BE19" s="47" t="str">
        <f t="shared" ref="BE19:BE34" si="64">IF(BE2=C2,ABS(BG2-E2),"")</f>
        <v/>
      </c>
      <c r="BF19" s="47" t="str">
        <f t="shared" ref="BF19:BF34" si="65">IF(BE2=C2,ABS(BH2-F2),"")</f>
        <v/>
      </c>
      <c r="BG19" s="48" t="str">
        <f t="shared" ref="BG19:BG34" si="66">IF(BE2=C2,SUM(BE19,BF19),"")</f>
        <v/>
      </c>
      <c r="BH19" s="9">
        <f t="shared" ref="BH19:BH34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
)</f>
        <v>0</v>
      </c>
      <c r="BI19" s="49" t="str">
        <f t="shared" ref="BI19:BI34" si="68">IF($C2="","",
IF(BE2=$C2,TRUE,FALSE))</f>
        <v/>
      </c>
      <c r="BJ19" s="47" t="str">
        <f t="shared" ref="BJ19:BJ34" si="69">IF(BJ2=C2,ABS(BL2-E2),"")</f>
        <v/>
      </c>
      <c r="BK19" s="47" t="str">
        <f t="shared" ref="BK19:BK34" si="70">IF(BJ2=C2,ABS(BM2-F2),"")</f>
        <v/>
      </c>
      <c r="BL19" s="48" t="str">
        <f t="shared" ref="BL19:BL34" si="71">IF(BJ2=C2,SUM(BJ19,BK19),"")</f>
        <v/>
      </c>
      <c r="BM19" s="9">
        <f t="shared" ref="BM19:BM34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
)</f>
        <v>0</v>
      </c>
      <c r="BN19" s="49" t="str">
        <f t="shared" ref="BN19:BN34" si="73">IF($C2="","",
IF(BJ2=$C2,TRUE,FALSE))</f>
        <v/>
      </c>
      <c r="BO19" s="41"/>
      <c r="BP19" s="41"/>
      <c r="BQ19" s="41"/>
    </row>
    <row r="20" hidden="1">
      <c r="A20" s="40"/>
      <c r="B20" s="40"/>
      <c r="C20" s="46">
        <f t="shared" si="13"/>
        <v>0</v>
      </c>
      <c r="D20" s="49"/>
      <c r="E20" s="49"/>
      <c r="F20" s="49"/>
      <c r="G20" s="47" t="str">
        <f t="shared" si="14"/>
        <v/>
      </c>
      <c r="H20" s="47" t="str">
        <f t="shared" si="15"/>
        <v/>
      </c>
      <c r="I20" s="48" t="str">
        <f t="shared" si="16"/>
        <v/>
      </c>
      <c r="J20" s="9">
        <f t="shared" si="17"/>
        <v>0</v>
      </c>
      <c r="K20" s="49" t="str">
        <f t="shared" si="18"/>
        <v/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str">
        <f t="shared" si="23"/>
        <v/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str">
        <f t="shared" si="28"/>
        <v/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str">
        <f t="shared" si="33"/>
        <v/>
      </c>
      <c r="AA20" s="47" t="str">
        <f t="shared" si="34"/>
        <v/>
      </c>
      <c r="AB20" s="47" t="str">
        <f t="shared" si="35"/>
        <v/>
      </c>
      <c r="AC20" s="48" t="str">
        <f t="shared" si="36"/>
        <v/>
      </c>
      <c r="AD20" s="9">
        <f t="shared" si="37"/>
        <v>0</v>
      </c>
      <c r="AE20" s="49" t="str">
        <f t="shared" si="38"/>
        <v/>
      </c>
      <c r="AF20" s="47" t="str">
        <f t="shared" si="39"/>
        <v/>
      </c>
      <c r="AG20" s="47" t="str">
        <f t="shared" si="40"/>
        <v/>
      </c>
      <c r="AH20" s="48" t="str">
        <f t="shared" si="41"/>
        <v/>
      </c>
      <c r="AI20" s="9">
        <f t="shared" si="42"/>
        <v>0</v>
      </c>
      <c r="AJ20" s="49" t="str">
        <f t="shared" si="43"/>
        <v/>
      </c>
      <c r="AK20" s="47" t="str">
        <f t="shared" si="44"/>
        <v/>
      </c>
      <c r="AL20" s="47" t="str">
        <f t="shared" si="45"/>
        <v/>
      </c>
      <c r="AM20" s="48" t="str">
        <f t="shared" si="46"/>
        <v/>
      </c>
      <c r="AN20" s="9">
        <f t="shared" si="47"/>
        <v>0</v>
      </c>
      <c r="AO20" s="49" t="str">
        <f t="shared" si="48"/>
        <v/>
      </c>
      <c r="AP20" s="47" t="str">
        <f t="shared" si="49"/>
        <v/>
      </c>
      <c r="AQ20" s="47" t="str">
        <f t="shared" si="50"/>
        <v/>
      </c>
      <c r="AR20" s="48" t="str">
        <f t="shared" si="51"/>
        <v/>
      </c>
      <c r="AS20" s="9">
        <f t="shared" si="52"/>
        <v>0</v>
      </c>
      <c r="AT20" s="49" t="str">
        <f t="shared" si="53"/>
        <v/>
      </c>
      <c r="AU20" s="47" t="str">
        <f t="shared" si="54"/>
        <v/>
      </c>
      <c r="AV20" s="47" t="str">
        <f t="shared" si="55"/>
        <v/>
      </c>
      <c r="AW20" s="48" t="str">
        <f t="shared" si="56"/>
        <v/>
      </c>
      <c r="AX20" s="9">
        <f t="shared" si="57"/>
        <v>0</v>
      </c>
      <c r="AY20" s="49" t="str">
        <f t="shared" si="58"/>
        <v/>
      </c>
      <c r="AZ20" s="47" t="str">
        <f t="shared" si="59"/>
        <v/>
      </c>
      <c r="BA20" s="47" t="str">
        <f t="shared" si="60"/>
        <v/>
      </c>
      <c r="BB20" s="48" t="str">
        <f t="shared" si="61"/>
        <v/>
      </c>
      <c r="BC20" s="9">
        <f t="shared" si="62"/>
        <v>0</v>
      </c>
      <c r="BD20" s="49" t="str">
        <f t="shared" si="63"/>
        <v/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str">
        <f t="shared" si="68"/>
        <v/>
      </c>
      <c r="BJ20" s="47" t="str">
        <f t="shared" si="69"/>
        <v/>
      </c>
      <c r="BK20" s="47" t="str">
        <f t="shared" si="70"/>
        <v/>
      </c>
      <c r="BL20" s="48" t="str">
        <f t="shared" si="71"/>
        <v/>
      </c>
      <c r="BM20" s="9">
        <f t="shared" si="72"/>
        <v>0</v>
      </c>
      <c r="BN20" s="49" t="str">
        <f t="shared" si="73"/>
        <v/>
      </c>
      <c r="BO20" s="40"/>
      <c r="BP20" s="40"/>
      <c r="BQ20" s="40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9"/>
      <c r="E33" s="49"/>
      <c r="F33" s="49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9"/>
      <c r="E34" s="49"/>
      <c r="F34" s="49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0"/>
      <c r="BP34" s="40"/>
      <c r="BQ34" s="40"/>
    </row>
    <row r="35" hidden="1">
      <c r="A35" s="40"/>
      <c r="B35" s="40"/>
      <c r="C35" s="49"/>
      <c r="D35" s="49"/>
      <c r="E35" s="49"/>
      <c r="F35" s="49"/>
      <c r="G35" s="49"/>
      <c r="H35" s="49"/>
      <c r="I35" s="49"/>
      <c r="J35" s="59">
        <f>MULTIPLY(SUM(J19:J34),10)</f>
        <v>0</v>
      </c>
      <c r="K35" s="62">
        <f>COUNTIF(K19:K34,"TRUE")</f>
        <v>0</v>
      </c>
      <c r="L35" s="49"/>
      <c r="M35" s="49"/>
      <c r="N35" s="49"/>
      <c r="O35" s="59">
        <f>MULTIPLY(SUM(O19:O34),10)</f>
        <v>0</v>
      </c>
      <c r="P35" s="62">
        <f>COUNTIF(P19:P34,"TRUE")</f>
        <v>0</v>
      </c>
      <c r="Q35" s="49"/>
      <c r="R35" s="49"/>
      <c r="S35" s="49"/>
      <c r="T35" s="59">
        <f>MULTIPLY(SUM(T19:T34),10)</f>
        <v>0</v>
      </c>
      <c r="U35" s="62">
        <f>COUNTIF(U19:U34,"TRUE")</f>
        <v>0</v>
      </c>
      <c r="V35" s="49"/>
      <c r="W35" s="49"/>
      <c r="X35" s="49"/>
      <c r="Y35" s="59">
        <f>MULTIPLY(SUM(Y19:Y34),10)</f>
        <v>0</v>
      </c>
      <c r="Z35" s="62">
        <f>COUNTIF(Z19:Z34,"TRUE")</f>
        <v>0</v>
      </c>
      <c r="AA35" s="49"/>
      <c r="AB35" s="49"/>
      <c r="AC35" s="49"/>
      <c r="AD35" s="59">
        <f>MULTIPLY(SUM(AD19:AD34),10)</f>
        <v>0</v>
      </c>
      <c r="AE35" s="62">
        <f>COUNTIF(AE19:AE34,"TRUE")</f>
        <v>0</v>
      </c>
      <c r="AF35" s="49"/>
      <c r="AG35" s="49"/>
      <c r="AH35" s="49"/>
      <c r="AI35" s="59">
        <f>MULTIPLY(SUM(AI19:AI34),10)</f>
        <v>0</v>
      </c>
      <c r="AJ35" s="62">
        <f>COUNTIF(AJ19:AJ34,"TRUE")</f>
        <v>0</v>
      </c>
      <c r="AK35" s="49"/>
      <c r="AL35" s="49"/>
      <c r="AM35" s="49"/>
      <c r="AN35" s="59">
        <f>MULTIPLY(SUM(AN19:AN34),10)</f>
        <v>0</v>
      </c>
      <c r="AO35" s="62">
        <f>COUNTIF(AO19:AO34,"TRUE")</f>
        <v>0</v>
      </c>
      <c r="AP35" s="49"/>
      <c r="AQ35" s="49"/>
      <c r="AR35" s="49"/>
      <c r="AS35" s="59">
        <f>MULTIPLY(SUM(AS19:AS34),10)</f>
        <v>0</v>
      </c>
      <c r="AT35" s="62">
        <f>COUNTIF(AT19:AT34,"TRUE")</f>
        <v>0</v>
      </c>
      <c r="AU35" s="49"/>
      <c r="AV35" s="49"/>
      <c r="AW35" s="49"/>
      <c r="AX35" s="59">
        <f>MULTIPLY(SUM(AX19:AX34),10)</f>
        <v>0</v>
      </c>
      <c r="AY35" s="62">
        <f>COUNTIF(AY19:AY34,"TRUE")</f>
        <v>0</v>
      </c>
      <c r="AZ35" s="49"/>
      <c r="BA35" s="49"/>
      <c r="BB35" s="49"/>
      <c r="BC35" s="59">
        <f>MULTIPLY(SUM(BC19:BC34),10)</f>
        <v>0</v>
      </c>
      <c r="BD35" s="62">
        <f>COUNTIF(BD19:BD34,"TRUE")</f>
        <v>0</v>
      </c>
      <c r="BE35" s="49"/>
      <c r="BF35" s="49"/>
      <c r="BG35" s="49"/>
      <c r="BH35" s="59">
        <f>MULTIPLY(SUM(BH19:BH34),10)</f>
        <v>0</v>
      </c>
      <c r="BI35" s="62">
        <f>COUNTIF(BI19:BI34,"TRUE")</f>
        <v>0</v>
      </c>
      <c r="BJ35" s="49"/>
      <c r="BK35" s="49"/>
      <c r="BL35" s="49"/>
      <c r="BM35" s="59">
        <f>MULTIPLY(SUM(BM19:BM34),10)</f>
        <v>0</v>
      </c>
      <c r="BN35" s="62">
        <f>COUNTIF(BN19:BN34,"TRUE")</f>
        <v>0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40"/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40"/>
      <c r="B38" s="57" t="s">
        <v>141</v>
      </c>
      <c r="C38" s="58">
        <f t="array" ref="C38">INDEX(J35,0)</f>
        <v>0</v>
      </c>
      <c r="D38" s="58">
        <f t="array" ref="D38">INDEX(O35,0)</f>
        <v>0</v>
      </c>
      <c r="E38" s="58">
        <f t="array" ref="E38">INDEX(T35,0)</f>
        <v>0</v>
      </c>
      <c r="F38" s="58">
        <f t="array" ref="F38">INDEX(Y35,0)</f>
        <v>0</v>
      </c>
      <c r="G38" s="58">
        <f t="array" ref="G38">INDEX(AD35,0)</f>
        <v>0</v>
      </c>
      <c r="H38" s="58">
        <f t="array" ref="H38">INDEX(AI35,0)</f>
        <v>0</v>
      </c>
      <c r="I38" s="58">
        <f t="array" ref="I38">INDEX(AN35,0)</f>
        <v>0</v>
      </c>
      <c r="J38" s="58">
        <f t="array" ref="J38">INDEX(AS35,0)</f>
        <v>0</v>
      </c>
      <c r="K38" s="58">
        <f t="array" ref="K38">INDEX(AX35,0)</f>
        <v>0</v>
      </c>
      <c r="L38" s="58">
        <f t="array" ref="L38">INDEX(BC35,0)</f>
        <v>0</v>
      </c>
      <c r="M38" s="58">
        <f t="array" ref="M38">INDEX(BH35,0)</f>
        <v>0</v>
      </c>
      <c r="N38" s="60">
        <f t="array" ref="N38">INDEX(BM35,0)</f>
        <v>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63" t="s">
        <v>142</v>
      </c>
      <c r="C39" s="64">
        <f>COUNTIF(K19:K34,true)</f>
        <v>0</v>
      </c>
      <c r="D39" s="64">
        <f>COUNTIF(P19:P34,true)</f>
        <v>0</v>
      </c>
      <c r="E39" s="64">
        <f>COUNTIF(U19:U34,true)</f>
        <v>0</v>
      </c>
      <c r="F39" s="64">
        <f>COUNTIF(Z19:Z34,true)</f>
        <v>0</v>
      </c>
      <c r="G39" s="64">
        <f>COUNTIF(AE19:AE34,true)</f>
        <v>0</v>
      </c>
      <c r="H39" s="64">
        <f>COUNTIF(AJ19:AJ34,true)</f>
        <v>0</v>
      </c>
      <c r="I39" s="64">
        <f>COUNTIF(AO19:AO34,true)</f>
        <v>0</v>
      </c>
      <c r="J39" s="64">
        <f>COUNTIF(AT19:AT34,true)</f>
        <v>0</v>
      </c>
      <c r="K39" s="64">
        <f>COUNTIF(AY19:AY34,true)</f>
        <v>0</v>
      </c>
      <c r="L39" s="64">
        <f>COUNTIF(BD19:BD34,true)</f>
        <v>0</v>
      </c>
      <c r="M39" s="64">
        <f>COUNTIF(BI19:BI34,true)</f>
        <v>0</v>
      </c>
      <c r="N39" s="65">
        <f>COUNTIF(BN19:BN34,true)</f>
        <v>0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63" t="s">
        <v>143</v>
      </c>
      <c r="C40" s="68">
        <f>COUNTIF(K19:K34,FALSE)</f>
        <v>0</v>
      </c>
      <c r="D40" s="68">
        <f>COUNTIF(P19:P34,FALSE)</f>
        <v>0</v>
      </c>
      <c r="E40" s="68">
        <f>COUNTIF(U19:U34,FALSE)</f>
        <v>0</v>
      </c>
      <c r="F40" s="68">
        <f>COUNTIF(Z19:Z34,FALSE)</f>
        <v>0</v>
      </c>
      <c r="G40" s="68">
        <f>COUNTIF(AE19:AE34,FALSE)</f>
        <v>0</v>
      </c>
      <c r="H40" s="68">
        <f>COUNTIF(AJ19:AJ34,FALSE)</f>
        <v>0</v>
      </c>
      <c r="I40" s="68">
        <f>COUNTIF(AO19:AO34,FALSE)</f>
        <v>0</v>
      </c>
      <c r="J40" s="68">
        <f>COUNTIF(AT19:AT34,FALSE)</f>
        <v>0</v>
      </c>
      <c r="K40" s="68">
        <f>COUNTIF(AY19:AY34,FALSE)</f>
        <v>0</v>
      </c>
      <c r="L40" s="68">
        <f>COUNTIF(BD19:BD34,FALSE)</f>
        <v>0</v>
      </c>
      <c r="M40" s="68">
        <f>COUNTIF(BI19:BI34,FALSE)</f>
        <v>0</v>
      </c>
      <c r="N40" s="69">
        <f>COUNTIF(BN19:BN34,FALSE)</f>
        <v>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>SUM('Week 1'!C38,'Week 2'!C38,'Week 3'!C38,C38)</f>
        <v>325</v>
      </c>
      <c r="D42" s="71">
        <f>SUM('Week 1'!D38,'Week 2'!D38,'Week 3'!D38,D38)</f>
        <v>275</v>
      </c>
      <c r="E42" s="71">
        <f>SUM('Week 1'!E38,'Week 2'!E38,'Week 3'!E38,E38)</f>
        <v>290</v>
      </c>
      <c r="F42" s="71">
        <f>SUM('Week 1'!F38,'Week 2'!F38,'Week 3'!F38,F38)</f>
        <v>375</v>
      </c>
      <c r="G42" s="71">
        <f>SUM('Week 1'!G38,'Week 2'!G38,'Week 3'!G38,G38)</f>
        <v>410</v>
      </c>
      <c r="H42" s="71">
        <f>SUM('Week 1'!H38,'Week 2'!H38,'Week 3'!H38,H38)</f>
        <v>480</v>
      </c>
      <c r="I42" s="71">
        <f>SUM('Week 1'!I38,'Week 2'!I38,'Week 3'!I38,I38)</f>
        <v>320</v>
      </c>
      <c r="J42" s="71">
        <f>SUM('Week 1'!J38,'Week 2'!J38,'Week 3'!J38,J38)</f>
        <v>445</v>
      </c>
      <c r="K42" s="71">
        <f>SUM('Week 1'!K38,'Week 2'!K38,'Week 3'!K38,K38)</f>
        <v>370</v>
      </c>
      <c r="L42" s="71">
        <f>SUM('Week 1'!L38,'Week 2'!L38,'Week 3'!L38,L38)</f>
        <v>280</v>
      </c>
      <c r="M42" s="71">
        <f>SUM('Week 1'!M38,'Week 2'!M38,'Week 3'!M38,M38)</f>
        <v>365</v>
      </c>
      <c r="N42" s="72">
        <f>SUM('Week 1'!N38,'Week 2'!N38,'Week 3'!N38,N38)</f>
        <v>290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>CONCATENATE(SUM('Week 1'!C39,'Week 2'!C39,'Week 3'!C39,C39)," - ",SUM('Week 1'!C40,'Week 2'!C40,'Week 3'!C40,C40))</f>
        <v>25 - 21</v>
      </c>
      <c r="D43" s="73" t="str">
        <f>CONCATENATE(SUM('Week 1'!D39,'Week 2'!D39,'Week 3'!D39,D39)," - ",SUM('Week 1'!D40,'Week 2'!D40,'Week 3'!D40,D40))</f>
        <v>24 - 22</v>
      </c>
      <c r="E43" s="73" t="str">
        <f>CONCATENATE(SUM('Week 1'!E39,'Week 2'!E39,'Week 3'!E39,E39)," - ",SUM('Week 1'!E40,'Week 2'!E40,'Week 3'!E40,E40))</f>
        <v>23 - 23</v>
      </c>
      <c r="F43" s="73" t="str">
        <f>CONCATENATE(SUM('Week 1'!F39,'Week 2'!F39,'Week 3'!F39,F39)," - ",SUM('Week 1'!F40,'Week 2'!F40,'Week 3'!F40,F40))</f>
        <v>26 - 20</v>
      </c>
      <c r="G43" s="73" t="str">
        <f>CONCATENATE(SUM('Week 1'!G39,'Week 2'!G39,'Week 3'!G39,G39)," - ",SUM('Week 1'!G40,'Week 2'!G40,'Week 3'!G40,G40))</f>
        <v>30 - 16</v>
      </c>
      <c r="H43" s="73" t="str">
        <f>CONCATENATE(SUM('Week 1'!H39,'Week 2'!H39,'Week 3'!H39,H39)," - ",SUM('Week 1'!H40,'Week 2'!H40,'Week 3'!H40,H40))</f>
        <v>33 - 13</v>
      </c>
      <c r="I43" s="73" t="str">
        <f>CONCATENATE(SUM('Week 1'!I39,'Week 2'!I39,'Week 3'!I39,I39)," - ",SUM('Week 1'!I40,'Week 2'!I40,'Week 3'!I40,I40))</f>
        <v>26 - 20</v>
      </c>
      <c r="J43" s="73" t="str">
        <f>CONCATENATE(SUM('Week 1'!J39,'Week 2'!J39,'Week 3'!J39,J39)," - ",SUM('Week 1'!J40,'Week 2'!J40,'Week 3'!J40,J40))</f>
        <v>27 - 19</v>
      </c>
      <c r="K43" s="73" t="str">
        <f>CONCATENATE(SUM('Week 1'!K39,'Week 2'!K39,'Week 3'!K39,K39)," - ",SUM('Week 1'!K40,'Week 2'!K40,'Week 3'!K40,K40))</f>
        <v>29 - 17</v>
      </c>
      <c r="L43" s="73" t="str">
        <f>CONCATENATE(SUM('Week 1'!L39,'Week 2'!L39,'Week 3'!L39,L39)," - ",SUM('Week 1'!L40,'Week 2'!L40,'Week 3'!L40,L40))</f>
        <v>26 - 20</v>
      </c>
      <c r="M43" s="73" t="str">
        <f>CONCATENATE(SUM('Week 1'!M39,'Week 2'!M39,'Week 3'!M39,M39)," - ",SUM('Week 1'!M40,'Week 2'!M40,'Week 3'!M40,M40))</f>
        <v>24 - 22</v>
      </c>
      <c r="N43" s="74" t="str">
        <f>CONCATENATE(SUM('Week 1'!N39,'Week 2'!N39,'Week 3'!N39,N39)," - ",SUM('Week 1'!N40,'Week 2'!N40,'Week 3'!N40,N40))</f>
        <v>20 - 26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11</v>
      </c>
      <c r="E45" s="29">
        <v>480.0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445.0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410.0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375.0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14</v>
      </c>
      <c r="E49" s="29">
        <v>370.0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16</v>
      </c>
      <c r="E50" s="29">
        <v>365.0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6</v>
      </c>
      <c r="E51" s="29">
        <v>325.0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12</v>
      </c>
      <c r="E52" s="29">
        <v>320.0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8</v>
      </c>
      <c r="E53" s="29">
        <v>290.0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17</v>
      </c>
      <c r="E54" s="29">
        <v>290.0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280.0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275.0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325</v>
      </c>
      <c r="D63" s="40"/>
      <c r="G63" s="40"/>
      <c r="H63" s="40">
        <f t="shared" ref="H63:H74" si="74">RANK(J63,$J$63:$J$79,false)</f>
        <v>1</v>
      </c>
      <c r="I63" s="40" t="str">
        <f t="array" ref="I63:J79">SORT(B63:C79,2,false)</f>
        <v>Caleb</v>
      </c>
      <c r="J63" s="40">
        <v>480.0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275</v>
      </c>
      <c r="D64" s="40"/>
      <c r="G64" s="40"/>
      <c r="H64" s="40">
        <f t="shared" si="74"/>
        <v>2</v>
      </c>
      <c r="I64" s="40" t="s">
        <v>13</v>
      </c>
      <c r="J64" s="40">
        <v>445.0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290</v>
      </c>
      <c r="D65" s="40"/>
      <c r="G65" s="40"/>
      <c r="H65" s="40">
        <f t="shared" si="74"/>
        <v>3</v>
      </c>
      <c r="I65" s="40" t="s">
        <v>10</v>
      </c>
      <c r="J65" s="40">
        <v>410.0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375</v>
      </c>
      <c r="D66" s="40"/>
      <c r="G66" s="40"/>
      <c r="H66" s="40">
        <f t="shared" si="74"/>
        <v>4</v>
      </c>
      <c r="I66" s="40" t="s">
        <v>9</v>
      </c>
      <c r="J66" s="40">
        <v>375.0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410</v>
      </c>
      <c r="D67" s="40"/>
      <c r="G67" s="40"/>
      <c r="H67" s="40">
        <f t="shared" si="74"/>
        <v>5</v>
      </c>
      <c r="I67" s="40" t="s">
        <v>14</v>
      </c>
      <c r="J67" s="40">
        <v>370.0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480</v>
      </c>
      <c r="D68" s="40"/>
      <c r="G68" s="40"/>
      <c r="H68" s="40">
        <f t="shared" si="74"/>
        <v>6</v>
      </c>
      <c r="I68" s="40" t="s">
        <v>16</v>
      </c>
      <c r="J68" s="40">
        <v>365.0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320</v>
      </c>
      <c r="D69" s="40"/>
      <c r="G69" s="40"/>
      <c r="H69" s="40">
        <f t="shared" si="74"/>
        <v>7</v>
      </c>
      <c r="I69" s="40" t="s">
        <v>6</v>
      </c>
      <c r="J69" s="40">
        <v>325.0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445</v>
      </c>
      <c r="D70" s="40"/>
      <c r="G70" s="40"/>
      <c r="H70" s="40">
        <f t="shared" si="74"/>
        <v>8</v>
      </c>
      <c r="I70" s="40" t="s">
        <v>12</v>
      </c>
      <c r="J70" s="40">
        <v>320.0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370</v>
      </c>
      <c r="D71" s="40"/>
      <c r="G71" s="40"/>
      <c r="H71" s="40">
        <f t="shared" si="74"/>
        <v>9</v>
      </c>
      <c r="I71" s="40" t="s">
        <v>8</v>
      </c>
      <c r="J71" s="40">
        <v>290.0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280</v>
      </c>
      <c r="D72" s="40"/>
      <c r="G72" s="40"/>
      <c r="H72" s="40">
        <f t="shared" si="74"/>
        <v>9</v>
      </c>
      <c r="I72" s="40" t="s">
        <v>17</v>
      </c>
      <c r="J72" s="40">
        <v>290.0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365</v>
      </c>
      <c r="D73" s="40"/>
      <c r="G73" s="40"/>
      <c r="H73" s="40">
        <f t="shared" si="74"/>
        <v>11</v>
      </c>
      <c r="I73" s="40" t="s">
        <v>15</v>
      </c>
      <c r="J73" s="40">
        <v>280.0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290</v>
      </c>
      <c r="D74" s="40"/>
      <c r="G74" s="40"/>
      <c r="H74" s="40">
        <f t="shared" si="74"/>
        <v>12</v>
      </c>
      <c r="I74" s="40" t="s">
        <v>7</v>
      </c>
      <c r="J74" s="40">
        <v>275.0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AND($I19=$C19,$C19=0)</formula>
    </cfRule>
  </conditionalFormatting>
  <conditionalFormatting sqref="G2:K17">
    <cfRule type="expression" dxfId="7" priority="2">
      <formula>$I19=$C19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AND($N19=$C19,$C19=0)</formula>
    </cfRule>
  </conditionalFormatting>
  <conditionalFormatting sqref="L2:P17">
    <cfRule type="expression" dxfId="7" priority="9">
      <formula>$N19=$C19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AND($S19=$C19,$C19=0)</formula>
    </cfRule>
  </conditionalFormatting>
  <conditionalFormatting sqref="Q2:U17">
    <cfRule type="expression" dxfId="7" priority="16">
      <formula>$S19=$C19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AND($X19=$C19,$C19=0)</formula>
    </cfRule>
  </conditionalFormatting>
  <conditionalFormatting sqref="V2:Z17">
    <cfRule type="expression" dxfId="7" priority="78">
      <formula>$X19=$C19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AND($AC19=$C19,$C19=0)</formula>
    </cfRule>
  </conditionalFormatting>
  <conditionalFormatting sqref="AA2:AE17">
    <cfRule type="expression" dxfId="7" priority="81">
      <formula>$AC19=$C19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AND($AH19=$C19,$C19=0)</formula>
    </cfRule>
  </conditionalFormatting>
  <conditionalFormatting sqref="AF2:AJ17">
    <cfRule type="expression" dxfId="7" priority="84">
      <formula>$AH19=$C19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AND($AM19=$C19,$C19=0)</formula>
    </cfRule>
  </conditionalFormatting>
  <conditionalFormatting sqref="AK2:AO17">
    <cfRule type="expression" dxfId="7" priority="87">
      <formula>$AM19=$C19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AND($AR19=$C19,$C19=0)</formula>
    </cfRule>
  </conditionalFormatting>
  <conditionalFormatting sqref="AP2:AT17">
    <cfRule type="expression" dxfId="7" priority="90">
      <formula>$AR19=$C19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AND($AW19=$C19,$C19=0)</formula>
    </cfRule>
  </conditionalFormatting>
  <conditionalFormatting sqref="AU2:AY17">
    <cfRule type="expression" dxfId="7" priority="93">
      <formula>$AW19=$C19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AND($BB19=$C19,$C19=0)</formula>
    </cfRule>
  </conditionalFormatting>
  <conditionalFormatting sqref="AZ2:BD17">
    <cfRule type="expression" dxfId="7" priority="96">
      <formula>$BB19=$C19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AND($BG19=$C19,$C19=0)</formula>
    </cfRule>
  </conditionalFormatting>
  <conditionalFormatting sqref="BE2:BI17">
    <cfRule type="expression" dxfId="7" priority="99">
      <formula>$BG19=$C19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AND($BL19=$C19,$C19=0)</formula>
    </cfRule>
  </conditionalFormatting>
  <conditionalFormatting sqref="BJ2:BN17">
    <cfRule type="expression" dxfId="7" priority="102">
      <formula>$BL19=$C19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146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147</v>
      </c>
      <c r="B2" s="17" t="s">
        <v>148</v>
      </c>
      <c r="C2" s="18" t="str">
        <f>IFERROR(__xludf.DUMMYFUNCTION("IMPORTRANGE(""https://docs.google.com/spreadsheets/d/1v9a6MxzpyXdVbef97sptWrOJUpuAu6ldKC6wbegqpyg/edit?gid=275073358#gid=275073358"",""Week 5!C3:F17"")"),"")</f>
        <v/>
      </c>
      <c r="D2" s="11" t="str">
        <f>IFERROR(__xludf.DUMMYFUNCTION("""COMPUTED_VALUE"""),"")</f>
        <v/>
      </c>
      <c r="E2" s="19"/>
      <c r="F2" s="20"/>
      <c r="G2" s="19" t="s">
        <v>84</v>
      </c>
      <c r="H2" s="11" t="str">
        <f t="shared" ref="H2:H16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21.0</v>
      </c>
      <c r="J2" s="19">
        <v>24.0</v>
      </c>
      <c r="K2" s="20" t="b">
        <v>0</v>
      </c>
      <c r="L2" s="24" t="s">
        <v>48</v>
      </c>
      <c r="M2" s="26" t="str">
        <f t="shared" ref="M2:M16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31.0</v>
      </c>
      <c r="O2" s="24">
        <v>24.0</v>
      </c>
      <c r="P2" s="24" t="b">
        <v>0</v>
      </c>
      <c r="Q2" s="27" t="s">
        <v>84</v>
      </c>
      <c r="R2" s="11" t="str">
        <f t="shared" ref="R2:R16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24.0</v>
      </c>
      <c r="T2" s="19">
        <v>27.0</v>
      </c>
      <c r="U2" s="20" t="b">
        <v>0</v>
      </c>
      <c r="V2" s="19" t="s">
        <v>84</v>
      </c>
      <c r="W2" s="11" t="str">
        <f t="shared" ref="W2:W16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17.0</v>
      </c>
      <c r="Y2" s="19">
        <v>20.0</v>
      </c>
      <c r="Z2" s="20" t="b">
        <v>0</v>
      </c>
      <c r="AA2" s="27" t="s">
        <v>84</v>
      </c>
      <c r="AB2" s="11" t="str">
        <f t="shared" ref="AB2:AB16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84</v>
      </c>
      <c r="AG2" s="11" t="str">
        <f t="shared" ref="AG2:AG16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21.0</v>
      </c>
      <c r="AI2" s="19">
        <v>28.0</v>
      </c>
      <c r="AJ2" s="20" t="b">
        <v>0</v>
      </c>
      <c r="AK2" s="19" t="s">
        <v>84</v>
      </c>
      <c r="AL2" s="11" t="str">
        <f t="shared" ref="AL2:AL16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24.0</v>
      </c>
      <c r="AN2" s="19">
        <v>31.0</v>
      </c>
      <c r="AO2" s="20" t="b">
        <v>1</v>
      </c>
      <c r="AP2" s="27" t="s">
        <v>84</v>
      </c>
      <c r="AQ2" s="11" t="str">
        <f t="shared" ref="AQ2:AQ16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20.0</v>
      </c>
      <c r="AS2" s="19">
        <v>27.0</v>
      </c>
      <c r="AT2" s="20" t="b">
        <v>0</v>
      </c>
      <c r="AU2" s="27" t="s">
        <v>48</v>
      </c>
      <c r="AV2" s="11" t="str">
        <f t="shared" ref="AV2:AV16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27.0</v>
      </c>
      <c r="AX2" s="19">
        <v>24.0</v>
      </c>
      <c r="AY2" s="20" t="b">
        <v>0</v>
      </c>
      <c r="AZ2" s="27" t="s">
        <v>84</v>
      </c>
      <c r="BA2" s="11" t="str">
        <f t="shared" ref="BA2:BA16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84</v>
      </c>
      <c r="BF2" s="11" t="str">
        <f t="shared" ref="BF2:BF16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7.0</v>
      </c>
      <c r="BH2" s="19">
        <v>10.0</v>
      </c>
      <c r="BI2" s="20" t="b">
        <v>1</v>
      </c>
      <c r="BJ2" s="27" t="s">
        <v>48</v>
      </c>
      <c r="BK2" s="11" t="str">
        <f t="shared" ref="BK2:BK16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17.0</v>
      </c>
      <c r="BM2" s="19">
        <v>14.0</v>
      </c>
      <c r="BN2" s="20" t="b">
        <v>0</v>
      </c>
      <c r="BO2" s="19"/>
      <c r="BP2" s="19"/>
      <c r="BQ2" s="19"/>
    </row>
    <row r="3">
      <c r="A3" s="16" t="s">
        <v>158</v>
      </c>
      <c r="B3" s="17" t="s">
        <v>159</v>
      </c>
      <c r="C3" s="18"/>
      <c r="D3" s="11" t="str">
        <f>IFERROR(__xludf.DUMMYFUNCTION("""COMPUTED_VALUE"""),"")</f>
        <v/>
      </c>
      <c r="E3" s="17"/>
      <c r="F3" s="31"/>
      <c r="G3" s="19" t="s">
        <v>71</v>
      </c>
      <c r="H3" s="11" t="str">
        <f t="shared" si="1"/>
        <v/>
      </c>
      <c r="I3" s="19">
        <v>10.0</v>
      </c>
      <c r="J3" s="19">
        <v>14.0</v>
      </c>
      <c r="K3" s="20" t="b">
        <v>0</v>
      </c>
      <c r="L3" s="19" t="s">
        <v>71</v>
      </c>
      <c r="M3" s="11" t="str">
        <f t="shared" si="2"/>
        <v/>
      </c>
      <c r="N3" s="19">
        <v>14.0</v>
      </c>
      <c r="O3" s="19">
        <v>17.0</v>
      </c>
      <c r="P3" s="19" t="b">
        <v>0</v>
      </c>
      <c r="Q3" s="27" t="s">
        <v>71</v>
      </c>
      <c r="R3" s="11" t="str">
        <f t="shared" si="3"/>
        <v/>
      </c>
      <c r="S3" s="19">
        <v>17.0</v>
      </c>
      <c r="T3" s="19">
        <v>21.0</v>
      </c>
      <c r="U3" s="20" t="b">
        <v>0</v>
      </c>
      <c r="V3" s="19" t="s">
        <v>54</v>
      </c>
      <c r="W3" s="11" t="str">
        <f t="shared" si="4"/>
        <v/>
      </c>
      <c r="X3" s="19">
        <v>20.0</v>
      </c>
      <c r="Y3" s="19">
        <v>17.0</v>
      </c>
      <c r="Z3" s="20" t="b">
        <v>0</v>
      </c>
      <c r="AA3" s="27" t="s">
        <v>54</v>
      </c>
      <c r="AB3" s="11" t="str">
        <f t="shared" si="5"/>
        <v/>
      </c>
      <c r="AC3" s="19">
        <v>24.0</v>
      </c>
      <c r="AD3" s="19">
        <v>17.0</v>
      </c>
      <c r="AE3" s="19" t="b">
        <v>0</v>
      </c>
      <c r="AF3" s="27" t="s">
        <v>54</v>
      </c>
      <c r="AG3" s="11" t="str">
        <f t="shared" si="6"/>
        <v/>
      </c>
      <c r="AH3" s="19">
        <v>14.0</v>
      </c>
      <c r="AI3" s="19">
        <v>10.0</v>
      </c>
      <c r="AJ3" s="20" t="b">
        <v>0</v>
      </c>
      <c r="AK3" s="19" t="s">
        <v>54</v>
      </c>
      <c r="AL3" s="11" t="str">
        <f t="shared" si="7"/>
        <v/>
      </c>
      <c r="AM3" s="19">
        <v>10.0</v>
      </c>
      <c r="AN3" s="19">
        <v>7.0</v>
      </c>
      <c r="AO3" s="20" t="b">
        <v>0</v>
      </c>
      <c r="AP3" s="27" t="s">
        <v>54</v>
      </c>
      <c r="AQ3" s="11" t="str">
        <f t="shared" si="8"/>
        <v/>
      </c>
      <c r="AR3" s="19">
        <v>23.0</v>
      </c>
      <c r="AS3" s="19">
        <v>20.0</v>
      </c>
      <c r="AT3" s="20" t="b">
        <v>0</v>
      </c>
      <c r="AU3" s="27" t="s">
        <v>54</v>
      </c>
      <c r="AV3" s="11" t="str">
        <f t="shared" si="9"/>
        <v/>
      </c>
      <c r="AW3" s="19">
        <v>24.0</v>
      </c>
      <c r="AX3" s="19">
        <v>21.0</v>
      </c>
      <c r="AY3" s="20" t="b">
        <v>0</v>
      </c>
      <c r="AZ3" s="27" t="s">
        <v>54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54</v>
      </c>
      <c r="BF3" s="11" t="str">
        <f t="shared" si="11"/>
        <v/>
      </c>
      <c r="BG3" s="19">
        <v>23.0</v>
      </c>
      <c r="BH3" s="19">
        <v>20.0</v>
      </c>
      <c r="BI3" s="20" t="b">
        <v>0</v>
      </c>
      <c r="BJ3" s="27" t="s">
        <v>54</v>
      </c>
      <c r="BK3" s="11" t="str">
        <f t="shared" si="12"/>
        <v/>
      </c>
      <c r="BL3" s="19">
        <v>27.0</v>
      </c>
      <c r="BM3" s="19">
        <v>24.0</v>
      </c>
      <c r="BN3" s="20" t="b">
        <v>0</v>
      </c>
      <c r="BO3" s="17"/>
      <c r="BP3" s="17"/>
      <c r="BQ3" s="17"/>
    </row>
    <row r="4">
      <c r="A4" s="16" t="s">
        <v>160</v>
      </c>
      <c r="B4" s="17" t="s">
        <v>161</v>
      </c>
      <c r="C4" s="18"/>
      <c r="D4" s="11" t="str">
        <f>IFERROR(__xludf.DUMMYFUNCTION("""COMPUTED_VALUE"""),"")</f>
        <v/>
      </c>
      <c r="E4" s="19"/>
      <c r="F4" s="20"/>
      <c r="G4" s="19" t="s">
        <v>28</v>
      </c>
      <c r="H4" s="11" t="str">
        <f t="shared" si="1"/>
        <v/>
      </c>
      <c r="I4" s="19">
        <v>17.0</v>
      </c>
      <c r="J4" s="19">
        <v>21.0</v>
      </c>
      <c r="K4" s="20" t="b">
        <v>0</v>
      </c>
      <c r="L4" s="19" t="s">
        <v>28</v>
      </c>
      <c r="M4" s="11" t="str">
        <f t="shared" si="2"/>
        <v/>
      </c>
      <c r="N4" s="19">
        <v>24.0</v>
      </c>
      <c r="O4" s="19">
        <v>31.0</v>
      </c>
      <c r="P4" s="19" t="b">
        <v>0</v>
      </c>
      <c r="Q4" s="27" t="s">
        <v>79</v>
      </c>
      <c r="R4" s="11" t="str">
        <f t="shared" si="3"/>
        <v/>
      </c>
      <c r="S4" s="19">
        <v>27.0</v>
      </c>
      <c r="T4" s="19">
        <v>24.0</v>
      </c>
      <c r="U4" s="20" t="b">
        <v>0</v>
      </c>
      <c r="V4" s="19" t="s">
        <v>28</v>
      </c>
      <c r="W4" s="11" t="str">
        <f t="shared" si="4"/>
        <v/>
      </c>
      <c r="X4" s="19">
        <v>21.0</v>
      </c>
      <c r="Y4" s="19">
        <v>24.0</v>
      </c>
      <c r="Z4" s="20" t="b">
        <v>0</v>
      </c>
      <c r="AA4" s="27" t="s">
        <v>28</v>
      </c>
      <c r="AB4" s="11" t="str">
        <f t="shared" si="5"/>
        <v/>
      </c>
      <c r="AC4" s="19">
        <v>17.0</v>
      </c>
      <c r="AD4" s="19">
        <v>24.0</v>
      </c>
      <c r="AE4" s="19" t="b">
        <v>0</v>
      </c>
      <c r="AF4" s="27" t="s">
        <v>28</v>
      </c>
      <c r="AG4" s="11" t="str">
        <f t="shared" si="6"/>
        <v/>
      </c>
      <c r="AH4" s="19">
        <v>10.0</v>
      </c>
      <c r="AI4" s="19">
        <v>17.0</v>
      </c>
      <c r="AJ4" s="20" t="b">
        <v>0</v>
      </c>
      <c r="AK4" s="19" t="s">
        <v>28</v>
      </c>
      <c r="AL4" s="11" t="str">
        <f t="shared" si="7"/>
        <v/>
      </c>
      <c r="AM4" s="19">
        <v>24.0</v>
      </c>
      <c r="AN4" s="19">
        <v>27.0</v>
      </c>
      <c r="AO4" s="20" t="b">
        <v>0</v>
      </c>
      <c r="AP4" s="27" t="s">
        <v>28</v>
      </c>
      <c r="AQ4" s="11" t="str">
        <f t="shared" si="8"/>
        <v/>
      </c>
      <c r="AR4" s="19">
        <v>13.0</v>
      </c>
      <c r="AS4" s="19">
        <v>24.0</v>
      </c>
      <c r="AT4" s="20" t="b">
        <v>0</v>
      </c>
      <c r="AU4" s="27" t="s">
        <v>28</v>
      </c>
      <c r="AV4" s="11" t="str">
        <f t="shared" si="9"/>
        <v/>
      </c>
      <c r="AW4" s="19">
        <v>21.0</v>
      </c>
      <c r="AX4" s="19">
        <v>24.0</v>
      </c>
      <c r="AY4" s="20" t="b">
        <v>1</v>
      </c>
      <c r="AZ4" s="27" t="s">
        <v>28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79</v>
      </c>
      <c r="BF4" s="11" t="str">
        <f t="shared" si="11"/>
        <v/>
      </c>
      <c r="BG4" s="19">
        <v>24.0</v>
      </c>
      <c r="BH4" s="19">
        <v>21.0</v>
      </c>
      <c r="BI4" s="20" t="b">
        <v>0</v>
      </c>
      <c r="BJ4" s="27" t="s">
        <v>28</v>
      </c>
      <c r="BK4" s="11" t="str">
        <f t="shared" si="12"/>
        <v/>
      </c>
      <c r="BL4" s="19">
        <v>10.0</v>
      </c>
      <c r="BM4" s="19">
        <v>14.0</v>
      </c>
      <c r="BN4" s="20" t="b">
        <v>1</v>
      </c>
      <c r="BO4" s="17"/>
      <c r="BP4" s="17"/>
      <c r="BQ4" s="17"/>
    </row>
    <row r="5">
      <c r="A5" s="16" t="s">
        <v>160</v>
      </c>
      <c r="B5" s="17" t="s">
        <v>162</v>
      </c>
      <c r="C5" s="18"/>
      <c r="D5" s="11" t="str">
        <f>IFERROR(__xludf.DUMMYFUNCTION("""COMPUTED_VALUE"""),"")</f>
        <v/>
      </c>
      <c r="E5" s="19"/>
      <c r="F5" s="20"/>
      <c r="G5" s="19" t="s">
        <v>46</v>
      </c>
      <c r="H5" s="11" t="str">
        <f t="shared" si="1"/>
        <v/>
      </c>
      <c r="I5" s="19">
        <v>24.0</v>
      </c>
      <c r="J5" s="19">
        <v>21.0</v>
      </c>
      <c r="K5" s="20" t="b">
        <v>0</v>
      </c>
      <c r="L5" s="19" t="s">
        <v>87</v>
      </c>
      <c r="M5" s="11" t="str">
        <f t="shared" si="2"/>
        <v/>
      </c>
      <c r="N5" s="19">
        <v>17.0</v>
      </c>
      <c r="O5" s="19">
        <v>20.0</v>
      </c>
      <c r="P5" s="19" t="b">
        <v>0</v>
      </c>
      <c r="Q5" s="27" t="s">
        <v>46</v>
      </c>
      <c r="R5" s="11" t="str">
        <f t="shared" si="3"/>
        <v/>
      </c>
      <c r="S5" s="19">
        <v>14.0</v>
      </c>
      <c r="T5" s="19">
        <v>10.0</v>
      </c>
      <c r="U5" s="20" t="b">
        <v>1</v>
      </c>
      <c r="V5" s="19" t="s">
        <v>46</v>
      </c>
      <c r="W5" s="11" t="str">
        <f t="shared" si="4"/>
        <v/>
      </c>
      <c r="X5" s="19">
        <v>10.0</v>
      </c>
      <c r="Y5" s="19">
        <v>7.0</v>
      </c>
      <c r="Z5" s="20" t="b">
        <v>0</v>
      </c>
      <c r="AA5" s="27" t="s">
        <v>46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46</v>
      </c>
      <c r="AG5" s="11" t="str">
        <f t="shared" si="6"/>
        <v/>
      </c>
      <c r="AH5" s="19">
        <v>28.0</v>
      </c>
      <c r="AI5" s="19">
        <v>27.0</v>
      </c>
      <c r="AJ5" s="20" t="b">
        <v>0</v>
      </c>
      <c r="AK5" s="19" t="s">
        <v>46</v>
      </c>
      <c r="AL5" s="11" t="str">
        <f t="shared" si="7"/>
        <v/>
      </c>
      <c r="AM5" s="19">
        <v>21.0</v>
      </c>
      <c r="AN5" s="19">
        <v>17.0</v>
      </c>
      <c r="AO5" s="20" t="b">
        <v>0</v>
      </c>
      <c r="AP5" s="27" t="s">
        <v>46</v>
      </c>
      <c r="AQ5" s="11" t="str">
        <f t="shared" si="8"/>
        <v/>
      </c>
      <c r="AR5" s="19">
        <v>31.0</v>
      </c>
      <c r="AS5" s="19">
        <v>24.0</v>
      </c>
      <c r="AT5" s="20" t="b">
        <v>0</v>
      </c>
      <c r="AU5" s="27" t="s">
        <v>46</v>
      </c>
      <c r="AV5" s="11" t="str">
        <f t="shared" si="9"/>
        <v/>
      </c>
      <c r="AW5" s="19">
        <v>31.0</v>
      </c>
      <c r="AX5" s="19">
        <v>24.0</v>
      </c>
      <c r="AY5" s="20" t="b">
        <v>0</v>
      </c>
      <c r="AZ5" s="27" t="s">
        <v>46</v>
      </c>
      <c r="BA5" s="11" t="str">
        <f t="shared" si="10"/>
        <v/>
      </c>
      <c r="BB5" s="19">
        <v>23.0</v>
      </c>
      <c r="BC5" s="19">
        <v>20.0</v>
      </c>
      <c r="BD5" s="20" t="b">
        <v>1</v>
      </c>
      <c r="BE5" s="27" t="s">
        <v>87</v>
      </c>
      <c r="BF5" s="11" t="str">
        <f t="shared" si="11"/>
        <v/>
      </c>
      <c r="BG5" s="19">
        <v>14.0</v>
      </c>
      <c r="BH5" s="19">
        <v>17.0</v>
      </c>
      <c r="BI5" s="20" t="b">
        <v>0</v>
      </c>
      <c r="BJ5" s="27" t="s">
        <v>46</v>
      </c>
      <c r="BK5" s="11" t="str">
        <f t="shared" si="12"/>
        <v/>
      </c>
      <c r="BL5" s="19">
        <v>24.0</v>
      </c>
      <c r="BM5" s="19">
        <v>23.0</v>
      </c>
      <c r="BN5" s="20" t="b">
        <v>0</v>
      </c>
      <c r="BO5" s="17"/>
      <c r="BP5" s="17"/>
      <c r="BQ5" s="17"/>
    </row>
    <row r="6">
      <c r="A6" s="16" t="s">
        <v>160</v>
      </c>
      <c r="B6" s="17" t="s">
        <v>163</v>
      </c>
      <c r="C6" s="18"/>
      <c r="D6" s="11" t="str">
        <f>IFERROR(__xludf.DUMMYFUNCTION("""COMPUTED_VALUE"""),"")</f>
        <v/>
      </c>
      <c r="E6" s="19"/>
      <c r="F6" s="20"/>
      <c r="G6" s="19" t="s">
        <v>51</v>
      </c>
      <c r="H6" s="11" t="str">
        <f t="shared" si="1"/>
        <v/>
      </c>
      <c r="I6" s="19">
        <v>20.0</v>
      </c>
      <c r="J6" s="19">
        <v>17.0</v>
      </c>
      <c r="K6" s="20" t="b">
        <v>0</v>
      </c>
      <c r="L6" s="19" t="s">
        <v>51</v>
      </c>
      <c r="M6" s="11" t="str">
        <f t="shared" si="2"/>
        <v/>
      </c>
      <c r="N6" s="19">
        <v>27.0</v>
      </c>
      <c r="O6" s="19">
        <v>24.0</v>
      </c>
      <c r="P6" s="19" t="b">
        <v>0</v>
      </c>
      <c r="Q6" s="27" t="s">
        <v>126</v>
      </c>
      <c r="R6" s="11" t="str">
        <f t="shared" si="3"/>
        <v/>
      </c>
      <c r="S6" s="19">
        <v>10.0</v>
      </c>
      <c r="T6" s="19">
        <v>14.0</v>
      </c>
      <c r="U6" s="20" t="b">
        <v>0</v>
      </c>
      <c r="V6" s="19" t="s">
        <v>51</v>
      </c>
      <c r="W6" s="11" t="str">
        <f t="shared" si="4"/>
        <v/>
      </c>
      <c r="X6" s="19">
        <v>28.0</v>
      </c>
      <c r="Y6" s="19">
        <v>21.0</v>
      </c>
      <c r="Z6" s="20" t="b">
        <v>1</v>
      </c>
      <c r="AA6" s="27" t="s">
        <v>126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126</v>
      </c>
      <c r="AG6" s="11" t="str">
        <f t="shared" si="6"/>
        <v/>
      </c>
      <c r="AH6" s="19">
        <v>10.0</v>
      </c>
      <c r="AI6" s="19">
        <v>14.0</v>
      </c>
      <c r="AJ6" s="20" t="b">
        <v>0</v>
      </c>
      <c r="AK6" s="19" t="s">
        <v>126</v>
      </c>
      <c r="AL6" s="11" t="str">
        <f t="shared" si="7"/>
        <v/>
      </c>
      <c r="AM6" s="19">
        <v>24.0</v>
      </c>
      <c r="AN6" s="19">
        <v>27.0</v>
      </c>
      <c r="AO6" s="20" t="b">
        <v>0</v>
      </c>
      <c r="AP6" s="27" t="s">
        <v>126</v>
      </c>
      <c r="AQ6" s="11" t="str">
        <f t="shared" si="8"/>
        <v/>
      </c>
      <c r="AR6" s="19">
        <v>20.0</v>
      </c>
      <c r="AS6" s="19">
        <v>21.0</v>
      </c>
      <c r="AT6" s="20" t="b">
        <v>0</v>
      </c>
      <c r="AU6" s="27" t="s">
        <v>51</v>
      </c>
      <c r="AV6" s="11" t="str">
        <f t="shared" si="9"/>
        <v/>
      </c>
      <c r="AW6" s="19">
        <v>20.0</v>
      </c>
      <c r="AX6" s="19">
        <v>17.0</v>
      </c>
      <c r="AY6" s="20" t="b">
        <v>0</v>
      </c>
      <c r="AZ6" s="27" t="s">
        <v>51</v>
      </c>
      <c r="BA6" s="11" t="str">
        <f t="shared" si="10"/>
        <v/>
      </c>
      <c r="BB6" s="19">
        <v>23.0</v>
      </c>
      <c r="BC6" s="19">
        <v>20.0</v>
      </c>
      <c r="BD6" s="20" t="b">
        <v>0</v>
      </c>
      <c r="BE6" s="27" t="s">
        <v>51</v>
      </c>
      <c r="BF6" s="11" t="str">
        <f t="shared" si="11"/>
        <v/>
      </c>
      <c r="BG6" s="19">
        <v>23.0</v>
      </c>
      <c r="BH6" s="19">
        <v>20.0</v>
      </c>
      <c r="BI6" s="20" t="b">
        <v>0</v>
      </c>
      <c r="BJ6" s="27" t="s">
        <v>51</v>
      </c>
      <c r="BK6" s="11" t="str">
        <f t="shared" si="12"/>
        <v/>
      </c>
      <c r="BL6" s="19">
        <v>10.0</v>
      </c>
      <c r="BM6" s="19">
        <v>7.0</v>
      </c>
      <c r="BN6" s="20" t="b">
        <v>0</v>
      </c>
      <c r="BO6" s="17"/>
      <c r="BP6" s="17"/>
      <c r="BQ6" s="17"/>
    </row>
    <row r="7">
      <c r="A7" s="16" t="s">
        <v>160</v>
      </c>
      <c r="B7" s="30" t="s">
        <v>164</v>
      </c>
      <c r="C7" s="18"/>
      <c r="D7" s="11" t="str">
        <f>IFERROR(__xludf.DUMMYFUNCTION("""COMPUTED_VALUE"""),"")</f>
        <v/>
      </c>
      <c r="E7" s="19"/>
      <c r="F7" s="20"/>
      <c r="G7" s="19" t="s">
        <v>69</v>
      </c>
      <c r="H7" s="11" t="str">
        <f t="shared" si="1"/>
        <v/>
      </c>
      <c r="I7" s="19">
        <v>21.0</v>
      </c>
      <c r="J7" s="19">
        <v>17.0</v>
      </c>
      <c r="K7" s="20" t="b">
        <v>1</v>
      </c>
      <c r="L7" s="19" t="s">
        <v>69</v>
      </c>
      <c r="M7" s="11" t="str">
        <f t="shared" si="2"/>
        <v/>
      </c>
      <c r="N7" s="19">
        <v>20.0</v>
      </c>
      <c r="O7" s="19">
        <v>17.0</v>
      </c>
      <c r="P7" s="19" t="b">
        <v>0</v>
      </c>
      <c r="Q7" s="27" t="s">
        <v>69</v>
      </c>
      <c r="R7" s="11" t="str">
        <f t="shared" si="3"/>
        <v/>
      </c>
      <c r="S7" s="19">
        <v>24.0</v>
      </c>
      <c r="T7" s="19">
        <v>21.0</v>
      </c>
      <c r="U7" s="20" t="b">
        <v>0</v>
      </c>
      <c r="V7" s="19" t="s">
        <v>69</v>
      </c>
      <c r="W7" s="11" t="str">
        <f t="shared" si="4"/>
        <v/>
      </c>
      <c r="X7" s="19">
        <v>17.0</v>
      </c>
      <c r="Y7" s="19">
        <v>10.0</v>
      </c>
      <c r="Z7" s="20" t="b">
        <v>0</v>
      </c>
      <c r="AA7" s="27" t="s">
        <v>69</v>
      </c>
      <c r="AB7" s="11" t="str">
        <f t="shared" si="5"/>
        <v/>
      </c>
      <c r="AC7" s="19">
        <v>24.0</v>
      </c>
      <c r="AD7" s="19">
        <v>17.0</v>
      </c>
      <c r="AE7" s="19" t="b">
        <v>0</v>
      </c>
      <c r="AF7" s="27" t="s">
        <v>69</v>
      </c>
      <c r="AG7" s="11" t="str">
        <f t="shared" si="6"/>
        <v/>
      </c>
      <c r="AH7" s="19">
        <v>14.0</v>
      </c>
      <c r="AI7" s="19">
        <v>10.0</v>
      </c>
      <c r="AJ7" s="20" t="b">
        <v>0</v>
      </c>
      <c r="AK7" s="19" t="s">
        <v>69</v>
      </c>
      <c r="AL7" s="11" t="str">
        <f t="shared" si="7"/>
        <v/>
      </c>
      <c r="AM7" s="19">
        <v>24.0</v>
      </c>
      <c r="AN7" s="19">
        <v>21.0</v>
      </c>
      <c r="AO7" s="20" t="b">
        <v>0</v>
      </c>
      <c r="AP7" s="27" t="s">
        <v>69</v>
      </c>
      <c r="AQ7" s="11" t="str">
        <f t="shared" si="8"/>
        <v/>
      </c>
      <c r="AR7" s="19">
        <v>27.0</v>
      </c>
      <c r="AS7" s="19">
        <v>17.0</v>
      </c>
      <c r="AT7" s="20" t="b">
        <v>0</v>
      </c>
      <c r="AU7" s="27" t="s">
        <v>69</v>
      </c>
      <c r="AV7" s="11" t="str">
        <f t="shared" si="9"/>
        <v/>
      </c>
      <c r="AW7" s="19">
        <v>28.0</v>
      </c>
      <c r="AX7" s="19">
        <v>21.0</v>
      </c>
      <c r="AY7" s="20" t="b">
        <v>0</v>
      </c>
      <c r="AZ7" s="27" t="s">
        <v>69</v>
      </c>
      <c r="BA7" s="11" t="str">
        <f t="shared" si="10"/>
        <v/>
      </c>
      <c r="BB7" s="19">
        <v>23.0</v>
      </c>
      <c r="BC7" s="19">
        <v>20.0</v>
      </c>
      <c r="BD7" s="20" t="b">
        <v>0</v>
      </c>
      <c r="BE7" s="27" t="s">
        <v>69</v>
      </c>
      <c r="BF7" s="11" t="str">
        <f t="shared" si="11"/>
        <v/>
      </c>
      <c r="BG7" s="19">
        <v>17.0</v>
      </c>
      <c r="BH7" s="19">
        <v>14.0</v>
      </c>
      <c r="BI7" s="20" t="b">
        <v>0</v>
      </c>
      <c r="BJ7" s="27" t="s">
        <v>69</v>
      </c>
      <c r="BK7" s="11" t="str">
        <f t="shared" si="12"/>
        <v/>
      </c>
      <c r="BL7" s="19">
        <v>24.0</v>
      </c>
      <c r="BM7" s="19">
        <v>23.0</v>
      </c>
      <c r="BN7" s="20" t="b">
        <v>0</v>
      </c>
      <c r="BO7" s="17"/>
      <c r="BP7" s="17"/>
      <c r="BQ7" s="17"/>
    </row>
    <row r="8">
      <c r="A8" s="16" t="s">
        <v>160</v>
      </c>
      <c r="B8" s="17" t="s">
        <v>165</v>
      </c>
      <c r="C8" s="18"/>
      <c r="D8" s="11" t="str">
        <f>IFERROR(__xludf.DUMMYFUNCTION("""COMPUTED_VALUE"""),"")</f>
        <v/>
      </c>
      <c r="E8" s="19"/>
      <c r="F8" s="20"/>
      <c r="G8" s="19" t="s">
        <v>76</v>
      </c>
      <c r="H8" s="11" t="str">
        <f t="shared" si="1"/>
        <v/>
      </c>
      <c r="I8" s="19">
        <v>20.0</v>
      </c>
      <c r="J8" s="19">
        <v>17.0</v>
      </c>
      <c r="K8" s="20" t="b">
        <v>0</v>
      </c>
      <c r="L8" s="19" t="s">
        <v>76</v>
      </c>
      <c r="M8" s="11" t="str">
        <f t="shared" si="2"/>
        <v/>
      </c>
      <c r="N8" s="19">
        <v>28.0</v>
      </c>
      <c r="O8" s="19">
        <v>21.0</v>
      </c>
      <c r="P8" s="19" t="b">
        <v>0</v>
      </c>
      <c r="Q8" s="27" t="s">
        <v>76</v>
      </c>
      <c r="R8" s="11" t="str">
        <f t="shared" si="3"/>
        <v/>
      </c>
      <c r="S8" s="19">
        <v>24.0</v>
      </c>
      <c r="T8" s="19">
        <v>21.0</v>
      </c>
      <c r="U8" s="20" t="b">
        <v>0</v>
      </c>
      <c r="V8" s="19" t="s">
        <v>33</v>
      </c>
      <c r="W8" s="11" t="str">
        <f t="shared" si="4"/>
        <v/>
      </c>
      <c r="X8" s="19">
        <v>21.0</v>
      </c>
      <c r="Y8" s="19">
        <v>24.0</v>
      </c>
      <c r="Z8" s="20" t="b">
        <v>0</v>
      </c>
      <c r="AA8" s="27" t="s">
        <v>33</v>
      </c>
      <c r="AB8" s="11" t="str">
        <f t="shared" si="5"/>
        <v/>
      </c>
      <c r="AC8" s="19">
        <v>17.0</v>
      </c>
      <c r="AD8" s="19">
        <v>24.0</v>
      </c>
      <c r="AE8" s="19" t="b">
        <v>0</v>
      </c>
      <c r="AF8" s="27" t="s">
        <v>76</v>
      </c>
      <c r="AG8" s="11" t="str">
        <f t="shared" si="6"/>
        <v/>
      </c>
      <c r="AH8" s="19">
        <v>14.0</v>
      </c>
      <c r="AI8" s="19">
        <v>10.0</v>
      </c>
      <c r="AJ8" s="20" t="b">
        <v>0</v>
      </c>
      <c r="AK8" s="19" t="s">
        <v>33</v>
      </c>
      <c r="AL8" s="11" t="str">
        <f t="shared" si="7"/>
        <v/>
      </c>
      <c r="AM8" s="19">
        <v>14.0</v>
      </c>
      <c r="AN8" s="19">
        <v>17.0</v>
      </c>
      <c r="AO8" s="20" t="b">
        <v>0</v>
      </c>
      <c r="AP8" s="27" t="s">
        <v>33</v>
      </c>
      <c r="AQ8" s="11" t="str">
        <f t="shared" si="8"/>
        <v/>
      </c>
      <c r="AR8" s="19">
        <v>21.0</v>
      </c>
      <c r="AS8" s="19">
        <v>24.0</v>
      </c>
      <c r="AT8" s="20" t="b">
        <v>0</v>
      </c>
      <c r="AU8" s="27" t="s">
        <v>33</v>
      </c>
      <c r="AV8" s="11" t="str">
        <f t="shared" si="9"/>
        <v/>
      </c>
      <c r="AW8" s="19">
        <v>17.0</v>
      </c>
      <c r="AX8" s="19">
        <v>20.0</v>
      </c>
      <c r="AY8" s="20" t="b">
        <v>0</v>
      </c>
      <c r="AZ8" s="27" t="s">
        <v>33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76</v>
      </c>
      <c r="BF8" s="11" t="str">
        <f t="shared" si="11"/>
        <v/>
      </c>
      <c r="BG8" s="19">
        <v>14.0</v>
      </c>
      <c r="BH8" s="19">
        <v>10.0</v>
      </c>
      <c r="BI8" s="20" t="b">
        <v>0</v>
      </c>
      <c r="BJ8" s="27" t="s">
        <v>76</v>
      </c>
      <c r="BK8" s="11" t="str">
        <f t="shared" si="12"/>
        <v/>
      </c>
      <c r="BL8" s="19">
        <v>20.0</v>
      </c>
      <c r="BM8" s="19">
        <v>17.0</v>
      </c>
      <c r="BN8" s="20" t="b">
        <v>0</v>
      </c>
      <c r="BO8" s="19"/>
      <c r="BP8" s="19"/>
      <c r="BQ8" s="19"/>
    </row>
    <row r="9">
      <c r="A9" s="16" t="s">
        <v>160</v>
      </c>
      <c r="B9" s="17" t="s">
        <v>166</v>
      </c>
      <c r="C9" s="18"/>
      <c r="D9" s="11" t="str">
        <f>IFERROR(__xludf.DUMMYFUNCTION("""COMPUTED_VALUE"""),"")</f>
        <v/>
      </c>
      <c r="E9" s="19"/>
      <c r="F9" s="20"/>
      <c r="G9" s="19" t="s">
        <v>34</v>
      </c>
      <c r="H9" s="11" t="str">
        <f t="shared" si="1"/>
        <v/>
      </c>
      <c r="I9" s="19">
        <v>28.0</v>
      </c>
      <c r="J9" s="19">
        <v>21.0</v>
      </c>
      <c r="K9" s="20" t="b">
        <v>0</v>
      </c>
      <c r="L9" s="19" t="s">
        <v>58</v>
      </c>
      <c r="M9" s="11" t="str">
        <f t="shared" si="2"/>
        <v/>
      </c>
      <c r="N9" s="19">
        <v>21.0</v>
      </c>
      <c r="O9" s="19">
        <v>28.0</v>
      </c>
      <c r="P9" s="19" t="b">
        <v>0</v>
      </c>
      <c r="Q9" s="27" t="s">
        <v>34</v>
      </c>
      <c r="R9" s="11" t="str">
        <f t="shared" si="3"/>
        <v/>
      </c>
      <c r="S9" s="19">
        <v>17.0</v>
      </c>
      <c r="T9" s="19">
        <v>14.0</v>
      </c>
      <c r="U9" s="20" t="b">
        <v>0</v>
      </c>
      <c r="V9" s="19" t="s">
        <v>34</v>
      </c>
      <c r="W9" s="11" t="str">
        <f t="shared" si="4"/>
        <v/>
      </c>
      <c r="X9" s="19">
        <v>28.0</v>
      </c>
      <c r="Y9" s="19">
        <v>21.0</v>
      </c>
      <c r="Z9" s="20" t="b">
        <v>0</v>
      </c>
      <c r="AA9" s="27" t="s">
        <v>34</v>
      </c>
      <c r="AB9" s="11" t="str">
        <f t="shared" si="5"/>
        <v/>
      </c>
      <c r="AC9" s="19">
        <v>24.0</v>
      </c>
      <c r="AD9" s="19">
        <v>17.0</v>
      </c>
      <c r="AE9" s="19" t="b">
        <v>0</v>
      </c>
      <c r="AF9" s="27" t="s">
        <v>58</v>
      </c>
      <c r="AG9" s="11" t="str">
        <f t="shared" si="6"/>
        <v/>
      </c>
      <c r="AH9" s="19">
        <v>0.0</v>
      </c>
      <c r="AI9" s="19">
        <v>3.0</v>
      </c>
      <c r="AJ9" s="20" t="b">
        <v>0</v>
      </c>
      <c r="AK9" s="19" t="s">
        <v>58</v>
      </c>
      <c r="AL9" s="11" t="str">
        <f t="shared" si="7"/>
        <v/>
      </c>
      <c r="AM9" s="19">
        <v>17.0</v>
      </c>
      <c r="AN9" s="19">
        <v>21.0</v>
      </c>
      <c r="AO9" s="20" t="b">
        <v>0</v>
      </c>
      <c r="AP9" s="27" t="s">
        <v>58</v>
      </c>
      <c r="AQ9" s="11" t="str">
        <f t="shared" si="8"/>
        <v/>
      </c>
      <c r="AR9" s="19">
        <v>17.0</v>
      </c>
      <c r="AS9" s="19">
        <v>20.0</v>
      </c>
      <c r="AT9" s="20" t="b">
        <v>0</v>
      </c>
      <c r="AU9" s="27" t="s">
        <v>58</v>
      </c>
      <c r="AV9" s="11" t="str">
        <f t="shared" si="9"/>
        <v/>
      </c>
      <c r="AW9" s="19">
        <v>14.0</v>
      </c>
      <c r="AX9" s="19">
        <v>17.0</v>
      </c>
      <c r="AY9" s="20" t="b">
        <v>0</v>
      </c>
      <c r="AZ9" s="27" t="s">
        <v>58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58</v>
      </c>
      <c r="BF9" s="11" t="str">
        <f t="shared" si="11"/>
        <v/>
      </c>
      <c r="BG9" s="19">
        <v>24.0</v>
      </c>
      <c r="BH9" s="19">
        <v>27.0</v>
      </c>
      <c r="BI9" s="20" t="b">
        <v>0</v>
      </c>
      <c r="BJ9" s="27" t="s">
        <v>34</v>
      </c>
      <c r="BK9" s="11" t="str">
        <f t="shared" si="12"/>
        <v/>
      </c>
      <c r="BL9" s="19">
        <v>27.0</v>
      </c>
      <c r="BM9" s="19">
        <v>24.0</v>
      </c>
      <c r="BN9" s="20" t="b">
        <v>0</v>
      </c>
      <c r="BO9" s="17"/>
      <c r="BP9" s="17"/>
      <c r="BQ9" s="17"/>
    </row>
    <row r="10">
      <c r="A10" s="16" t="s">
        <v>160</v>
      </c>
      <c r="B10" s="30" t="s">
        <v>167</v>
      </c>
      <c r="C10" s="18"/>
      <c r="D10" s="11" t="str">
        <f>IFERROR(__xludf.DUMMYFUNCTION("""COMPUTED_VALUE"""),"")</f>
        <v/>
      </c>
      <c r="E10" s="19"/>
      <c r="F10" s="20"/>
      <c r="G10" s="19" t="s">
        <v>85</v>
      </c>
      <c r="H10" s="11" t="str">
        <f t="shared" si="1"/>
        <v/>
      </c>
      <c r="I10" s="19">
        <v>14.0</v>
      </c>
      <c r="J10" s="19">
        <v>20.0</v>
      </c>
      <c r="K10" s="20" t="b">
        <v>0</v>
      </c>
      <c r="L10" s="19" t="s">
        <v>92</v>
      </c>
      <c r="M10" s="11" t="str">
        <f t="shared" si="2"/>
        <v/>
      </c>
      <c r="N10" s="19">
        <v>23.0</v>
      </c>
      <c r="O10" s="19">
        <v>20.0</v>
      </c>
      <c r="P10" s="19" t="b">
        <v>0</v>
      </c>
      <c r="Q10" s="27" t="s">
        <v>85</v>
      </c>
      <c r="R10" s="11" t="str">
        <f t="shared" si="3"/>
        <v/>
      </c>
      <c r="S10" s="19">
        <v>17.0</v>
      </c>
      <c r="T10" s="19">
        <v>21.0</v>
      </c>
      <c r="U10" s="20" t="b">
        <v>0</v>
      </c>
      <c r="V10" s="19" t="s">
        <v>85</v>
      </c>
      <c r="W10" s="11" t="str">
        <f t="shared" si="4"/>
        <v/>
      </c>
      <c r="X10" s="19">
        <v>20.0</v>
      </c>
      <c r="Y10" s="19">
        <v>23.0</v>
      </c>
      <c r="Z10" s="20" t="b">
        <v>0</v>
      </c>
      <c r="AA10" s="27" t="s">
        <v>85</v>
      </c>
      <c r="AB10" s="11" t="str">
        <f t="shared" si="5"/>
        <v/>
      </c>
      <c r="AC10" s="19">
        <v>17.0</v>
      </c>
      <c r="AD10" s="19">
        <v>24.0</v>
      </c>
      <c r="AE10" s="19" t="b">
        <v>0</v>
      </c>
      <c r="AF10" s="27" t="s">
        <v>85</v>
      </c>
      <c r="AG10" s="11" t="str">
        <f t="shared" si="6"/>
        <v/>
      </c>
      <c r="AH10" s="19">
        <v>20.0</v>
      </c>
      <c r="AI10" s="19">
        <v>31.0</v>
      </c>
      <c r="AJ10" s="20" t="b">
        <v>1</v>
      </c>
      <c r="AK10" s="19" t="s">
        <v>85</v>
      </c>
      <c r="AL10" s="11" t="str">
        <f t="shared" si="7"/>
        <v/>
      </c>
      <c r="AM10" s="19">
        <v>21.0</v>
      </c>
      <c r="AN10" s="19">
        <v>24.0</v>
      </c>
      <c r="AO10" s="20" t="b">
        <v>0</v>
      </c>
      <c r="AP10" s="27" t="s">
        <v>85</v>
      </c>
      <c r="AQ10" s="11" t="str">
        <f t="shared" si="8"/>
        <v/>
      </c>
      <c r="AR10" s="19">
        <v>23.0</v>
      </c>
      <c r="AS10" s="19">
        <v>28.0</v>
      </c>
      <c r="AT10" s="20" t="b">
        <v>0</v>
      </c>
      <c r="AU10" s="27" t="s">
        <v>92</v>
      </c>
      <c r="AV10" s="11" t="str">
        <f t="shared" si="9"/>
        <v/>
      </c>
      <c r="AW10" s="19">
        <v>21.0</v>
      </c>
      <c r="AX10" s="19">
        <v>17.0</v>
      </c>
      <c r="AY10" s="20" t="b">
        <v>0</v>
      </c>
      <c r="AZ10" s="27" t="s">
        <v>85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92</v>
      </c>
      <c r="BF10" s="11" t="str">
        <f t="shared" si="11"/>
        <v/>
      </c>
      <c r="BG10" s="19">
        <v>28.0</v>
      </c>
      <c r="BH10" s="19">
        <v>21.0</v>
      </c>
      <c r="BI10" s="20" t="b">
        <v>0</v>
      </c>
      <c r="BJ10" s="27" t="s">
        <v>85</v>
      </c>
      <c r="BK10" s="11" t="str">
        <f t="shared" si="12"/>
        <v/>
      </c>
      <c r="BL10" s="19">
        <v>24.0</v>
      </c>
      <c r="BM10" s="19">
        <v>27.0</v>
      </c>
      <c r="BN10" s="20" t="b">
        <v>0</v>
      </c>
      <c r="BO10" s="17"/>
      <c r="BP10" s="17"/>
      <c r="BQ10" s="17"/>
    </row>
    <row r="11">
      <c r="A11" s="16" t="s">
        <v>168</v>
      </c>
      <c r="B11" s="30" t="s">
        <v>169</v>
      </c>
      <c r="C11" s="18"/>
      <c r="D11" s="11" t="str">
        <f>IFERROR(__xludf.DUMMYFUNCTION("""COMPUTED_VALUE"""),"")</f>
        <v/>
      </c>
      <c r="E11" s="19"/>
      <c r="F11" s="20"/>
      <c r="G11" s="19" t="s">
        <v>74</v>
      </c>
      <c r="H11" s="11" t="str">
        <f t="shared" si="1"/>
        <v/>
      </c>
      <c r="I11" s="19">
        <v>27.0</v>
      </c>
      <c r="J11" s="19">
        <v>24.0</v>
      </c>
      <c r="K11" s="20" t="b">
        <v>0</v>
      </c>
      <c r="L11" s="19" t="s">
        <v>74</v>
      </c>
      <c r="M11" s="11" t="str">
        <f t="shared" si="2"/>
        <v/>
      </c>
      <c r="N11" s="19">
        <v>20.0</v>
      </c>
      <c r="O11" s="19">
        <v>17.0</v>
      </c>
      <c r="P11" s="19" t="b">
        <v>0</v>
      </c>
      <c r="Q11" s="27" t="s">
        <v>74</v>
      </c>
      <c r="R11" s="11" t="str">
        <f t="shared" si="3"/>
        <v/>
      </c>
      <c r="S11" s="19">
        <v>21.0</v>
      </c>
      <c r="T11" s="19">
        <v>17.0</v>
      </c>
      <c r="U11" s="20" t="b">
        <v>0</v>
      </c>
      <c r="V11" s="19" t="s">
        <v>74</v>
      </c>
      <c r="W11" s="11" t="str">
        <f t="shared" si="4"/>
        <v/>
      </c>
      <c r="X11" s="19">
        <v>17.0</v>
      </c>
      <c r="Y11" s="19">
        <v>14.0</v>
      </c>
      <c r="Z11" s="20" t="b">
        <v>0</v>
      </c>
      <c r="AA11" s="27" t="s">
        <v>74</v>
      </c>
      <c r="AB11" s="11" t="str">
        <f t="shared" si="5"/>
        <v/>
      </c>
      <c r="AC11" s="19">
        <v>24.0</v>
      </c>
      <c r="AD11" s="19">
        <v>17.0</v>
      </c>
      <c r="AE11" s="19" t="b">
        <v>0</v>
      </c>
      <c r="AF11" s="27" t="s">
        <v>50</v>
      </c>
      <c r="AG11" s="11" t="str">
        <f t="shared" si="6"/>
        <v/>
      </c>
      <c r="AH11" s="19">
        <v>24.0</v>
      </c>
      <c r="AI11" s="19">
        <v>31.0</v>
      </c>
      <c r="AJ11" s="20" t="b">
        <v>0</v>
      </c>
      <c r="AK11" s="19" t="s">
        <v>50</v>
      </c>
      <c r="AL11" s="11" t="str">
        <f t="shared" si="7"/>
        <v/>
      </c>
      <c r="AM11" s="19">
        <v>17.0</v>
      </c>
      <c r="AN11" s="19">
        <v>20.0</v>
      </c>
      <c r="AO11" s="20" t="b">
        <v>0</v>
      </c>
      <c r="AP11" s="27" t="s">
        <v>50</v>
      </c>
      <c r="AQ11" s="11" t="str">
        <f t="shared" si="8"/>
        <v/>
      </c>
      <c r="AR11" s="19">
        <v>14.0</v>
      </c>
      <c r="AS11" s="19">
        <v>24.0</v>
      </c>
      <c r="AT11" s="20" t="b">
        <v>0</v>
      </c>
      <c r="AU11" s="27" t="s">
        <v>74</v>
      </c>
      <c r="AV11" s="11" t="str">
        <f t="shared" si="9"/>
        <v/>
      </c>
      <c r="AW11" s="19">
        <v>23.0</v>
      </c>
      <c r="AX11" s="19">
        <v>20.0</v>
      </c>
      <c r="AY11" s="20" t="b">
        <v>0</v>
      </c>
      <c r="AZ11" s="27" t="s">
        <v>50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74</v>
      </c>
      <c r="BF11" s="11" t="str">
        <f t="shared" si="11"/>
        <v/>
      </c>
      <c r="BG11" s="19">
        <v>10.0</v>
      </c>
      <c r="BH11" s="19">
        <v>7.0</v>
      </c>
      <c r="BI11" s="20" t="b">
        <v>0</v>
      </c>
      <c r="BJ11" s="27" t="s">
        <v>50</v>
      </c>
      <c r="BK11" s="11" t="str">
        <f t="shared" si="12"/>
        <v/>
      </c>
      <c r="BL11" s="19">
        <v>7.0</v>
      </c>
      <c r="BM11" s="19">
        <v>10.0</v>
      </c>
      <c r="BN11" s="20" t="b">
        <v>0</v>
      </c>
      <c r="BO11" s="19"/>
      <c r="BP11" s="19"/>
      <c r="BQ11" s="19"/>
    </row>
    <row r="12">
      <c r="A12" s="16" t="s">
        <v>172</v>
      </c>
      <c r="B12" s="30" t="s">
        <v>173</v>
      </c>
      <c r="C12" s="18"/>
      <c r="D12" s="11" t="str">
        <f>IFERROR(__xludf.DUMMYFUNCTION("""COMPUTED_VALUE"""),"")</f>
        <v/>
      </c>
      <c r="E12" s="19"/>
      <c r="F12" s="20"/>
      <c r="G12" s="19" t="s">
        <v>24</v>
      </c>
      <c r="H12" s="11" t="str">
        <f t="shared" si="1"/>
        <v/>
      </c>
      <c r="I12" s="19">
        <v>17.0</v>
      </c>
      <c r="J12" s="19">
        <v>21.0</v>
      </c>
      <c r="K12" s="20" t="b">
        <v>0</v>
      </c>
      <c r="L12" s="19" t="s">
        <v>24</v>
      </c>
      <c r="M12" s="11" t="str">
        <f t="shared" si="2"/>
        <v/>
      </c>
      <c r="N12" s="19">
        <v>10.0</v>
      </c>
      <c r="O12" s="19">
        <v>14.0</v>
      </c>
      <c r="P12" s="19" t="b">
        <v>0</v>
      </c>
      <c r="Q12" s="27" t="s">
        <v>24</v>
      </c>
      <c r="R12" s="11" t="str">
        <f t="shared" si="3"/>
        <v/>
      </c>
      <c r="S12" s="19">
        <v>14.0</v>
      </c>
      <c r="T12" s="19">
        <v>17.0</v>
      </c>
      <c r="U12" s="20" t="b">
        <v>0</v>
      </c>
      <c r="V12" s="19" t="s">
        <v>24</v>
      </c>
      <c r="W12" s="11" t="str">
        <f t="shared" si="4"/>
        <v/>
      </c>
      <c r="X12" s="19">
        <v>21.0</v>
      </c>
      <c r="Y12" s="19">
        <v>24.0</v>
      </c>
      <c r="Z12" s="20" t="b">
        <v>0</v>
      </c>
      <c r="AA12" s="27" t="s">
        <v>40</v>
      </c>
      <c r="AB12" s="11" t="str">
        <f t="shared" si="5"/>
        <v/>
      </c>
      <c r="AC12" s="19">
        <v>24.0</v>
      </c>
      <c r="AD12" s="19">
        <v>17.0</v>
      </c>
      <c r="AE12" s="19" t="b">
        <v>0</v>
      </c>
      <c r="AF12" s="27" t="s">
        <v>24</v>
      </c>
      <c r="AG12" s="11" t="str">
        <f t="shared" si="6"/>
        <v/>
      </c>
      <c r="AH12" s="19">
        <v>24.0</v>
      </c>
      <c r="AI12" s="19">
        <v>27.0</v>
      </c>
      <c r="AJ12" s="20" t="b">
        <v>0</v>
      </c>
      <c r="AK12" s="19" t="s">
        <v>24</v>
      </c>
      <c r="AL12" s="11" t="str">
        <f t="shared" si="7"/>
        <v/>
      </c>
      <c r="AM12" s="19">
        <v>20.0</v>
      </c>
      <c r="AN12" s="19">
        <v>23.0</v>
      </c>
      <c r="AO12" s="20" t="b">
        <v>0</v>
      </c>
      <c r="AP12" s="27" t="s">
        <v>24</v>
      </c>
      <c r="AQ12" s="11" t="str">
        <f t="shared" si="8"/>
        <v/>
      </c>
      <c r="AR12" s="19">
        <v>23.0</v>
      </c>
      <c r="AS12" s="19">
        <v>26.0</v>
      </c>
      <c r="AT12" s="20" t="b">
        <v>0</v>
      </c>
      <c r="AU12" s="27" t="s">
        <v>40</v>
      </c>
      <c r="AV12" s="11" t="str">
        <f t="shared" si="9"/>
        <v/>
      </c>
      <c r="AW12" s="19">
        <v>23.0</v>
      </c>
      <c r="AX12" s="19">
        <v>20.0</v>
      </c>
      <c r="AY12" s="20" t="b">
        <v>0</v>
      </c>
      <c r="AZ12" s="27" t="s">
        <v>24</v>
      </c>
      <c r="BA12" s="11" t="str">
        <f t="shared" si="10"/>
        <v/>
      </c>
      <c r="BB12" s="19">
        <v>20.0</v>
      </c>
      <c r="BC12" s="19">
        <v>23.0</v>
      </c>
      <c r="BD12" s="20" t="b">
        <v>0</v>
      </c>
      <c r="BE12" s="27" t="s">
        <v>40</v>
      </c>
      <c r="BF12" s="11" t="str">
        <f t="shared" si="11"/>
        <v/>
      </c>
      <c r="BG12" s="19">
        <v>21.0</v>
      </c>
      <c r="BH12" s="19">
        <v>17.0</v>
      </c>
      <c r="BI12" s="20" t="b">
        <v>0</v>
      </c>
      <c r="BJ12" s="27" t="s">
        <v>24</v>
      </c>
      <c r="BK12" s="11" t="str">
        <f t="shared" si="12"/>
        <v/>
      </c>
      <c r="BL12" s="19">
        <v>21.0</v>
      </c>
      <c r="BM12" s="19">
        <v>24.0</v>
      </c>
      <c r="BN12" s="20" t="b">
        <v>0</v>
      </c>
      <c r="BO12" s="17"/>
      <c r="BP12" s="17"/>
      <c r="BQ12" s="17"/>
    </row>
    <row r="13">
      <c r="A13" s="16" t="s">
        <v>172</v>
      </c>
      <c r="B13" s="30" t="s">
        <v>174</v>
      </c>
      <c r="C13" s="18"/>
      <c r="D13" s="11" t="str">
        <f>IFERROR(__xludf.DUMMYFUNCTION("""COMPUTED_VALUE"""),"")</f>
        <v/>
      </c>
      <c r="E13" s="19"/>
      <c r="F13" s="20"/>
      <c r="G13" s="19" t="s">
        <v>26</v>
      </c>
      <c r="H13" s="11" t="str">
        <f t="shared" si="1"/>
        <v/>
      </c>
      <c r="I13" s="19">
        <v>17.0</v>
      </c>
      <c r="J13" s="19">
        <v>20.0</v>
      </c>
      <c r="K13" s="20" t="b">
        <v>0</v>
      </c>
      <c r="L13" s="19" t="s">
        <v>26</v>
      </c>
      <c r="M13" s="11" t="str">
        <f t="shared" si="2"/>
        <v/>
      </c>
      <c r="N13" s="19">
        <v>21.0</v>
      </c>
      <c r="O13" s="19">
        <v>28.0</v>
      </c>
      <c r="P13" s="19" t="b">
        <v>0</v>
      </c>
      <c r="Q13" s="27" t="s">
        <v>44</v>
      </c>
      <c r="R13" s="11" t="str">
        <f t="shared" si="3"/>
        <v/>
      </c>
      <c r="S13" s="19">
        <v>20.0</v>
      </c>
      <c r="T13" s="19">
        <v>17.0</v>
      </c>
      <c r="U13" s="20" t="b">
        <v>0</v>
      </c>
      <c r="V13" s="19" t="s">
        <v>26</v>
      </c>
      <c r="W13" s="11" t="str">
        <f t="shared" si="4"/>
        <v/>
      </c>
      <c r="X13" s="19">
        <v>10.0</v>
      </c>
      <c r="Y13" s="19">
        <v>14.0</v>
      </c>
      <c r="Z13" s="20" t="b">
        <v>0</v>
      </c>
      <c r="AA13" s="27" t="s">
        <v>44</v>
      </c>
      <c r="AB13" s="11" t="str">
        <f t="shared" si="5"/>
        <v/>
      </c>
      <c r="AC13" s="19">
        <v>24.0</v>
      </c>
      <c r="AD13" s="19">
        <v>17.0</v>
      </c>
      <c r="AE13" s="19" t="b">
        <v>1</v>
      </c>
      <c r="AF13" s="27" t="s">
        <v>44</v>
      </c>
      <c r="AG13" s="11" t="str">
        <f t="shared" si="6"/>
        <v/>
      </c>
      <c r="AH13" s="19">
        <v>27.0</v>
      </c>
      <c r="AI13" s="19">
        <v>24.0</v>
      </c>
      <c r="AJ13" s="20" t="b">
        <v>0</v>
      </c>
      <c r="AK13" s="19" t="s">
        <v>26</v>
      </c>
      <c r="AL13" s="11" t="str">
        <f t="shared" si="7"/>
        <v/>
      </c>
      <c r="AM13" s="19">
        <v>14.0</v>
      </c>
      <c r="AN13" s="19">
        <v>17.0</v>
      </c>
      <c r="AO13" s="20" t="b">
        <v>0</v>
      </c>
      <c r="AP13" s="27" t="s">
        <v>26</v>
      </c>
      <c r="AQ13" s="11" t="str">
        <f t="shared" si="8"/>
        <v/>
      </c>
      <c r="AR13" s="19">
        <v>20.0</v>
      </c>
      <c r="AS13" s="19">
        <v>27.0</v>
      </c>
      <c r="AT13" s="20" t="b">
        <v>0</v>
      </c>
      <c r="AU13" s="27" t="s">
        <v>26</v>
      </c>
      <c r="AV13" s="11" t="str">
        <f t="shared" si="9"/>
        <v/>
      </c>
      <c r="AW13" s="19">
        <v>21.0</v>
      </c>
      <c r="AX13" s="19">
        <v>24.0</v>
      </c>
      <c r="AY13" s="20" t="b">
        <v>0</v>
      </c>
      <c r="AZ13" s="27" t="s">
        <v>26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44</v>
      </c>
      <c r="BF13" s="11" t="str">
        <f t="shared" si="11"/>
        <v/>
      </c>
      <c r="BG13" s="19">
        <v>17.0</v>
      </c>
      <c r="BH13" s="19">
        <v>14.0</v>
      </c>
      <c r="BI13" s="20" t="b">
        <v>0</v>
      </c>
      <c r="BJ13" s="27" t="s">
        <v>44</v>
      </c>
      <c r="BK13" s="11" t="str">
        <f t="shared" si="12"/>
        <v/>
      </c>
      <c r="BL13" s="19">
        <v>31.0</v>
      </c>
      <c r="BM13" s="19">
        <v>24.0</v>
      </c>
      <c r="BN13" s="20" t="b">
        <v>0</v>
      </c>
      <c r="BO13" s="17"/>
      <c r="BP13" s="17"/>
      <c r="BQ13" s="17"/>
    </row>
    <row r="14">
      <c r="A14" s="16" t="s">
        <v>172</v>
      </c>
      <c r="B14" s="17" t="s">
        <v>177</v>
      </c>
      <c r="C14" s="18"/>
      <c r="D14" s="11" t="str">
        <f>IFERROR(__xludf.DUMMYFUNCTION("""COMPUTED_VALUE"""),"")</f>
        <v/>
      </c>
      <c r="E14" s="19"/>
      <c r="F14" s="20"/>
      <c r="G14" s="19" t="s">
        <v>27</v>
      </c>
      <c r="H14" s="11" t="str">
        <f t="shared" si="1"/>
        <v/>
      </c>
      <c r="I14" s="19">
        <v>27.0</v>
      </c>
      <c r="J14" s="19">
        <v>24.0</v>
      </c>
      <c r="K14" s="20" t="b">
        <v>0</v>
      </c>
      <c r="L14" s="19" t="s">
        <v>27</v>
      </c>
      <c r="M14" s="11" t="str">
        <f t="shared" si="2"/>
        <v/>
      </c>
      <c r="N14" s="19">
        <v>20.0</v>
      </c>
      <c r="O14" s="19">
        <v>17.0</v>
      </c>
      <c r="P14" s="19" t="b">
        <v>0</v>
      </c>
      <c r="Q14" s="27" t="s">
        <v>93</v>
      </c>
      <c r="R14" s="11" t="str">
        <f t="shared" si="3"/>
        <v/>
      </c>
      <c r="S14" s="19">
        <v>17.0</v>
      </c>
      <c r="T14" s="19">
        <v>20.0</v>
      </c>
      <c r="U14" s="20" t="b">
        <v>0</v>
      </c>
      <c r="V14" s="19" t="s">
        <v>93</v>
      </c>
      <c r="W14" s="11" t="str">
        <f t="shared" si="4"/>
        <v/>
      </c>
      <c r="X14" s="19">
        <v>24.0</v>
      </c>
      <c r="Y14" s="19">
        <v>31.0</v>
      </c>
      <c r="Z14" s="20" t="b">
        <v>0</v>
      </c>
      <c r="AA14" s="27" t="s">
        <v>27</v>
      </c>
      <c r="AB14" s="11" t="str">
        <f t="shared" si="5"/>
        <v/>
      </c>
      <c r="AC14" s="19">
        <v>24.0</v>
      </c>
      <c r="AD14" s="19">
        <v>17.0</v>
      </c>
      <c r="AE14" s="19" t="b">
        <v>0</v>
      </c>
      <c r="AF14" s="27" t="s">
        <v>27</v>
      </c>
      <c r="AG14" s="11" t="str">
        <f t="shared" si="6"/>
        <v/>
      </c>
      <c r="AH14" s="19">
        <v>10.0</v>
      </c>
      <c r="AI14" s="19">
        <v>7.0</v>
      </c>
      <c r="AJ14" s="20" t="b">
        <v>0</v>
      </c>
      <c r="AK14" s="19" t="s">
        <v>27</v>
      </c>
      <c r="AL14" s="11" t="str">
        <f t="shared" si="7"/>
        <v/>
      </c>
      <c r="AM14" s="19">
        <v>10.0</v>
      </c>
      <c r="AN14" s="19">
        <v>7.0</v>
      </c>
      <c r="AO14" s="20" t="b">
        <v>0</v>
      </c>
      <c r="AP14" s="27" t="s">
        <v>27</v>
      </c>
      <c r="AQ14" s="11" t="str">
        <f t="shared" si="8"/>
        <v/>
      </c>
      <c r="AR14" s="19">
        <v>34.0</v>
      </c>
      <c r="AS14" s="19">
        <v>20.0</v>
      </c>
      <c r="AT14" s="20" t="b">
        <v>1</v>
      </c>
      <c r="AU14" s="27" t="s">
        <v>27</v>
      </c>
      <c r="AV14" s="11" t="str">
        <f t="shared" si="9"/>
        <v/>
      </c>
      <c r="AW14" s="19">
        <v>23.0</v>
      </c>
      <c r="AX14" s="19">
        <v>20.0</v>
      </c>
      <c r="AY14" s="20" t="b">
        <v>0</v>
      </c>
      <c r="AZ14" s="27" t="s">
        <v>27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93</v>
      </c>
      <c r="BF14" s="11" t="str">
        <f t="shared" si="11"/>
        <v/>
      </c>
      <c r="BG14" s="19">
        <v>24.0</v>
      </c>
      <c r="BH14" s="19">
        <v>31.0</v>
      </c>
      <c r="BI14" s="20" t="b">
        <v>0</v>
      </c>
      <c r="BJ14" s="27" t="s">
        <v>27</v>
      </c>
      <c r="BK14" s="11" t="str">
        <f t="shared" si="12"/>
        <v/>
      </c>
      <c r="BL14" s="19">
        <v>21.0</v>
      </c>
      <c r="BM14" s="19">
        <v>17.0</v>
      </c>
      <c r="BN14" s="20" t="b">
        <v>0</v>
      </c>
      <c r="BO14" s="17"/>
      <c r="BP14" s="17"/>
      <c r="BQ14" s="17"/>
    </row>
    <row r="15">
      <c r="A15" s="16" t="s">
        <v>181</v>
      </c>
      <c r="B15" s="17" t="s">
        <v>182</v>
      </c>
      <c r="C15" s="18"/>
      <c r="D15" s="11" t="str">
        <f>IFERROR(__xludf.DUMMYFUNCTION("""COMPUTED_VALUE"""),"")</f>
        <v/>
      </c>
      <c r="E15" s="19"/>
      <c r="F15" s="20"/>
      <c r="G15" s="19" t="s">
        <v>29</v>
      </c>
      <c r="H15" s="11" t="str">
        <f t="shared" si="1"/>
        <v/>
      </c>
      <c r="I15" s="19">
        <v>17.0</v>
      </c>
      <c r="J15" s="19">
        <v>21.0</v>
      </c>
      <c r="K15" s="20" t="b">
        <v>0</v>
      </c>
      <c r="L15" s="19" t="s">
        <v>61</v>
      </c>
      <c r="M15" s="11" t="str">
        <f t="shared" si="2"/>
        <v/>
      </c>
      <c r="N15" s="19">
        <v>28.0</v>
      </c>
      <c r="O15" s="19">
        <v>21.0</v>
      </c>
      <c r="P15" s="19" t="b">
        <v>1</v>
      </c>
      <c r="Q15" s="27" t="s">
        <v>61</v>
      </c>
      <c r="R15" s="11" t="str">
        <f t="shared" si="3"/>
        <v/>
      </c>
      <c r="S15" s="19">
        <v>28.0</v>
      </c>
      <c r="T15" s="19">
        <v>21.0</v>
      </c>
      <c r="U15" s="20" t="b">
        <v>0</v>
      </c>
      <c r="V15" s="19" t="s">
        <v>61</v>
      </c>
      <c r="W15" s="11" t="str">
        <f t="shared" si="4"/>
        <v/>
      </c>
      <c r="X15" s="19">
        <v>24.0</v>
      </c>
      <c r="Y15" s="19">
        <v>21.0</v>
      </c>
      <c r="Z15" s="20" t="b">
        <v>0</v>
      </c>
      <c r="AA15" s="27" t="s">
        <v>61</v>
      </c>
      <c r="AB15" s="11" t="str">
        <f t="shared" si="5"/>
        <v/>
      </c>
      <c r="AC15" s="19">
        <v>24.0</v>
      </c>
      <c r="AD15" s="19">
        <v>17.0</v>
      </c>
      <c r="AE15" s="19" t="b">
        <v>0</v>
      </c>
      <c r="AF15" s="27" t="s">
        <v>61</v>
      </c>
      <c r="AG15" s="11" t="str">
        <f t="shared" si="6"/>
        <v/>
      </c>
      <c r="AH15" s="19">
        <v>17.0</v>
      </c>
      <c r="AI15" s="19">
        <v>14.0</v>
      </c>
      <c r="AJ15" s="20" t="b">
        <v>0</v>
      </c>
      <c r="AK15" s="19" t="s">
        <v>61</v>
      </c>
      <c r="AL15" s="11" t="str">
        <f t="shared" si="7"/>
        <v/>
      </c>
      <c r="AM15" s="19">
        <v>28.0</v>
      </c>
      <c r="AN15" s="19">
        <v>21.0</v>
      </c>
      <c r="AO15" s="20" t="b">
        <v>0</v>
      </c>
      <c r="AP15" s="27" t="s">
        <v>61</v>
      </c>
      <c r="AQ15" s="11" t="str">
        <f t="shared" si="8"/>
        <v/>
      </c>
      <c r="AR15" s="19">
        <v>30.0</v>
      </c>
      <c r="AS15" s="19">
        <v>20.0</v>
      </c>
      <c r="AT15" s="20" t="b">
        <v>0</v>
      </c>
      <c r="AU15" s="27" t="s">
        <v>61</v>
      </c>
      <c r="AV15" s="11" t="str">
        <f t="shared" si="9"/>
        <v/>
      </c>
      <c r="AW15" s="19">
        <v>17.0</v>
      </c>
      <c r="AX15" s="19">
        <v>14.0</v>
      </c>
      <c r="AY15" s="20" t="b">
        <v>0</v>
      </c>
      <c r="AZ15" s="27" t="s">
        <v>61</v>
      </c>
      <c r="BA15" s="11" t="str">
        <f t="shared" si="10"/>
        <v/>
      </c>
      <c r="BB15" s="19">
        <v>23.0</v>
      </c>
      <c r="BC15" s="19">
        <v>20.0</v>
      </c>
      <c r="BD15" s="20" t="b">
        <v>0</v>
      </c>
      <c r="BE15" s="27" t="s">
        <v>29</v>
      </c>
      <c r="BF15" s="11" t="str">
        <f t="shared" si="11"/>
        <v/>
      </c>
      <c r="BG15" s="19">
        <v>10.0</v>
      </c>
      <c r="BH15" s="19">
        <v>14.0</v>
      </c>
      <c r="BI15" s="20" t="b">
        <v>0</v>
      </c>
      <c r="BJ15" s="27" t="s">
        <v>29</v>
      </c>
      <c r="BK15" s="11" t="str">
        <f t="shared" si="12"/>
        <v/>
      </c>
      <c r="BL15" s="19">
        <v>7.0</v>
      </c>
      <c r="BM15" s="19">
        <v>10.0</v>
      </c>
      <c r="BN15" s="20" t="b">
        <v>0</v>
      </c>
      <c r="BO15" s="17"/>
      <c r="BP15" s="17"/>
      <c r="BQ15" s="17"/>
    </row>
    <row r="16">
      <c r="A16" s="32" t="s">
        <v>187</v>
      </c>
      <c r="B16" s="79" t="s">
        <v>188</v>
      </c>
      <c r="C16" s="34"/>
      <c r="D16" s="35" t="str">
        <f>IFERROR(__xludf.DUMMYFUNCTION("""COMPUTED_VALUE"""),"")</f>
        <v/>
      </c>
      <c r="E16" s="36"/>
      <c r="F16" s="37"/>
      <c r="G16" s="36" t="s">
        <v>39</v>
      </c>
      <c r="H16" s="35" t="str">
        <f t="shared" si="1"/>
        <v/>
      </c>
      <c r="I16" s="36">
        <v>17.0</v>
      </c>
      <c r="J16" s="36">
        <v>20.0</v>
      </c>
      <c r="K16" s="36" t="b">
        <v>0</v>
      </c>
      <c r="L16" s="38" t="s">
        <v>23</v>
      </c>
      <c r="M16" s="35" t="str">
        <f t="shared" si="2"/>
        <v/>
      </c>
      <c r="N16" s="36">
        <v>17.0</v>
      </c>
      <c r="O16" s="36">
        <v>14.0</v>
      </c>
      <c r="P16" s="37" t="b">
        <v>0</v>
      </c>
      <c r="Q16" s="36" t="s">
        <v>39</v>
      </c>
      <c r="R16" s="35" t="str">
        <f t="shared" si="3"/>
        <v/>
      </c>
      <c r="S16" s="36">
        <v>10.0</v>
      </c>
      <c r="T16" s="36">
        <v>14.0</v>
      </c>
      <c r="U16" s="36" t="b">
        <v>0</v>
      </c>
      <c r="V16" s="38" t="s">
        <v>39</v>
      </c>
      <c r="W16" s="35" t="str">
        <f t="shared" si="4"/>
        <v/>
      </c>
      <c r="X16" s="36">
        <v>10.0</v>
      </c>
      <c r="Y16" s="36">
        <v>21.0</v>
      </c>
      <c r="Z16" s="37" t="b">
        <v>0</v>
      </c>
      <c r="AA16" s="36" t="s">
        <v>39</v>
      </c>
      <c r="AB16" s="35" t="str">
        <f t="shared" si="5"/>
        <v/>
      </c>
      <c r="AC16" s="36">
        <v>17.0</v>
      </c>
      <c r="AD16" s="36">
        <v>24.0</v>
      </c>
      <c r="AE16" s="36" t="b">
        <v>0</v>
      </c>
      <c r="AF16" s="38" t="s">
        <v>39</v>
      </c>
      <c r="AG16" s="35" t="str">
        <f t="shared" si="6"/>
        <v/>
      </c>
      <c r="AH16" s="36">
        <v>20.0</v>
      </c>
      <c r="AI16" s="36">
        <v>23.0</v>
      </c>
      <c r="AJ16" s="37" t="b">
        <v>0</v>
      </c>
      <c r="AK16" s="36" t="s">
        <v>39</v>
      </c>
      <c r="AL16" s="35" t="str">
        <f t="shared" si="7"/>
        <v/>
      </c>
      <c r="AM16" s="36">
        <v>17.0</v>
      </c>
      <c r="AN16" s="36">
        <v>20.0</v>
      </c>
      <c r="AO16" s="36" t="b">
        <v>0</v>
      </c>
      <c r="AP16" s="38" t="s">
        <v>23</v>
      </c>
      <c r="AQ16" s="35" t="str">
        <f t="shared" si="8"/>
        <v/>
      </c>
      <c r="AR16" s="36">
        <v>31.0</v>
      </c>
      <c r="AS16" s="36">
        <v>28.0</v>
      </c>
      <c r="AT16" s="37" t="b">
        <v>0</v>
      </c>
      <c r="AU16" s="36" t="s">
        <v>39</v>
      </c>
      <c r="AV16" s="35" t="str">
        <f t="shared" si="9"/>
        <v/>
      </c>
      <c r="AW16" s="36">
        <v>21.0</v>
      </c>
      <c r="AX16" s="36">
        <v>28.0</v>
      </c>
      <c r="AY16" s="36" t="b">
        <v>0</v>
      </c>
      <c r="AZ16" s="38" t="s">
        <v>39</v>
      </c>
      <c r="BA16" s="35" t="str">
        <f t="shared" si="10"/>
        <v/>
      </c>
      <c r="BB16" s="36">
        <v>20.0</v>
      </c>
      <c r="BC16" s="36">
        <v>23.0</v>
      </c>
      <c r="BD16" s="37" t="b">
        <v>0</v>
      </c>
      <c r="BE16" s="36" t="s">
        <v>23</v>
      </c>
      <c r="BF16" s="35" t="str">
        <f t="shared" si="11"/>
        <v/>
      </c>
      <c r="BG16" s="36">
        <v>21.0</v>
      </c>
      <c r="BH16" s="36">
        <v>17.0</v>
      </c>
      <c r="BI16" s="36" t="b">
        <v>0</v>
      </c>
      <c r="BJ16" s="38" t="s">
        <v>39</v>
      </c>
      <c r="BK16" s="35" t="str">
        <f t="shared" si="12"/>
        <v/>
      </c>
      <c r="BL16" s="36">
        <v>17.0</v>
      </c>
      <c r="BM16" s="36">
        <v>20.0</v>
      </c>
      <c r="BN16" s="37" t="b">
        <v>0</v>
      </c>
      <c r="BO16" s="17"/>
      <c r="BP16" s="17"/>
      <c r="BQ16" s="17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</row>
    <row r="18" hidden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</row>
    <row r="20" hidden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</row>
    <row r="21" hidden="1">
      <c r="A21" s="41"/>
      <c r="B21" s="41"/>
      <c r="C21" s="46">
        <f t="shared" ref="C21:C35" si="13">MIN(I21,N21,S21,X21,AC21,AH21,AM21,AR21,AW21,BB21,BG21,BL21)</f>
        <v>0</v>
      </c>
      <c r="D21" s="41"/>
      <c r="E21" s="41"/>
      <c r="F21" s="41"/>
      <c r="G21" s="43" t="str">
        <f t="shared" ref="G21:G35" si="14">IF(G2=C2,ABS(I2-E2),"")</f>
        <v/>
      </c>
      <c r="H21" s="43" t="str">
        <f t="shared" ref="H21:H35" si="15">IF(G2=C2,ABS(J2-F2),"")</f>
        <v/>
      </c>
      <c r="I21" s="44" t="str">
        <f t="shared" ref="I21:I35" si="16">IF(G2=C2,SUM(G21,H21),"")</f>
        <v/>
      </c>
      <c r="J21" s="9">
        <f t="shared" ref="J21:J35" si="17">SUM(IF(AND(G2=$C2,I21=$C21,$C21=0,K2=TRUE,I21&lt;$N21,I21&lt;$S21,I21&lt;$X21,I21&lt;$AC21,I21&lt;$AH21,I21&lt;$AM21,I21&lt;$AR21,I21&lt;$AW21,I21&lt;$BB21,I21&lt;$BG21,I21&lt;$BL21),15,
IF(AND(G2=$C2,I21=$C21,$C21=0,K2=TRUE,OR(I21=$N21,I21=$S21,I21=$X21,I21=$AC21,I21=$AH21,I21=$AM21,I21=$AR21,I21=$AW21,I21=$BB21,I21=$BG21,I21=$BL21)),7.5,
IF(AND(G2=$C2,I21=$C21,$C21=0,I21&lt;$N21,I21&lt;$S21,I21&lt;$X21,I21&lt;$AC21,I21&lt;$AH21,I21&lt;$AM21,I21&lt;$AR21,I21&lt;$AW21,I21&lt;$BB21,I21&lt;$BG21,I21&lt;$BL21),5,
IF(AND(G2=$C2,I21=$C21,K2=TRUE,I21&lt;$N21,I21&lt;$S21,I21&lt;$X21,I21&lt;$AC21,I21&lt;$AH21,I21&lt;$AM21,I21&lt;$AR21,I21&lt;$AW21,I21&lt;$BB21,I21&lt;$BG21,I21&lt;$BL21),3,
IF(AND(G2=$C2,I21=$C21,$C21=0,OR(I21=$N21,I21=$S21,I21=$X21,I21=$AC21,I21=$AH21,I21=$AM21,I21=$AR21,I21=$AW21,I21=$BB21,I21=$BG21,I21=$BL21)),2.5,
IF(AND(G2=$C2,I21=$C21,K2=TRUE,OR(I21=$N21,I21=$S21,I21=$X21,I21=$AC21,I21=$AH21,I21=$AM21,I21=$AR21,I21=$AW21,I21=$BB21,I21=$BG21,I21=$BL21)),1.5,
IF(AND(G2=$C2,I21=$C21,I21&lt;$N21,I21&lt;$S21,I21&lt;$X21,I21&lt;$AC21,I21&lt;$AH21,I21&lt;$AM21,I21&lt;$AR21,I21&lt;$AW21,I21&lt;$BB21,I21&lt;$BG21,I21&lt;$BL21),1,
IF(AND(G2=$C2,I21=$C21,OR(I21=$N21,I21=$S21,I21=$X21,I21=$AC21,I21=$AH21,I21=$AM21,I21=$AR21,I21=$AW21,I21=$BB21,I21=$BG21,I21=$BL21)),0.5,
0)))))))),
IF(AND(K21=TRUE,K2=TRUE),3,
IF(AND(K21=TRUE,K2=FALSE),1,
IF(K21="",0)))
)</f>
        <v>0</v>
      </c>
      <c r="K21" s="41" t="str">
        <f t="shared" ref="K21:K35" si="18">IF($C2="","",
IF(G2=$C2,TRUE,FALSE))</f>
        <v/>
      </c>
      <c r="L21" s="43" t="str">
        <f t="shared" ref="L21:L35" si="19">IF(L2=C2,ABS(N2-E2),"")</f>
        <v/>
      </c>
      <c r="M21" s="43" t="str">
        <f t="shared" ref="M21:M35" si="20">IF(L2=C2,ABS(O2-F2),"")</f>
        <v/>
      </c>
      <c r="N21" s="44" t="str">
        <f t="shared" ref="N21:N35" si="21">IF(L2=C2,SUM(L21,M21),"")</f>
        <v/>
      </c>
      <c r="O21" s="9">
        <f t="shared" ref="O21:O35" si="22">SUM(IF(AND(L2=$C2,N21=$C21,$C21=0,P2=TRUE,N21&lt;$I21,N21&lt;$S21,N21&lt;$X21,N21&lt;$AC21,N21&lt;$AH21,N21&lt;$AM21,N21&lt;$AR21,N21&lt;$AW21,N21&lt;$BB21,N21&lt;$BG21,N21&lt;$BL21),15,
IF(AND(L2=$C2,N21=$C21,$C21=0,P2=TRUE,OR(N21=$I21,N21=$S21,N21=$X21,N21=$AC21,N21=$AH21,N21=$AM21,N21=$AR21,N21=$AW21,N21=$BB21,N21=$BG21,N21=$BL21)),7.5,
IF(AND(L2=$C2,N21=$C21,$C21=0,N21&lt;$I21,N21&lt;$S21,N21&lt;$X21,N21&lt;$AC21,N21&lt;$AH21,N21&lt;$AM21,N21&lt;$AR21,N21&lt;$AW21,N21&lt;$BB21,N21&lt;$BG21,N21&lt;$BL21),5,
IF(AND(L2=$C2,N21=$C21,P2=TRUE,N21&lt;$I21,N21&lt;$S21,N21&lt;$X21,N21&lt;$AC21,N21&lt;$AH21,N21&lt;$AM21,N21&lt;$AR21,N21&lt;$AW21,N21&lt;$BB21,N21&lt;$BG21,N21&lt;$BL21),3,
IF(AND(L2=$C2,N21=$C21,$C21=0,OR(N21=$I21,N21=$S21,N21=$X21,N21=$AC21,N21=$AH21,N21=$AM21,N21=$AR21,N21=$AW21,N21=$BB21,N21=$BG21,N21=$BL21)),2.5,
IF(AND(L2=$C2,N21=$C21,P2=TRUE,OR(N21=$I21,N21=$S21,N21=$X21,N21=$AC21,N21=$AH21,N21=$AM21,N21=$AR21,N21=$AW21,N21=$BB21,N21=$BG21,N21=$BL21)),1.5,
IF(AND(L2=$C2,N21=$C21,N21&lt;$I21,N21&lt;$S21,N21&lt;$X21,N21&lt;$AC21,N21&lt;$AH21,N21&lt;$AM21,N21&lt;$AR21,N21&lt;$AW21,N21&lt;$BB21,N21&lt;$BG21,N21&lt;$BL21),1,
IF(AND(L2=$C2,N21=$C21,OR(N21=$I21,N21=$S21,N21=$X21,N21=$AC21,N21=$AH21,N21=$AM21,N21=$AR21,N21=$AW21,N21=$BB21,N21=$BG21,N21=$BL21)),0.5,
0)))))))),
IF(AND(P21=TRUE,P2=TRUE),3,
IF(AND(P21=TRUE,P2=FALSE),1,
IF(P21="",0)))
)</f>
        <v>0</v>
      </c>
      <c r="P21" s="41" t="str">
        <f t="shared" ref="P21:P35" si="23">IF($C2="","",
IF(L2=$C2,TRUE,FALSE))</f>
        <v/>
      </c>
      <c r="Q21" s="43" t="str">
        <f t="shared" ref="Q21:Q35" si="24">IF(Q2=C2,ABS(S2-E2),"")</f>
        <v/>
      </c>
      <c r="R21" s="43" t="str">
        <f t="shared" ref="R21:R35" si="25">IF(Q2=C2,ABS(T2-F2),"")</f>
        <v/>
      </c>
      <c r="S21" s="44" t="str">
        <f t="shared" ref="S21:S35" si="26">IF(Q2=C2,SUM(Q21,R21),"")</f>
        <v/>
      </c>
      <c r="T21" s="9">
        <f t="shared" ref="T21:T35" si="27">SUM(IF(AND(Q2=$C2,S21=$C21,$C21=0,U2=TRUE,S21&lt;$I21,S21&lt;$N21,S21&lt;$X21,S21&lt;$AC21,S21&lt;$AH21,S21&lt;$AM21,S21&lt;$AR21,S21&lt;$AW21,S21&lt;$BB21,S21&lt;$BG21,S21&lt;$BL21),15,
IF(AND(Q2=$C2,S21=$C21,$C21=0,U2=TRUE,OR(S21=$I21,S21=$N21,S21=$X21,S21=$AC21,S21=$AH21,S21=$AM21,S21=$AR21,S21=$AW21,S21=$BB21,S21=$BG21,S21=$BL21)),7.5,
IF(AND(Q2=$C2,S21=$C21,$C21=0,S21&lt;$I21,S21&lt;$N21,S21&lt;$X21,S21&lt;$AC21,S21&lt;$AH21,S21&lt;$AM21,S21&lt;$AR21,S21&lt;$AW21,S21&lt;$BB21,S21&lt;$BG21,S21&lt;$BL21),5,
IF(AND(Q2=$C2,S21=$C21,U2=TRUE,S21&lt;$I21,S21&lt;$N21,S21&lt;$X21,S21&lt;$AC21,S21&lt;$AH21,S21&lt;$AM21,S21&lt;$AR21,S21&lt;$AW21,S21&lt;$BB21,S21&lt;$BG21,S21&lt;$BL21),3,
IF(AND(Q2=$C2,S21=$C21,$C21=0,OR(S21=$I21,S21=$N21,S21=$X21,S21=$AC21,S21=$AH21,S21=$AM21,S21=$AR21,S21=$AW21,S21=$BB21,S21=$BG21,S21=$BL21)),2.5,
IF(AND(Q2=$C2,S21=$C21,U2=TRUE,OR(S21=$I21,S21=$N21,S21=$X21,S21=$AC21,S21=$AH21,S21=$AM21,S21=$AR21,S21=$AW21,S21=$BB21,S21=$BG21,S21=$BL21)),1.5,
IF(AND(Q2=$C2,S21=$C21,S21&lt;$I21,S21&lt;$N21,S21&lt;$X21,S21&lt;$AC21,S21&lt;$AH21,S21&lt;$AM21,S21&lt;$AR21,S21&lt;$AW21,S21&lt;$BB21,S21&lt;$BG21,S21&lt;$BL21),1,
IF(AND(Q2=$C2,S21=$C21,OR(S21=$I21,S21=$N21,S21=$X21,S21=$AC21,S21=$AH21,S21=$AM21,S21=$AR21,S21=$AW21,S21=$BB21,S21=$BG21,S21=$BL21)),0.5,
0)))))))),
IF(AND(U21=TRUE,U2=TRUE),3,
IF(AND(U21=TRUE,U2=FALSE),1,
IF(U21="",0))))</f>
        <v>0</v>
      </c>
      <c r="U21" s="41" t="str">
        <f t="shared" ref="U21:U35" si="28">IF($C2="","",
IF(Q2=$C2,TRUE,FALSE))</f>
        <v/>
      </c>
      <c r="V21" s="43" t="str">
        <f t="shared" ref="V21:V35" si="29">IF(V2=C2,ABS(X2-E2),"")</f>
        <v/>
      </c>
      <c r="W21" s="43" t="str">
        <f t="shared" ref="W21:W35" si="30">IF(V2=C2,ABS(Y2-F2),"")</f>
        <v/>
      </c>
      <c r="X21" s="44" t="str">
        <f t="shared" ref="X21:X35" si="31">IF(V2=C2,SUM(V21,W21),"")</f>
        <v/>
      </c>
      <c r="Y21" s="9">
        <f t="shared" ref="Y21:Y35" si="32">SUM(IF(AND(V2=$C2,X21=$C21,$C21=0,Z2=TRUE,X21&lt;$I21,X21&lt;$N21,X21&lt;$S21,X21&lt;$AC21,X21&lt;$AH21,X21&lt;$AM21,X21&lt;$AR21,X21&lt;$AW21,X21&lt;$BB21,X21&lt;$BG21,X21&lt;$BL21),15,
IF(AND(V2=$C2,X21=$C21,$C21=0,Z2=TRUE,OR(X21=$I21,X21=$N21,X21=$S21,X21=$AC21,X21=$AH21,X21=$AM21,X21=$AR21,X21=$AW21,X21=$BB21,X21=$BG21,X21=$BL21)),7.5,
IF(AND(V2=$C2,X21=$C21,$C21=0,X21&lt;$I21,X21&lt;$N21,X21&lt;$S21,X21&lt;$AC21,X21&lt;$AH21,X21&lt;$AM21,X21&lt;$AR21,X21&lt;$AW21,X21&lt;$BB21,X21&lt;$BG21,X21&lt;$BL21),5,
IF(AND(V2=$C2,X21=$C21,Z2=TRUE,X21&lt;$I21,X21&lt;$N21,X21&lt;$S21,X21&lt;$AC21,X21&lt;$AH21,X21&lt;$AM21,X21&lt;$AR21,X21&lt;$AW21,X21&lt;$BB21,X21&lt;$BG21,X21&lt;$BL21),3,
IF(AND(V2=$C2,X21=$C21,$C21=0,OR(X21=$I21,X21=$N21,X21=$S21,X21=$AC21,X21=$AH21,X21=$AM21,X21=$AR21,X21=$AW21,X21=$BB21,X21=$BG21,X21=$BL21)),2.5,
IF(AND(V2=$C2,X21=$C21,Z2=TRUE,OR(X21=$I21,X21=$N21,X21=$S21,X21=$AC21,X21=$AH21,X21=$AM21,X21=$AR21,X21=$AW21,X21=$BB21,X21=$BG21,X21=$BL21)),1.5,
IF(AND(V2=$C2,X21=$C21,X21&lt;$I21,X21&lt;$N21,X21&lt;$S21,X21&lt;$AC21,X21&lt;$AH21,X21&lt;$AM21,X21&lt;$AR21,X21&lt;$AW21,X21&lt;$BB21,X21&lt;$BG21,X21&lt;$BL21),1,
IF(AND(V2=$C2,X21=$C21,OR(X21=$I21,X21=$N21,X21=$S21,X21=$AC21,X21=$AH21,X21=$AM21,X21=$AR21,X21=$AW21,X21=$BB21,X21=$BG21,X21=$BL21)),0.5,
0)))))))),
IF(AND(Z21=TRUE,Z2=TRUE),3,
IF(AND(Z21=TRUE,Z2=FALSE),1,
IF(Z21="",0)))
)</f>
        <v>0</v>
      </c>
      <c r="Z21" s="41" t="str">
        <f t="shared" ref="Z21:Z35" si="33">IF($C2="","",
IF(V2=$C2,TRUE,FALSE))</f>
        <v/>
      </c>
      <c r="AA21" s="43" t="str">
        <f t="shared" ref="AA21:AA35" si="34">IF(AA2=C2,ABS(AC2-E2),"")</f>
        <v/>
      </c>
      <c r="AB21" s="43" t="str">
        <f t="shared" ref="AB21:AB35" si="35">IF(AA2=C2,ABS(AD2-F2),"")</f>
        <v/>
      </c>
      <c r="AC21" s="44" t="str">
        <f t="shared" ref="AC21:AC35" si="36">IF(AA2=C2,SUM(AA21,AB21),"")</f>
        <v/>
      </c>
      <c r="AD21" s="9">
        <f t="shared" ref="AD21:AD35" si="37">SUM(IF(AND(AA2=$C2,AC21=$C21,$C21=0,AE2=TRUE,AC21&lt;$I21,AC21&lt;$N21,AC21&lt;$S21,AC21&lt;$X21,AC21&lt;$AH21,AC21&lt;$AM21,AC21&lt;$AR21,AC21&lt;$AW21,AC21&lt;$BB21,AC21&lt;$BG21,AC21&lt;$BL21),15,
IF(AND(AA2=$C2,AC21=$C21,$C21=0,AE2=TRUE,OR(AC21=$I21,AC21=$N21,AC21=$S21,AC21=$X21,AC21=$AH21,AC21=$AM21,AC21=$AR21,AC21=$AW21,AC21=$BB21,AC21=$BG21,AC21=$BL21)),7.5,
IF(AND(AA2=$C2,AC21=$C21,$C21=0,AC21&lt;$I21,AC21&lt;$N21,AC21&lt;$S21,AC21&lt;$X21,AC21&lt;$AH21,AC21&lt;$AM21,AC21&lt;$AR21,AC21&lt;$AW21,AC21&lt;$BB21,AC21&lt;$BG21,AC21&lt;$BL21),5,
IF(AND(AA2=$C2,AC21=$C21,AE2=TRUE,AC21&lt;$I21,AC21&lt;$N21,AC21&lt;$S21,AC21&lt;$X21,AC21&lt;$AH21,AC21&lt;$AM21,AC21&lt;$AR21,AC21&lt;$AW21,AC21&lt;$BB21,AC21&lt;$BG21,AC21&lt;$BL21),3,
IF(AND(AA2=$C2,AC21=$C21,$C21=0,OR(AC21=$I21,AC21=$N21,AC21=$S21,AC21=$X21,AC21=$AH21,AC21=$AM21,AC21=$AR21,AC21=$AW21,AC21=$BB21,AC21=$BG21,AC21=$BL21)),2.5,
IF(AND(AA2=$C2,AC21=$C21,AE2=TRUE,OR(AC21=$I21,AC21=$N21,AC21=$S21,AC21=$X21,AC21=$AH21,AC21=$AM21,AC21=$AR21,AC21=$AW21,AC21=$BB21,AC21=$BG21,AC21=$BL21)),1.5,
IF(AND(AA2=$C2,AC21=$C21,AC21&lt;$I21,AC21&lt;$N21,AC21&lt;$S21,AC21&lt;$X21,AC21&lt;$AH21,AC21&lt;$AM21,AC21&lt;$AR21,AC21&lt;$AW21,AC21&lt;$BB21,AC21&lt;$BG21,AC21&lt;$BL21),1,
IF(AND(AA2=$C2,AC21=$C21,OR(AC21=$I21,AC21=$N21,AC21=$S21,AC21=$X21,AC21=$AH21,AC21=$AM21,AC21=$AR21,AC21=$AW21,AC21=$BB21,AC21=$BG21,AC21=$BL21)),0.5,
0)))))))),
IF(AND(AE21=TRUE,AE2=TRUE),3,
IF(AND(AE21=TRUE,AE2=FALSE),1,
IF(AE21="",0)))
)</f>
        <v>0</v>
      </c>
      <c r="AE21" s="41" t="str">
        <f t="shared" ref="AE21:AE35" si="38">IF($C2="","",
IF(AA2=$C2,TRUE,FALSE))</f>
        <v/>
      </c>
      <c r="AF21" s="43" t="str">
        <f t="shared" ref="AF21:AF35" si="39">IF(AF2=C2,ABS(AH2-E2),"")</f>
        <v/>
      </c>
      <c r="AG21" s="43" t="str">
        <f t="shared" ref="AG21:AG35" si="40">IF(AF2=C2,ABS(AI2-F2),"")</f>
        <v/>
      </c>
      <c r="AH21" s="44" t="str">
        <f t="shared" ref="AH21:AH35" si="41">IF(AF2=C2,SUM(AF21,AG21),"")</f>
        <v/>
      </c>
      <c r="AI21" s="9">
        <f t="shared" ref="AI21:AI35" si="42">SUM(IF(AND(AF2=$C2,AH21=$C21,$C21=0,AJ2=TRUE,AH21&lt;$I21,AH21&lt;$N21,AH21&lt;$S21,AH21&lt;$X21,AH21&lt;$AC21,AH21&lt;$AM21,AH21&lt;$AR21,AH21&lt;$AW21,AH21&lt;$BB21,AH21&lt;$BG21,AH21&lt;$BL21),15,
IF(AND(AF2=$C2,AH21=$C21,$C21=0,AJ2=TRUE,OR(AH21=$I21,AH21=$N21,AH21=$S21,AH21=$X21,AH21=$AC21,AH21=$AM21,AH21=$AR21,AH21=$AW21,AH21=$BB21,AH21=$BG21,AH21=$BL21)),7.5,
IF(AND(AF2=$C2,AH21=$C21,$C21=0,AH21&lt;$I21,AH21&lt;$N21,AH21&lt;$S21,AH21&lt;$X21,AH21&lt;$AC21,AH21&lt;$AM21,AH21&lt;$AR21,AH21&lt;$AW21,AH21&lt;$BB21,AH21&lt;$BG21,AH21&lt;$BL21),5,
IF(AND(AF2=$C2,AH21=$C21,AJ2=TRUE,AH21&lt;$I21,AH21&lt;$N21,AH21&lt;$S21,AH21&lt;$X21,AH21&lt;$AC21,AH21&lt;$AM21,AH21&lt;$AR21,AH21&lt;$AW21,AH21&lt;$BB21,AH21&lt;$BG21,AH21&lt;$BL21),3,
IF(AND(AF2=$C2,AH21=$C21,$C21=0,OR(AH21=$I21,AH21=$N21,AH21=$S21,AH21=$X21,AH21=$AC21,AH21=$AM21,AH21=$AR21,AH21=$AW21,AH21=$BB21,AH21=$BG21,AH21=$BL21)),2.5,
IF(AND(AF2=$C2,AH21=$C21,AJ2=TRUE,OR(AH21=$I21,AH21=$N21,AH21=$S21,AH21=$X21,AH21=$AC21,AH21=$AM21,AH21=$AR21,AH21=$AW21,AH21=$BB21,AH21=$BG21,AH21=$BL21)),1.5,
IF(AND(AF2=$C2,AH21=$C21,AH21&lt;$I21,AH21&lt;$N21,AH21&lt;$S21,AH21&lt;$X21,AH21&lt;$AC21,AH21&lt;$AM21,AH21&lt;$AR21,AH21&lt;$AW21,AH21&lt;$BB21,AH21&lt;$BG21,AH21&lt;$BL21),1,
IF(AND(AF2=$C2,AH21=$C21,OR(AH21=$I21,AH21=$N21,AH21=$S21,AH21=$X21,AH21=$AC21,AH21=$AM21,AH21=$AR21,AH21=$AW21,AH21=$BB21,AH21=$BG21,AH21=$BL21)),0.5,
0)))))))),
IF(AND(AJ21=TRUE,AJ2=TRUE),3,
IF(AND(AJ21=TRUE,AJ2=FALSE),1,
IF(AJ21="",0)))
)</f>
        <v>0</v>
      </c>
      <c r="AJ21" s="41" t="str">
        <f t="shared" ref="AJ21:AJ35" si="43">IF($C2="","",
IF(AF2=$C2,TRUE,FALSE))</f>
        <v/>
      </c>
      <c r="AK21" s="43" t="str">
        <f t="shared" ref="AK21:AK35" si="44">IF(AK2=C2,ABS(AM2-E2),"")</f>
        <v/>
      </c>
      <c r="AL21" s="43" t="str">
        <f t="shared" ref="AL21:AL35" si="45">IF(AK2=C2,ABS(AN2-F2),"")</f>
        <v/>
      </c>
      <c r="AM21" s="44" t="str">
        <f t="shared" ref="AM21:AM35" si="46">IF(AK2=C2,SUM(AK21,AL21),"")</f>
        <v/>
      </c>
      <c r="AN21" s="9">
        <f t="shared" ref="AN21:AN35" si="47">SUM(IF(AND(AK2=$C2,AM21=$C21,$C21=0,AO2=TRUE,AM21&lt;$I21,AM21&lt;$N21,AM21&lt;$S21,AM21&lt;$X21,AM21&lt;$AC21,AM21&lt;$AH21,AM21&lt;$AR21,AM21&lt;$AW21,AM21&lt;$BB21,AM21&lt;$BG21,AM21&lt;$BL21),15,
IF(AND(AK2=$C2,AM21=$C21,$C21=0,AO2=TRUE,OR(AM21=$I21,AM21=$N21,AM21=$S21,AM21=$X21,AM21=$AC21,AM21=$AH21,AM21=$AR21,AM21=$AW21,AM21=$BB21,AM21=$BG21,AM21=$BL21)),7.5,
IF(AND(AK2=$C2,AM21=$C21,$C21=0,AM21&lt;$I21,AM21&lt;$N21,AM21&lt;$S21,AM21&lt;$X21,AM21&lt;$AC21,AM21&lt;$AH21,AM21&lt;$AR21,AM21&lt;$AW21,AM21&lt;$BB21,AM21&lt;$BG21,AM21&lt;$BL21),5,
IF(AND(AK2=$C2,AM21=$C21,AO2=TRUE,AM21&lt;$I21,AM21&lt;$N21,AM21&lt;$S21,AM21&lt;$X21,AM21&lt;$AC21,AM21&lt;$AH21,AM21&lt;$AR21,AM21&lt;$AW21,AM21&lt;$BB21,AM21&lt;$BG21,AM21&lt;$BL21),3,
IF(AND(AK2=$C2,AM21=$C21,$C21=0,OR(AM21=$I21,AM21=$N21,AM21=$S21,AM21=$X21,AM21=$AC21,AM21=$AH21,AM21=$AR21,AM21=$AW21,AM21=$BB21,AM21=$BG21,AM21=$BL21)),2.5,
IF(AND(AK2=$C2,AM21=$C21,AO2=TRUE,OR(AM21=$I21,AM21=$N21,AM21=$S21,AM21=$X21,AM21=$AC21,AM21=$AH21,AM21=$AR21,AM21=$AW21,AM21=$BB21,AM21=$BG21,AM21=$BL21)),1.5,
IF(AND(AK2=$C2,AM21=$C21,AM21&lt;$I21,AM21&lt;$N21,AM21&lt;$S21,AM21&lt;$X21,AM21&lt;$AC21,AM21&lt;$AH21,AM21&lt;$AR21,AM21&lt;$AW21,AM21&lt;$BB21,AM21&lt;$BG21,AM21&lt;$BL21),1,
IF(AND(AK2=$C2,AM21=$C21,OR(AM21=$I21,AM21=$N21,AM21=$S21,AM21=$X21,AM21=$AC21,AM21=$AH21,AM21=$AR21,AM21=$AW21,AM21=$BB21,AM21=$BG21,AM21=$BL21)),0.5,
0)))))))),
IF(AND(AO21=TRUE,AO2=TRUE),3,
IF(AND(AO21=TRUE,AO2=FALSE),1,
IF(AO21="",0)))
)</f>
        <v>0</v>
      </c>
      <c r="AO21" s="41" t="str">
        <f t="shared" ref="AO21:AO35" si="48">IF($C2="","",
IF(AK2=$C2,TRUE,FALSE))</f>
        <v/>
      </c>
      <c r="AP21" s="43" t="str">
        <f t="shared" ref="AP21:AP35" si="49">IF(AP2=C2,ABS(AR2-E2),"")</f>
        <v/>
      </c>
      <c r="AQ21" s="43" t="str">
        <f t="shared" ref="AQ21:AQ35" si="50">IF(AP2=C2,ABS(AS2-F2),"")</f>
        <v/>
      </c>
      <c r="AR21" s="44" t="str">
        <f t="shared" ref="AR21:AR35" si="51">IF(AP2=C2,SUM(AP21,AQ21),"")</f>
        <v/>
      </c>
      <c r="AS21" s="9">
        <f t="shared" ref="AS21:AS35" si="52">SUM(IF(AND(AP2=$C2,AR21=$C21,$C21=0,AT2=TRUE,AR21&lt;$I21,AR21&lt;$N21,AR21&lt;$S21,AR21&lt;$X21,AR21&lt;$AC21,AR21&lt;$AH21,AR21&lt;$AM21,AR21&lt;$AW21,AR21&lt;$BB21,AR21&lt;$BG21,AR21&lt;$BL21),15,
IF(AND(AP2=$C2,AR21=$C21,$C21=0,AT2=TRUE,OR(AR21=$I21,AR21=$N21,AR21=$S21,AR21=$X21,AR21=$AC21,AR21=$AH21,AR21=$AM21,AR21=$AW21,AR21=$BB21,AR21=$BG21,AR21=$BL21)),7.5,
IF(AND(AP2=$C2,AR21=$C21,$C21=0,AR21&lt;$I21,AR21&lt;$N21,AR21&lt;$S21,AR21&lt;$X21,AR21&lt;$AC21,AR21&lt;$AH21,AR21&lt;$AM21,AR21&lt;$AW21,AR21&lt;$BB21,AR21&lt;$BG21,AR21&lt;$BL21),5,
IF(AND(AP2=$C2,AR21=$C21,AT2=TRUE,AR21&lt;$I21,AR21&lt;$N21,AR21&lt;$S21,AR21&lt;$X21,AR21&lt;$AC21,AR21&lt;$AH21,AR21&lt;$AM21,AR21&lt;$AW21,AR21&lt;$BB21,AR21&lt;$BG21,AR21&lt;$BL21),3,
IF(AND(AP2=$C2,AR21=$C21,$C21=0,OR(AR21=$I21,AR21=$N21,AR21=$S21,AR21=$X21,AR21=$AC21,AR21=$AH21,AR21=$AM21,AR21=$AW21,AR21=$BB21,AR21=$BG21,AR21=$BL21)),2.5,
IF(AND(AP2=$C2,AR21=$C21,AT2=TRUE,OR(AR21=$I21,AR21=$N21,AR21=$S21,AR21=$X21,AR21=$AC21,AR21=$AH21,AR21=$AM21,AR21=$AW21,AR21=$BB21,AR21=$BG21,AR21=$BL21)),1.5,
IF(AND(AP2=$C2,AR21=$C21,AR21&lt;$I21,AR21&lt;$N21,AR21&lt;$S21,AR21&lt;$X21,AR21&lt;$AC21,AR21&lt;$AH21,AR21&lt;$AM21,AR21&lt;$AW21,AR21&lt;$BB21,AR21&lt;$BG21,AR21&lt;$BL21),1,
IF(AND(AP2=$C2,AR21=$C21,OR(AR21=$I21,AR21=$N21,AR21=$S21,AR21=$X21,AR21=$AC21,AR21=$AH21,AR21=$AM21,AR21=$AW21,AR21=$BB21,AR21=$BG21,AR21=$BL21)),0.5,
0)))))))),
IF(AND(AT21=TRUE,AT2=TRUE),3,
IF(AND(AT21=TRUE,AT2=FALSE),1,
IF(AT21="",0)))
)</f>
        <v>0</v>
      </c>
      <c r="AT21" s="41" t="str">
        <f t="shared" ref="AT21:AT35" si="53">IF($C2="","",
IF(AP2=$C2,TRUE,FALSE))</f>
        <v/>
      </c>
      <c r="AU21" s="43" t="str">
        <f t="shared" ref="AU21:AU35" si="54">IF(AU2=C2,ABS(AW2-E2),"")</f>
        <v/>
      </c>
      <c r="AV21" s="43" t="str">
        <f t="shared" ref="AV21:AV35" si="55">IF(AU2=C2,ABS(AX2-F2),"")</f>
        <v/>
      </c>
      <c r="AW21" s="44" t="str">
        <f t="shared" ref="AW21:AW35" si="56">IF(AU2=C2,SUM(AU21,AV21),"")</f>
        <v/>
      </c>
      <c r="AX21" s="9">
        <f t="shared" ref="AX21:AX35" si="57">SUM(IF(AND(AU2=$C2,AW21=$C21,$C21=0,AY2=TRUE,AW21&lt;$I21,AW21&lt;$N21,AW21&lt;$S21,AW21&lt;$X21,AW21&lt;$AC21,AW21&lt;$AH21,AW21&lt;$AM21,AW21&lt;$AR21,AW21&lt;$BB21,AW21&lt;$BG21,AW21&lt;$BL21),15,
IF(AND(AU2=$C2,AW21=$C21,$C21=0,AY2=TRUE,OR(AW21=$I21,AW21=$N21,AW21=$S21,AW21=$X21,AW21=$AC21,AW21=$AH21,AW21=$AM21,AW21=$AR21,AW21=$BB21,AW21=$BG21,AW21=$BL21)),7.5,
IF(AND(AU2=$C2,AW21=$C21,$C21=0,AW21&lt;$I21,AW21&lt;$N21,AW21&lt;$S21,AW21&lt;$X21,AW21&lt;$AC21,AW21&lt;$AH21,AW21&lt;$AM21,AW21&lt;$AR21,AW21&lt;$BB21,AW21&lt;$BG21,AW21&lt;$BL21),5,
IF(AND(AU2=$C2,AW21=$C21,AY2=TRUE,AW21&lt;$I21,AW21&lt;$N21,AW21&lt;$S21,AW21&lt;$X21,AW21&lt;$AC21,AW21&lt;$AH21,AW21&lt;$AM21,AW21&lt;$AR21,AW21&lt;$BB21,AW21&lt;$BG21,AW21&lt;$BL21),3,
IF(AND(AU2=$C2,AW21=$C21,$C21=0,OR(AW21=$I21,AW21=$N21,AW21=$S21,AW21=$X21,AW21=$AC21,AW21=$AH21,AW21=$AM21,AW21=$AR21,AW21=$BB21,AW21=$BG21,AW21=$BL21)),2.5,
IF(AND(AU2=$C2,AW21=$C21,AY2=TRUE,OR(AW21=$I21,AW21=$N21,AW21=$S21,AW21=$X21,AW21=$AC21,AW21=$AH21,AW21=$AM21,AW21=$AR21,AW21=$BB21,AW21=$BG21,AW21=$BL21)),1.5,
IF(AND(AU2=$C2,AW21=$C21,AW21&lt;$I21,AW21&lt;$N21,AW21&lt;$S21,AW21&lt;$X21,AW21&lt;$AC21,AW21&lt;$AH21,AW21&lt;$AM21,AW21&lt;$AR21,AW21&lt;$BB21,AW21&lt;$BG21,AW21&lt;$BL21),1,
IF(AND(AU2=$C2,AW21=$C21,OR(AW21=$I21,AW21=$N21,AW21=$S21,AW21=$X21,AW21=$AC21,AW21=$AH21,AW21=$AM21,AW21=$AR21,AW21=$BB21,AW21=$BG21,AW21=$BL21)),0.5,
0)))))))),
IF(AND(AY21=TRUE,AY2=TRUE),3,
IF(AND(AY21=TRUE,AY2=FALSE),1,
IF(AY21="",0)))
)</f>
        <v>0</v>
      </c>
      <c r="AY21" s="41" t="str">
        <f t="shared" ref="AY21:AY35" si="58">IF($C2="","",
IF(AU2=$C2,TRUE,FALSE))</f>
        <v/>
      </c>
      <c r="AZ21" s="43" t="str">
        <f t="shared" ref="AZ21:AZ35" si="59">IF(AZ2=C2,ABS(BB2-E2),"")</f>
        <v/>
      </c>
      <c r="BA21" s="43" t="str">
        <f t="shared" ref="BA21:BA35" si="60">IF(AZ2=C2,ABS(BC2-F2),"")</f>
        <v/>
      </c>
      <c r="BB21" s="44" t="str">
        <f t="shared" ref="BB21:BB35" si="61">IF(AZ2=C2,SUM(AZ21,BA21),"")</f>
        <v/>
      </c>
      <c r="BC21" s="9">
        <f t="shared" ref="BC21:BC35" si="62">SUM(IF(AND(AZ2=$C2,BB21=$C21,$C21=0,BD2=TRUE,BB21&lt;$I21,BB21&lt;$N21,BB21&lt;$S21,BB21&lt;$X21,BB21&lt;$AC21,BB21&lt;$AH21,BB21&lt;$AM21,BB21&lt;$AR21,BB21&lt;$AW21,BB21&lt;$BG21,BB21&lt;$BL21),15,
IF(AND(AZ2=$C2,BB21=$C21,$C21=0,BD2=TRUE,OR(BB21=$I21,BB21=$N21,BB21=$S21,BB21=$X21,BB21=$AC21,BB21=$AH21,BB21=$AM21,BB21=$AR21,BB21=$AW21,BB21=$BG21,BB21=$BL21)),7.5,
IF(AND(AZ2=$C2,BB21=$C21,$C21=0,BB21&lt;$I21,BB21&lt;$N21,BB21&lt;$S21,BB21&lt;$X21,BB21&lt;$AC21,BB21&lt;$AH21,BB21&lt;$AM21,BB21&lt;$AR21,BB21&lt;$AW21,BB21&lt;$BG21,BB21&lt;$BL21),5,
IF(AND(AZ2=$C2,BB21=$C21,BD2=TRUE,BB21&lt;$I21,BB21&lt;$N21,BB21&lt;$S21,BB21&lt;$X21,BB21&lt;$AC21,BB21&lt;$AH21,BB21&lt;$AM21,BB21&lt;$AR21,BB21&lt;$AW21,BB21&lt;$BG21,BB21&lt;$BL21),3,
IF(AND(AZ2=$C2,BB21=$C21,$C21=0,OR(BB21=$I21,BB21=$N21,BB21=$S21,BB21=$X21,BB21=$AC21,BB21=$AH21,BB21=$AM21,BB21=$AR21,BB21=$AW21,BB21=$BG21,BB21=$BL21)),2.5,
IF(AND(AZ2=$C2,BB21=$C21,BD2=TRUE,OR(BB21=$I21,BB21=$N21,BB21=$S21,BB21=$X21,BB21=$AC21,BB21=$AH21,BB21=$AM21,BB21=$AR21,BB21=$AW21,BB21=$BG21,BB21=$BL21)),1.5,
IF(AND(AZ2=$C2,BB21=$C21,BB21&lt;$I21,BB21&lt;$N21,BB21&lt;$S21,BB21&lt;$X21,BB21&lt;$AC21,BB21&lt;$AH21,BB21&lt;$AM21,BB21&lt;$AR21,BB21&lt;$AW21,BB21&lt;$BG21,BB21&lt;$BL21),1,
IF(AND(AZ2=$C2,BB21=$C21,OR(BB21=$I21,BB21=$N21,BB21=$S21,BB21=$X21,BB21=$AC21,BB21=$AH21,BB21=$AM21,BB21=$AR21,BB21=$AW21,BB21=$BG21,BB21=$BL21)),0.5,
0)))))))),
IF(AND(BD21=TRUE,BD2=TRUE),3,
IF(AND(BD21=TRUE,BD2=FALSE),1,
IF(BD21="",0)))
)</f>
        <v>0</v>
      </c>
      <c r="BD21" s="41" t="str">
        <f t="shared" ref="BD21:BD35" si="63">IF($C2="","",
IF(AZ2=$C2,TRUE,FALSE))</f>
        <v/>
      </c>
      <c r="BE21" s="43" t="str">
        <f t="shared" ref="BE21:BE35" si="64">IF(BE2=C2,ABS(BG2-E2),"")</f>
        <v/>
      </c>
      <c r="BF21" s="43" t="str">
        <f t="shared" ref="BF21:BF35" si="65">IF(BE2=C2,ABS(BH2-F2),"")</f>
        <v/>
      </c>
      <c r="BG21" s="44" t="str">
        <f t="shared" ref="BG21:BG35" si="66">IF(BE2=C2,SUM(BE21,BF21),"")</f>
        <v/>
      </c>
      <c r="BH21" s="9">
        <f t="shared" ref="BH21:BH35" si="67">SUM(IF(AND(BE2=$C2,BG21=$C21,$C21=0,BI2=TRUE,BG21&lt;$I21,BG21&lt;$N21,BG21&lt;$S21,BG21&lt;$X21,BG21&lt;$AC21,BG21&lt;$AH21,BG21&lt;$AM21,BG21&lt;$AR21,BG21&lt;$AW21,BG21&lt;$BB21,BG21&lt;$BL21),15,
IF(AND(BE2=$C2,BG21=$C21,$C21=0,BI2=TRUE,OR(BG21=$I21,BG21=$N21,BG21=$S21,BG21=$X21,BG21=$AC21,BG21=$AH21,BG21=$AM21,BG21=$AR21,BG21=$AW21,BG21=$BB21,BG21=$BL21)),7.5,
IF(AND(BE2=$C2,BG21=$C21,$C21=0,BG21&lt;$I21,BG21&lt;$N21,BG21&lt;$S21,BG21&lt;$X21,BG21&lt;$AC21,BG21&lt;$AH21,BG21&lt;$AM21,BG21&lt;$AR21,BG21&lt;$AW21,BG21&lt;$BB21,BG21&lt;$BL21),5,
IF(AND(BE2=$C2,BG21=$C21,BI2=TRUE,BG21&lt;$I21,BG21&lt;$N21,BG21&lt;$S21,BG21&lt;$X21,BG21&lt;$AC21,BG21&lt;$AH21,BG21&lt;$AM21,BG21&lt;$AR21,BG21&lt;$AW21,BG21&lt;$BB21,BG21&lt;$BL21),3,
IF(AND(BE2=$C2,BG21=$C21,$C21=0,OR(BG21=$I21,BG21=$N21,BG21=$S21,BG21=$X21,BG21=$AC21,BG21=$AH21,BG21=$AM21,BG21=$AR21,BG21=$AW21,BG21=$BB21,BG21=$BL21)),2.5,
IF(AND(BE2=$C2,BG21=$C21,BI2=TRUE,OR(BG21=$I21,BG21=$N21,BG21=$S21,BG21=$X21,BG21=$AC21,BG21=$AH21,BG21=$AM21,BG21=$AR21,BG21=$AW21,BG21=$BB21,BG21=$BL21)),1.5,
IF(AND(BE2=$C2,BG21=$C21,BG21&lt;$I21,BG21&lt;$N21,BG21&lt;$S21,BG21&lt;$X21,BG21&lt;$AC21,BG21&lt;$AH21,BG21&lt;$AM21,BG21&lt;$AR21,BG21&lt;$AW21,BG21&lt;$BB21,BG21&lt;$BL21),1,
IF(AND(BE2=$C2,BG21=$C21,OR(BG21=$I21,BG21=$N21,BG21=$S21,BG21=$X21,BG21=$AC21,BG21=$AH21,BG21=$AM21,BG21=$AR21,BG21=$AW21,BG21=$BB21,BG21=$BL21)),0.5,
0)))))))),
IF(AND(BI21=TRUE,BI2=TRUE),3,
IF(AND(BI21=TRUE,BI2=FALSE),1,
IF(BI21="",0)))
)</f>
        <v>0</v>
      </c>
      <c r="BI21" s="41" t="str">
        <f t="shared" ref="BI21:BI35" si="68">IF($C2="","",
IF(BE2=$C2,TRUE,FALSE))</f>
        <v/>
      </c>
      <c r="BJ21" s="43" t="str">
        <f t="shared" ref="BJ21:BJ35" si="69">IF(BJ2=C2,ABS(BL2-E2),"")</f>
        <v/>
      </c>
      <c r="BK21" s="43" t="str">
        <f t="shared" ref="BK21:BK35" si="70">IF(BJ2=C2,ABS(BM2-F2),"")</f>
        <v/>
      </c>
      <c r="BL21" s="44" t="str">
        <f t="shared" ref="BL21:BL35" si="71">IF(BJ2=C2,SUM(BJ21,BK21),"")</f>
        <v/>
      </c>
      <c r="BM21" s="9">
        <f t="shared" ref="BM21:BM35" si="72">SUM(IF(AND(BJ2=$C2,BL21=$C21,$C21=0,BN2=TRUE,BL21&lt;$I21,BL21&lt;$N21,BL21&lt;$S21,BL21&lt;$X21,BL21&lt;$AC21,BL21&lt;$AH21,BL21&lt;$AM21,BL21&lt;$AR21,BL21&lt;$AW21,BL21&lt;$BB21,BL21&lt;$BG21),15,
IF(AND(BJ2=$C2,BL21=$C21,$C21=0,BN2=TRUE,OR(BL21=$I21,BL21=$N21,BL21=$S21,BL21=$X21,BL21=$AC21,BL21=$AH21,BL21=$AM21,BL21=$AR21,BL21=$AW21,BL21=$BB21,BL21=$BG21)),7.5,
IF(AND(BJ2=$C2,BL21=$C21,$C21=0,BL21&lt;$I21,BL21&lt;$N21,BL21&lt;$S21,BL21&lt;$X21,BL21&lt;$AC21,BL21&lt;$AH21,BL21&lt;$AM21,BL21&lt;$AR21,BL21&lt;$AW21,BL21&lt;$BB21,BL21&lt;$BG21),5,
IF(AND(BJ2=$C2,BL21=$C21,BN2=TRUE,BL21&lt;$I21,BL21&lt;$N21,BL21&lt;$S21,BL21&lt;$X21,BL21&lt;$AC21,BL21&lt;$AH21,BL21&lt;$AM21,BL21&lt;$AR21,BL21&lt;$AW21,BL21&lt;$BB21,BL21&lt;$BG21),3,
IF(AND(BJ2=$C2,BL21=$C21,$C21=0,OR(BL21=$I21,BL21=$N21,BL21=$S21,BL21=$X21,BL21=$AC21,BL21=$AH21,BL21=$AM21,BL21=$AR21,BL21=$AW21,BL21=$BB21,BL21=$BG21)),2.5,
IF(AND(BJ2=$C2,BL21=$C21,BN2=TRUE,OR(BL21=$I21,BL21=$N21,BL21=$S21,BL21=$X21,BL21=$AC21,BL21=$AH21,BL21=$AM21,BL21=$AR21,BL21=$AW21,BL21=$BB21,BL21=$BG21)),1.5,
IF(AND(BJ2=$C2,BL21=$C21,BL21&lt;$I21,BL21&lt;$N21,BL21&lt;$S21,BL21&lt;$X21,BL21&lt;$AC21,BL21&lt;$AH21,BL21&lt;$AM21,BL21&lt;$AR21,BL21&lt;$AW21,BL21&lt;$BB21,BL21&lt;$BG21),1,
IF(AND(BJ2=$C2,BL21=$C21,OR(BL21=$I21,BL21=$N21,BL21=$S21,BL21=$X21,BL21=$AC21,BL21=$AH21,BL21=$AM21,BL21=$AR21,BL21=$AW21,BL21=$BB21,BL21=$BG21)),0.5,
0)))))))),
IF(AND(BN21=TRUE,BN2=TRUE),3,
IF(AND(BN21=TRUE,BN2=FALSE),1,
IF(BN21="",0)))
)</f>
        <v>0</v>
      </c>
      <c r="BN21" s="41" t="str">
        <f t="shared" ref="BN21:BN35" si="73">IF($C2="","",
IF(BJ2=$C2,TRUE,FALSE))</f>
        <v/>
      </c>
      <c r="BO21" s="41"/>
      <c r="BP21" s="41"/>
      <c r="BQ21" s="41"/>
    </row>
    <row r="22" hidden="1">
      <c r="A22" s="40"/>
      <c r="B22" s="40"/>
      <c r="C22" s="46">
        <f t="shared" si="13"/>
        <v>0</v>
      </c>
      <c r="D22" s="40"/>
      <c r="E22" s="40"/>
      <c r="F22" s="40"/>
      <c r="G22" s="43" t="str">
        <f t="shared" si="14"/>
        <v/>
      </c>
      <c r="H22" s="43" t="str">
        <f t="shared" si="15"/>
        <v/>
      </c>
      <c r="I22" s="44" t="str">
        <f t="shared" si="16"/>
        <v/>
      </c>
      <c r="J22" s="9">
        <f t="shared" si="17"/>
        <v>0</v>
      </c>
      <c r="K22" s="41" t="str">
        <f t="shared" si="18"/>
        <v/>
      </c>
      <c r="L22" s="43" t="str">
        <f t="shared" si="19"/>
        <v/>
      </c>
      <c r="M22" s="43" t="str">
        <f t="shared" si="20"/>
        <v/>
      </c>
      <c r="N22" s="44" t="str">
        <f t="shared" si="21"/>
        <v/>
      </c>
      <c r="O22" s="9">
        <f t="shared" si="22"/>
        <v>0</v>
      </c>
      <c r="P22" s="41" t="str">
        <f t="shared" si="23"/>
        <v/>
      </c>
      <c r="Q22" s="43" t="str">
        <f t="shared" si="24"/>
        <v/>
      </c>
      <c r="R22" s="43" t="str">
        <f t="shared" si="25"/>
        <v/>
      </c>
      <c r="S22" s="44" t="str">
        <f t="shared" si="26"/>
        <v/>
      </c>
      <c r="T22" s="9">
        <f t="shared" si="27"/>
        <v>0</v>
      </c>
      <c r="U22" s="41" t="str">
        <f t="shared" si="28"/>
        <v/>
      </c>
      <c r="V22" s="43" t="str">
        <f t="shared" si="29"/>
        <v/>
      </c>
      <c r="W22" s="43" t="str">
        <f t="shared" si="30"/>
        <v/>
      </c>
      <c r="X22" s="44" t="str">
        <f t="shared" si="31"/>
        <v/>
      </c>
      <c r="Y22" s="9">
        <f t="shared" si="32"/>
        <v>0</v>
      </c>
      <c r="Z22" s="41" t="str">
        <f t="shared" si="33"/>
        <v/>
      </c>
      <c r="AA22" s="43" t="str">
        <f t="shared" si="34"/>
        <v/>
      </c>
      <c r="AB22" s="43" t="str">
        <f t="shared" si="35"/>
        <v/>
      </c>
      <c r="AC22" s="44" t="str">
        <f t="shared" si="36"/>
        <v/>
      </c>
      <c r="AD22" s="9">
        <f t="shared" si="37"/>
        <v>0</v>
      </c>
      <c r="AE22" s="41" t="str">
        <f t="shared" si="38"/>
        <v/>
      </c>
      <c r="AF22" s="43" t="str">
        <f t="shared" si="39"/>
        <v/>
      </c>
      <c r="AG22" s="43" t="str">
        <f t="shared" si="40"/>
        <v/>
      </c>
      <c r="AH22" s="44" t="str">
        <f t="shared" si="41"/>
        <v/>
      </c>
      <c r="AI22" s="9">
        <f t="shared" si="42"/>
        <v>0</v>
      </c>
      <c r="AJ22" s="41" t="str">
        <f t="shared" si="43"/>
        <v/>
      </c>
      <c r="AK22" s="43" t="str">
        <f t="shared" si="44"/>
        <v/>
      </c>
      <c r="AL22" s="43" t="str">
        <f t="shared" si="45"/>
        <v/>
      </c>
      <c r="AM22" s="44" t="str">
        <f t="shared" si="46"/>
        <v/>
      </c>
      <c r="AN22" s="9">
        <f t="shared" si="47"/>
        <v>0</v>
      </c>
      <c r="AO22" s="41" t="str">
        <f t="shared" si="48"/>
        <v/>
      </c>
      <c r="AP22" s="43" t="str">
        <f t="shared" si="49"/>
        <v/>
      </c>
      <c r="AQ22" s="43" t="str">
        <f t="shared" si="50"/>
        <v/>
      </c>
      <c r="AR22" s="44" t="str">
        <f t="shared" si="51"/>
        <v/>
      </c>
      <c r="AS22" s="9">
        <f t="shared" si="52"/>
        <v>0</v>
      </c>
      <c r="AT22" s="41" t="str">
        <f t="shared" si="53"/>
        <v/>
      </c>
      <c r="AU22" s="43" t="str">
        <f t="shared" si="54"/>
        <v/>
      </c>
      <c r="AV22" s="43" t="str">
        <f t="shared" si="55"/>
        <v/>
      </c>
      <c r="AW22" s="44" t="str">
        <f t="shared" si="56"/>
        <v/>
      </c>
      <c r="AX22" s="9">
        <f t="shared" si="57"/>
        <v>0</v>
      </c>
      <c r="AY22" s="41" t="str">
        <f t="shared" si="58"/>
        <v/>
      </c>
      <c r="AZ22" s="43" t="str">
        <f t="shared" si="59"/>
        <v/>
      </c>
      <c r="BA22" s="43" t="str">
        <f t="shared" si="60"/>
        <v/>
      </c>
      <c r="BB22" s="44" t="str">
        <f t="shared" si="61"/>
        <v/>
      </c>
      <c r="BC22" s="9">
        <f t="shared" si="62"/>
        <v>0</v>
      </c>
      <c r="BD22" s="41" t="str">
        <f t="shared" si="63"/>
        <v/>
      </c>
      <c r="BE22" s="43" t="str">
        <f t="shared" si="64"/>
        <v/>
      </c>
      <c r="BF22" s="43" t="str">
        <f t="shared" si="65"/>
        <v/>
      </c>
      <c r="BG22" s="44" t="str">
        <f t="shared" si="66"/>
        <v/>
      </c>
      <c r="BH22" s="9">
        <f t="shared" si="67"/>
        <v>0</v>
      </c>
      <c r="BI22" s="41" t="str">
        <f t="shared" si="68"/>
        <v/>
      </c>
      <c r="BJ22" s="43" t="str">
        <f t="shared" si="69"/>
        <v/>
      </c>
      <c r="BK22" s="43" t="str">
        <f t="shared" si="70"/>
        <v/>
      </c>
      <c r="BL22" s="44" t="str">
        <f t="shared" si="71"/>
        <v/>
      </c>
      <c r="BM22" s="9">
        <f t="shared" si="72"/>
        <v>0</v>
      </c>
      <c r="BN22" s="41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0"/>
      <c r="E23" s="40"/>
      <c r="F23" s="40"/>
      <c r="G23" s="43" t="str">
        <f t="shared" si="14"/>
        <v/>
      </c>
      <c r="H23" s="43" t="str">
        <f t="shared" si="15"/>
        <v/>
      </c>
      <c r="I23" s="44" t="str">
        <f t="shared" si="16"/>
        <v/>
      </c>
      <c r="J23" s="9">
        <f t="shared" si="17"/>
        <v>0</v>
      </c>
      <c r="K23" s="41" t="str">
        <f t="shared" si="18"/>
        <v/>
      </c>
      <c r="L23" s="43" t="str">
        <f t="shared" si="19"/>
        <v/>
      </c>
      <c r="M23" s="43" t="str">
        <f t="shared" si="20"/>
        <v/>
      </c>
      <c r="N23" s="44" t="str">
        <f t="shared" si="21"/>
        <v/>
      </c>
      <c r="O23" s="9">
        <f t="shared" si="22"/>
        <v>0</v>
      </c>
      <c r="P23" s="41" t="str">
        <f t="shared" si="23"/>
        <v/>
      </c>
      <c r="Q23" s="43" t="str">
        <f t="shared" si="24"/>
        <v/>
      </c>
      <c r="R23" s="43" t="str">
        <f t="shared" si="25"/>
        <v/>
      </c>
      <c r="S23" s="44" t="str">
        <f t="shared" si="26"/>
        <v/>
      </c>
      <c r="T23" s="9">
        <f t="shared" si="27"/>
        <v>0</v>
      </c>
      <c r="U23" s="41" t="str">
        <f t="shared" si="28"/>
        <v/>
      </c>
      <c r="V23" s="43" t="str">
        <f t="shared" si="29"/>
        <v/>
      </c>
      <c r="W23" s="43" t="str">
        <f t="shared" si="30"/>
        <v/>
      </c>
      <c r="X23" s="44" t="str">
        <f t="shared" si="31"/>
        <v/>
      </c>
      <c r="Y23" s="9">
        <f t="shared" si="32"/>
        <v>0</v>
      </c>
      <c r="Z23" s="41" t="str">
        <f t="shared" si="33"/>
        <v/>
      </c>
      <c r="AA23" s="43" t="str">
        <f t="shared" si="34"/>
        <v/>
      </c>
      <c r="AB23" s="43" t="str">
        <f t="shared" si="35"/>
        <v/>
      </c>
      <c r="AC23" s="44" t="str">
        <f t="shared" si="36"/>
        <v/>
      </c>
      <c r="AD23" s="9">
        <f t="shared" si="37"/>
        <v>0</v>
      </c>
      <c r="AE23" s="41" t="str">
        <f t="shared" si="38"/>
        <v/>
      </c>
      <c r="AF23" s="43" t="str">
        <f t="shared" si="39"/>
        <v/>
      </c>
      <c r="AG23" s="43" t="str">
        <f t="shared" si="40"/>
        <v/>
      </c>
      <c r="AH23" s="44" t="str">
        <f t="shared" si="41"/>
        <v/>
      </c>
      <c r="AI23" s="9">
        <f t="shared" si="42"/>
        <v>0</v>
      </c>
      <c r="AJ23" s="41" t="str">
        <f t="shared" si="43"/>
        <v/>
      </c>
      <c r="AK23" s="43" t="str">
        <f t="shared" si="44"/>
        <v/>
      </c>
      <c r="AL23" s="43" t="str">
        <f t="shared" si="45"/>
        <v/>
      </c>
      <c r="AM23" s="44" t="str">
        <f t="shared" si="46"/>
        <v/>
      </c>
      <c r="AN23" s="9">
        <f t="shared" si="47"/>
        <v>0</v>
      </c>
      <c r="AO23" s="41" t="str">
        <f t="shared" si="48"/>
        <v/>
      </c>
      <c r="AP23" s="43" t="str">
        <f t="shared" si="49"/>
        <v/>
      </c>
      <c r="AQ23" s="43" t="str">
        <f t="shared" si="50"/>
        <v/>
      </c>
      <c r="AR23" s="44" t="str">
        <f t="shared" si="51"/>
        <v/>
      </c>
      <c r="AS23" s="9">
        <f t="shared" si="52"/>
        <v>0</v>
      </c>
      <c r="AT23" s="41" t="str">
        <f t="shared" si="53"/>
        <v/>
      </c>
      <c r="AU23" s="43" t="str">
        <f t="shared" si="54"/>
        <v/>
      </c>
      <c r="AV23" s="43" t="str">
        <f t="shared" si="55"/>
        <v/>
      </c>
      <c r="AW23" s="44" t="str">
        <f t="shared" si="56"/>
        <v/>
      </c>
      <c r="AX23" s="9">
        <f t="shared" si="57"/>
        <v>0</v>
      </c>
      <c r="AY23" s="41" t="str">
        <f t="shared" si="58"/>
        <v/>
      </c>
      <c r="AZ23" s="43" t="str">
        <f t="shared" si="59"/>
        <v/>
      </c>
      <c r="BA23" s="43" t="str">
        <f t="shared" si="60"/>
        <v/>
      </c>
      <c r="BB23" s="44" t="str">
        <f t="shared" si="61"/>
        <v/>
      </c>
      <c r="BC23" s="9">
        <f t="shared" si="62"/>
        <v>0</v>
      </c>
      <c r="BD23" s="41" t="str">
        <f t="shared" si="63"/>
        <v/>
      </c>
      <c r="BE23" s="43" t="str">
        <f t="shared" si="64"/>
        <v/>
      </c>
      <c r="BF23" s="43" t="str">
        <f t="shared" si="65"/>
        <v/>
      </c>
      <c r="BG23" s="44" t="str">
        <f t="shared" si="66"/>
        <v/>
      </c>
      <c r="BH23" s="9">
        <f t="shared" si="67"/>
        <v>0</v>
      </c>
      <c r="BI23" s="41" t="str">
        <f t="shared" si="68"/>
        <v/>
      </c>
      <c r="BJ23" s="43" t="str">
        <f t="shared" si="69"/>
        <v/>
      </c>
      <c r="BK23" s="43" t="str">
        <f t="shared" si="70"/>
        <v/>
      </c>
      <c r="BL23" s="44" t="str">
        <f t="shared" si="71"/>
        <v/>
      </c>
      <c r="BM23" s="9">
        <f t="shared" si="72"/>
        <v>0</v>
      </c>
      <c r="BN23" s="41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0"/>
      <c r="E24" s="40"/>
      <c r="F24" s="40"/>
      <c r="G24" s="43" t="str">
        <f t="shared" si="14"/>
        <v/>
      </c>
      <c r="H24" s="43" t="str">
        <f t="shared" si="15"/>
        <v/>
      </c>
      <c r="I24" s="44" t="str">
        <f t="shared" si="16"/>
        <v/>
      </c>
      <c r="J24" s="9">
        <f t="shared" si="17"/>
        <v>0</v>
      </c>
      <c r="K24" s="41" t="str">
        <f t="shared" si="18"/>
        <v/>
      </c>
      <c r="L24" s="43" t="str">
        <f t="shared" si="19"/>
        <v/>
      </c>
      <c r="M24" s="43" t="str">
        <f t="shared" si="20"/>
        <v/>
      </c>
      <c r="N24" s="44" t="str">
        <f t="shared" si="21"/>
        <v/>
      </c>
      <c r="O24" s="9">
        <f t="shared" si="22"/>
        <v>0</v>
      </c>
      <c r="P24" s="41" t="str">
        <f t="shared" si="23"/>
        <v/>
      </c>
      <c r="Q24" s="43" t="str">
        <f t="shared" si="24"/>
        <v/>
      </c>
      <c r="R24" s="43" t="str">
        <f t="shared" si="25"/>
        <v/>
      </c>
      <c r="S24" s="44" t="str">
        <f t="shared" si="26"/>
        <v/>
      </c>
      <c r="T24" s="9">
        <f t="shared" si="27"/>
        <v>0</v>
      </c>
      <c r="U24" s="41" t="str">
        <f t="shared" si="28"/>
        <v/>
      </c>
      <c r="V24" s="43" t="str">
        <f t="shared" si="29"/>
        <v/>
      </c>
      <c r="W24" s="43" t="str">
        <f t="shared" si="30"/>
        <v/>
      </c>
      <c r="X24" s="44" t="str">
        <f t="shared" si="31"/>
        <v/>
      </c>
      <c r="Y24" s="9">
        <f t="shared" si="32"/>
        <v>0</v>
      </c>
      <c r="Z24" s="41" t="str">
        <f t="shared" si="33"/>
        <v/>
      </c>
      <c r="AA24" s="43" t="str">
        <f t="shared" si="34"/>
        <v/>
      </c>
      <c r="AB24" s="43" t="str">
        <f t="shared" si="35"/>
        <v/>
      </c>
      <c r="AC24" s="44" t="str">
        <f t="shared" si="36"/>
        <v/>
      </c>
      <c r="AD24" s="9">
        <f t="shared" si="37"/>
        <v>0</v>
      </c>
      <c r="AE24" s="41" t="str">
        <f t="shared" si="38"/>
        <v/>
      </c>
      <c r="AF24" s="43" t="str">
        <f t="shared" si="39"/>
        <v/>
      </c>
      <c r="AG24" s="43" t="str">
        <f t="shared" si="40"/>
        <v/>
      </c>
      <c r="AH24" s="44" t="str">
        <f t="shared" si="41"/>
        <v/>
      </c>
      <c r="AI24" s="9">
        <f t="shared" si="42"/>
        <v>0</v>
      </c>
      <c r="AJ24" s="41" t="str">
        <f t="shared" si="43"/>
        <v/>
      </c>
      <c r="AK24" s="43" t="str">
        <f t="shared" si="44"/>
        <v/>
      </c>
      <c r="AL24" s="43" t="str">
        <f t="shared" si="45"/>
        <v/>
      </c>
      <c r="AM24" s="44" t="str">
        <f t="shared" si="46"/>
        <v/>
      </c>
      <c r="AN24" s="9">
        <f t="shared" si="47"/>
        <v>0</v>
      </c>
      <c r="AO24" s="41" t="str">
        <f t="shared" si="48"/>
        <v/>
      </c>
      <c r="AP24" s="43" t="str">
        <f t="shared" si="49"/>
        <v/>
      </c>
      <c r="AQ24" s="43" t="str">
        <f t="shared" si="50"/>
        <v/>
      </c>
      <c r="AR24" s="44" t="str">
        <f t="shared" si="51"/>
        <v/>
      </c>
      <c r="AS24" s="9">
        <f t="shared" si="52"/>
        <v>0</v>
      </c>
      <c r="AT24" s="41" t="str">
        <f t="shared" si="53"/>
        <v/>
      </c>
      <c r="AU24" s="43" t="str">
        <f t="shared" si="54"/>
        <v/>
      </c>
      <c r="AV24" s="43" t="str">
        <f t="shared" si="55"/>
        <v/>
      </c>
      <c r="AW24" s="44" t="str">
        <f t="shared" si="56"/>
        <v/>
      </c>
      <c r="AX24" s="9">
        <f t="shared" si="57"/>
        <v>0</v>
      </c>
      <c r="AY24" s="41" t="str">
        <f t="shared" si="58"/>
        <v/>
      </c>
      <c r="AZ24" s="43" t="str">
        <f t="shared" si="59"/>
        <v/>
      </c>
      <c r="BA24" s="43" t="str">
        <f t="shared" si="60"/>
        <v/>
      </c>
      <c r="BB24" s="44" t="str">
        <f t="shared" si="61"/>
        <v/>
      </c>
      <c r="BC24" s="9">
        <f t="shared" si="62"/>
        <v>0</v>
      </c>
      <c r="BD24" s="41" t="str">
        <f t="shared" si="63"/>
        <v/>
      </c>
      <c r="BE24" s="43" t="str">
        <f t="shared" si="64"/>
        <v/>
      </c>
      <c r="BF24" s="43" t="str">
        <f t="shared" si="65"/>
        <v/>
      </c>
      <c r="BG24" s="44" t="str">
        <f t="shared" si="66"/>
        <v/>
      </c>
      <c r="BH24" s="9">
        <f t="shared" si="67"/>
        <v>0</v>
      </c>
      <c r="BI24" s="41" t="str">
        <f t="shared" si="68"/>
        <v/>
      </c>
      <c r="BJ24" s="43" t="str">
        <f t="shared" si="69"/>
        <v/>
      </c>
      <c r="BK24" s="43" t="str">
        <f t="shared" si="70"/>
        <v/>
      </c>
      <c r="BL24" s="44" t="str">
        <f t="shared" si="71"/>
        <v/>
      </c>
      <c r="BM24" s="9">
        <f t="shared" si="72"/>
        <v>0</v>
      </c>
      <c r="BN24" s="41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0"/>
      <c r="E25" s="40"/>
      <c r="F25" s="40"/>
      <c r="G25" s="43" t="str">
        <f t="shared" si="14"/>
        <v/>
      </c>
      <c r="H25" s="43" t="str">
        <f t="shared" si="15"/>
        <v/>
      </c>
      <c r="I25" s="44" t="str">
        <f t="shared" si="16"/>
        <v/>
      </c>
      <c r="J25" s="9">
        <f t="shared" si="17"/>
        <v>0</v>
      </c>
      <c r="K25" s="41" t="str">
        <f t="shared" si="18"/>
        <v/>
      </c>
      <c r="L25" s="43" t="str">
        <f t="shared" si="19"/>
        <v/>
      </c>
      <c r="M25" s="43" t="str">
        <f t="shared" si="20"/>
        <v/>
      </c>
      <c r="N25" s="44" t="str">
        <f t="shared" si="21"/>
        <v/>
      </c>
      <c r="O25" s="9">
        <f t="shared" si="22"/>
        <v>0</v>
      </c>
      <c r="P25" s="41" t="str">
        <f t="shared" si="23"/>
        <v/>
      </c>
      <c r="Q25" s="43" t="str">
        <f t="shared" si="24"/>
        <v/>
      </c>
      <c r="R25" s="43" t="str">
        <f t="shared" si="25"/>
        <v/>
      </c>
      <c r="S25" s="44" t="str">
        <f t="shared" si="26"/>
        <v/>
      </c>
      <c r="T25" s="9">
        <f t="shared" si="27"/>
        <v>0</v>
      </c>
      <c r="U25" s="41" t="str">
        <f t="shared" si="28"/>
        <v/>
      </c>
      <c r="V25" s="43" t="str">
        <f t="shared" si="29"/>
        <v/>
      </c>
      <c r="W25" s="43" t="str">
        <f t="shared" si="30"/>
        <v/>
      </c>
      <c r="X25" s="44" t="str">
        <f t="shared" si="31"/>
        <v/>
      </c>
      <c r="Y25" s="9">
        <f t="shared" si="32"/>
        <v>0</v>
      </c>
      <c r="Z25" s="41" t="str">
        <f t="shared" si="33"/>
        <v/>
      </c>
      <c r="AA25" s="43" t="str">
        <f t="shared" si="34"/>
        <v/>
      </c>
      <c r="AB25" s="43" t="str">
        <f t="shared" si="35"/>
        <v/>
      </c>
      <c r="AC25" s="44" t="str">
        <f t="shared" si="36"/>
        <v/>
      </c>
      <c r="AD25" s="9">
        <f t="shared" si="37"/>
        <v>0</v>
      </c>
      <c r="AE25" s="41" t="str">
        <f t="shared" si="38"/>
        <v/>
      </c>
      <c r="AF25" s="43" t="str">
        <f t="shared" si="39"/>
        <v/>
      </c>
      <c r="AG25" s="43" t="str">
        <f t="shared" si="40"/>
        <v/>
      </c>
      <c r="AH25" s="44" t="str">
        <f t="shared" si="41"/>
        <v/>
      </c>
      <c r="AI25" s="9">
        <f t="shared" si="42"/>
        <v>0</v>
      </c>
      <c r="AJ25" s="41" t="str">
        <f t="shared" si="43"/>
        <v/>
      </c>
      <c r="AK25" s="43" t="str">
        <f t="shared" si="44"/>
        <v/>
      </c>
      <c r="AL25" s="43" t="str">
        <f t="shared" si="45"/>
        <v/>
      </c>
      <c r="AM25" s="44" t="str">
        <f t="shared" si="46"/>
        <v/>
      </c>
      <c r="AN25" s="9">
        <f t="shared" si="47"/>
        <v>0</v>
      </c>
      <c r="AO25" s="41" t="str">
        <f t="shared" si="48"/>
        <v/>
      </c>
      <c r="AP25" s="43" t="str">
        <f t="shared" si="49"/>
        <v/>
      </c>
      <c r="AQ25" s="43" t="str">
        <f t="shared" si="50"/>
        <v/>
      </c>
      <c r="AR25" s="44" t="str">
        <f t="shared" si="51"/>
        <v/>
      </c>
      <c r="AS25" s="9">
        <f t="shared" si="52"/>
        <v>0</v>
      </c>
      <c r="AT25" s="41" t="str">
        <f t="shared" si="53"/>
        <v/>
      </c>
      <c r="AU25" s="43" t="str">
        <f t="shared" si="54"/>
        <v/>
      </c>
      <c r="AV25" s="43" t="str">
        <f t="shared" si="55"/>
        <v/>
      </c>
      <c r="AW25" s="44" t="str">
        <f t="shared" si="56"/>
        <v/>
      </c>
      <c r="AX25" s="9">
        <f t="shared" si="57"/>
        <v>0</v>
      </c>
      <c r="AY25" s="41" t="str">
        <f t="shared" si="58"/>
        <v/>
      </c>
      <c r="AZ25" s="43" t="str">
        <f t="shared" si="59"/>
        <v/>
      </c>
      <c r="BA25" s="43" t="str">
        <f t="shared" si="60"/>
        <v/>
      </c>
      <c r="BB25" s="44" t="str">
        <f t="shared" si="61"/>
        <v/>
      </c>
      <c r="BC25" s="9">
        <f t="shared" si="62"/>
        <v>0</v>
      </c>
      <c r="BD25" s="41" t="str">
        <f t="shared" si="63"/>
        <v/>
      </c>
      <c r="BE25" s="43" t="str">
        <f t="shared" si="64"/>
        <v/>
      </c>
      <c r="BF25" s="43" t="str">
        <f t="shared" si="65"/>
        <v/>
      </c>
      <c r="BG25" s="44" t="str">
        <f t="shared" si="66"/>
        <v/>
      </c>
      <c r="BH25" s="9">
        <f t="shared" si="67"/>
        <v>0</v>
      </c>
      <c r="BI25" s="41" t="str">
        <f t="shared" si="68"/>
        <v/>
      </c>
      <c r="BJ25" s="43" t="str">
        <f t="shared" si="69"/>
        <v/>
      </c>
      <c r="BK25" s="43" t="str">
        <f t="shared" si="70"/>
        <v/>
      </c>
      <c r="BL25" s="44" t="str">
        <f t="shared" si="71"/>
        <v/>
      </c>
      <c r="BM25" s="9">
        <f t="shared" si="72"/>
        <v>0</v>
      </c>
      <c r="BN25" s="41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0"/>
      <c r="E26" s="40"/>
      <c r="F26" s="40"/>
      <c r="G26" s="43" t="str">
        <f t="shared" si="14"/>
        <v/>
      </c>
      <c r="H26" s="43" t="str">
        <f t="shared" si="15"/>
        <v/>
      </c>
      <c r="I26" s="44" t="str">
        <f t="shared" si="16"/>
        <v/>
      </c>
      <c r="J26" s="9">
        <f t="shared" si="17"/>
        <v>0</v>
      </c>
      <c r="K26" s="41" t="str">
        <f t="shared" si="18"/>
        <v/>
      </c>
      <c r="L26" s="43" t="str">
        <f t="shared" si="19"/>
        <v/>
      </c>
      <c r="M26" s="43" t="str">
        <f t="shared" si="20"/>
        <v/>
      </c>
      <c r="N26" s="44" t="str">
        <f t="shared" si="21"/>
        <v/>
      </c>
      <c r="O26" s="9">
        <f t="shared" si="22"/>
        <v>0</v>
      </c>
      <c r="P26" s="41" t="str">
        <f t="shared" si="23"/>
        <v/>
      </c>
      <c r="Q26" s="43" t="str">
        <f t="shared" si="24"/>
        <v/>
      </c>
      <c r="R26" s="43" t="str">
        <f t="shared" si="25"/>
        <v/>
      </c>
      <c r="S26" s="44" t="str">
        <f t="shared" si="26"/>
        <v/>
      </c>
      <c r="T26" s="9">
        <f t="shared" si="27"/>
        <v>0</v>
      </c>
      <c r="U26" s="41" t="str">
        <f t="shared" si="28"/>
        <v/>
      </c>
      <c r="V26" s="43" t="str">
        <f t="shared" si="29"/>
        <v/>
      </c>
      <c r="W26" s="43" t="str">
        <f t="shared" si="30"/>
        <v/>
      </c>
      <c r="X26" s="44" t="str">
        <f t="shared" si="31"/>
        <v/>
      </c>
      <c r="Y26" s="9">
        <f t="shared" si="32"/>
        <v>0</v>
      </c>
      <c r="Z26" s="41" t="str">
        <f t="shared" si="33"/>
        <v/>
      </c>
      <c r="AA26" s="43" t="str">
        <f t="shared" si="34"/>
        <v/>
      </c>
      <c r="AB26" s="43" t="str">
        <f t="shared" si="35"/>
        <v/>
      </c>
      <c r="AC26" s="44" t="str">
        <f t="shared" si="36"/>
        <v/>
      </c>
      <c r="AD26" s="9">
        <f t="shared" si="37"/>
        <v>0</v>
      </c>
      <c r="AE26" s="41" t="str">
        <f t="shared" si="38"/>
        <v/>
      </c>
      <c r="AF26" s="43" t="str">
        <f t="shared" si="39"/>
        <v/>
      </c>
      <c r="AG26" s="43" t="str">
        <f t="shared" si="40"/>
        <v/>
      </c>
      <c r="AH26" s="44" t="str">
        <f t="shared" si="41"/>
        <v/>
      </c>
      <c r="AI26" s="9">
        <f t="shared" si="42"/>
        <v>0</v>
      </c>
      <c r="AJ26" s="41" t="str">
        <f t="shared" si="43"/>
        <v/>
      </c>
      <c r="AK26" s="43" t="str">
        <f t="shared" si="44"/>
        <v/>
      </c>
      <c r="AL26" s="43" t="str">
        <f t="shared" si="45"/>
        <v/>
      </c>
      <c r="AM26" s="44" t="str">
        <f t="shared" si="46"/>
        <v/>
      </c>
      <c r="AN26" s="9">
        <f t="shared" si="47"/>
        <v>0</v>
      </c>
      <c r="AO26" s="41" t="str">
        <f t="shared" si="48"/>
        <v/>
      </c>
      <c r="AP26" s="43" t="str">
        <f t="shared" si="49"/>
        <v/>
      </c>
      <c r="AQ26" s="43" t="str">
        <f t="shared" si="50"/>
        <v/>
      </c>
      <c r="AR26" s="44" t="str">
        <f t="shared" si="51"/>
        <v/>
      </c>
      <c r="AS26" s="9">
        <f t="shared" si="52"/>
        <v>0</v>
      </c>
      <c r="AT26" s="41" t="str">
        <f t="shared" si="53"/>
        <v/>
      </c>
      <c r="AU26" s="43" t="str">
        <f t="shared" si="54"/>
        <v/>
      </c>
      <c r="AV26" s="43" t="str">
        <f t="shared" si="55"/>
        <v/>
      </c>
      <c r="AW26" s="44" t="str">
        <f t="shared" si="56"/>
        <v/>
      </c>
      <c r="AX26" s="9">
        <f t="shared" si="57"/>
        <v>0</v>
      </c>
      <c r="AY26" s="41" t="str">
        <f t="shared" si="58"/>
        <v/>
      </c>
      <c r="AZ26" s="43" t="str">
        <f t="shared" si="59"/>
        <v/>
      </c>
      <c r="BA26" s="43" t="str">
        <f t="shared" si="60"/>
        <v/>
      </c>
      <c r="BB26" s="44" t="str">
        <f t="shared" si="61"/>
        <v/>
      </c>
      <c r="BC26" s="9">
        <f t="shared" si="62"/>
        <v>0</v>
      </c>
      <c r="BD26" s="41" t="str">
        <f t="shared" si="63"/>
        <v/>
      </c>
      <c r="BE26" s="43" t="str">
        <f t="shared" si="64"/>
        <v/>
      </c>
      <c r="BF26" s="43" t="str">
        <f t="shared" si="65"/>
        <v/>
      </c>
      <c r="BG26" s="44" t="str">
        <f t="shared" si="66"/>
        <v/>
      </c>
      <c r="BH26" s="9">
        <f t="shared" si="67"/>
        <v>0</v>
      </c>
      <c r="BI26" s="41" t="str">
        <f t="shared" si="68"/>
        <v/>
      </c>
      <c r="BJ26" s="43" t="str">
        <f t="shared" si="69"/>
        <v/>
      </c>
      <c r="BK26" s="43" t="str">
        <f t="shared" si="70"/>
        <v/>
      </c>
      <c r="BL26" s="44" t="str">
        <f t="shared" si="71"/>
        <v/>
      </c>
      <c r="BM26" s="9">
        <f t="shared" si="72"/>
        <v>0</v>
      </c>
      <c r="BN26" s="41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0"/>
      <c r="E27" s="40"/>
      <c r="F27" s="40"/>
      <c r="G27" s="43" t="str">
        <f t="shared" si="14"/>
        <v/>
      </c>
      <c r="H27" s="43" t="str">
        <f t="shared" si="15"/>
        <v/>
      </c>
      <c r="I27" s="44" t="str">
        <f t="shared" si="16"/>
        <v/>
      </c>
      <c r="J27" s="9">
        <f t="shared" si="17"/>
        <v>0</v>
      </c>
      <c r="K27" s="41" t="str">
        <f t="shared" si="18"/>
        <v/>
      </c>
      <c r="L27" s="43" t="str">
        <f t="shared" si="19"/>
        <v/>
      </c>
      <c r="M27" s="43" t="str">
        <f t="shared" si="20"/>
        <v/>
      </c>
      <c r="N27" s="44" t="str">
        <f t="shared" si="21"/>
        <v/>
      </c>
      <c r="O27" s="9">
        <f t="shared" si="22"/>
        <v>0</v>
      </c>
      <c r="P27" s="41" t="str">
        <f t="shared" si="23"/>
        <v/>
      </c>
      <c r="Q27" s="43" t="str">
        <f t="shared" si="24"/>
        <v/>
      </c>
      <c r="R27" s="43" t="str">
        <f t="shared" si="25"/>
        <v/>
      </c>
      <c r="S27" s="44" t="str">
        <f t="shared" si="26"/>
        <v/>
      </c>
      <c r="T27" s="9">
        <f t="shared" si="27"/>
        <v>0</v>
      </c>
      <c r="U27" s="41" t="str">
        <f t="shared" si="28"/>
        <v/>
      </c>
      <c r="V27" s="43" t="str">
        <f t="shared" si="29"/>
        <v/>
      </c>
      <c r="W27" s="43" t="str">
        <f t="shared" si="30"/>
        <v/>
      </c>
      <c r="X27" s="44" t="str">
        <f t="shared" si="31"/>
        <v/>
      </c>
      <c r="Y27" s="9">
        <f t="shared" si="32"/>
        <v>0</v>
      </c>
      <c r="Z27" s="41" t="str">
        <f t="shared" si="33"/>
        <v/>
      </c>
      <c r="AA27" s="43" t="str">
        <f t="shared" si="34"/>
        <v/>
      </c>
      <c r="AB27" s="43" t="str">
        <f t="shared" si="35"/>
        <v/>
      </c>
      <c r="AC27" s="44" t="str">
        <f t="shared" si="36"/>
        <v/>
      </c>
      <c r="AD27" s="9">
        <f t="shared" si="37"/>
        <v>0</v>
      </c>
      <c r="AE27" s="41" t="str">
        <f t="shared" si="38"/>
        <v/>
      </c>
      <c r="AF27" s="43" t="str">
        <f t="shared" si="39"/>
        <v/>
      </c>
      <c r="AG27" s="43" t="str">
        <f t="shared" si="40"/>
        <v/>
      </c>
      <c r="AH27" s="44" t="str">
        <f t="shared" si="41"/>
        <v/>
      </c>
      <c r="AI27" s="9">
        <f t="shared" si="42"/>
        <v>0</v>
      </c>
      <c r="AJ27" s="41" t="str">
        <f t="shared" si="43"/>
        <v/>
      </c>
      <c r="AK27" s="43" t="str">
        <f t="shared" si="44"/>
        <v/>
      </c>
      <c r="AL27" s="43" t="str">
        <f t="shared" si="45"/>
        <v/>
      </c>
      <c r="AM27" s="44" t="str">
        <f t="shared" si="46"/>
        <v/>
      </c>
      <c r="AN27" s="9">
        <f t="shared" si="47"/>
        <v>0</v>
      </c>
      <c r="AO27" s="41" t="str">
        <f t="shared" si="48"/>
        <v/>
      </c>
      <c r="AP27" s="43" t="str">
        <f t="shared" si="49"/>
        <v/>
      </c>
      <c r="AQ27" s="43" t="str">
        <f t="shared" si="50"/>
        <v/>
      </c>
      <c r="AR27" s="44" t="str">
        <f t="shared" si="51"/>
        <v/>
      </c>
      <c r="AS27" s="9">
        <f t="shared" si="52"/>
        <v>0</v>
      </c>
      <c r="AT27" s="41" t="str">
        <f t="shared" si="53"/>
        <v/>
      </c>
      <c r="AU27" s="43" t="str">
        <f t="shared" si="54"/>
        <v/>
      </c>
      <c r="AV27" s="43" t="str">
        <f t="shared" si="55"/>
        <v/>
      </c>
      <c r="AW27" s="44" t="str">
        <f t="shared" si="56"/>
        <v/>
      </c>
      <c r="AX27" s="9">
        <f t="shared" si="57"/>
        <v>0</v>
      </c>
      <c r="AY27" s="41" t="str">
        <f t="shared" si="58"/>
        <v/>
      </c>
      <c r="AZ27" s="43" t="str">
        <f t="shared" si="59"/>
        <v/>
      </c>
      <c r="BA27" s="43" t="str">
        <f t="shared" si="60"/>
        <v/>
      </c>
      <c r="BB27" s="44" t="str">
        <f t="shared" si="61"/>
        <v/>
      </c>
      <c r="BC27" s="9">
        <f t="shared" si="62"/>
        <v>0</v>
      </c>
      <c r="BD27" s="41" t="str">
        <f t="shared" si="63"/>
        <v/>
      </c>
      <c r="BE27" s="43" t="str">
        <f t="shared" si="64"/>
        <v/>
      </c>
      <c r="BF27" s="43" t="str">
        <f t="shared" si="65"/>
        <v/>
      </c>
      <c r="BG27" s="44" t="str">
        <f t="shared" si="66"/>
        <v/>
      </c>
      <c r="BH27" s="9">
        <f t="shared" si="67"/>
        <v>0</v>
      </c>
      <c r="BI27" s="41" t="str">
        <f t="shared" si="68"/>
        <v/>
      </c>
      <c r="BJ27" s="43" t="str">
        <f t="shared" si="69"/>
        <v/>
      </c>
      <c r="BK27" s="43" t="str">
        <f t="shared" si="70"/>
        <v/>
      </c>
      <c r="BL27" s="44" t="str">
        <f t="shared" si="71"/>
        <v/>
      </c>
      <c r="BM27" s="9">
        <f t="shared" si="72"/>
        <v>0</v>
      </c>
      <c r="BN27" s="41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0"/>
      <c r="E28" s="40"/>
      <c r="F28" s="40"/>
      <c r="G28" s="43" t="str">
        <f t="shared" si="14"/>
        <v/>
      </c>
      <c r="H28" s="43" t="str">
        <f t="shared" si="15"/>
        <v/>
      </c>
      <c r="I28" s="44" t="str">
        <f t="shared" si="16"/>
        <v/>
      </c>
      <c r="J28" s="9">
        <f t="shared" si="17"/>
        <v>0</v>
      </c>
      <c r="K28" s="41" t="str">
        <f t="shared" si="18"/>
        <v/>
      </c>
      <c r="L28" s="43" t="str">
        <f t="shared" si="19"/>
        <v/>
      </c>
      <c r="M28" s="43" t="str">
        <f t="shared" si="20"/>
        <v/>
      </c>
      <c r="N28" s="44" t="str">
        <f t="shared" si="21"/>
        <v/>
      </c>
      <c r="O28" s="9">
        <f t="shared" si="22"/>
        <v>0</v>
      </c>
      <c r="P28" s="41" t="str">
        <f t="shared" si="23"/>
        <v/>
      </c>
      <c r="Q28" s="43" t="str">
        <f t="shared" si="24"/>
        <v/>
      </c>
      <c r="R28" s="43" t="str">
        <f t="shared" si="25"/>
        <v/>
      </c>
      <c r="S28" s="44" t="str">
        <f t="shared" si="26"/>
        <v/>
      </c>
      <c r="T28" s="9">
        <f t="shared" si="27"/>
        <v>0</v>
      </c>
      <c r="U28" s="41" t="str">
        <f t="shared" si="28"/>
        <v/>
      </c>
      <c r="V28" s="43" t="str">
        <f t="shared" si="29"/>
        <v/>
      </c>
      <c r="W28" s="43" t="str">
        <f t="shared" si="30"/>
        <v/>
      </c>
      <c r="X28" s="44" t="str">
        <f t="shared" si="31"/>
        <v/>
      </c>
      <c r="Y28" s="9">
        <f t="shared" si="32"/>
        <v>0</v>
      </c>
      <c r="Z28" s="41" t="str">
        <f t="shared" si="33"/>
        <v/>
      </c>
      <c r="AA28" s="43" t="str">
        <f t="shared" si="34"/>
        <v/>
      </c>
      <c r="AB28" s="43" t="str">
        <f t="shared" si="35"/>
        <v/>
      </c>
      <c r="AC28" s="44" t="str">
        <f t="shared" si="36"/>
        <v/>
      </c>
      <c r="AD28" s="9">
        <f t="shared" si="37"/>
        <v>0</v>
      </c>
      <c r="AE28" s="41" t="str">
        <f t="shared" si="38"/>
        <v/>
      </c>
      <c r="AF28" s="43" t="str">
        <f t="shared" si="39"/>
        <v/>
      </c>
      <c r="AG28" s="43" t="str">
        <f t="shared" si="40"/>
        <v/>
      </c>
      <c r="AH28" s="44" t="str">
        <f t="shared" si="41"/>
        <v/>
      </c>
      <c r="AI28" s="9">
        <f t="shared" si="42"/>
        <v>0</v>
      </c>
      <c r="AJ28" s="41" t="str">
        <f t="shared" si="43"/>
        <v/>
      </c>
      <c r="AK28" s="43" t="str">
        <f t="shared" si="44"/>
        <v/>
      </c>
      <c r="AL28" s="43" t="str">
        <f t="shared" si="45"/>
        <v/>
      </c>
      <c r="AM28" s="44" t="str">
        <f t="shared" si="46"/>
        <v/>
      </c>
      <c r="AN28" s="9">
        <f t="shared" si="47"/>
        <v>0</v>
      </c>
      <c r="AO28" s="41" t="str">
        <f t="shared" si="48"/>
        <v/>
      </c>
      <c r="AP28" s="43" t="str">
        <f t="shared" si="49"/>
        <v/>
      </c>
      <c r="AQ28" s="43" t="str">
        <f t="shared" si="50"/>
        <v/>
      </c>
      <c r="AR28" s="44" t="str">
        <f t="shared" si="51"/>
        <v/>
      </c>
      <c r="AS28" s="9">
        <f t="shared" si="52"/>
        <v>0</v>
      </c>
      <c r="AT28" s="41" t="str">
        <f t="shared" si="53"/>
        <v/>
      </c>
      <c r="AU28" s="43" t="str">
        <f t="shared" si="54"/>
        <v/>
      </c>
      <c r="AV28" s="43" t="str">
        <f t="shared" si="55"/>
        <v/>
      </c>
      <c r="AW28" s="44" t="str">
        <f t="shared" si="56"/>
        <v/>
      </c>
      <c r="AX28" s="9">
        <f t="shared" si="57"/>
        <v>0</v>
      </c>
      <c r="AY28" s="41" t="str">
        <f t="shared" si="58"/>
        <v/>
      </c>
      <c r="AZ28" s="43" t="str">
        <f t="shared" si="59"/>
        <v/>
      </c>
      <c r="BA28" s="43" t="str">
        <f t="shared" si="60"/>
        <v/>
      </c>
      <c r="BB28" s="44" t="str">
        <f t="shared" si="61"/>
        <v/>
      </c>
      <c r="BC28" s="9">
        <f t="shared" si="62"/>
        <v>0</v>
      </c>
      <c r="BD28" s="41" t="str">
        <f t="shared" si="63"/>
        <v/>
      </c>
      <c r="BE28" s="43" t="str">
        <f t="shared" si="64"/>
        <v/>
      </c>
      <c r="BF28" s="43" t="str">
        <f t="shared" si="65"/>
        <v/>
      </c>
      <c r="BG28" s="44" t="str">
        <f t="shared" si="66"/>
        <v/>
      </c>
      <c r="BH28" s="9">
        <f t="shared" si="67"/>
        <v>0</v>
      </c>
      <c r="BI28" s="41" t="str">
        <f t="shared" si="68"/>
        <v/>
      </c>
      <c r="BJ28" s="43" t="str">
        <f t="shared" si="69"/>
        <v/>
      </c>
      <c r="BK28" s="43" t="str">
        <f t="shared" si="70"/>
        <v/>
      </c>
      <c r="BL28" s="44" t="str">
        <f t="shared" si="71"/>
        <v/>
      </c>
      <c r="BM28" s="9">
        <f t="shared" si="72"/>
        <v>0</v>
      </c>
      <c r="BN28" s="41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0"/>
      <c r="E29" s="40"/>
      <c r="F29" s="40"/>
      <c r="G29" s="43" t="str">
        <f t="shared" si="14"/>
        <v/>
      </c>
      <c r="H29" s="43" t="str">
        <f t="shared" si="15"/>
        <v/>
      </c>
      <c r="I29" s="44" t="str">
        <f t="shared" si="16"/>
        <v/>
      </c>
      <c r="J29" s="9">
        <f t="shared" si="17"/>
        <v>0</v>
      </c>
      <c r="K29" s="41" t="str">
        <f t="shared" si="18"/>
        <v/>
      </c>
      <c r="L29" s="43" t="str">
        <f t="shared" si="19"/>
        <v/>
      </c>
      <c r="M29" s="43" t="str">
        <f t="shared" si="20"/>
        <v/>
      </c>
      <c r="N29" s="44" t="str">
        <f t="shared" si="21"/>
        <v/>
      </c>
      <c r="O29" s="9">
        <f t="shared" si="22"/>
        <v>0</v>
      </c>
      <c r="P29" s="41" t="str">
        <f t="shared" si="23"/>
        <v/>
      </c>
      <c r="Q29" s="43" t="str">
        <f t="shared" si="24"/>
        <v/>
      </c>
      <c r="R29" s="43" t="str">
        <f t="shared" si="25"/>
        <v/>
      </c>
      <c r="S29" s="44" t="str">
        <f t="shared" si="26"/>
        <v/>
      </c>
      <c r="T29" s="9">
        <f t="shared" si="27"/>
        <v>0</v>
      </c>
      <c r="U29" s="41" t="str">
        <f t="shared" si="28"/>
        <v/>
      </c>
      <c r="V29" s="43" t="str">
        <f t="shared" si="29"/>
        <v/>
      </c>
      <c r="W29" s="43" t="str">
        <f t="shared" si="30"/>
        <v/>
      </c>
      <c r="X29" s="44" t="str">
        <f t="shared" si="31"/>
        <v/>
      </c>
      <c r="Y29" s="9">
        <f t="shared" si="32"/>
        <v>0</v>
      </c>
      <c r="Z29" s="41" t="str">
        <f t="shared" si="33"/>
        <v/>
      </c>
      <c r="AA29" s="43" t="str">
        <f t="shared" si="34"/>
        <v/>
      </c>
      <c r="AB29" s="43" t="str">
        <f t="shared" si="35"/>
        <v/>
      </c>
      <c r="AC29" s="44" t="str">
        <f t="shared" si="36"/>
        <v/>
      </c>
      <c r="AD29" s="9">
        <f t="shared" si="37"/>
        <v>0</v>
      </c>
      <c r="AE29" s="41" t="str">
        <f t="shared" si="38"/>
        <v/>
      </c>
      <c r="AF29" s="43" t="str">
        <f t="shared" si="39"/>
        <v/>
      </c>
      <c r="AG29" s="43" t="str">
        <f t="shared" si="40"/>
        <v/>
      </c>
      <c r="AH29" s="44" t="str">
        <f t="shared" si="41"/>
        <v/>
      </c>
      <c r="AI29" s="9">
        <f t="shared" si="42"/>
        <v>0</v>
      </c>
      <c r="AJ29" s="41" t="str">
        <f t="shared" si="43"/>
        <v/>
      </c>
      <c r="AK29" s="43" t="str">
        <f t="shared" si="44"/>
        <v/>
      </c>
      <c r="AL29" s="43" t="str">
        <f t="shared" si="45"/>
        <v/>
      </c>
      <c r="AM29" s="44" t="str">
        <f t="shared" si="46"/>
        <v/>
      </c>
      <c r="AN29" s="9">
        <f t="shared" si="47"/>
        <v>0</v>
      </c>
      <c r="AO29" s="41" t="str">
        <f t="shared" si="48"/>
        <v/>
      </c>
      <c r="AP29" s="43" t="str">
        <f t="shared" si="49"/>
        <v/>
      </c>
      <c r="AQ29" s="43" t="str">
        <f t="shared" si="50"/>
        <v/>
      </c>
      <c r="AR29" s="44" t="str">
        <f t="shared" si="51"/>
        <v/>
      </c>
      <c r="AS29" s="9">
        <f t="shared" si="52"/>
        <v>0</v>
      </c>
      <c r="AT29" s="41" t="str">
        <f t="shared" si="53"/>
        <v/>
      </c>
      <c r="AU29" s="43" t="str">
        <f t="shared" si="54"/>
        <v/>
      </c>
      <c r="AV29" s="43" t="str">
        <f t="shared" si="55"/>
        <v/>
      </c>
      <c r="AW29" s="44" t="str">
        <f t="shared" si="56"/>
        <v/>
      </c>
      <c r="AX29" s="9">
        <f t="shared" si="57"/>
        <v>0</v>
      </c>
      <c r="AY29" s="41" t="str">
        <f t="shared" si="58"/>
        <v/>
      </c>
      <c r="AZ29" s="43" t="str">
        <f t="shared" si="59"/>
        <v/>
      </c>
      <c r="BA29" s="43" t="str">
        <f t="shared" si="60"/>
        <v/>
      </c>
      <c r="BB29" s="44" t="str">
        <f t="shared" si="61"/>
        <v/>
      </c>
      <c r="BC29" s="9">
        <f t="shared" si="62"/>
        <v>0</v>
      </c>
      <c r="BD29" s="41" t="str">
        <f t="shared" si="63"/>
        <v/>
      </c>
      <c r="BE29" s="43" t="str">
        <f t="shared" si="64"/>
        <v/>
      </c>
      <c r="BF29" s="43" t="str">
        <f t="shared" si="65"/>
        <v/>
      </c>
      <c r="BG29" s="44" t="str">
        <f t="shared" si="66"/>
        <v/>
      </c>
      <c r="BH29" s="9">
        <f t="shared" si="67"/>
        <v>0</v>
      </c>
      <c r="BI29" s="41" t="str">
        <f t="shared" si="68"/>
        <v/>
      </c>
      <c r="BJ29" s="43" t="str">
        <f t="shared" si="69"/>
        <v/>
      </c>
      <c r="BK29" s="43" t="str">
        <f t="shared" si="70"/>
        <v/>
      </c>
      <c r="BL29" s="44" t="str">
        <f t="shared" si="71"/>
        <v/>
      </c>
      <c r="BM29" s="9">
        <f t="shared" si="72"/>
        <v>0</v>
      </c>
      <c r="BN29" s="41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0"/>
      <c r="E30" s="40"/>
      <c r="F30" s="40"/>
      <c r="G30" s="43" t="str">
        <f t="shared" si="14"/>
        <v/>
      </c>
      <c r="H30" s="43" t="str">
        <f t="shared" si="15"/>
        <v/>
      </c>
      <c r="I30" s="44" t="str">
        <f t="shared" si="16"/>
        <v/>
      </c>
      <c r="J30" s="9">
        <f t="shared" si="17"/>
        <v>0</v>
      </c>
      <c r="K30" s="41" t="str">
        <f t="shared" si="18"/>
        <v/>
      </c>
      <c r="L30" s="43" t="str">
        <f t="shared" si="19"/>
        <v/>
      </c>
      <c r="M30" s="43" t="str">
        <f t="shared" si="20"/>
        <v/>
      </c>
      <c r="N30" s="44" t="str">
        <f t="shared" si="21"/>
        <v/>
      </c>
      <c r="O30" s="9">
        <f t="shared" si="22"/>
        <v>0</v>
      </c>
      <c r="P30" s="41" t="str">
        <f t="shared" si="23"/>
        <v/>
      </c>
      <c r="Q30" s="43" t="str">
        <f t="shared" si="24"/>
        <v/>
      </c>
      <c r="R30" s="43" t="str">
        <f t="shared" si="25"/>
        <v/>
      </c>
      <c r="S30" s="44" t="str">
        <f t="shared" si="26"/>
        <v/>
      </c>
      <c r="T30" s="9">
        <f t="shared" si="27"/>
        <v>0</v>
      </c>
      <c r="U30" s="41" t="str">
        <f t="shared" si="28"/>
        <v/>
      </c>
      <c r="V30" s="43" t="str">
        <f t="shared" si="29"/>
        <v/>
      </c>
      <c r="W30" s="43" t="str">
        <f t="shared" si="30"/>
        <v/>
      </c>
      <c r="X30" s="44" t="str">
        <f t="shared" si="31"/>
        <v/>
      </c>
      <c r="Y30" s="9">
        <f t="shared" si="32"/>
        <v>0</v>
      </c>
      <c r="Z30" s="41" t="str">
        <f t="shared" si="33"/>
        <v/>
      </c>
      <c r="AA30" s="43" t="str">
        <f t="shared" si="34"/>
        <v/>
      </c>
      <c r="AB30" s="43" t="str">
        <f t="shared" si="35"/>
        <v/>
      </c>
      <c r="AC30" s="44" t="str">
        <f t="shared" si="36"/>
        <v/>
      </c>
      <c r="AD30" s="9">
        <f t="shared" si="37"/>
        <v>0</v>
      </c>
      <c r="AE30" s="41" t="str">
        <f t="shared" si="38"/>
        <v/>
      </c>
      <c r="AF30" s="43" t="str">
        <f t="shared" si="39"/>
        <v/>
      </c>
      <c r="AG30" s="43" t="str">
        <f t="shared" si="40"/>
        <v/>
      </c>
      <c r="AH30" s="44" t="str">
        <f t="shared" si="41"/>
        <v/>
      </c>
      <c r="AI30" s="9">
        <f t="shared" si="42"/>
        <v>0</v>
      </c>
      <c r="AJ30" s="41" t="str">
        <f t="shared" si="43"/>
        <v/>
      </c>
      <c r="AK30" s="43" t="str">
        <f t="shared" si="44"/>
        <v/>
      </c>
      <c r="AL30" s="43" t="str">
        <f t="shared" si="45"/>
        <v/>
      </c>
      <c r="AM30" s="44" t="str">
        <f t="shared" si="46"/>
        <v/>
      </c>
      <c r="AN30" s="9">
        <f t="shared" si="47"/>
        <v>0</v>
      </c>
      <c r="AO30" s="41" t="str">
        <f t="shared" si="48"/>
        <v/>
      </c>
      <c r="AP30" s="43" t="str">
        <f t="shared" si="49"/>
        <v/>
      </c>
      <c r="AQ30" s="43" t="str">
        <f t="shared" si="50"/>
        <v/>
      </c>
      <c r="AR30" s="44" t="str">
        <f t="shared" si="51"/>
        <v/>
      </c>
      <c r="AS30" s="9">
        <f t="shared" si="52"/>
        <v>0</v>
      </c>
      <c r="AT30" s="41" t="str">
        <f t="shared" si="53"/>
        <v/>
      </c>
      <c r="AU30" s="43" t="str">
        <f t="shared" si="54"/>
        <v/>
      </c>
      <c r="AV30" s="43" t="str">
        <f t="shared" si="55"/>
        <v/>
      </c>
      <c r="AW30" s="44" t="str">
        <f t="shared" si="56"/>
        <v/>
      </c>
      <c r="AX30" s="9">
        <f t="shared" si="57"/>
        <v>0</v>
      </c>
      <c r="AY30" s="41" t="str">
        <f t="shared" si="58"/>
        <v/>
      </c>
      <c r="AZ30" s="43" t="str">
        <f t="shared" si="59"/>
        <v/>
      </c>
      <c r="BA30" s="43" t="str">
        <f t="shared" si="60"/>
        <v/>
      </c>
      <c r="BB30" s="44" t="str">
        <f t="shared" si="61"/>
        <v/>
      </c>
      <c r="BC30" s="9">
        <f t="shared" si="62"/>
        <v>0</v>
      </c>
      <c r="BD30" s="41" t="str">
        <f t="shared" si="63"/>
        <v/>
      </c>
      <c r="BE30" s="43" t="str">
        <f t="shared" si="64"/>
        <v/>
      </c>
      <c r="BF30" s="43" t="str">
        <f t="shared" si="65"/>
        <v/>
      </c>
      <c r="BG30" s="44" t="str">
        <f t="shared" si="66"/>
        <v/>
      </c>
      <c r="BH30" s="9">
        <f t="shared" si="67"/>
        <v>0</v>
      </c>
      <c r="BI30" s="41" t="str">
        <f t="shared" si="68"/>
        <v/>
      </c>
      <c r="BJ30" s="43" t="str">
        <f t="shared" si="69"/>
        <v/>
      </c>
      <c r="BK30" s="43" t="str">
        <f t="shared" si="70"/>
        <v/>
      </c>
      <c r="BL30" s="44" t="str">
        <f t="shared" si="71"/>
        <v/>
      </c>
      <c r="BM30" s="9">
        <f t="shared" si="72"/>
        <v>0</v>
      </c>
      <c r="BN30" s="41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0"/>
      <c r="E31" s="40"/>
      <c r="F31" s="40"/>
      <c r="G31" s="43" t="str">
        <f t="shared" si="14"/>
        <v/>
      </c>
      <c r="H31" s="43" t="str">
        <f t="shared" si="15"/>
        <v/>
      </c>
      <c r="I31" s="44" t="str">
        <f t="shared" si="16"/>
        <v/>
      </c>
      <c r="J31" s="9">
        <f t="shared" si="17"/>
        <v>0</v>
      </c>
      <c r="K31" s="41" t="str">
        <f t="shared" si="18"/>
        <v/>
      </c>
      <c r="L31" s="43" t="str">
        <f t="shared" si="19"/>
        <v/>
      </c>
      <c r="M31" s="43" t="str">
        <f t="shared" si="20"/>
        <v/>
      </c>
      <c r="N31" s="44" t="str">
        <f t="shared" si="21"/>
        <v/>
      </c>
      <c r="O31" s="9">
        <f t="shared" si="22"/>
        <v>0</v>
      </c>
      <c r="P31" s="41" t="str">
        <f t="shared" si="23"/>
        <v/>
      </c>
      <c r="Q31" s="43" t="str">
        <f t="shared" si="24"/>
        <v/>
      </c>
      <c r="R31" s="43" t="str">
        <f t="shared" si="25"/>
        <v/>
      </c>
      <c r="S31" s="44" t="str">
        <f t="shared" si="26"/>
        <v/>
      </c>
      <c r="T31" s="9">
        <f t="shared" si="27"/>
        <v>0</v>
      </c>
      <c r="U31" s="41" t="str">
        <f t="shared" si="28"/>
        <v/>
      </c>
      <c r="V31" s="43" t="str">
        <f t="shared" si="29"/>
        <v/>
      </c>
      <c r="W31" s="43" t="str">
        <f t="shared" si="30"/>
        <v/>
      </c>
      <c r="X31" s="44" t="str">
        <f t="shared" si="31"/>
        <v/>
      </c>
      <c r="Y31" s="9">
        <f t="shared" si="32"/>
        <v>0</v>
      </c>
      <c r="Z31" s="41" t="str">
        <f t="shared" si="33"/>
        <v/>
      </c>
      <c r="AA31" s="43" t="str">
        <f t="shared" si="34"/>
        <v/>
      </c>
      <c r="AB31" s="43" t="str">
        <f t="shared" si="35"/>
        <v/>
      </c>
      <c r="AC31" s="44" t="str">
        <f t="shared" si="36"/>
        <v/>
      </c>
      <c r="AD31" s="9">
        <f t="shared" si="37"/>
        <v>0</v>
      </c>
      <c r="AE31" s="41" t="str">
        <f t="shared" si="38"/>
        <v/>
      </c>
      <c r="AF31" s="43" t="str">
        <f t="shared" si="39"/>
        <v/>
      </c>
      <c r="AG31" s="43" t="str">
        <f t="shared" si="40"/>
        <v/>
      </c>
      <c r="AH31" s="44" t="str">
        <f t="shared" si="41"/>
        <v/>
      </c>
      <c r="AI31" s="9">
        <f t="shared" si="42"/>
        <v>0</v>
      </c>
      <c r="AJ31" s="41" t="str">
        <f t="shared" si="43"/>
        <v/>
      </c>
      <c r="AK31" s="43" t="str">
        <f t="shared" si="44"/>
        <v/>
      </c>
      <c r="AL31" s="43" t="str">
        <f t="shared" si="45"/>
        <v/>
      </c>
      <c r="AM31" s="44" t="str">
        <f t="shared" si="46"/>
        <v/>
      </c>
      <c r="AN31" s="9">
        <f t="shared" si="47"/>
        <v>0</v>
      </c>
      <c r="AO31" s="41" t="str">
        <f t="shared" si="48"/>
        <v/>
      </c>
      <c r="AP31" s="43" t="str">
        <f t="shared" si="49"/>
        <v/>
      </c>
      <c r="AQ31" s="43" t="str">
        <f t="shared" si="50"/>
        <v/>
      </c>
      <c r="AR31" s="44" t="str">
        <f t="shared" si="51"/>
        <v/>
      </c>
      <c r="AS31" s="9">
        <f t="shared" si="52"/>
        <v>0</v>
      </c>
      <c r="AT31" s="41" t="str">
        <f t="shared" si="53"/>
        <v/>
      </c>
      <c r="AU31" s="43" t="str">
        <f t="shared" si="54"/>
        <v/>
      </c>
      <c r="AV31" s="43" t="str">
        <f t="shared" si="55"/>
        <v/>
      </c>
      <c r="AW31" s="44" t="str">
        <f t="shared" si="56"/>
        <v/>
      </c>
      <c r="AX31" s="9">
        <f t="shared" si="57"/>
        <v>0</v>
      </c>
      <c r="AY31" s="41" t="str">
        <f t="shared" si="58"/>
        <v/>
      </c>
      <c r="AZ31" s="43" t="str">
        <f t="shared" si="59"/>
        <v/>
      </c>
      <c r="BA31" s="43" t="str">
        <f t="shared" si="60"/>
        <v/>
      </c>
      <c r="BB31" s="44" t="str">
        <f t="shared" si="61"/>
        <v/>
      </c>
      <c r="BC31" s="9">
        <f t="shared" si="62"/>
        <v>0</v>
      </c>
      <c r="BD31" s="41" t="str">
        <f t="shared" si="63"/>
        <v/>
      </c>
      <c r="BE31" s="43" t="str">
        <f t="shared" si="64"/>
        <v/>
      </c>
      <c r="BF31" s="43" t="str">
        <f t="shared" si="65"/>
        <v/>
      </c>
      <c r="BG31" s="44" t="str">
        <f t="shared" si="66"/>
        <v/>
      </c>
      <c r="BH31" s="9">
        <f t="shared" si="67"/>
        <v>0</v>
      </c>
      <c r="BI31" s="41" t="str">
        <f t="shared" si="68"/>
        <v/>
      </c>
      <c r="BJ31" s="43" t="str">
        <f t="shared" si="69"/>
        <v/>
      </c>
      <c r="BK31" s="43" t="str">
        <f t="shared" si="70"/>
        <v/>
      </c>
      <c r="BL31" s="44" t="str">
        <f t="shared" si="71"/>
        <v/>
      </c>
      <c r="BM31" s="9">
        <f t="shared" si="72"/>
        <v>0</v>
      </c>
      <c r="BN31" s="41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0"/>
      <c r="E32" s="40"/>
      <c r="F32" s="40"/>
      <c r="G32" s="43" t="str">
        <f t="shared" si="14"/>
        <v/>
      </c>
      <c r="H32" s="43" t="str">
        <f t="shared" si="15"/>
        <v/>
      </c>
      <c r="I32" s="44" t="str">
        <f t="shared" si="16"/>
        <v/>
      </c>
      <c r="J32" s="9">
        <f t="shared" si="17"/>
        <v>0</v>
      </c>
      <c r="K32" s="41" t="str">
        <f t="shared" si="18"/>
        <v/>
      </c>
      <c r="L32" s="43" t="str">
        <f t="shared" si="19"/>
        <v/>
      </c>
      <c r="M32" s="43" t="str">
        <f t="shared" si="20"/>
        <v/>
      </c>
      <c r="N32" s="44" t="str">
        <f t="shared" si="21"/>
        <v/>
      </c>
      <c r="O32" s="9">
        <f t="shared" si="22"/>
        <v>0</v>
      </c>
      <c r="P32" s="41" t="str">
        <f t="shared" si="23"/>
        <v/>
      </c>
      <c r="Q32" s="43" t="str">
        <f t="shared" si="24"/>
        <v/>
      </c>
      <c r="R32" s="43" t="str">
        <f t="shared" si="25"/>
        <v/>
      </c>
      <c r="S32" s="44" t="str">
        <f t="shared" si="26"/>
        <v/>
      </c>
      <c r="T32" s="9">
        <f t="shared" si="27"/>
        <v>0</v>
      </c>
      <c r="U32" s="41" t="str">
        <f t="shared" si="28"/>
        <v/>
      </c>
      <c r="V32" s="43" t="str">
        <f t="shared" si="29"/>
        <v/>
      </c>
      <c r="W32" s="43" t="str">
        <f t="shared" si="30"/>
        <v/>
      </c>
      <c r="X32" s="44" t="str">
        <f t="shared" si="31"/>
        <v/>
      </c>
      <c r="Y32" s="9">
        <f t="shared" si="32"/>
        <v>0</v>
      </c>
      <c r="Z32" s="41" t="str">
        <f t="shared" si="33"/>
        <v/>
      </c>
      <c r="AA32" s="43" t="str">
        <f t="shared" si="34"/>
        <v/>
      </c>
      <c r="AB32" s="43" t="str">
        <f t="shared" si="35"/>
        <v/>
      </c>
      <c r="AC32" s="44" t="str">
        <f t="shared" si="36"/>
        <v/>
      </c>
      <c r="AD32" s="9">
        <f t="shared" si="37"/>
        <v>0</v>
      </c>
      <c r="AE32" s="41" t="str">
        <f t="shared" si="38"/>
        <v/>
      </c>
      <c r="AF32" s="43" t="str">
        <f t="shared" si="39"/>
        <v/>
      </c>
      <c r="AG32" s="43" t="str">
        <f t="shared" si="40"/>
        <v/>
      </c>
      <c r="AH32" s="44" t="str">
        <f t="shared" si="41"/>
        <v/>
      </c>
      <c r="AI32" s="9">
        <f t="shared" si="42"/>
        <v>0</v>
      </c>
      <c r="AJ32" s="41" t="str">
        <f t="shared" si="43"/>
        <v/>
      </c>
      <c r="AK32" s="43" t="str">
        <f t="shared" si="44"/>
        <v/>
      </c>
      <c r="AL32" s="43" t="str">
        <f t="shared" si="45"/>
        <v/>
      </c>
      <c r="AM32" s="44" t="str">
        <f t="shared" si="46"/>
        <v/>
      </c>
      <c r="AN32" s="9">
        <f t="shared" si="47"/>
        <v>0</v>
      </c>
      <c r="AO32" s="41" t="str">
        <f t="shared" si="48"/>
        <v/>
      </c>
      <c r="AP32" s="43" t="str">
        <f t="shared" si="49"/>
        <v/>
      </c>
      <c r="AQ32" s="43" t="str">
        <f t="shared" si="50"/>
        <v/>
      </c>
      <c r="AR32" s="44" t="str">
        <f t="shared" si="51"/>
        <v/>
      </c>
      <c r="AS32" s="9">
        <f t="shared" si="52"/>
        <v>0</v>
      </c>
      <c r="AT32" s="41" t="str">
        <f t="shared" si="53"/>
        <v/>
      </c>
      <c r="AU32" s="43" t="str">
        <f t="shared" si="54"/>
        <v/>
      </c>
      <c r="AV32" s="43" t="str">
        <f t="shared" si="55"/>
        <v/>
      </c>
      <c r="AW32" s="44" t="str">
        <f t="shared" si="56"/>
        <v/>
      </c>
      <c r="AX32" s="9">
        <f t="shared" si="57"/>
        <v>0</v>
      </c>
      <c r="AY32" s="41" t="str">
        <f t="shared" si="58"/>
        <v/>
      </c>
      <c r="AZ32" s="43" t="str">
        <f t="shared" si="59"/>
        <v/>
      </c>
      <c r="BA32" s="43" t="str">
        <f t="shared" si="60"/>
        <v/>
      </c>
      <c r="BB32" s="44" t="str">
        <f t="shared" si="61"/>
        <v/>
      </c>
      <c r="BC32" s="9">
        <f t="shared" si="62"/>
        <v>0</v>
      </c>
      <c r="BD32" s="41" t="str">
        <f t="shared" si="63"/>
        <v/>
      </c>
      <c r="BE32" s="43" t="str">
        <f t="shared" si="64"/>
        <v/>
      </c>
      <c r="BF32" s="43" t="str">
        <f t="shared" si="65"/>
        <v/>
      </c>
      <c r="BG32" s="44" t="str">
        <f t="shared" si="66"/>
        <v/>
      </c>
      <c r="BH32" s="9">
        <f t="shared" si="67"/>
        <v>0</v>
      </c>
      <c r="BI32" s="41" t="str">
        <f t="shared" si="68"/>
        <v/>
      </c>
      <c r="BJ32" s="43" t="str">
        <f t="shared" si="69"/>
        <v/>
      </c>
      <c r="BK32" s="43" t="str">
        <f t="shared" si="70"/>
        <v/>
      </c>
      <c r="BL32" s="44" t="str">
        <f t="shared" si="71"/>
        <v/>
      </c>
      <c r="BM32" s="9">
        <f t="shared" si="72"/>
        <v>0</v>
      </c>
      <c r="BN32" s="41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0"/>
      <c r="E33" s="40"/>
      <c r="F33" s="40"/>
      <c r="G33" s="43" t="str">
        <f t="shared" si="14"/>
        <v/>
      </c>
      <c r="H33" s="43" t="str">
        <f t="shared" si="15"/>
        <v/>
      </c>
      <c r="I33" s="44" t="str">
        <f t="shared" si="16"/>
        <v/>
      </c>
      <c r="J33" s="9">
        <f t="shared" si="17"/>
        <v>0</v>
      </c>
      <c r="K33" s="41" t="str">
        <f t="shared" si="18"/>
        <v/>
      </c>
      <c r="L33" s="43" t="str">
        <f t="shared" si="19"/>
        <v/>
      </c>
      <c r="M33" s="43" t="str">
        <f t="shared" si="20"/>
        <v/>
      </c>
      <c r="N33" s="44" t="str">
        <f t="shared" si="21"/>
        <v/>
      </c>
      <c r="O33" s="9">
        <f t="shared" si="22"/>
        <v>0</v>
      </c>
      <c r="P33" s="41" t="str">
        <f t="shared" si="23"/>
        <v/>
      </c>
      <c r="Q33" s="43" t="str">
        <f t="shared" si="24"/>
        <v/>
      </c>
      <c r="R33" s="43" t="str">
        <f t="shared" si="25"/>
        <v/>
      </c>
      <c r="S33" s="44" t="str">
        <f t="shared" si="26"/>
        <v/>
      </c>
      <c r="T33" s="9">
        <f t="shared" si="27"/>
        <v>0</v>
      </c>
      <c r="U33" s="41" t="str">
        <f t="shared" si="28"/>
        <v/>
      </c>
      <c r="V33" s="43" t="str">
        <f t="shared" si="29"/>
        <v/>
      </c>
      <c r="W33" s="43" t="str">
        <f t="shared" si="30"/>
        <v/>
      </c>
      <c r="X33" s="44" t="str">
        <f t="shared" si="31"/>
        <v/>
      </c>
      <c r="Y33" s="9">
        <f t="shared" si="32"/>
        <v>0</v>
      </c>
      <c r="Z33" s="41" t="str">
        <f t="shared" si="33"/>
        <v/>
      </c>
      <c r="AA33" s="43" t="str">
        <f t="shared" si="34"/>
        <v/>
      </c>
      <c r="AB33" s="43" t="str">
        <f t="shared" si="35"/>
        <v/>
      </c>
      <c r="AC33" s="44" t="str">
        <f t="shared" si="36"/>
        <v/>
      </c>
      <c r="AD33" s="9">
        <f t="shared" si="37"/>
        <v>0</v>
      </c>
      <c r="AE33" s="41" t="str">
        <f t="shared" si="38"/>
        <v/>
      </c>
      <c r="AF33" s="43" t="str">
        <f t="shared" si="39"/>
        <v/>
      </c>
      <c r="AG33" s="43" t="str">
        <f t="shared" si="40"/>
        <v/>
      </c>
      <c r="AH33" s="44" t="str">
        <f t="shared" si="41"/>
        <v/>
      </c>
      <c r="AI33" s="9">
        <f t="shared" si="42"/>
        <v>0</v>
      </c>
      <c r="AJ33" s="41" t="str">
        <f t="shared" si="43"/>
        <v/>
      </c>
      <c r="AK33" s="43" t="str">
        <f t="shared" si="44"/>
        <v/>
      </c>
      <c r="AL33" s="43" t="str">
        <f t="shared" si="45"/>
        <v/>
      </c>
      <c r="AM33" s="44" t="str">
        <f t="shared" si="46"/>
        <v/>
      </c>
      <c r="AN33" s="9">
        <f t="shared" si="47"/>
        <v>0</v>
      </c>
      <c r="AO33" s="41" t="str">
        <f t="shared" si="48"/>
        <v/>
      </c>
      <c r="AP33" s="43" t="str">
        <f t="shared" si="49"/>
        <v/>
      </c>
      <c r="AQ33" s="43" t="str">
        <f t="shared" si="50"/>
        <v/>
      </c>
      <c r="AR33" s="44" t="str">
        <f t="shared" si="51"/>
        <v/>
      </c>
      <c r="AS33" s="9">
        <f t="shared" si="52"/>
        <v>0</v>
      </c>
      <c r="AT33" s="41" t="str">
        <f t="shared" si="53"/>
        <v/>
      </c>
      <c r="AU33" s="43" t="str">
        <f t="shared" si="54"/>
        <v/>
      </c>
      <c r="AV33" s="43" t="str">
        <f t="shared" si="55"/>
        <v/>
      </c>
      <c r="AW33" s="44" t="str">
        <f t="shared" si="56"/>
        <v/>
      </c>
      <c r="AX33" s="9">
        <f t="shared" si="57"/>
        <v>0</v>
      </c>
      <c r="AY33" s="41" t="str">
        <f t="shared" si="58"/>
        <v/>
      </c>
      <c r="AZ33" s="43" t="str">
        <f t="shared" si="59"/>
        <v/>
      </c>
      <c r="BA33" s="43" t="str">
        <f t="shared" si="60"/>
        <v/>
      </c>
      <c r="BB33" s="44" t="str">
        <f t="shared" si="61"/>
        <v/>
      </c>
      <c r="BC33" s="9">
        <f t="shared" si="62"/>
        <v>0</v>
      </c>
      <c r="BD33" s="41" t="str">
        <f t="shared" si="63"/>
        <v/>
      </c>
      <c r="BE33" s="43" t="str">
        <f t="shared" si="64"/>
        <v/>
      </c>
      <c r="BF33" s="43" t="str">
        <f t="shared" si="65"/>
        <v/>
      </c>
      <c r="BG33" s="44" t="str">
        <f t="shared" si="66"/>
        <v/>
      </c>
      <c r="BH33" s="9">
        <f t="shared" si="67"/>
        <v>0</v>
      </c>
      <c r="BI33" s="41" t="str">
        <f t="shared" si="68"/>
        <v/>
      </c>
      <c r="BJ33" s="43" t="str">
        <f t="shared" si="69"/>
        <v/>
      </c>
      <c r="BK33" s="43" t="str">
        <f t="shared" si="70"/>
        <v/>
      </c>
      <c r="BL33" s="44" t="str">
        <f t="shared" si="71"/>
        <v/>
      </c>
      <c r="BM33" s="9">
        <f t="shared" si="72"/>
        <v>0</v>
      </c>
      <c r="BN33" s="41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0"/>
      <c r="E34" s="40"/>
      <c r="F34" s="40"/>
      <c r="G34" s="43" t="str">
        <f t="shared" si="14"/>
        <v/>
      </c>
      <c r="H34" s="43" t="str">
        <f t="shared" si="15"/>
        <v/>
      </c>
      <c r="I34" s="44" t="str">
        <f t="shared" si="16"/>
        <v/>
      </c>
      <c r="J34" s="9">
        <f t="shared" si="17"/>
        <v>0</v>
      </c>
      <c r="K34" s="41" t="str">
        <f t="shared" si="18"/>
        <v/>
      </c>
      <c r="L34" s="43" t="str">
        <f t="shared" si="19"/>
        <v/>
      </c>
      <c r="M34" s="43" t="str">
        <f t="shared" si="20"/>
        <v/>
      </c>
      <c r="N34" s="44" t="str">
        <f t="shared" si="21"/>
        <v/>
      </c>
      <c r="O34" s="9">
        <f t="shared" si="22"/>
        <v>0</v>
      </c>
      <c r="P34" s="41" t="str">
        <f t="shared" si="23"/>
        <v/>
      </c>
      <c r="Q34" s="43" t="str">
        <f t="shared" si="24"/>
        <v/>
      </c>
      <c r="R34" s="43" t="str">
        <f t="shared" si="25"/>
        <v/>
      </c>
      <c r="S34" s="44" t="str">
        <f t="shared" si="26"/>
        <v/>
      </c>
      <c r="T34" s="9">
        <f t="shared" si="27"/>
        <v>0</v>
      </c>
      <c r="U34" s="41" t="str">
        <f t="shared" si="28"/>
        <v/>
      </c>
      <c r="V34" s="43" t="str">
        <f t="shared" si="29"/>
        <v/>
      </c>
      <c r="W34" s="43" t="str">
        <f t="shared" si="30"/>
        <v/>
      </c>
      <c r="X34" s="44" t="str">
        <f t="shared" si="31"/>
        <v/>
      </c>
      <c r="Y34" s="9">
        <f t="shared" si="32"/>
        <v>0</v>
      </c>
      <c r="Z34" s="41" t="str">
        <f t="shared" si="33"/>
        <v/>
      </c>
      <c r="AA34" s="43" t="str">
        <f t="shared" si="34"/>
        <v/>
      </c>
      <c r="AB34" s="43" t="str">
        <f t="shared" si="35"/>
        <v/>
      </c>
      <c r="AC34" s="44" t="str">
        <f t="shared" si="36"/>
        <v/>
      </c>
      <c r="AD34" s="9">
        <f t="shared" si="37"/>
        <v>0</v>
      </c>
      <c r="AE34" s="41" t="str">
        <f t="shared" si="38"/>
        <v/>
      </c>
      <c r="AF34" s="43" t="str">
        <f t="shared" si="39"/>
        <v/>
      </c>
      <c r="AG34" s="43" t="str">
        <f t="shared" si="40"/>
        <v/>
      </c>
      <c r="AH34" s="44" t="str">
        <f t="shared" si="41"/>
        <v/>
      </c>
      <c r="AI34" s="9">
        <f t="shared" si="42"/>
        <v>0</v>
      </c>
      <c r="AJ34" s="41" t="str">
        <f t="shared" si="43"/>
        <v/>
      </c>
      <c r="AK34" s="43" t="str">
        <f t="shared" si="44"/>
        <v/>
      </c>
      <c r="AL34" s="43" t="str">
        <f t="shared" si="45"/>
        <v/>
      </c>
      <c r="AM34" s="44" t="str">
        <f t="shared" si="46"/>
        <v/>
      </c>
      <c r="AN34" s="9">
        <f t="shared" si="47"/>
        <v>0</v>
      </c>
      <c r="AO34" s="41" t="str">
        <f t="shared" si="48"/>
        <v/>
      </c>
      <c r="AP34" s="43" t="str">
        <f t="shared" si="49"/>
        <v/>
      </c>
      <c r="AQ34" s="43" t="str">
        <f t="shared" si="50"/>
        <v/>
      </c>
      <c r="AR34" s="44" t="str">
        <f t="shared" si="51"/>
        <v/>
      </c>
      <c r="AS34" s="9">
        <f t="shared" si="52"/>
        <v>0</v>
      </c>
      <c r="AT34" s="41" t="str">
        <f t="shared" si="53"/>
        <v/>
      </c>
      <c r="AU34" s="43" t="str">
        <f t="shared" si="54"/>
        <v/>
      </c>
      <c r="AV34" s="43" t="str">
        <f t="shared" si="55"/>
        <v/>
      </c>
      <c r="AW34" s="44" t="str">
        <f t="shared" si="56"/>
        <v/>
      </c>
      <c r="AX34" s="9">
        <f t="shared" si="57"/>
        <v>0</v>
      </c>
      <c r="AY34" s="41" t="str">
        <f t="shared" si="58"/>
        <v/>
      </c>
      <c r="AZ34" s="43" t="str">
        <f t="shared" si="59"/>
        <v/>
      </c>
      <c r="BA34" s="43" t="str">
        <f t="shared" si="60"/>
        <v/>
      </c>
      <c r="BB34" s="44" t="str">
        <f t="shared" si="61"/>
        <v/>
      </c>
      <c r="BC34" s="9">
        <f t="shared" si="62"/>
        <v>0</v>
      </c>
      <c r="BD34" s="41" t="str">
        <f t="shared" si="63"/>
        <v/>
      </c>
      <c r="BE34" s="43" t="str">
        <f t="shared" si="64"/>
        <v/>
      </c>
      <c r="BF34" s="43" t="str">
        <f t="shared" si="65"/>
        <v/>
      </c>
      <c r="BG34" s="44" t="str">
        <f t="shared" si="66"/>
        <v/>
      </c>
      <c r="BH34" s="9">
        <f t="shared" si="67"/>
        <v>0</v>
      </c>
      <c r="BI34" s="41" t="str">
        <f t="shared" si="68"/>
        <v/>
      </c>
      <c r="BJ34" s="43" t="str">
        <f t="shared" si="69"/>
        <v/>
      </c>
      <c r="BK34" s="43" t="str">
        <f t="shared" si="70"/>
        <v/>
      </c>
      <c r="BL34" s="44" t="str">
        <f t="shared" si="71"/>
        <v/>
      </c>
      <c r="BM34" s="9">
        <f t="shared" si="72"/>
        <v>0</v>
      </c>
      <c r="BN34" s="41" t="str">
        <f t="shared" si="73"/>
        <v/>
      </c>
      <c r="BO34" s="40"/>
      <c r="BP34" s="40"/>
      <c r="BQ34" s="40"/>
    </row>
    <row r="35" hidden="1">
      <c r="A35" s="40"/>
      <c r="B35" s="40"/>
      <c r="C35" s="46">
        <f t="shared" si="13"/>
        <v>0</v>
      </c>
      <c r="D35" s="40"/>
      <c r="E35" s="40"/>
      <c r="F35" s="40"/>
      <c r="G35" s="43" t="str">
        <f t="shared" si="14"/>
        <v/>
      </c>
      <c r="H35" s="43" t="str">
        <f t="shared" si="15"/>
        <v/>
      </c>
      <c r="I35" s="44" t="str">
        <f t="shared" si="16"/>
        <v/>
      </c>
      <c r="J35" s="9">
        <f t="shared" si="17"/>
        <v>0</v>
      </c>
      <c r="K35" s="41" t="str">
        <f t="shared" si="18"/>
        <v/>
      </c>
      <c r="L35" s="43" t="str">
        <f t="shared" si="19"/>
        <v/>
      </c>
      <c r="M35" s="43" t="str">
        <f t="shared" si="20"/>
        <v/>
      </c>
      <c r="N35" s="44" t="str">
        <f t="shared" si="21"/>
        <v/>
      </c>
      <c r="O35" s="9">
        <f t="shared" si="22"/>
        <v>0</v>
      </c>
      <c r="P35" s="41" t="str">
        <f t="shared" si="23"/>
        <v/>
      </c>
      <c r="Q35" s="43" t="str">
        <f t="shared" si="24"/>
        <v/>
      </c>
      <c r="R35" s="43" t="str">
        <f t="shared" si="25"/>
        <v/>
      </c>
      <c r="S35" s="44" t="str">
        <f t="shared" si="26"/>
        <v/>
      </c>
      <c r="T35" s="9">
        <f t="shared" si="27"/>
        <v>0</v>
      </c>
      <c r="U35" s="41" t="str">
        <f t="shared" si="28"/>
        <v/>
      </c>
      <c r="V35" s="43" t="str">
        <f t="shared" si="29"/>
        <v/>
      </c>
      <c r="W35" s="43" t="str">
        <f t="shared" si="30"/>
        <v/>
      </c>
      <c r="X35" s="44" t="str">
        <f t="shared" si="31"/>
        <v/>
      </c>
      <c r="Y35" s="9">
        <f t="shared" si="32"/>
        <v>0</v>
      </c>
      <c r="Z35" s="41" t="str">
        <f t="shared" si="33"/>
        <v/>
      </c>
      <c r="AA35" s="43" t="str">
        <f t="shared" si="34"/>
        <v/>
      </c>
      <c r="AB35" s="43" t="str">
        <f t="shared" si="35"/>
        <v/>
      </c>
      <c r="AC35" s="44" t="str">
        <f t="shared" si="36"/>
        <v/>
      </c>
      <c r="AD35" s="9">
        <f t="shared" si="37"/>
        <v>0</v>
      </c>
      <c r="AE35" s="41" t="str">
        <f t="shared" si="38"/>
        <v/>
      </c>
      <c r="AF35" s="43" t="str">
        <f t="shared" si="39"/>
        <v/>
      </c>
      <c r="AG35" s="43" t="str">
        <f t="shared" si="40"/>
        <v/>
      </c>
      <c r="AH35" s="44" t="str">
        <f t="shared" si="41"/>
        <v/>
      </c>
      <c r="AI35" s="9">
        <f t="shared" si="42"/>
        <v>0</v>
      </c>
      <c r="AJ35" s="41" t="str">
        <f t="shared" si="43"/>
        <v/>
      </c>
      <c r="AK35" s="43" t="str">
        <f t="shared" si="44"/>
        <v/>
      </c>
      <c r="AL35" s="43" t="str">
        <f t="shared" si="45"/>
        <v/>
      </c>
      <c r="AM35" s="44" t="str">
        <f t="shared" si="46"/>
        <v/>
      </c>
      <c r="AN35" s="9">
        <f t="shared" si="47"/>
        <v>0</v>
      </c>
      <c r="AO35" s="41" t="str">
        <f t="shared" si="48"/>
        <v/>
      </c>
      <c r="AP35" s="43" t="str">
        <f t="shared" si="49"/>
        <v/>
      </c>
      <c r="AQ35" s="43" t="str">
        <f t="shared" si="50"/>
        <v/>
      </c>
      <c r="AR35" s="44" t="str">
        <f t="shared" si="51"/>
        <v/>
      </c>
      <c r="AS35" s="9">
        <f t="shared" si="52"/>
        <v>0</v>
      </c>
      <c r="AT35" s="41" t="str">
        <f t="shared" si="53"/>
        <v/>
      </c>
      <c r="AU35" s="43" t="str">
        <f t="shared" si="54"/>
        <v/>
      </c>
      <c r="AV35" s="43" t="str">
        <f t="shared" si="55"/>
        <v/>
      </c>
      <c r="AW35" s="44" t="str">
        <f t="shared" si="56"/>
        <v/>
      </c>
      <c r="AX35" s="9">
        <f t="shared" si="57"/>
        <v>0</v>
      </c>
      <c r="AY35" s="41" t="str">
        <f t="shared" si="58"/>
        <v/>
      </c>
      <c r="AZ35" s="43" t="str">
        <f t="shared" si="59"/>
        <v/>
      </c>
      <c r="BA35" s="43" t="str">
        <f t="shared" si="60"/>
        <v/>
      </c>
      <c r="BB35" s="44" t="str">
        <f t="shared" si="61"/>
        <v/>
      </c>
      <c r="BC35" s="9">
        <f t="shared" si="62"/>
        <v>0</v>
      </c>
      <c r="BD35" s="41" t="str">
        <f t="shared" si="63"/>
        <v/>
      </c>
      <c r="BE35" s="43" t="str">
        <f t="shared" si="64"/>
        <v/>
      </c>
      <c r="BF35" s="43" t="str">
        <f t="shared" si="65"/>
        <v/>
      </c>
      <c r="BG35" s="44" t="str">
        <f t="shared" si="66"/>
        <v/>
      </c>
      <c r="BH35" s="9">
        <f t="shared" si="67"/>
        <v>0</v>
      </c>
      <c r="BI35" s="41" t="str">
        <f t="shared" si="68"/>
        <v/>
      </c>
      <c r="BJ35" s="43" t="str">
        <f t="shared" si="69"/>
        <v/>
      </c>
      <c r="BK35" s="43" t="str">
        <f t="shared" si="70"/>
        <v/>
      </c>
      <c r="BL35" s="44" t="str">
        <f t="shared" si="71"/>
        <v/>
      </c>
      <c r="BM35" s="9">
        <f t="shared" si="72"/>
        <v>0</v>
      </c>
      <c r="BN35" s="41" t="str">
        <f t="shared" si="73"/>
        <v/>
      </c>
      <c r="BO35" s="40"/>
      <c r="BP35" s="40"/>
      <c r="BQ35" s="40"/>
    </row>
    <row r="36" hidden="1">
      <c r="A36" s="40"/>
      <c r="B36" s="40"/>
      <c r="C36" s="40"/>
      <c r="D36" s="40"/>
      <c r="E36" s="40"/>
      <c r="F36" s="40"/>
      <c r="G36" s="40"/>
      <c r="H36" s="40"/>
      <c r="I36" s="40"/>
      <c r="J36" s="59">
        <f>MULTIPLY(SUM(J21:J35),10)</f>
        <v>0</v>
      </c>
      <c r="K36" s="62">
        <f>COUNTIF(K21:K35,"TRUE")</f>
        <v>0</v>
      </c>
      <c r="L36" s="40"/>
      <c r="M36" s="40"/>
      <c r="N36" s="40"/>
      <c r="O36" s="59">
        <f>MULTIPLY(SUM(O21:O35),10)</f>
        <v>0</v>
      </c>
      <c r="P36" s="62">
        <f>COUNTIF(P21:P35,"TRUE")</f>
        <v>0</v>
      </c>
      <c r="Q36" s="40"/>
      <c r="R36" s="40"/>
      <c r="S36" s="40"/>
      <c r="T36" s="59">
        <f>MULTIPLY(SUM(T21:T35),10)</f>
        <v>0</v>
      </c>
      <c r="U36" s="62">
        <f>COUNTIF(U21:U35,"TRUE")</f>
        <v>0</v>
      </c>
      <c r="V36" s="40"/>
      <c r="W36" s="40"/>
      <c r="X36" s="40"/>
      <c r="Y36" s="59">
        <f>MULTIPLY(SUM(Y21:Y35),10)</f>
        <v>0</v>
      </c>
      <c r="Z36" s="62">
        <f>COUNTIF(Z21:Z35,"TRUE")</f>
        <v>0</v>
      </c>
      <c r="AA36" s="40"/>
      <c r="AB36" s="40"/>
      <c r="AC36" s="40"/>
      <c r="AD36" s="59">
        <f>MULTIPLY(SUM(AD21:AD35),10)</f>
        <v>0</v>
      </c>
      <c r="AE36" s="62">
        <f>COUNTIF(AE21:AE35,"TRUE")</f>
        <v>0</v>
      </c>
      <c r="AF36" s="40"/>
      <c r="AG36" s="40"/>
      <c r="AH36" s="40"/>
      <c r="AI36" s="59">
        <f>MULTIPLY(SUM(AI21:AI35),10)</f>
        <v>0</v>
      </c>
      <c r="AJ36" s="62">
        <f>COUNTIF(AJ21:AJ35,"TRUE")</f>
        <v>0</v>
      </c>
      <c r="AK36" s="40"/>
      <c r="AL36" s="40"/>
      <c r="AM36" s="40"/>
      <c r="AN36" s="59">
        <f>MULTIPLY(SUM(AN21:AN35),10)</f>
        <v>0</v>
      </c>
      <c r="AO36" s="62">
        <f>COUNTIF(AO21:AO35,"TRUE")</f>
        <v>0</v>
      </c>
      <c r="AP36" s="40"/>
      <c r="AQ36" s="40"/>
      <c r="AR36" s="40"/>
      <c r="AS36" s="59">
        <f>MULTIPLY(SUM(AS21:AS35),10)</f>
        <v>0</v>
      </c>
      <c r="AT36" s="62">
        <f>COUNTIF(AT21:AT35,"TRUE")</f>
        <v>0</v>
      </c>
      <c r="AU36" s="40"/>
      <c r="AV36" s="40"/>
      <c r="AW36" s="40"/>
      <c r="AX36" s="59">
        <f>MULTIPLY(SUM(AX21:AX35),10)</f>
        <v>0</v>
      </c>
      <c r="AY36" s="62">
        <f>COUNTIF(AY21:AY35,"TRUE")</f>
        <v>0</v>
      </c>
      <c r="AZ36" s="40"/>
      <c r="BA36" s="40"/>
      <c r="BB36" s="40"/>
      <c r="BC36" s="59">
        <f>MULTIPLY(SUM(BC21:BC35),10)</f>
        <v>0</v>
      </c>
      <c r="BD36" s="62">
        <f>COUNTIF(BD21:BD35,"TRUE")</f>
        <v>0</v>
      </c>
      <c r="BE36" s="40"/>
      <c r="BF36" s="40"/>
      <c r="BG36" s="40"/>
      <c r="BH36" s="59">
        <f>MULTIPLY(SUM(BH21:BH35),10)</f>
        <v>0</v>
      </c>
      <c r="BI36" s="62">
        <f>COUNTIF(BI21:BI35,"TRUE")</f>
        <v>0</v>
      </c>
      <c r="BJ36" s="40"/>
      <c r="BK36" s="40"/>
      <c r="BL36" s="40"/>
      <c r="BM36" s="59">
        <f>MULTIPLY(SUM(BM21:BM35),10)</f>
        <v>0</v>
      </c>
      <c r="BN36" s="62">
        <f>COUNTIF(BN21:BN35,"TRUE")</f>
        <v>0</v>
      </c>
      <c r="BO36" s="40"/>
      <c r="BP36" s="40"/>
      <c r="BQ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3" t="s">
        <v>234</v>
      </c>
      <c r="B38" s="52"/>
      <c r="C38" s="53" t="s">
        <v>6</v>
      </c>
      <c r="D38" s="53" t="s">
        <v>7</v>
      </c>
      <c r="E38" s="53" t="s">
        <v>8</v>
      </c>
      <c r="F38" s="53" t="s">
        <v>9</v>
      </c>
      <c r="G38" s="53" t="s">
        <v>10</v>
      </c>
      <c r="H38" s="53" t="s">
        <v>11</v>
      </c>
      <c r="I38" s="53" t="s">
        <v>12</v>
      </c>
      <c r="J38" s="53" t="s">
        <v>13</v>
      </c>
      <c r="K38" s="53" t="s">
        <v>14</v>
      </c>
      <c r="L38" s="53" t="s">
        <v>15</v>
      </c>
      <c r="M38" s="53" t="s">
        <v>16</v>
      </c>
      <c r="N38" s="54" t="s">
        <v>17</v>
      </c>
      <c r="O38" s="55"/>
      <c r="P38" s="56"/>
      <c r="Q38" s="56"/>
      <c r="R38" s="56"/>
      <c r="S38" s="56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81" t="s">
        <v>41</v>
      </c>
      <c r="B39" s="57" t="s">
        <v>141</v>
      </c>
      <c r="C39" s="58">
        <f t="array" ref="C39">INDEX(J36,0)</f>
        <v>0</v>
      </c>
      <c r="D39" s="58">
        <f t="array" ref="D39">INDEX(O36,0)</f>
        <v>0</v>
      </c>
      <c r="E39" s="58">
        <f t="array" ref="E39">INDEX(T36,0)</f>
        <v>0</v>
      </c>
      <c r="F39" s="58">
        <f t="array" ref="F39">INDEX(Y36,0)</f>
        <v>0</v>
      </c>
      <c r="G39" s="58">
        <f t="array" ref="G39">INDEX(AD36,0)</f>
        <v>0</v>
      </c>
      <c r="H39" s="58">
        <f t="array" ref="H39">INDEX(AI36,0)</f>
        <v>0</v>
      </c>
      <c r="I39" s="58">
        <f t="array" ref="I39">INDEX(AN36,0)</f>
        <v>0</v>
      </c>
      <c r="J39" s="58">
        <f t="array" ref="J39">INDEX(AS36,0)</f>
        <v>0</v>
      </c>
      <c r="K39" s="58">
        <f t="array" ref="K39">INDEX(AX36,0)</f>
        <v>0</v>
      </c>
      <c r="L39" s="58">
        <f t="array" ref="L39">INDEX(BC36,0)</f>
        <v>0</v>
      </c>
      <c r="M39" s="58">
        <f t="array" ref="M39">INDEX(BH36,0)</f>
        <v>0</v>
      </c>
      <c r="N39" s="60">
        <f t="array" ref="N39">INDEX(BM36,0)</f>
        <v>0</v>
      </c>
      <c r="O39" s="61"/>
      <c r="P39" s="11"/>
      <c r="Q39" s="11"/>
      <c r="R39" s="11"/>
      <c r="S39" s="11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81" t="s">
        <v>88</v>
      </c>
      <c r="B40" s="63" t="s">
        <v>142</v>
      </c>
      <c r="C40" s="64">
        <f>COUNTIF(K21:K34,true)</f>
        <v>0</v>
      </c>
      <c r="D40" s="64">
        <f>COUNTIF(P21:P34,true)</f>
        <v>0</v>
      </c>
      <c r="E40" s="64">
        <f>COUNTIF(U21:U34,true)</f>
        <v>0</v>
      </c>
      <c r="F40" s="64">
        <f>COUNTIF(Z21:Z34,true)</f>
        <v>0</v>
      </c>
      <c r="G40" s="64">
        <f>COUNTIF(AE21:AE34,true)</f>
        <v>0</v>
      </c>
      <c r="H40" s="64">
        <f>COUNTIF(AJ21:AJ34,true)</f>
        <v>0</v>
      </c>
      <c r="I40" s="64">
        <f>COUNTIF(AO21:AO34,true)</f>
        <v>0</v>
      </c>
      <c r="J40" s="64">
        <f>COUNTIF(AT21:AT34,true)</f>
        <v>0</v>
      </c>
      <c r="K40" s="64">
        <f>COUNTIF(AY21:AY34,true)</f>
        <v>0</v>
      </c>
      <c r="L40" s="64">
        <f>COUNTIF(BD21:BD34,true)</f>
        <v>0</v>
      </c>
      <c r="M40" s="64">
        <f>COUNTIF(BI21:BI34,true)</f>
        <v>0</v>
      </c>
      <c r="N40" s="65">
        <f>COUNTIF(BN21:BN34,true)</f>
        <v>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19"/>
      <c r="B41" s="63" t="s">
        <v>143</v>
      </c>
      <c r="C41" s="68">
        <f>COUNTIF(K21:K34,FALSE)</f>
        <v>0</v>
      </c>
      <c r="D41" s="68">
        <f>COUNTIF(P21:P34,FALSE)</f>
        <v>0</v>
      </c>
      <c r="E41" s="68">
        <f>COUNTIF(U21:U34,FALSE)</f>
        <v>0</v>
      </c>
      <c r="F41" s="68">
        <f>COUNTIF(Z21:Z34,FALSE)</f>
        <v>0</v>
      </c>
      <c r="G41" s="68">
        <f>COUNTIF(AE21:AE34,FALSE)</f>
        <v>0</v>
      </c>
      <c r="H41" s="68">
        <f>COUNTIF(AJ21:AJ34,FALSE)</f>
        <v>0</v>
      </c>
      <c r="I41" s="68">
        <f>COUNTIF(AO21:AO34,FALSE)</f>
        <v>0</v>
      </c>
      <c r="J41" s="68">
        <f>COUNTIF(AT21:AT34,FALSE)</f>
        <v>0</v>
      </c>
      <c r="K41" s="68">
        <f>COUNTIF(AY21:AY34,FALSE)</f>
        <v>0</v>
      </c>
      <c r="L41" s="68">
        <f>COUNTIF(BD21:BD34,FALSE)</f>
        <v>0</v>
      </c>
      <c r="M41" s="68">
        <f>COUNTIF(BI21:BI34,FALSE)</f>
        <v>0</v>
      </c>
      <c r="N41" s="69">
        <f>COUNTIF(BN21:BN34,FALSE)</f>
        <v>0</v>
      </c>
      <c r="O41" s="66"/>
      <c r="P41" s="67"/>
      <c r="Q41" s="67"/>
      <c r="R41" s="67"/>
      <c r="S41" s="67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1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70" t="s">
        <v>144</v>
      </c>
      <c r="C43" s="71">
        <f>SUM('Week 1'!C38,'Week 2'!C38,'Week 3'!C38,'Week 4'!C38,C39)</f>
        <v>325</v>
      </c>
      <c r="D43" s="71">
        <f>SUM('Week 1'!D38,'Week 2'!D38,'Week 3'!D38,'Week 4'!D38,D39)</f>
        <v>275</v>
      </c>
      <c r="E43" s="71">
        <f>SUM('Week 1'!E38,'Week 2'!E38,'Week 3'!E38,'Week 4'!E38,E39)</f>
        <v>290</v>
      </c>
      <c r="F43" s="71">
        <f>SUM('Week 1'!F38,'Week 2'!F38,'Week 3'!F38,'Week 4'!F38,F39)</f>
        <v>375</v>
      </c>
      <c r="G43" s="71">
        <f>SUM('Week 1'!G38,'Week 2'!G38,'Week 3'!G38,'Week 4'!G38,G39)</f>
        <v>410</v>
      </c>
      <c r="H43" s="71">
        <f>SUM('Week 1'!H38,'Week 2'!H38,'Week 3'!H38,'Week 4'!H38,H39)</f>
        <v>480</v>
      </c>
      <c r="I43" s="71">
        <f>SUM('Week 1'!I38,'Week 2'!I38,'Week 3'!I38,'Week 4'!I38,I39)</f>
        <v>320</v>
      </c>
      <c r="J43" s="71">
        <f>SUM('Week 1'!J38,'Week 2'!J38,'Week 3'!J38,'Week 4'!J38,J39)</f>
        <v>445</v>
      </c>
      <c r="K43" s="71">
        <f>SUM('Week 1'!K38,'Week 2'!K38,'Week 3'!K38,'Week 4'!K38,K39)</f>
        <v>370</v>
      </c>
      <c r="L43" s="71">
        <f>SUM('Week 1'!L38,'Week 2'!L38,'Week 3'!L38,'Week 4'!L38,L39)</f>
        <v>280</v>
      </c>
      <c r="M43" s="71">
        <f>SUM('Week 1'!M38,'Week 2'!M38,'Week 3'!M38,'Week 4'!M38,M39)</f>
        <v>365</v>
      </c>
      <c r="N43" s="72">
        <f>SUM('Week 1'!N38,'Week 2'!N38,'Week 3'!N38,'Week 4'!N38,N39)</f>
        <v>290</v>
      </c>
      <c r="O43" s="61"/>
      <c r="P43" s="11"/>
      <c r="Q43" s="11"/>
      <c r="R43" s="11"/>
      <c r="S43" s="11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57" t="s">
        <v>145</v>
      </c>
      <c r="C44" s="73" t="str">
        <f>CONCATENATE(SUM('Week 1'!C39,'Week 2'!C39,'Week 3'!C39,'Week 4'!C39,C40)," - ",SUM('Week 1'!C40,'Week 2'!C40,'Week 3'!C40,'Week 4'!C40,C41))</f>
        <v>25 - 21</v>
      </c>
      <c r="D44" s="73" t="str">
        <f>CONCATENATE(SUM('Week 1'!D39,'Week 2'!D39,'Week 3'!D39,'Week 4'!D39,D40)," - ",SUM('Week 1'!D40,'Week 2'!D40,'Week 3'!D40,'Week 4'!D40,D41))</f>
        <v>24 - 22</v>
      </c>
      <c r="E44" s="73" t="str">
        <f>CONCATENATE(SUM('Week 1'!E39,'Week 2'!E39,'Week 3'!E39,'Week 4'!E39,E40)," - ",SUM('Week 1'!E40,'Week 2'!E40,'Week 3'!E40,'Week 4'!E40,E41))</f>
        <v>23 - 23</v>
      </c>
      <c r="F44" s="73" t="str">
        <f>CONCATENATE(SUM('Week 1'!F39,'Week 2'!F39,'Week 3'!F39,'Week 4'!F39,F40)," - ",SUM('Week 1'!F40,'Week 2'!F40,'Week 3'!F40,'Week 4'!F40,F41))</f>
        <v>26 - 20</v>
      </c>
      <c r="G44" s="73" t="str">
        <f>CONCATENATE(SUM('Week 1'!G39,'Week 2'!G39,'Week 3'!G39,'Week 4'!G39,G40)," - ",SUM('Week 1'!G40,'Week 2'!G40,'Week 3'!G40,'Week 4'!G40,G41))</f>
        <v>30 - 16</v>
      </c>
      <c r="H44" s="73" t="str">
        <f>CONCATENATE(SUM('Week 1'!H39,'Week 2'!H39,'Week 3'!H39,'Week 4'!H39,H40)," - ",SUM('Week 1'!H40,'Week 2'!H40,'Week 3'!H40,'Week 4'!H40,H41))</f>
        <v>33 - 13</v>
      </c>
      <c r="I44" s="73" t="str">
        <f>CONCATENATE(SUM('Week 1'!I39,'Week 2'!I39,'Week 3'!I39,'Week 4'!I39,I40)," - ",SUM('Week 1'!I40,'Week 2'!I40,'Week 3'!I40,'Week 4'!I40,I41))</f>
        <v>26 - 20</v>
      </c>
      <c r="J44" s="73" t="str">
        <f>CONCATENATE(SUM('Week 1'!J39,'Week 2'!J39,'Week 3'!J39,'Week 4'!J39,J40)," - ",SUM('Week 1'!J40,'Week 2'!J40,'Week 3'!J40,'Week 4'!J40,J41))</f>
        <v>27 - 19</v>
      </c>
      <c r="K44" s="73" t="str">
        <f>CONCATENATE(SUM('Week 1'!K39,'Week 2'!K39,'Week 3'!K39,'Week 4'!K39,K40)," - ",SUM('Week 1'!K40,'Week 2'!K40,'Week 3'!K40,'Week 4'!K40,K41))</f>
        <v>29 - 17</v>
      </c>
      <c r="L44" s="73" t="str">
        <f>CONCATENATE(SUM('Week 1'!L39,'Week 2'!L39,'Week 3'!L39,'Week 4'!L39,L40)," - ",SUM('Week 1'!L40,'Week 2'!L40,'Week 3'!L40,'Week 4'!L40,L41))</f>
        <v>26 - 20</v>
      </c>
      <c r="M44" s="73" t="str">
        <f>CONCATENATE(SUM('Week 1'!M39,'Week 2'!M39,'Week 3'!M39,'Week 4'!M39,M40)," - ",SUM('Week 1'!M40,'Week 2'!M40,'Week 3'!M40,'Week 4'!M40,M41))</f>
        <v>24 - 22</v>
      </c>
      <c r="N44" s="74" t="str">
        <f>CONCATENATE(SUM('Week 1'!N39,'Week 2'!N39,'Week 3'!N39,'Week 4'!N39,N40)," - ",SUM('Week 1'!N40,'Week 2'!N40,'Week 3'!N40,'Week 4'!N40,N41))</f>
        <v>20 - 26</v>
      </c>
      <c r="O44" s="75"/>
      <c r="P44" s="76"/>
      <c r="Q44" s="76"/>
      <c r="R44" s="76"/>
      <c r="S44" s="76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f t="array" ref="C46:E62">INDEX(H64:J80,0)</f>
        <v>1</v>
      </c>
      <c r="D46" s="29" t="s">
        <v>11</v>
      </c>
      <c r="E46" s="29">
        <v>480.0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2.0</v>
      </c>
      <c r="D47" s="29" t="s">
        <v>13</v>
      </c>
      <c r="E47" s="29">
        <v>445.0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3.0</v>
      </c>
      <c r="D48" s="29" t="s">
        <v>10</v>
      </c>
      <c r="E48" s="29">
        <v>410.0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4.0</v>
      </c>
      <c r="D49" s="29" t="s">
        <v>9</v>
      </c>
      <c r="E49" s="29">
        <v>375.0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5.0</v>
      </c>
      <c r="D50" s="29" t="s">
        <v>14</v>
      </c>
      <c r="E50" s="29">
        <v>370.0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6.0</v>
      </c>
      <c r="D51" s="29" t="s">
        <v>16</v>
      </c>
      <c r="E51" s="29">
        <v>365.0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7.0</v>
      </c>
      <c r="D52" s="29" t="s">
        <v>6</v>
      </c>
      <c r="E52" s="29">
        <v>325.0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8.0</v>
      </c>
      <c r="D53" s="29" t="s">
        <v>12</v>
      </c>
      <c r="E53" s="29">
        <v>320.0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8</v>
      </c>
      <c r="E54" s="29">
        <v>290.0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9.0</v>
      </c>
      <c r="D55" s="29" t="s">
        <v>17</v>
      </c>
      <c r="E55" s="29">
        <v>290.0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11.0</v>
      </c>
      <c r="D56" s="29" t="s">
        <v>15</v>
      </c>
      <c r="E56" s="29">
        <v>280.0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>
        <v>12.0</v>
      </c>
      <c r="D57" s="29" t="s">
        <v>7</v>
      </c>
      <c r="E57" s="29">
        <v>275.0</v>
      </c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C62" s="29"/>
      <c r="D62" s="29"/>
      <c r="E62" s="2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6</v>
      </c>
      <c r="C64" s="41">
        <f t="array" ref="C64">INDEX(C43,0)</f>
        <v>325</v>
      </c>
      <c r="D64" s="40"/>
      <c r="G64" s="40"/>
      <c r="H64" s="40">
        <f t="shared" ref="H64:H75" si="74">RANK(J64,$J$64:$J$75,false)</f>
        <v>1</v>
      </c>
      <c r="I64" s="40" t="str">
        <f t="array" ref="I64:J80">SORT(B64:C80,2,false)</f>
        <v>Caleb</v>
      </c>
      <c r="J64" s="40">
        <v>480.0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7</v>
      </c>
      <c r="C65" s="41">
        <f t="array" ref="C65">INDEX(D43,0)</f>
        <v>275</v>
      </c>
      <c r="D65" s="40"/>
      <c r="G65" s="40"/>
      <c r="H65" s="40">
        <f t="shared" si="74"/>
        <v>2</v>
      </c>
      <c r="I65" s="40" t="s">
        <v>13</v>
      </c>
      <c r="J65" s="40">
        <v>445.0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8</v>
      </c>
      <c r="C66" s="41">
        <f t="array" ref="C66">INDEX(E43,0)</f>
        <v>290</v>
      </c>
      <c r="D66" s="40"/>
      <c r="G66" s="40"/>
      <c r="H66" s="40">
        <f t="shared" si="74"/>
        <v>3</v>
      </c>
      <c r="I66" s="40" t="s">
        <v>10</v>
      </c>
      <c r="J66" s="40">
        <v>410.0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9</v>
      </c>
      <c r="C67" s="41">
        <f t="array" ref="C67">INDEX(F43,0)</f>
        <v>375</v>
      </c>
      <c r="D67" s="40"/>
      <c r="G67" s="40"/>
      <c r="H67" s="40">
        <f t="shared" si="74"/>
        <v>4</v>
      </c>
      <c r="I67" s="40" t="s">
        <v>9</v>
      </c>
      <c r="J67" s="40">
        <v>375.0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10</v>
      </c>
      <c r="C68" s="41">
        <f t="array" ref="C68">INDEX(G43,0)</f>
        <v>410</v>
      </c>
      <c r="D68" s="40"/>
      <c r="G68" s="40"/>
      <c r="H68" s="40">
        <f t="shared" si="74"/>
        <v>5</v>
      </c>
      <c r="I68" s="40" t="s">
        <v>14</v>
      </c>
      <c r="J68" s="40">
        <v>370.0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11</v>
      </c>
      <c r="C69" s="41">
        <f t="array" ref="C69">INDEX(H43,0)</f>
        <v>480</v>
      </c>
      <c r="D69" s="40"/>
      <c r="G69" s="40"/>
      <c r="H69" s="40">
        <f t="shared" si="74"/>
        <v>6</v>
      </c>
      <c r="I69" s="40" t="s">
        <v>16</v>
      </c>
      <c r="J69" s="40">
        <v>365.0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12</v>
      </c>
      <c r="C70" s="41">
        <f t="array" ref="C70">INDEX(I43,0)</f>
        <v>320</v>
      </c>
      <c r="D70" s="40"/>
      <c r="G70" s="40"/>
      <c r="H70" s="40">
        <f t="shared" si="74"/>
        <v>7</v>
      </c>
      <c r="I70" s="40" t="s">
        <v>6</v>
      </c>
      <c r="J70" s="40">
        <v>325.0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13</v>
      </c>
      <c r="C71" s="41">
        <f t="array" ref="C71">INDEX(J43,0)</f>
        <v>445</v>
      </c>
      <c r="D71" s="40"/>
      <c r="G71" s="40"/>
      <c r="H71" s="40">
        <f t="shared" si="74"/>
        <v>8</v>
      </c>
      <c r="I71" s="40" t="s">
        <v>12</v>
      </c>
      <c r="J71" s="40">
        <v>320.0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14</v>
      </c>
      <c r="C72" s="41">
        <f t="array" ref="C72">INDEX(K43,0)</f>
        <v>370</v>
      </c>
      <c r="D72" s="40"/>
      <c r="G72" s="40"/>
      <c r="H72" s="40">
        <f t="shared" si="74"/>
        <v>9</v>
      </c>
      <c r="I72" s="40" t="s">
        <v>8</v>
      </c>
      <c r="J72" s="40">
        <v>290.0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15</v>
      </c>
      <c r="C73" s="41">
        <f t="array" ref="C73">INDEX(L43,0)</f>
        <v>280</v>
      </c>
      <c r="D73" s="40"/>
      <c r="G73" s="40"/>
      <c r="H73" s="40">
        <f t="shared" si="74"/>
        <v>9</v>
      </c>
      <c r="I73" s="40" t="s">
        <v>17</v>
      </c>
      <c r="J73" s="40">
        <v>290.0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16</v>
      </c>
      <c r="C74" s="41">
        <f t="array" ref="C74">INDEX(M43,0)</f>
        <v>365</v>
      </c>
      <c r="D74" s="40"/>
      <c r="G74" s="40"/>
      <c r="H74" s="40">
        <f t="shared" si="74"/>
        <v>11</v>
      </c>
      <c r="I74" s="40" t="s">
        <v>15</v>
      </c>
      <c r="J74" s="40">
        <v>280.0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 t="s">
        <v>17</v>
      </c>
      <c r="C75" s="41">
        <f t="array" ref="C75">INDEX(N43,0)</f>
        <v>290</v>
      </c>
      <c r="D75" s="40"/>
      <c r="G75" s="40"/>
      <c r="H75" s="40">
        <f t="shared" si="74"/>
        <v>12</v>
      </c>
      <c r="I75" s="40" t="s">
        <v>7</v>
      </c>
      <c r="J75" s="40">
        <v>275.0</v>
      </c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77"/>
      <c r="C80" s="41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  <row r="81" hidden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6">
    <cfRule type="expression" dxfId="0" priority="1">
      <formula>AND($I21=$C21,$C21=0)</formula>
    </cfRule>
  </conditionalFormatting>
  <conditionalFormatting sqref="G2:K16">
    <cfRule type="expression" dxfId="7" priority="2">
      <formula>$I21=$C21</formula>
    </cfRule>
  </conditionalFormatting>
  <conditionalFormatting sqref="L2:L16">
    <cfRule type="expression" dxfId="2" priority="3">
      <formula>AND(C2&lt;&gt;"",C2&lt;&gt;L2)</formula>
    </cfRule>
  </conditionalFormatting>
  <conditionalFormatting sqref="M2:M16">
    <cfRule type="expression" dxfId="2" priority="4">
      <formula>AND(C2&lt;&gt;"",C2&lt;&gt;L2)</formula>
    </cfRule>
  </conditionalFormatting>
  <conditionalFormatting sqref="N2:N16">
    <cfRule type="expression" dxfId="2" priority="5">
      <formula>AND(C2&lt;&gt;"",C2&lt;&gt;L2)</formula>
    </cfRule>
  </conditionalFormatting>
  <conditionalFormatting sqref="O2:O16">
    <cfRule type="expression" dxfId="2" priority="6">
      <formula>AND(C2&lt;&gt;"",C2&lt;&gt;L2)</formula>
    </cfRule>
  </conditionalFormatting>
  <conditionalFormatting sqref="P2:P16">
    <cfRule type="expression" dxfId="2" priority="7">
      <formula>AND(C2&lt;&gt;"",C2&lt;&gt;L2)</formula>
    </cfRule>
  </conditionalFormatting>
  <conditionalFormatting sqref="L2:P16">
    <cfRule type="expression" dxfId="0" priority="8">
      <formula>AND($N21=$C21,$C21=0)</formula>
    </cfRule>
  </conditionalFormatting>
  <conditionalFormatting sqref="L2:P16">
    <cfRule type="expression" dxfId="7" priority="9">
      <formula>$N21=$C21</formula>
    </cfRule>
  </conditionalFormatting>
  <conditionalFormatting sqref="Q2:Q16">
    <cfRule type="expression" dxfId="2" priority="10">
      <formula>AND(C2&lt;&gt;"",C2&lt;&gt;Q2)</formula>
    </cfRule>
  </conditionalFormatting>
  <conditionalFormatting sqref="R2:R16">
    <cfRule type="expression" dxfId="2" priority="11">
      <formula>AND(C2&lt;&gt;"",C2&lt;&gt;Q2)</formula>
    </cfRule>
  </conditionalFormatting>
  <conditionalFormatting sqref="S2:S16">
    <cfRule type="expression" dxfId="2" priority="12">
      <formula>AND(C2&lt;&gt;"",C2&lt;&gt;Q2)</formula>
    </cfRule>
  </conditionalFormatting>
  <conditionalFormatting sqref="T2:T16">
    <cfRule type="expression" dxfId="2" priority="13">
      <formula>AND(C2&lt;&gt;"",C2&lt;&gt;Q2)</formula>
    </cfRule>
  </conditionalFormatting>
  <conditionalFormatting sqref="U2:U16">
    <cfRule type="expression" dxfId="2" priority="14">
      <formula>AND(C2&lt;&gt;"",C2&lt;&gt;Q2)</formula>
    </cfRule>
  </conditionalFormatting>
  <conditionalFormatting sqref="Q2:U16">
    <cfRule type="expression" dxfId="0" priority="15">
      <formula>AND($S21=$C21,$C21=0)</formula>
    </cfRule>
  </conditionalFormatting>
  <conditionalFormatting sqref="Q2:U16">
    <cfRule type="expression" dxfId="7" priority="16">
      <formula>$S21=$C21</formula>
    </cfRule>
  </conditionalFormatting>
  <conditionalFormatting sqref="V2:V16">
    <cfRule type="expression" dxfId="2" priority="17">
      <formula>AND(C2&lt;&gt;"",C2&lt;&gt;V2)</formula>
    </cfRule>
  </conditionalFormatting>
  <conditionalFormatting sqref="W2:W16">
    <cfRule type="expression" dxfId="2" priority="18">
      <formula>AND(C2&lt;&gt;"",C2&lt;&gt;V2)</formula>
    </cfRule>
  </conditionalFormatting>
  <conditionalFormatting sqref="X2:X16">
    <cfRule type="expression" dxfId="2" priority="19">
      <formula>AND(C2&lt;&gt;"",C2&lt;&gt;V2)</formula>
    </cfRule>
  </conditionalFormatting>
  <conditionalFormatting sqref="Y2:Y16">
    <cfRule type="expression" dxfId="2" priority="20">
      <formula>AND(C2&lt;&gt;"",C2&lt;&gt;V2)</formula>
    </cfRule>
  </conditionalFormatting>
  <conditionalFormatting sqref="Z2:Z16">
    <cfRule type="expression" dxfId="2" priority="21">
      <formula>AND(C2&lt;&gt;"",C2&lt;&gt;V2)</formula>
    </cfRule>
  </conditionalFormatting>
  <conditionalFormatting sqref="AA2:AA16">
    <cfRule type="expression" dxfId="2" priority="22">
      <formula>AND(C2&lt;&gt;"",C2&lt;&gt;AA2)</formula>
    </cfRule>
  </conditionalFormatting>
  <conditionalFormatting sqref="AB2:AB16">
    <cfRule type="expression" dxfId="2" priority="23">
      <formula>AND(C2&lt;&gt;"",C2&lt;&gt;AA2)</formula>
    </cfRule>
  </conditionalFormatting>
  <conditionalFormatting sqref="AC2:AC16">
    <cfRule type="expression" dxfId="2" priority="24">
      <formula>AND(C2&lt;&gt;"",C2&lt;&gt;AA2)</formula>
    </cfRule>
  </conditionalFormatting>
  <conditionalFormatting sqref="AD2:AD16">
    <cfRule type="expression" dxfId="2" priority="25">
      <formula>AND(C2&lt;&gt;"",C2&lt;&gt;AA2)</formula>
    </cfRule>
  </conditionalFormatting>
  <conditionalFormatting sqref="AE2:AE16">
    <cfRule type="expression" dxfId="2" priority="26">
      <formula>AND(C2&lt;&gt;"",C2&lt;&gt;AA2)</formula>
    </cfRule>
  </conditionalFormatting>
  <conditionalFormatting sqref="AF2:AF16">
    <cfRule type="expression" dxfId="2" priority="27">
      <formula>AND(C2&lt;&gt;"",C2&lt;&gt;AF2)</formula>
    </cfRule>
  </conditionalFormatting>
  <conditionalFormatting sqref="AG2:AG16">
    <cfRule type="expression" dxfId="2" priority="28">
      <formula>AND(C2&lt;&gt;"",C2&lt;&gt;AF2)</formula>
    </cfRule>
  </conditionalFormatting>
  <conditionalFormatting sqref="AH2:AH16">
    <cfRule type="expression" dxfId="2" priority="29">
      <formula>AND(C2&lt;&gt;"",C2&lt;&gt;AF2)</formula>
    </cfRule>
  </conditionalFormatting>
  <conditionalFormatting sqref="AI2:AI16">
    <cfRule type="expression" dxfId="2" priority="30">
      <formula>AND(C2&lt;&gt;"",C2&lt;&gt;AF2)</formula>
    </cfRule>
  </conditionalFormatting>
  <conditionalFormatting sqref="AJ2:AJ16">
    <cfRule type="expression" dxfId="2" priority="31">
      <formula>AND(C2&lt;&gt;"",C2&lt;&gt;AF2)</formula>
    </cfRule>
  </conditionalFormatting>
  <conditionalFormatting sqref="AK2:AK16">
    <cfRule type="expression" dxfId="2" priority="32">
      <formula>AND(C2&lt;&gt;"",C2&lt;&gt;AK2)</formula>
    </cfRule>
  </conditionalFormatting>
  <conditionalFormatting sqref="AL2:AL16">
    <cfRule type="expression" dxfId="2" priority="33">
      <formula>AND(C2&lt;&gt;"",C2&lt;&gt;AK2)</formula>
    </cfRule>
  </conditionalFormatting>
  <conditionalFormatting sqref="AM2:AM16">
    <cfRule type="expression" dxfId="2" priority="34">
      <formula>AND(C2&lt;&gt;"",C2&lt;&gt;AK2)</formula>
    </cfRule>
  </conditionalFormatting>
  <conditionalFormatting sqref="AN2:AN16">
    <cfRule type="expression" dxfId="2" priority="35">
      <formula>AND(C2&lt;&gt;"",C2&lt;&gt;AK2)</formula>
    </cfRule>
  </conditionalFormatting>
  <conditionalFormatting sqref="AO2:AO16">
    <cfRule type="expression" dxfId="2" priority="36">
      <formula>AND(C2&lt;&gt;"",C2&lt;&gt;AK2)</formula>
    </cfRule>
  </conditionalFormatting>
  <conditionalFormatting sqref="AP2:AP16">
    <cfRule type="expression" dxfId="2" priority="37">
      <formula>AND(C2&lt;&gt;"",C2&lt;&gt;AP2)</formula>
    </cfRule>
  </conditionalFormatting>
  <conditionalFormatting sqref="AQ2:AQ16">
    <cfRule type="expression" dxfId="2" priority="38">
      <formula>AND(C2&lt;&gt;"",C2&lt;&gt;AP2)</formula>
    </cfRule>
  </conditionalFormatting>
  <conditionalFormatting sqref="AR2:AR16">
    <cfRule type="expression" dxfId="2" priority="39">
      <formula>AND(C2&lt;&gt;"",C2&lt;&gt;AP2)</formula>
    </cfRule>
  </conditionalFormatting>
  <conditionalFormatting sqref="AS2:AS16">
    <cfRule type="expression" dxfId="2" priority="40">
      <formula>AND(C2&lt;&gt;"",C2&lt;&gt;AP2)</formula>
    </cfRule>
  </conditionalFormatting>
  <conditionalFormatting sqref="AT2:AT16">
    <cfRule type="expression" dxfId="2" priority="41">
      <formula>AND(C2&lt;&gt;"",C2&lt;&gt;AP2)</formula>
    </cfRule>
  </conditionalFormatting>
  <conditionalFormatting sqref="AU2:AU16">
    <cfRule type="expression" dxfId="2" priority="42">
      <formula>AND(C2&lt;&gt;"",C2&lt;&gt;AU2)</formula>
    </cfRule>
  </conditionalFormatting>
  <conditionalFormatting sqref="AV2:AV16">
    <cfRule type="expression" dxfId="2" priority="43">
      <formula>AND(C2&lt;&gt;"",C2&lt;&gt;AU2)</formula>
    </cfRule>
  </conditionalFormatting>
  <conditionalFormatting sqref="AW2:AW16">
    <cfRule type="expression" dxfId="2" priority="44">
      <formula>AND(C2&lt;&gt;"",C2&lt;&gt;AU2)</formula>
    </cfRule>
  </conditionalFormatting>
  <conditionalFormatting sqref="AX2:AX16">
    <cfRule type="expression" dxfId="2" priority="45">
      <formula>AND(C2&lt;&gt;"",C2&lt;&gt;AU2)</formula>
    </cfRule>
  </conditionalFormatting>
  <conditionalFormatting sqref="AY2:AY16">
    <cfRule type="expression" dxfId="2" priority="46">
      <formula>AND(C2&lt;&gt;"",C2&lt;&gt;AU2)</formula>
    </cfRule>
  </conditionalFormatting>
  <conditionalFormatting sqref="AZ2:AZ16">
    <cfRule type="expression" dxfId="2" priority="47">
      <formula>AND(C2&lt;&gt;"",C2&lt;&gt;AZ2)</formula>
    </cfRule>
  </conditionalFormatting>
  <conditionalFormatting sqref="BA2:BA16">
    <cfRule type="expression" dxfId="2" priority="48">
      <formula>AND(C2&lt;&gt;"",C2&lt;&gt;AZ2)</formula>
    </cfRule>
  </conditionalFormatting>
  <conditionalFormatting sqref="BB2:BB16">
    <cfRule type="expression" dxfId="2" priority="49">
      <formula>AND(C2&lt;&gt;"",C2&lt;&gt;AZ2)</formula>
    </cfRule>
  </conditionalFormatting>
  <conditionalFormatting sqref="BC2:BC16">
    <cfRule type="expression" dxfId="2" priority="50">
      <formula>AND(C2&lt;&gt;"",C2&lt;&gt;AZ2)</formula>
    </cfRule>
  </conditionalFormatting>
  <conditionalFormatting sqref="BD2:BD16">
    <cfRule type="expression" dxfId="2" priority="51">
      <formula>AND(C2&lt;&gt;"",C2&lt;&gt;AZ2)</formula>
    </cfRule>
  </conditionalFormatting>
  <conditionalFormatting sqref="BE2:BE16">
    <cfRule type="expression" dxfId="2" priority="52">
      <formula>AND(C2&lt;&gt;"",C2&lt;&gt;BE2)</formula>
    </cfRule>
  </conditionalFormatting>
  <conditionalFormatting sqref="BF2:BF16">
    <cfRule type="expression" dxfId="2" priority="53">
      <formula>AND(C2&lt;&gt;"",C2&lt;&gt;BE2)</formula>
    </cfRule>
  </conditionalFormatting>
  <conditionalFormatting sqref="BG2:BG16">
    <cfRule type="expression" dxfId="2" priority="54">
      <formula>AND(C2&lt;&gt;"",C2&lt;&gt;BE2)</formula>
    </cfRule>
  </conditionalFormatting>
  <conditionalFormatting sqref="BH2:BH16">
    <cfRule type="expression" dxfId="2" priority="55">
      <formula>AND(C2&lt;&gt;"",C2&lt;&gt;BE2)</formula>
    </cfRule>
  </conditionalFormatting>
  <conditionalFormatting sqref="BI2:BI16">
    <cfRule type="expression" dxfId="2" priority="56">
      <formula>AND(C2&lt;&gt;"",C2&lt;&gt;BE2)</formula>
    </cfRule>
  </conditionalFormatting>
  <conditionalFormatting sqref="BJ2:BJ16">
    <cfRule type="expression" dxfId="2" priority="57">
      <formula>AND(C2&lt;&gt;"",C2&lt;&gt;BJ2)</formula>
    </cfRule>
  </conditionalFormatting>
  <conditionalFormatting sqref="BK2:BK16">
    <cfRule type="expression" dxfId="2" priority="58">
      <formula>AND(C2&lt;&gt;"",C2&lt;&gt;BJ2)</formula>
    </cfRule>
  </conditionalFormatting>
  <conditionalFormatting sqref="BL2:BL16">
    <cfRule type="expression" dxfId="2" priority="59">
      <formula>AND(C2&lt;&gt;"",C2&lt;&gt;BJ2)</formula>
    </cfRule>
  </conditionalFormatting>
  <conditionalFormatting sqref="BM2:BM16">
    <cfRule type="expression" dxfId="2" priority="60">
      <formula>AND(C2&lt;&gt;"",C2&lt;&gt;BJ2)</formula>
    </cfRule>
  </conditionalFormatting>
  <conditionalFormatting sqref="BN2:BN16">
    <cfRule type="expression" dxfId="2" priority="61">
      <formula>AND(C2&lt;&gt;"",C2&lt;&gt;BJ2)</formula>
    </cfRule>
  </conditionalFormatting>
  <conditionalFormatting sqref="G2:G16">
    <cfRule type="expression" dxfId="3" priority="62">
      <formula>G2=C2</formula>
    </cfRule>
  </conditionalFormatting>
  <conditionalFormatting sqref="H2:H16">
    <cfRule type="expression" dxfId="3" priority="63">
      <formula>G2=C2</formula>
    </cfRule>
  </conditionalFormatting>
  <conditionalFormatting sqref="I2:I16">
    <cfRule type="expression" dxfId="3" priority="64">
      <formula>G2=C2</formula>
    </cfRule>
  </conditionalFormatting>
  <conditionalFormatting sqref="J2:J16">
    <cfRule type="expression" dxfId="3" priority="65">
      <formula>G2=C2</formula>
    </cfRule>
  </conditionalFormatting>
  <conditionalFormatting sqref="K2:K16">
    <cfRule type="expression" dxfId="3" priority="66">
      <formula>G2=C2</formula>
    </cfRule>
  </conditionalFormatting>
  <conditionalFormatting sqref="L2:L16">
    <cfRule type="expression" dxfId="3" priority="67">
      <formula>L2=C2</formula>
    </cfRule>
  </conditionalFormatting>
  <conditionalFormatting sqref="M2:M16">
    <cfRule type="expression" dxfId="3" priority="68">
      <formula>L2=C2</formula>
    </cfRule>
  </conditionalFormatting>
  <conditionalFormatting sqref="N2:N16">
    <cfRule type="expression" dxfId="3" priority="69">
      <formula>L2=C2</formula>
    </cfRule>
  </conditionalFormatting>
  <conditionalFormatting sqref="O2:O16">
    <cfRule type="expression" dxfId="3" priority="70">
      <formula>L2=C2</formula>
    </cfRule>
  </conditionalFormatting>
  <conditionalFormatting sqref="P2:P16">
    <cfRule type="expression" dxfId="3" priority="71">
      <formula>L2=C2</formula>
    </cfRule>
  </conditionalFormatting>
  <conditionalFormatting sqref="Q2:Q16">
    <cfRule type="expression" dxfId="3" priority="72">
      <formula>Q2=C2</formula>
    </cfRule>
  </conditionalFormatting>
  <conditionalFormatting sqref="R2:R16">
    <cfRule type="expression" dxfId="3" priority="73">
      <formula>Q2=C2</formula>
    </cfRule>
  </conditionalFormatting>
  <conditionalFormatting sqref="S2:S16">
    <cfRule type="expression" dxfId="3" priority="74">
      <formula>Q2=C2</formula>
    </cfRule>
  </conditionalFormatting>
  <conditionalFormatting sqref="T2:T16">
    <cfRule type="expression" dxfId="3" priority="75">
      <formula>Q2=C2</formula>
    </cfRule>
  </conditionalFormatting>
  <conditionalFormatting sqref="U2:U16">
    <cfRule type="expression" dxfId="3" priority="76">
      <formula>Q2=C2</formula>
    </cfRule>
  </conditionalFormatting>
  <conditionalFormatting sqref="V2:Z16">
    <cfRule type="expression" dxfId="0" priority="77">
      <formula>AND($X21=$C21,$C21=0)</formula>
    </cfRule>
  </conditionalFormatting>
  <conditionalFormatting sqref="V2:Z16">
    <cfRule type="expression" dxfId="7" priority="78">
      <formula>$X21=$C21</formula>
    </cfRule>
  </conditionalFormatting>
  <conditionalFormatting sqref="V2:Z16">
    <cfRule type="expression" dxfId="3" priority="79">
      <formula>$V2=$C2</formula>
    </cfRule>
  </conditionalFormatting>
  <conditionalFormatting sqref="AA2:AE16">
    <cfRule type="expression" dxfId="0" priority="80">
      <formula>AND($AC21=$C21,$C21=0)</formula>
    </cfRule>
  </conditionalFormatting>
  <conditionalFormatting sqref="AA2:AE16">
    <cfRule type="expression" dxfId="7" priority="81">
      <formula>$AC21=$C21</formula>
    </cfRule>
  </conditionalFormatting>
  <conditionalFormatting sqref="AA2:AE16">
    <cfRule type="expression" dxfId="3" priority="82">
      <formula>$AA2=$C2</formula>
    </cfRule>
  </conditionalFormatting>
  <conditionalFormatting sqref="AF2:AJ16">
    <cfRule type="expression" dxfId="0" priority="83">
      <formula>AND($AH21=$C21,$C21=0)</formula>
    </cfRule>
  </conditionalFormatting>
  <conditionalFormatting sqref="AF2:AJ16">
    <cfRule type="expression" dxfId="7" priority="84">
      <formula>$AH21=$C21</formula>
    </cfRule>
  </conditionalFormatting>
  <conditionalFormatting sqref="AF2:AJ16">
    <cfRule type="expression" dxfId="3" priority="85">
      <formula>$AF2=$C2</formula>
    </cfRule>
  </conditionalFormatting>
  <conditionalFormatting sqref="AK2:AO16">
    <cfRule type="expression" dxfId="0" priority="86">
      <formula>AND($AM21=$C21,$C21=0)</formula>
    </cfRule>
  </conditionalFormatting>
  <conditionalFormatting sqref="AK2:AO16">
    <cfRule type="expression" dxfId="7" priority="87">
      <formula>$AM21=$C21</formula>
    </cfRule>
  </conditionalFormatting>
  <conditionalFormatting sqref="AK2:AO16">
    <cfRule type="expression" dxfId="3" priority="88">
      <formula>$AK2=$C2</formula>
    </cfRule>
  </conditionalFormatting>
  <conditionalFormatting sqref="AP2:AT16">
    <cfRule type="expression" dxfId="0" priority="89">
      <formula>AND($AR21=$C21,$C21=0)</formula>
    </cfRule>
  </conditionalFormatting>
  <conditionalFormatting sqref="AP2:AT16">
    <cfRule type="expression" dxfId="7" priority="90">
      <formula>$AR21=$C21</formula>
    </cfRule>
  </conditionalFormatting>
  <conditionalFormatting sqref="AP2:AT16">
    <cfRule type="expression" dxfId="3" priority="91">
      <formula>$AP2=$C2</formula>
    </cfRule>
  </conditionalFormatting>
  <conditionalFormatting sqref="AU2:AY16">
    <cfRule type="expression" dxfId="0" priority="92">
      <formula>AND($AW21=$C21,$C21=0)</formula>
    </cfRule>
  </conditionalFormatting>
  <conditionalFormatting sqref="AU2:AY16">
    <cfRule type="expression" dxfId="7" priority="93">
      <formula>$AW21=$C21</formula>
    </cfRule>
  </conditionalFormatting>
  <conditionalFormatting sqref="AU2:AY16">
    <cfRule type="expression" dxfId="3" priority="94">
      <formula>$AU2=$C2</formula>
    </cfRule>
  </conditionalFormatting>
  <conditionalFormatting sqref="AZ2:BD16">
    <cfRule type="expression" dxfId="0" priority="95">
      <formula>AND($BB21=$C21,$C21=0)</formula>
    </cfRule>
  </conditionalFormatting>
  <conditionalFormatting sqref="AZ2:BD16">
    <cfRule type="expression" dxfId="7" priority="96">
      <formula>$BB21=$C21</formula>
    </cfRule>
  </conditionalFormatting>
  <conditionalFormatting sqref="AZ2:BD16">
    <cfRule type="expression" dxfId="3" priority="97">
      <formula>$AZ2=$C2</formula>
    </cfRule>
  </conditionalFormatting>
  <conditionalFormatting sqref="BE2:BI16">
    <cfRule type="expression" dxfId="0" priority="98">
      <formula>AND($BG21=$C21,$C21=0)</formula>
    </cfRule>
  </conditionalFormatting>
  <conditionalFormatting sqref="BE2:BI16">
    <cfRule type="expression" dxfId="7" priority="99">
      <formula>$BG21=$C21</formula>
    </cfRule>
  </conditionalFormatting>
  <conditionalFormatting sqref="BE2:BI16">
    <cfRule type="expression" dxfId="3" priority="100">
      <formula>$BE2=$C2</formula>
    </cfRule>
  </conditionalFormatting>
  <conditionalFormatting sqref="BJ2:BN16">
    <cfRule type="expression" dxfId="0" priority="101">
      <formula>AND($BL21=$C21,$C21=0)</formula>
    </cfRule>
  </conditionalFormatting>
  <conditionalFormatting sqref="BJ2:BN16">
    <cfRule type="expression" dxfId="7" priority="102">
      <formula>$BL21=$C21</formula>
    </cfRule>
  </conditionalFormatting>
  <conditionalFormatting sqref="BJ2:BN16">
    <cfRule type="expression" dxfId="3" priority="103">
      <formula>$BJ2=$C2</formula>
    </cfRule>
  </conditionalFormatting>
  <conditionalFormatting sqref="G2:K16">
    <cfRule type="expression" dxfId="2" priority="104">
      <formula>AND($C2&lt;&gt;"",$G2&lt;&gt;$C2)</formula>
    </cfRule>
  </conditionalFormatting>
  <conditionalFormatting sqref="C46:C62">
    <cfRule type="cellIs" dxfId="4" priority="105" operator="equal">
      <formula>1</formula>
    </cfRule>
  </conditionalFormatting>
  <conditionalFormatting sqref="C46:C62">
    <cfRule type="cellIs" dxfId="5" priority="106" operator="equal">
      <formula>2</formula>
    </cfRule>
  </conditionalFormatting>
  <conditionalFormatting sqref="C46:C62">
    <cfRule type="cellIs" dxfId="6" priority="107" operator="equal">
      <formula>3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149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150</v>
      </c>
      <c r="B2" s="17" t="s">
        <v>151</v>
      </c>
      <c r="C2" s="18" t="str">
        <f>IFERROR(__xludf.DUMMYFUNCTION("IMPORTRANGE(""https://docs.google.com/spreadsheets/d/1v9a6MxzpyXdVbef97sptWrOJUpuAu6ldKC6wbegqpyg/edit?gid=743713274#gid=743713274"",""Week 6!C3:F16"")"),"")</f>
        <v/>
      </c>
      <c r="D2" s="11" t="str">
        <f>IFERROR(__xludf.DUMMYFUNCTION("""COMPUTED_VALUE"""),"")</f>
        <v/>
      </c>
      <c r="E2" s="19"/>
      <c r="F2" s="20"/>
      <c r="G2" s="19" t="s">
        <v>74</v>
      </c>
      <c r="H2" s="11" t="str">
        <f t="shared" ref="H2:H15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24.0</v>
      </c>
      <c r="J2" s="19">
        <v>27.0</v>
      </c>
      <c r="K2" s="20" t="b">
        <v>0</v>
      </c>
      <c r="L2" s="24" t="s">
        <v>24</v>
      </c>
      <c r="M2" s="26" t="str">
        <f t="shared" ref="M2:M15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20.0</v>
      </c>
      <c r="O2" s="24">
        <v>17.0</v>
      </c>
      <c r="P2" s="24" t="b">
        <v>0</v>
      </c>
      <c r="Q2" s="27" t="s">
        <v>24</v>
      </c>
      <c r="R2" s="11" t="str">
        <f t="shared" ref="R2:R15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10.0</v>
      </c>
      <c r="T2" s="19">
        <v>7.0</v>
      </c>
      <c r="U2" s="20" t="b">
        <v>0</v>
      </c>
      <c r="V2" s="19" t="s">
        <v>24</v>
      </c>
      <c r="W2" s="11" t="str">
        <f t="shared" ref="W2:W15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21.0</v>
      </c>
      <c r="Y2" s="19">
        <v>17.0</v>
      </c>
      <c r="Z2" s="20" t="b">
        <v>0</v>
      </c>
      <c r="AA2" s="27" t="s">
        <v>74</v>
      </c>
      <c r="AB2" s="11" t="str">
        <f t="shared" ref="AB2:AB15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74</v>
      </c>
      <c r="AG2" s="11" t="str">
        <f t="shared" ref="AG2:AG15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24.0</v>
      </c>
      <c r="AI2" s="19">
        <v>27.0</v>
      </c>
      <c r="AJ2" s="20" t="b">
        <v>0</v>
      </c>
      <c r="AK2" s="19" t="s">
        <v>74</v>
      </c>
      <c r="AL2" s="11" t="str">
        <f t="shared" ref="AL2:AL15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17.0</v>
      </c>
      <c r="AN2" s="19">
        <v>20.0</v>
      </c>
      <c r="AO2" s="20" t="b">
        <v>0</v>
      </c>
      <c r="AP2" s="27" t="s">
        <v>74</v>
      </c>
      <c r="AQ2" s="11" t="str">
        <f t="shared" ref="AQ2:AQ15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13.0</v>
      </c>
      <c r="AS2" s="19">
        <v>20.0</v>
      </c>
      <c r="AT2" s="20" t="b">
        <v>0</v>
      </c>
      <c r="AU2" s="27" t="s">
        <v>74</v>
      </c>
      <c r="AV2" s="11" t="str">
        <f t="shared" ref="AV2:AV15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20.0</v>
      </c>
      <c r="AX2" s="19">
        <v>23.0</v>
      </c>
      <c r="AY2" s="20" t="b">
        <v>0</v>
      </c>
      <c r="AZ2" s="27" t="s">
        <v>24</v>
      </c>
      <c r="BA2" s="11" t="str">
        <f t="shared" ref="BA2:BA15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23.0</v>
      </c>
      <c r="BC2" s="19">
        <v>20.0</v>
      </c>
      <c r="BD2" s="20" t="b">
        <v>0</v>
      </c>
      <c r="BE2" s="27" t="s">
        <v>24</v>
      </c>
      <c r="BF2" s="11" t="str">
        <f t="shared" ref="BF2:BF15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10.0</v>
      </c>
      <c r="BH2" s="19">
        <v>7.0</v>
      </c>
      <c r="BI2" s="20" t="b">
        <v>0</v>
      </c>
      <c r="BJ2" s="27" t="s">
        <v>24</v>
      </c>
      <c r="BK2" s="11" t="str">
        <f t="shared" ref="BK2:BK15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31.0</v>
      </c>
      <c r="BM2" s="19">
        <v>24.0</v>
      </c>
      <c r="BN2" s="20" t="b">
        <v>0</v>
      </c>
      <c r="BO2" s="19"/>
      <c r="BP2" s="19"/>
      <c r="BQ2" s="19"/>
    </row>
    <row r="3">
      <c r="A3" s="16" t="s">
        <v>178</v>
      </c>
      <c r="B3" s="30" t="s">
        <v>180</v>
      </c>
      <c r="C3" s="18"/>
      <c r="D3" s="11" t="str">
        <f>IFERROR(__xludf.DUMMYFUNCTION("""COMPUTED_VALUE"""),"")</f>
        <v/>
      </c>
      <c r="E3" s="17"/>
      <c r="F3" s="31"/>
      <c r="G3" s="19" t="s">
        <v>69</v>
      </c>
      <c r="H3" s="11" t="str">
        <f t="shared" si="1"/>
        <v/>
      </c>
      <c r="I3" s="19">
        <v>24.0</v>
      </c>
      <c r="J3" s="19">
        <v>21.0</v>
      </c>
      <c r="K3" s="20" t="b">
        <v>0</v>
      </c>
      <c r="L3" s="19" t="s">
        <v>69</v>
      </c>
      <c r="M3" s="11" t="str">
        <f t="shared" si="2"/>
        <v/>
      </c>
      <c r="N3" s="19">
        <v>31.0</v>
      </c>
      <c r="O3" s="19">
        <v>24.0</v>
      </c>
      <c r="P3" s="19" t="b">
        <v>0</v>
      </c>
      <c r="Q3" s="27" t="s">
        <v>71</v>
      </c>
      <c r="R3" s="11" t="str">
        <f t="shared" si="3"/>
        <v/>
      </c>
      <c r="S3" s="19">
        <v>17.0</v>
      </c>
      <c r="T3" s="19">
        <v>21.0</v>
      </c>
      <c r="U3" s="20" t="b">
        <v>0</v>
      </c>
      <c r="V3" s="19" t="s">
        <v>71</v>
      </c>
      <c r="W3" s="11" t="str">
        <f t="shared" si="4"/>
        <v/>
      </c>
      <c r="X3" s="19">
        <v>20.0</v>
      </c>
      <c r="Y3" s="19">
        <v>23.0</v>
      </c>
      <c r="Z3" s="20" t="b">
        <v>0</v>
      </c>
      <c r="AA3" s="27" t="s">
        <v>71</v>
      </c>
      <c r="AB3" s="11" t="str">
        <f t="shared" si="5"/>
        <v/>
      </c>
      <c r="AC3" s="19">
        <v>17.0</v>
      </c>
      <c r="AD3" s="19">
        <v>24.0</v>
      </c>
      <c r="AE3" s="19" t="b">
        <v>1</v>
      </c>
      <c r="AF3" s="27" t="s">
        <v>71</v>
      </c>
      <c r="AG3" s="11" t="str">
        <f t="shared" si="6"/>
        <v/>
      </c>
      <c r="AH3" s="19">
        <v>14.0</v>
      </c>
      <c r="AI3" s="19">
        <v>17.0</v>
      </c>
      <c r="AJ3" s="20" t="b">
        <v>0</v>
      </c>
      <c r="AK3" s="19" t="s">
        <v>71</v>
      </c>
      <c r="AL3" s="11" t="str">
        <f t="shared" si="7"/>
        <v/>
      </c>
      <c r="AM3" s="19">
        <v>17.0</v>
      </c>
      <c r="AN3" s="19">
        <v>21.0</v>
      </c>
      <c r="AO3" s="20" t="b">
        <v>0</v>
      </c>
      <c r="AP3" s="27" t="s">
        <v>71</v>
      </c>
      <c r="AQ3" s="11" t="str">
        <f t="shared" si="8"/>
        <v/>
      </c>
      <c r="AR3" s="19">
        <v>17.0</v>
      </c>
      <c r="AS3" s="19">
        <v>24.0</v>
      </c>
      <c r="AT3" s="20" t="b">
        <v>0</v>
      </c>
      <c r="AU3" s="27" t="s">
        <v>71</v>
      </c>
      <c r="AV3" s="11" t="str">
        <f t="shared" si="9"/>
        <v/>
      </c>
      <c r="AW3" s="19">
        <v>7.0</v>
      </c>
      <c r="AX3" s="19">
        <v>10.0</v>
      </c>
      <c r="AY3" s="20" t="b">
        <v>0</v>
      </c>
      <c r="AZ3" s="27" t="s">
        <v>69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71</v>
      </c>
      <c r="BF3" s="11" t="str">
        <f t="shared" si="11"/>
        <v/>
      </c>
      <c r="BG3" s="19">
        <v>21.0</v>
      </c>
      <c r="BH3" s="19">
        <v>24.0</v>
      </c>
      <c r="BI3" s="20" t="b">
        <v>0</v>
      </c>
      <c r="BJ3" s="27" t="s">
        <v>69</v>
      </c>
      <c r="BK3" s="11" t="str">
        <f t="shared" si="12"/>
        <v/>
      </c>
      <c r="BL3" s="19">
        <v>28.0</v>
      </c>
      <c r="BM3" s="19">
        <v>21.0</v>
      </c>
      <c r="BN3" s="20" t="b">
        <v>0</v>
      </c>
      <c r="BO3" s="17"/>
      <c r="BP3" s="17"/>
      <c r="BQ3" s="17"/>
    </row>
    <row r="4">
      <c r="A4" s="16" t="s">
        <v>184</v>
      </c>
      <c r="B4" s="17" t="s">
        <v>185</v>
      </c>
      <c r="C4" s="18"/>
      <c r="D4" s="11" t="str">
        <f>IFERROR(__xludf.DUMMYFUNCTION("""COMPUTED_VALUE"""),"")</f>
        <v/>
      </c>
      <c r="E4" s="19"/>
      <c r="F4" s="20"/>
      <c r="G4" s="19" t="s">
        <v>44</v>
      </c>
      <c r="H4" s="11" t="str">
        <f t="shared" si="1"/>
        <v/>
      </c>
      <c r="I4" s="19">
        <v>31.0</v>
      </c>
      <c r="J4" s="19">
        <v>24.0</v>
      </c>
      <c r="K4" s="20" t="b">
        <v>0</v>
      </c>
      <c r="L4" s="19" t="s">
        <v>29</v>
      </c>
      <c r="M4" s="11" t="str">
        <f t="shared" si="2"/>
        <v/>
      </c>
      <c r="N4" s="19">
        <v>21.0</v>
      </c>
      <c r="O4" s="19">
        <v>28.0</v>
      </c>
      <c r="P4" s="19" t="b">
        <v>1</v>
      </c>
      <c r="Q4" s="27" t="s">
        <v>44</v>
      </c>
      <c r="R4" s="11" t="str">
        <f t="shared" si="3"/>
        <v/>
      </c>
      <c r="S4" s="19">
        <v>28.0</v>
      </c>
      <c r="T4" s="19">
        <v>21.0</v>
      </c>
      <c r="U4" s="20" t="b">
        <v>0</v>
      </c>
      <c r="V4" s="19" t="s">
        <v>44</v>
      </c>
      <c r="W4" s="11" t="str">
        <f t="shared" si="4"/>
        <v/>
      </c>
      <c r="X4" s="19">
        <v>24.0</v>
      </c>
      <c r="Y4" s="19">
        <v>14.0</v>
      </c>
      <c r="Z4" s="20" t="b">
        <v>0</v>
      </c>
      <c r="AA4" s="27" t="s">
        <v>44</v>
      </c>
      <c r="AB4" s="11" t="str">
        <f t="shared" si="5"/>
        <v/>
      </c>
      <c r="AC4" s="19">
        <v>24.0</v>
      </c>
      <c r="AD4" s="19">
        <v>17.0</v>
      </c>
      <c r="AE4" s="19" t="b">
        <v>0</v>
      </c>
      <c r="AF4" s="27" t="s">
        <v>44</v>
      </c>
      <c r="AG4" s="11" t="str">
        <f t="shared" si="6"/>
        <v/>
      </c>
      <c r="AH4" s="19">
        <v>17.0</v>
      </c>
      <c r="AI4" s="19">
        <v>14.0</v>
      </c>
      <c r="AJ4" s="20" t="b">
        <v>0</v>
      </c>
      <c r="AK4" s="19" t="s">
        <v>44</v>
      </c>
      <c r="AL4" s="11" t="str">
        <f t="shared" si="7"/>
        <v/>
      </c>
      <c r="AM4" s="19">
        <v>28.0</v>
      </c>
      <c r="AN4" s="19">
        <v>21.0</v>
      </c>
      <c r="AO4" s="20" t="b">
        <v>0</v>
      </c>
      <c r="AP4" s="27" t="s">
        <v>29</v>
      </c>
      <c r="AQ4" s="11" t="str">
        <f t="shared" si="8"/>
        <v/>
      </c>
      <c r="AR4" s="19">
        <v>20.0</v>
      </c>
      <c r="AS4" s="19">
        <v>23.0</v>
      </c>
      <c r="AT4" s="20" t="b">
        <v>0</v>
      </c>
      <c r="AU4" s="27" t="s">
        <v>44</v>
      </c>
      <c r="AV4" s="11" t="str">
        <f t="shared" si="9"/>
        <v/>
      </c>
      <c r="AW4" s="19">
        <v>21.0</v>
      </c>
      <c r="AX4" s="19">
        <v>17.0</v>
      </c>
      <c r="AY4" s="20" t="b">
        <v>0</v>
      </c>
      <c r="AZ4" s="27" t="s">
        <v>44</v>
      </c>
      <c r="BA4" s="11" t="str">
        <f t="shared" si="10"/>
        <v/>
      </c>
      <c r="BB4" s="19">
        <v>23.0</v>
      </c>
      <c r="BC4" s="19">
        <v>20.0</v>
      </c>
      <c r="BD4" s="20" t="b">
        <v>0</v>
      </c>
      <c r="BE4" s="27" t="s">
        <v>29</v>
      </c>
      <c r="BF4" s="11" t="str">
        <f t="shared" si="11"/>
        <v/>
      </c>
      <c r="BG4" s="19">
        <v>17.0</v>
      </c>
      <c r="BH4" s="19">
        <v>20.0</v>
      </c>
      <c r="BI4" s="20" t="b">
        <v>0</v>
      </c>
      <c r="BJ4" s="27" t="s">
        <v>44</v>
      </c>
      <c r="BK4" s="11" t="str">
        <f t="shared" si="12"/>
        <v/>
      </c>
      <c r="BL4" s="19">
        <v>30.0</v>
      </c>
      <c r="BM4" s="19">
        <v>27.0</v>
      </c>
      <c r="BN4" s="20" t="b">
        <v>0</v>
      </c>
      <c r="BO4" s="17"/>
      <c r="BP4" s="17"/>
      <c r="BQ4" s="17"/>
    </row>
    <row r="5">
      <c r="A5" s="16" t="s">
        <v>184</v>
      </c>
      <c r="B5" s="30" t="s">
        <v>190</v>
      </c>
      <c r="C5" s="18"/>
      <c r="D5" s="11" t="str">
        <f>IFERROR(__xludf.DUMMYFUNCTION("""COMPUTED_VALUE"""),"")</f>
        <v/>
      </c>
      <c r="E5" s="19"/>
      <c r="F5" s="20"/>
      <c r="G5" s="19" t="s">
        <v>61</v>
      </c>
      <c r="H5" s="11" t="str">
        <f t="shared" si="1"/>
        <v/>
      </c>
      <c r="I5" s="19">
        <v>24.0</v>
      </c>
      <c r="J5" s="19">
        <v>21.0</v>
      </c>
      <c r="K5" s="20" t="b">
        <v>0</v>
      </c>
      <c r="L5" s="19" t="s">
        <v>61</v>
      </c>
      <c r="M5" s="11" t="str">
        <f t="shared" si="2"/>
        <v/>
      </c>
      <c r="N5" s="19">
        <v>28.0</v>
      </c>
      <c r="O5" s="19">
        <v>21.0</v>
      </c>
      <c r="P5" s="19" t="b">
        <v>0</v>
      </c>
      <c r="Q5" s="27" t="s">
        <v>61</v>
      </c>
      <c r="R5" s="11" t="str">
        <f t="shared" si="3"/>
        <v/>
      </c>
      <c r="S5" s="19">
        <v>23.0</v>
      </c>
      <c r="T5" s="19">
        <v>20.0</v>
      </c>
      <c r="U5" s="20" t="b">
        <v>1</v>
      </c>
      <c r="V5" s="19" t="s">
        <v>61</v>
      </c>
      <c r="W5" s="11" t="str">
        <f t="shared" si="4"/>
        <v/>
      </c>
      <c r="X5" s="19">
        <v>21.0</v>
      </c>
      <c r="Y5" s="19">
        <v>17.0</v>
      </c>
      <c r="Z5" s="20" t="b">
        <v>0</v>
      </c>
      <c r="AA5" s="27" t="s">
        <v>61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34</v>
      </c>
      <c r="AG5" s="11" t="str">
        <f t="shared" si="6"/>
        <v/>
      </c>
      <c r="AH5" s="19">
        <v>24.0</v>
      </c>
      <c r="AI5" s="19">
        <v>28.0</v>
      </c>
      <c r="AJ5" s="20" t="b">
        <v>0</v>
      </c>
      <c r="AK5" s="19" t="s">
        <v>61</v>
      </c>
      <c r="AL5" s="11" t="str">
        <f t="shared" si="7"/>
        <v/>
      </c>
      <c r="AM5" s="19">
        <v>17.0</v>
      </c>
      <c r="AN5" s="19">
        <v>14.0</v>
      </c>
      <c r="AO5" s="20" t="b">
        <v>0</v>
      </c>
      <c r="AP5" s="27" t="s">
        <v>61</v>
      </c>
      <c r="AQ5" s="11" t="str">
        <f t="shared" si="8"/>
        <v/>
      </c>
      <c r="AR5" s="19">
        <v>26.0</v>
      </c>
      <c r="AS5" s="19">
        <v>20.0</v>
      </c>
      <c r="AT5" s="20" t="b">
        <v>0</v>
      </c>
      <c r="AU5" s="27" t="s">
        <v>34</v>
      </c>
      <c r="AV5" s="11" t="str">
        <f t="shared" si="9"/>
        <v/>
      </c>
      <c r="AW5" s="19">
        <v>24.0</v>
      </c>
      <c r="AX5" s="19">
        <v>31.0</v>
      </c>
      <c r="AY5" s="20" t="b">
        <v>0</v>
      </c>
      <c r="AZ5" s="27" t="s">
        <v>61</v>
      </c>
      <c r="BA5" s="11" t="str">
        <f t="shared" si="10"/>
        <v/>
      </c>
      <c r="BB5" s="19">
        <v>23.0</v>
      </c>
      <c r="BC5" s="19">
        <v>20.0</v>
      </c>
      <c r="BD5" s="20" t="b">
        <v>0</v>
      </c>
      <c r="BE5" s="27" t="s">
        <v>34</v>
      </c>
      <c r="BF5" s="11" t="str">
        <f t="shared" si="11"/>
        <v/>
      </c>
      <c r="BG5" s="19">
        <v>24.0</v>
      </c>
      <c r="BH5" s="19">
        <v>27.0</v>
      </c>
      <c r="BI5" s="20" t="b">
        <v>0</v>
      </c>
      <c r="BJ5" s="27" t="s">
        <v>61</v>
      </c>
      <c r="BK5" s="11" t="str">
        <f t="shared" si="12"/>
        <v/>
      </c>
      <c r="BL5" s="19">
        <v>14.0</v>
      </c>
      <c r="BM5" s="19">
        <v>10.0</v>
      </c>
      <c r="BN5" s="20" t="b">
        <v>0</v>
      </c>
      <c r="BO5" s="17"/>
      <c r="BP5" s="17"/>
      <c r="BQ5" s="17"/>
    </row>
    <row r="6">
      <c r="A6" s="16" t="s">
        <v>184</v>
      </c>
      <c r="B6" s="30" t="s">
        <v>194</v>
      </c>
      <c r="C6" s="18"/>
      <c r="D6" s="11" t="str">
        <f>IFERROR(__xludf.DUMMYFUNCTION("""COMPUTED_VALUE"""),"")</f>
        <v/>
      </c>
      <c r="E6" s="19"/>
      <c r="F6" s="20"/>
      <c r="G6" s="19" t="s">
        <v>76</v>
      </c>
      <c r="H6" s="11" t="str">
        <f t="shared" si="1"/>
        <v/>
      </c>
      <c r="I6" s="19">
        <v>21.0</v>
      </c>
      <c r="J6" s="19">
        <v>28.0</v>
      </c>
      <c r="K6" s="20" t="b">
        <v>0</v>
      </c>
      <c r="L6" s="19" t="s">
        <v>76</v>
      </c>
      <c r="M6" s="11" t="str">
        <f t="shared" si="2"/>
        <v/>
      </c>
      <c r="N6" s="19">
        <v>14.0</v>
      </c>
      <c r="O6" s="19">
        <v>17.0</v>
      </c>
      <c r="P6" s="19" t="b">
        <v>0</v>
      </c>
      <c r="Q6" s="27" t="s">
        <v>76</v>
      </c>
      <c r="R6" s="11" t="str">
        <f t="shared" si="3"/>
        <v/>
      </c>
      <c r="S6" s="19">
        <v>20.0</v>
      </c>
      <c r="T6" s="19">
        <v>23.0</v>
      </c>
      <c r="U6" s="20" t="b">
        <v>0</v>
      </c>
      <c r="V6" s="19" t="s">
        <v>76</v>
      </c>
      <c r="W6" s="11" t="str">
        <f t="shared" si="4"/>
        <v/>
      </c>
      <c r="X6" s="19">
        <v>17.0</v>
      </c>
      <c r="Y6" s="19">
        <v>21.0</v>
      </c>
      <c r="Z6" s="20" t="b">
        <v>0</v>
      </c>
      <c r="AA6" s="27" t="s">
        <v>76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55</v>
      </c>
      <c r="AG6" s="11" t="str">
        <f t="shared" si="6"/>
        <v/>
      </c>
      <c r="AH6" s="19">
        <v>21.0</v>
      </c>
      <c r="AI6" s="19">
        <v>17.0</v>
      </c>
      <c r="AJ6" s="20" t="b">
        <v>0</v>
      </c>
      <c r="AK6" s="19" t="s">
        <v>55</v>
      </c>
      <c r="AL6" s="11" t="str">
        <f t="shared" si="7"/>
        <v/>
      </c>
      <c r="AM6" s="19">
        <v>17.0</v>
      </c>
      <c r="AN6" s="19">
        <v>14.0</v>
      </c>
      <c r="AO6" s="20" t="b">
        <v>0</v>
      </c>
      <c r="AP6" s="27" t="s">
        <v>76</v>
      </c>
      <c r="AQ6" s="11" t="str">
        <f t="shared" si="8"/>
        <v/>
      </c>
      <c r="AR6" s="19">
        <v>17.0</v>
      </c>
      <c r="AS6" s="19">
        <v>27.0</v>
      </c>
      <c r="AT6" s="20" t="b">
        <v>0</v>
      </c>
      <c r="AU6" s="27" t="s">
        <v>76</v>
      </c>
      <c r="AV6" s="11" t="str">
        <f t="shared" si="9"/>
        <v/>
      </c>
      <c r="AW6" s="19">
        <v>17.0</v>
      </c>
      <c r="AX6" s="19">
        <v>20.0</v>
      </c>
      <c r="AY6" s="20" t="b">
        <v>0</v>
      </c>
      <c r="AZ6" s="27" t="s">
        <v>76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55</v>
      </c>
      <c r="BF6" s="11" t="str">
        <f t="shared" si="11"/>
        <v/>
      </c>
      <c r="BG6" s="19">
        <v>21.0</v>
      </c>
      <c r="BH6" s="19">
        <v>17.0</v>
      </c>
      <c r="BI6" s="20" t="b">
        <v>0</v>
      </c>
      <c r="BJ6" s="27" t="s">
        <v>55</v>
      </c>
      <c r="BK6" s="11" t="str">
        <f t="shared" si="12"/>
        <v/>
      </c>
      <c r="BL6" s="19">
        <v>21.0</v>
      </c>
      <c r="BM6" s="19">
        <v>17.0</v>
      </c>
      <c r="BN6" s="20" t="b">
        <v>0</v>
      </c>
      <c r="BO6" s="17"/>
      <c r="BP6" s="17"/>
      <c r="BQ6" s="17"/>
    </row>
    <row r="7">
      <c r="A7" s="16" t="s">
        <v>184</v>
      </c>
      <c r="B7" s="30" t="s">
        <v>197</v>
      </c>
      <c r="C7" s="18"/>
      <c r="D7" s="11" t="str">
        <f>IFERROR(__xludf.DUMMYFUNCTION("""COMPUTED_VALUE"""),"")</f>
        <v/>
      </c>
      <c r="E7" s="19"/>
      <c r="F7" s="20"/>
      <c r="G7" s="19" t="s">
        <v>58</v>
      </c>
      <c r="H7" s="11" t="str">
        <f t="shared" si="1"/>
        <v/>
      </c>
      <c r="I7" s="19">
        <v>21.0</v>
      </c>
      <c r="J7" s="19">
        <v>17.0</v>
      </c>
      <c r="K7" s="20" t="b">
        <v>0</v>
      </c>
      <c r="L7" s="19" t="s">
        <v>28</v>
      </c>
      <c r="M7" s="11" t="str">
        <f t="shared" si="2"/>
        <v/>
      </c>
      <c r="N7" s="19">
        <v>17.0</v>
      </c>
      <c r="O7" s="19">
        <v>21.0</v>
      </c>
      <c r="P7" s="19" t="b">
        <v>0</v>
      </c>
      <c r="Q7" s="27" t="s">
        <v>58</v>
      </c>
      <c r="R7" s="11" t="str">
        <f t="shared" si="3"/>
        <v/>
      </c>
      <c r="S7" s="19">
        <v>17.0</v>
      </c>
      <c r="T7" s="19">
        <v>14.0</v>
      </c>
      <c r="U7" s="20" t="b">
        <v>0</v>
      </c>
      <c r="V7" s="19" t="s">
        <v>28</v>
      </c>
      <c r="W7" s="11" t="str">
        <f t="shared" si="4"/>
        <v/>
      </c>
      <c r="X7" s="19">
        <v>14.0</v>
      </c>
      <c r="Y7" s="19">
        <v>17.0</v>
      </c>
      <c r="Z7" s="20" t="b">
        <v>0</v>
      </c>
      <c r="AA7" s="27" t="s">
        <v>28</v>
      </c>
      <c r="AB7" s="11" t="str">
        <f t="shared" si="5"/>
        <v/>
      </c>
      <c r="AC7" s="19">
        <v>17.0</v>
      </c>
      <c r="AD7" s="19">
        <v>24.0</v>
      </c>
      <c r="AE7" s="19" t="b">
        <v>0</v>
      </c>
      <c r="AF7" s="27" t="s">
        <v>58</v>
      </c>
      <c r="AG7" s="11" t="str">
        <f t="shared" si="6"/>
        <v/>
      </c>
      <c r="AH7" s="19">
        <v>27.0</v>
      </c>
      <c r="AI7" s="19">
        <v>24.0</v>
      </c>
      <c r="AJ7" s="20" t="b">
        <v>0</v>
      </c>
      <c r="AK7" s="19" t="s">
        <v>28</v>
      </c>
      <c r="AL7" s="11" t="str">
        <f t="shared" si="7"/>
        <v/>
      </c>
      <c r="AM7" s="19">
        <v>17.0</v>
      </c>
      <c r="AN7" s="19">
        <v>21.0</v>
      </c>
      <c r="AO7" s="20" t="b">
        <v>0</v>
      </c>
      <c r="AP7" s="27" t="s">
        <v>28</v>
      </c>
      <c r="AQ7" s="11" t="str">
        <f t="shared" si="8"/>
        <v/>
      </c>
      <c r="AR7" s="19">
        <v>13.0</v>
      </c>
      <c r="AS7" s="19">
        <v>24.0</v>
      </c>
      <c r="AT7" s="20" t="b">
        <v>0</v>
      </c>
      <c r="AU7" s="27" t="s">
        <v>28</v>
      </c>
      <c r="AV7" s="11" t="str">
        <f t="shared" si="9"/>
        <v/>
      </c>
      <c r="AW7" s="19">
        <v>14.0</v>
      </c>
      <c r="AX7" s="19">
        <v>24.0</v>
      </c>
      <c r="AY7" s="20" t="b">
        <v>0</v>
      </c>
      <c r="AZ7" s="27" t="s">
        <v>28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28</v>
      </c>
      <c r="BF7" s="11" t="str">
        <f t="shared" si="11"/>
        <v/>
      </c>
      <c r="BG7" s="19">
        <v>24.0</v>
      </c>
      <c r="BH7" s="19">
        <v>27.0</v>
      </c>
      <c r="BI7" s="20" t="b">
        <v>0</v>
      </c>
      <c r="BJ7" s="27" t="s">
        <v>58</v>
      </c>
      <c r="BK7" s="11" t="str">
        <f t="shared" si="12"/>
        <v/>
      </c>
      <c r="BL7" s="19">
        <v>31.0</v>
      </c>
      <c r="BM7" s="19">
        <v>24.0</v>
      </c>
      <c r="BN7" s="20" t="b">
        <v>0</v>
      </c>
      <c r="BO7" s="17"/>
      <c r="BP7" s="17"/>
      <c r="BQ7" s="17"/>
    </row>
    <row r="8">
      <c r="A8" s="16" t="s">
        <v>184</v>
      </c>
      <c r="B8" s="17" t="s">
        <v>201</v>
      </c>
      <c r="C8" s="18"/>
      <c r="D8" s="11" t="str">
        <f>IFERROR(__xludf.DUMMYFUNCTION("""COMPUTED_VALUE"""),"")</f>
        <v/>
      </c>
      <c r="E8" s="19"/>
      <c r="F8" s="20"/>
      <c r="G8" s="19" t="s">
        <v>126</v>
      </c>
      <c r="H8" s="11" t="str">
        <f t="shared" si="1"/>
        <v/>
      </c>
      <c r="I8" s="19">
        <v>17.0</v>
      </c>
      <c r="J8" s="19">
        <v>14.0</v>
      </c>
      <c r="K8" s="20" t="b">
        <v>0</v>
      </c>
      <c r="L8" s="19" t="s">
        <v>92</v>
      </c>
      <c r="M8" s="11" t="str">
        <f t="shared" si="2"/>
        <v/>
      </c>
      <c r="N8" s="19">
        <v>20.0</v>
      </c>
      <c r="O8" s="19">
        <v>23.0</v>
      </c>
      <c r="P8" s="19" t="b">
        <v>0</v>
      </c>
      <c r="Q8" s="27" t="s">
        <v>126</v>
      </c>
      <c r="R8" s="11" t="str">
        <f t="shared" si="3"/>
        <v/>
      </c>
      <c r="S8" s="19">
        <v>20.0</v>
      </c>
      <c r="T8" s="19">
        <v>17.0</v>
      </c>
      <c r="U8" s="20" t="b">
        <v>0</v>
      </c>
      <c r="V8" s="19" t="s">
        <v>126</v>
      </c>
      <c r="W8" s="11" t="str">
        <f t="shared" si="4"/>
        <v/>
      </c>
      <c r="X8" s="19">
        <v>17.0</v>
      </c>
      <c r="Y8" s="19">
        <v>10.0</v>
      </c>
      <c r="Z8" s="20" t="b">
        <v>0</v>
      </c>
      <c r="AA8" s="27" t="s">
        <v>126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126</v>
      </c>
      <c r="AG8" s="11" t="str">
        <f t="shared" si="6"/>
        <v/>
      </c>
      <c r="AH8" s="19">
        <v>17.0</v>
      </c>
      <c r="AI8" s="19">
        <v>14.0</v>
      </c>
      <c r="AJ8" s="20" t="b">
        <v>0</v>
      </c>
      <c r="AK8" s="19" t="s">
        <v>92</v>
      </c>
      <c r="AL8" s="11" t="str">
        <f t="shared" si="7"/>
        <v/>
      </c>
      <c r="AM8" s="19">
        <v>17.0</v>
      </c>
      <c r="AN8" s="19">
        <v>20.0</v>
      </c>
      <c r="AO8" s="20" t="b">
        <v>0</v>
      </c>
      <c r="AP8" s="27" t="s">
        <v>92</v>
      </c>
      <c r="AQ8" s="11" t="str">
        <f t="shared" si="8"/>
        <v/>
      </c>
      <c r="AR8" s="19">
        <v>17.0</v>
      </c>
      <c r="AS8" s="19">
        <v>21.0</v>
      </c>
      <c r="AT8" s="20" t="b">
        <v>0</v>
      </c>
      <c r="AU8" s="27" t="s">
        <v>126</v>
      </c>
      <c r="AV8" s="11" t="str">
        <f t="shared" si="9"/>
        <v/>
      </c>
      <c r="AW8" s="19">
        <v>14.0</v>
      </c>
      <c r="AX8" s="19">
        <v>10.0</v>
      </c>
      <c r="AY8" s="20" t="b">
        <v>0</v>
      </c>
      <c r="AZ8" s="27" t="s">
        <v>92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126</v>
      </c>
      <c r="BF8" s="11" t="str">
        <f t="shared" si="11"/>
        <v/>
      </c>
      <c r="BG8" s="19">
        <v>23.0</v>
      </c>
      <c r="BH8" s="19">
        <v>20.0</v>
      </c>
      <c r="BI8" s="20" t="b">
        <v>0</v>
      </c>
      <c r="BJ8" s="27" t="s">
        <v>126</v>
      </c>
      <c r="BK8" s="11" t="str">
        <f t="shared" si="12"/>
        <v/>
      </c>
      <c r="BL8" s="19">
        <v>24.0</v>
      </c>
      <c r="BM8" s="19">
        <v>21.0</v>
      </c>
      <c r="BN8" s="20" t="b">
        <v>0</v>
      </c>
      <c r="BO8" s="19"/>
      <c r="BP8" s="19"/>
      <c r="BQ8" s="19"/>
    </row>
    <row r="9">
      <c r="A9" s="16" t="s">
        <v>184</v>
      </c>
      <c r="B9" s="17" t="s">
        <v>205</v>
      </c>
      <c r="C9" s="18"/>
      <c r="D9" s="11" t="str">
        <f>IFERROR(__xludf.DUMMYFUNCTION("""COMPUTED_VALUE"""),"")</f>
        <v/>
      </c>
      <c r="E9" s="19"/>
      <c r="F9" s="20"/>
      <c r="G9" s="19" t="s">
        <v>54</v>
      </c>
      <c r="H9" s="11" t="str">
        <f t="shared" si="1"/>
        <v/>
      </c>
      <c r="I9" s="19">
        <v>14.0</v>
      </c>
      <c r="J9" s="19">
        <v>20.0</v>
      </c>
      <c r="K9" s="20" t="b">
        <v>0</v>
      </c>
      <c r="L9" s="19" t="s">
        <v>54</v>
      </c>
      <c r="M9" s="11" t="str">
        <f t="shared" si="2"/>
        <v/>
      </c>
      <c r="N9" s="19">
        <v>17.0</v>
      </c>
      <c r="O9" s="19">
        <v>20.0</v>
      </c>
      <c r="P9" s="19" t="b">
        <v>0</v>
      </c>
      <c r="Q9" s="27" t="s">
        <v>54</v>
      </c>
      <c r="R9" s="11" t="str">
        <f t="shared" si="3"/>
        <v/>
      </c>
      <c r="S9" s="19">
        <v>24.0</v>
      </c>
      <c r="T9" s="19">
        <v>27.0</v>
      </c>
      <c r="U9" s="20" t="b">
        <v>0</v>
      </c>
      <c r="V9" s="19" t="s">
        <v>54</v>
      </c>
      <c r="W9" s="11" t="str">
        <f t="shared" si="4"/>
        <v/>
      </c>
      <c r="X9" s="19">
        <v>21.0</v>
      </c>
      <c r="Y9" s="19">
        <v>28.0</v>
      </c>
      <c r="Z9" s="20" t="b">
        <v>1</v>
      </c>
      <c r="AA9" s="27" t="s">
        <v>54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54</v>
      </c>
      <c r="AG9" s="11" t="str">
        <f t="shared" si="6"/>
        <v/>
      </c>
      <c r="AH9" s="19">
        <v>17.0</v>
      </c>
      <c r="AI9" s="19">
        <v>24.0</v>
      </c>
      <c r="AJ9" s="20" t="b">
        <v>0</v>
      </c>
      <c r="AK9" s="19" t="s">
        <v>54</v>
      </c>
      <c r="AL9" s="11" t="str">
        <f t="shared" si="7"/>
        <v/>
      </c>
      <c r="AM9" s="19">
        <v>17.0</v>
      </c>
      <c r="AN9" s="19">
        <v>21.0</v>
      </c>
      <c r="AO9" s="20" t="b">
        <v>0</v>
      </c>
      <c r="AP9" s="27" t="s">
        <v>54</v>
      </c>
      <c r="AQ9" s="11" t="str">
        <f t="shared" si="8"/>
        <v/>
      </c>
      <c r="AR9" s="19">
        <v>13.0</v>
      </c>
      <c r="AS9" s="19">
        <v>28.0</v>
      </c>
      <c r="AT9" s="20" t="b">
        <v>1</v>
      </c>
      <c r="AU9" s="27" t="s">
        <v>54</v>
      </c>
      <c r="AV9" s="11" t="str">
        <f t="shared" si="9"/>
        <v/>
      </c>
      <c r="AW9" s="19">
        <v>14.0</v>
      </c>
      <c r="AX9" s="19">
        <v>17.0</v>
      </c>
      <c r="AY9" s="20" t="b">
        <v>0</v>
      </c>
      <c r="AZ9" s="27" t="s">
        <v>54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41</v>
      </c>
      <c r="BF9" s="11" t="str">
        <f t="shared" si="11"/>
        <v/>
      </c>
      <c r="BG9" s="19">
        <v>21.0</v>
      </c>
      <c r="BH9" s="19">
        <v>17.0</v>
      </c>
      <c r="BI9" s="20" t="b">
        <v>0</v>
      </c>
      <c r="BJ9" s="27" t="s">
        <v>41</v>
      </c>
      <c r="BK9" s="11" t="str">
        <f t="shared" si="12"/>
        <v/>
      </c>
      <c r="BL9" s="19">
        <v>14.0</v>
      </c>
      <c r="BM9" s="19">
        <v>10.0</v>
      </c>
      <c r="BN9" s="20" t="b">
        <v>0</v>
      </c>
      <c r="BO9" s="17"/>
      <c r="BP9" s="17"/>
      <c r="BQ9" s="17"/>
    </row>
    <row r="10">
      <c r="A10" s="16" t="s">
        <v>184</v>
      </c>
      <c r="B10" s="17" t="s">
        <v>208</v>
      </c>
      <c r="C10" s="18"/>
      <c r="D10" s="11" t="str">
        <f>IFERROR(__xludf.DUMMYFUNCTION("""COMPUTED_VALUE"""),"")</f>
        <v/>
      </c>
      <c r="E10" s="19"/>
      <c r="F10" s="20"/>
      <c r="G10" s="19" t="s">
        <v>48</v>
      </c>
      <c r="H10" s="11" t="str">
        <f t="shared" si="1"/>
        <v/>
      </c>
      <c r="I10" s="19">
        <v>21.0</v>
      </c>
      <c r="J10" s="19">
        <v>24.0</v>
      </c>
      <c r="K10" s="20" t="b">
        <v>0</v>
      </c>
      <c r="L10" s="19" t="s">
        <v>48</v>
      </c>
      <c r="M10" s="11" t="str">
        <f t="shared" si="2"/>
        <v/>
      </c>
      <c r="N10" s="19">
        <v>24.0</v>
      </c>
      <c r="O10" s="19">
        <v>31.0</v>
      </c>
      <c r="P10" s="19" t="b">
        <v>0</v>
      </c>
      <c r="Q10" s="27" t="s">
        <v>48</v>
      </c>
      <c r="R10" s="11" t="str">
        <f t="shared" si="3"/>
        <v/>
      </c>
      <c r="S10" s="19">
        <v>24.0</v>
      </c>
      <c r="T10" s="19">
        <v>27.0</v>
      </c>
      <c r="U10" s="20" t="b">
        <v>0</v>
      </c>
      <c r="V10" s="19" t="s">
        <v>48</v>
      </c>
      <c r="W10" s="11" t="str">
        <f t="shared" si="4"/>
        <v/>
      </c>
      <c r="X10" s="19">
        <v>14.0</v>
      </c>
      <c r="Y10" s="19">
        <v>20.0</v>
      </c>
      <c r="Z10" s="20" t="b">
        <v>0</v>
      </c>
      <c r="AA10" s="27" t="s">
        <v>33</v>
      </c>
      <c r="AB10" s="11" t="str">
        <f t="shared" si="5"/>
        <v/>
      </c>
      <c r="AC10" s="19">
        <v>24.0</v>
      </c>
      <c r="AD10" s="19">
        <v>17.0</v>
      </c>
      <c r="AE10" s="19" t="b">
        <v>0</v>
      </c>
      <c r="AF10" s="27" t="s">
        <v>33</v>
      </c>
      <c r="AG10" s="11" t="str">
        <f t="shared" si="6"/>
        <v/>
      </c>
      <c r="AH10" s="19">
        <v>17.0</v>
      </c>
      <c r="AI10" s="19">
        <v>14.0</v>
      </c>
      <c r="AJ10" s="20" t="b">
        <v>0</v>
      </c>
      <c r="AK10" s="19" t="s">
        <v>48</v>
      </c>
      <c r="AL10" s="11" t="str">
        <f t="shared" si="7"/>
        <v/>
      </c>
      <c r="AM10" s="19">
        <v>24.0</v>
      </c>
      <c r="AN10" s="19">
        <v>31.0</v>
      </c>
      <c r="AO10" s="20" t="b">
        <v>0</v>
      </c>
      <c r="AP10" s="27" t="s">
        <v>48</v>
      </c>
      <c r="AQ10" s="11" t="str">
        <f t="shared" si="8"/>
        <v/>
      </c>
      <c r="AR10" s="19">
        <v>20.0</v>
      </c>
      <c r="AS10" s="19">
        <v>24.0</v>
      </c>
      <c r="AT10" s="20" t="b">
        <v>0</v>
      </c>
      <c r="AU10" s="27" t="s">
        <v>33</v>
      </c>
      <c r="AV10" s="11" t="str">
        <f t="shared" si="9"/>
        <v/>
      </c>
      <c r="AW10" s="19">
        <v>31.0</v>
      </c>
      <c r="AX10" s="19">
        <v>24.0</v>
      </c>
      <c r="AY10" s="20" t="b">
        <v>1</v>
      </c>
      <c r="AZ10" s="27" t="s">
        <v>48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48</v>
      </c>
      <c r="BF10" s="11" t="str">
        <f t="shared" si="11"/>
        <v/>
      </c>
      <c r="BG10" s="19">
        <v>17.0</v>
      </c>
      <c r="BH10" s="19">
        <v>21.0</v>
      </c>
      <c r="BI10" s="20" t="b">
        <v>0</v>
      </c>
      <c r="BJ10" s="27" t="s">
        <v>33</v>
      </c>
      <c r="BK10" s="11" t="str">
        <f t="shared" si="12"/>
        <v/>
      </c>
      <c r="BL10" s="19">
        <v>28.0</v>
      </c>
      <c r="BM10" s="19">
        <v>21.0</v>
      </c>
      <c r="BN10" s="20" t="b">
        <v>0</v>
      </c>
      <c r="BO10" s="17"/>
      <c r="BP10" s="17"/>
      <c r="BQ10" s="17"/>
    </row>
    <row r="11">
      <c r="A11" s="16" t="s">
        <v>212</v>
      </c>
      <c r="B11" s="30" t="s">
        <v>213</v>
      </c>
      <c r="C11" s="18"/>
      <c r="D11" s="11" t="str">
        <f>IFERROR(__xludf.DUMMYFUNCTION("""COMPUTED_VALUE"""),"")</f>
        <v/>
      </c>
      <c r="E11" s="19"/>
      <c r="F11" s="20"/>
      <c r="G11" s="19" t="s">
        <v>39</v>
      </c>
      <c r="H11" s="11" t="str">
        <f t="shared" si="1"/>
        <v/>
      </c>
      <c r="I11" s="19">
        <v>17.0</v>
      </c>
      <c r="J11" s="19">
        <v>21.0</v>
      </c>
      <c r="K11" s="20" t="b">
        <v>1</v>
      </c>
      <c r="L11" s="19" t="s">
        <v>39</v>
      </c>
      <c r="M11" s="11" t="str">
        <f t="shared" si="2"/>
        <v/>
      </c>
      <c r="N11" s="19">
        <v>20.0</v>
      </c>
      <c r="O11" s="19">
        <v>23.0</v>
      </c>
      <c r="P11" s="19" t="b">
        <v>0</v>
      </c>
      <c r="Q11" s="27" t="s">
        <v>93</v>
      </c>
      <c r="R11" s="11" t="str">
        <f t="shared" si="3"/>
        <v/>
      </c>
      <c r="S11" s="19">
        <v>31.0</v>
      </c>
      <c r="T11" s="19">
        <v>24.0</v>
      </c>
      <c r="U11" s="20" t="b">
        <v>0</v>
      </c>
      <c r="V11" s="19" t="s">
        <v>39</v>
      </c>
      <c r="W11" s="11" t="str">
        <f t="shared" si="4"/>
        <v/>
      </c>
      <c r="X11" s="19">
        <v>17.0</v>
      </c>
      <c r="Y11" s="19">
        <v>31.0</v>
      </c>
      <c r="Z11" s="20" t="b">
        <v>0</v>
      </c>
      <c r="AA11" s="27" t="s">
        <v>39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39</v>
      </c>
      <c r="AG11" s="11" t="str">
        <f t="shared" si="6"/>
        <v/>
      </c>
      <c r="AH11" s="19">
        <v>21.0</v>
      </c>
      <c r="AI11" s="19">
        <v>28.0</v>
      </c>
      <c r="AJ11" s="20" t="b">
        <v>1</v>
      </c>
      <c r="AK11" s="19" t="s">
        <v>39</v>
      </c>
      <c r="AL11" s="11" t="str">
        <f t="shared" si="7"/>
        <v/>
      </c>
      <c r="AM11" s="19">
        <v>21.0</v>
      </c>
      <c r="AN11" s="19">
        <v>28.0</v>
      </c>
      <c r="AO11" s="20" t="b">
        <v>0</v>
      </c>
      <c r="AP11" s="27" t="s">
        <v>39</v>
      </c>
      <c r="AQ11" s="11" t="str">
        <f t="shared" si="8"/>
        <v/>
      </c>
      <c r="AR11" s="19">
        <v>17.0</v>
      </c>
      <c r="AS11" s="19">
        <v>31.0</v>
      </c>
      <c r="AT11" s="20" t="b">
        <v>0</v>
      </c>
      <c r="AU11" s="27" t="s">
        <v>39</v>
      </c>
      <c r="AV11" s="11" t="str">
        <f t="shared" si="9"/>
        <v/>
      </c>
      <c r="AW11" s="19">
        <v>21.0</v>
      </c>
      <c r="AX11" s="19">
        <v>28.0</v>
      </c>
      <c r="AY11" s="20" t="b">
        <v>0</v>
      </c>
      <c r="AZ11" s="27" t="s">
        <v>39</v>
      </c>
      <c r="BA11" s="11" t="str">
        <f t="shared" si="10"/>
        <v/>
      </c>
      <c r="BB11" s="19">
        <v>20.0</v>
      </c>
      <c r="BC11" s="19">
        <v>23.0</v>
      </c>
      <c r="BD11" s="20" t="b">
        <v>1</v>
      </c>
      <c r="BE11" s="27" t="s">
        <v>39</v>
      </c>
      <c r="BF11" s="11" t="str">
        <f t="shared" si="11"/>
        <v/>
      </c>
      <c r="BG11" s="19">
        <v>14.0</v>
      </c>
      <c r="BH11" s="19">
        <v>17.0</v>
      </c>
      <c r="BI11" s="20" t="b">
        <v>0</v>
      </c>
      <c r="BJ11" s="27" t="s">
        <v>93</v>
      </c>
      <c r="BK11" s="11" t="str">
        <f t="shared" si="12"/>
        <v/>
      </c>
      <c r="BL11" s="19">
        <v>20.0</v>
      </c>
      <c r="BM11" s="19">
        <v>17.0</v>
      </c>
      <c r="BN11" s="20" t="b">
        <v>0</v>
      </c>
      <c r="BO11" s="19"/>
      <c r="BP11" s="19"/>
      <c r="BQ11" s="19"/>
    </row>
    <row r="12">
      <c r="A12" s="16" t="s">
        <v>217</v>
      </c>
      <c r="B12" s="30" t="s">
        <v>218</v>
      </c>
      <c r="C12" s="18"/>
      <c r="D12" s="11" t="str">
        <f>IFERROR(__xludf.DUMMYFUNCTION("""COMPUTED_VALUE"""),"")</f>
        <v/>
      </c>
      <c r="E12" s="19"/>
      <c r="F12" s="20"/>
      <c r="G12" s="19" t="s">
        <v>88</v>
      </c>
      <c r="H12" s="11" t="str">
        <f t="shared" si="1"/>
        <v/>
      </c>
      <c r="I12" s="19">
        <v>21.0</v>
      </c>
      <c r="J12" s="19">
        <v>24.0</v>
      </c>
      <c r="K12" s="20" t="b">
        <v>0</v>
      </c>
      <c r="L12" s="19" t="s">
        <v>50</v>
      </c>
      <c r="M12" s="11" t="str">
        <f t="shared" si="2"/>
        <v/>
      </c>
      <c r="N12" s="19">
        <v>20.0</v>
      </c>
      <c r="O12" s="19">
        <v>17.0</v>
      </c>
      <c r="P12" s="19" t="b">
        <v>0</v>
      </c>
      <c r="Q12" s="27" t="s">
        <v>88</v>
      </c>
      <c r="R12" s="11" t="str">
        <f t="shared" si="3"/>
        <v/>
      </c>
      <c r="S12" s="19">
        <v>14.0</v>
      </c>
      <c r="T12" s="19">
        <v>17.0</v>
      </c>
      <c r="U12" s="20" t="b">
        <v>0</v>
      </c>
      <c r="V12" s="19" t="s">
        <v>88</v>
      </c>
      <c r="W12" s="11" t="str">
        <f t="shared" si="4"/>
        <v/>
      </c>
      <c r="X12" s="19">
        <v>24.0</v>
      </c>
      <c r="Y12" s="19">
        <v>31.0</v>
      </c>
      <c r="Z12" s="20" t="b">
        <v>0</v>
      </c>
      <c r="AA12" s="27" t="s">
        <v>88</v>
      </c>
      <c r="AB12" s="11" t="str">
        <f t="shared" si="5"/>
        <v/>
      </c>
      <c r="AC12" s="19">
        <v>17.0</v>
      </c>
      <c r="AD12" s="19">
        <v>24.0</v>
      </c>
      <c r="AE12" s="19" t="b">
        <v>0</v>
      </c>
      <c r="AF12" s="27" t="s">
        <v>88</v>
      </c>
      <c r="AG12" s="11" t="str">
        <f t="shared" si="6"/>
        <v/>
      </c>
      <c r="AH12" s="19">
        <v>21.0</v>
      </c>
      <c r="AI12" s="19">
        <v>28.0</v>
      </c>
      <c r="AJ12" s="20" t="b">
        <v>0</v>
      </c>
      <c r="AK12" s="19" t="s">
        <v>88</v>
      </c>
      <c r="AL12" s="11" t="str">
        <f t="shared" si="7"/>
        <v/>
      </c>
      <c r="AM12" s="19">
        <v>17.0</v>
      </c>
      <c r="AN12" s="19">
        <v>21.0</v>
      </c>
      <c r="AO12" s="20" t="b">
        <v>1</v>
      </c>
      <c r="AP12" s="27" t="s">
        <v>88</v>
      </c>
      <c r="AQ12" s="11" t="str">
        <f t="shared" si="8"/>
        <v/>
      </c>
      <c r="AR12" s="19">
        <v>20.0</v>
      </c>
      <c r="AS12" s="19">
        <v>26.0</v>
      </c>
      <c r="AT12" s="20" t="b">
        <v>0</v>
      </c>
      <c r="AU12" s="27" t="s">
        <v>50</v>
      </c>
      <c r="AV12" s="11" t="str">
        <f t="shared" si="9"/>
        <v/>
      </c>
      <c r="AW12" s="19">
        <v>14.0</v>
      </c>
      <c r="AX12" s="19">
        <v>10.0</v>
      </c>
      <c r="AY12" s="20" t="b">
        <v>0</v>
      </c>
      <c r="AZ12" s="27" t="s">
        <v>50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50</v>
      </c>
      <c r="BF12" s="11" t="str">
        <f t="shared" si="11"/>
        <v/>
      </c>
      <c r="BG12" s="19">
        <v>31.0</v>
      </c>
      <c r="BH12" s="19">
        <v>24.0</v>
      </c>
      <c r="BI12" s="20" t="b">
        <v>0</v>
      </c>
      <c r="BJ12" s="27" t="s">
        <v>50</v>
      </c>
      <c r="BK12" s="11" t="str">
        <f t="shared" si="12"/>
        <v/>
      </c>
      <c r="BL12" s="19">
        <v>31.0</v>
      </c>
      <c r="BM12" s="19">
        <v>28.0</v>
      </c>
      <c r="BN12" s="20" t="b">
        <v>0</v>
      </c>
      <c r="BO12" s="17"/>
      <c r="BP12" s="17"/>
      <c r="BQ12" s="17"/>
    </row>
    <row r="13">
      <c r="A13" s="16" t="s">
        <v>217</v>
      </c>
      <c r="B13" s="17" t="s">
        <v>220</v>
      </c>
      <c r="C13" s="18"/>
      <c r="D13" s="11" t="str">
        <f>IFERROR(__xludf.DUMMYFUNCTION("""COMPUTED_VALUE"""),"")</f>
        <v/>
      </c>
      <c r="E13" s="19"/>
      <c r="F13" s="20"/>
      <c r="G13" s="19" t="s">
        <v>23</v>
      </c>
      <c r="H13" s="11" t="str">
        <f t="shared" si="1"/>
        <v/>
      </c>
      <c r="I13" s="19">
        <v>28.0</v>
      </c>
      <c r="J13" s="19">
        <v>21.0</v>
      </c>
      <c r="K13" s="20" t="b">
        <v>0</v>
      </c>
      <c r="L13" s="19" t="s">
        <v>79</v>
      </c>
      <c r="M13" s="11" t="str">
        <f t="shared" si="2"/>
        <v/>
      </c>
      <c r="N13" s="19">
        <v>24.0</v>
      </c>
      <c r="O13" s="19">
        <v>27.0</v>
      </c>
      <c r="P13" s="19" t="b">
        <v>0</v>
      </c>
      <c r="Q13" s="27" t="s">
        <v>79</v>
      </c>
      <c r="R13" s="11" t="str">
        <f t="shared" si="3"/>
        <v/>
      </c>
      <c r="S13" s="19">
        <v>24.0</v>
      </c>
      <c r="T13" s="19">
        <v>27.0</v>
      </c>
      <c r="U13" s="20" t="b">
        <v>0</v>
      </c>
      <c r="V13" s="19" t="s">
        <v>23</v>
      </c>
      <c r="W13" s="11" t="str">
        <f t="shared" si="4"/>
        <v/>
      </c>
      <c r="X13" s="19">
        <v>27.0</v>
      </c>
      <c r="Y13" s="19">
        <v>20.0</v>
      </c>
      <c r="Z13" s="20" t="b">
        <v>0</v>
      </c>
      <c r="AA13" s="27" t="s">
        <v>23</v>
      </c>
      <c r="AB13" s="11" t="str">
        <f t="shared" si="5"/>
        <v/>
      </c>
      <c r="AC13" s="19">
        <v>24.0</v>
      </c>
      <c r="AD13" s="19">
        <v>17.0</v>
      </c>
      <c r="AE13" s="19" t="b">
        <v>0</v>
      </c>
      <c r="AF13" s="27" t="s">
        <v>79</v>
      </c>
      <c r="AG13" s="11" t="str">
        <f t="shared" si="6"/>
        <v/>
      </c>
      <c r="AH13" s="19">
        <v>21.0</v>
      </c>
      <c r="AI13" s="19">
        <v>24.0</v>
      </c>
      <c r="AJ13" s="20" t="b">
        <v>0</v>
      </c>
      <c r="AK13" s="19" t="s">
        <v>23</v>
      </c>
      <c r="AL13" s="11" t="str">
        <f t="shared" si="7"/>
        <v/>
      </c>
      <c r="AM13" s="19">
        <v>24.0</v>
      </c>
      <c r="AN13" s="19">
        <v>21.0</v>
      </c>
      <c r="AO13" s="20" t="b">
        <v>0</v>
      </c>
      <c r="AP13" s="27" t="s">
        <v>23</v>
      </c>
      <c r="AQ13" s="11" t="str">
        <f t="shared" si="8"/>
        <v/>
      </c>
      <c r="AR13" s="19">
        <v>30.0</v>
      </c>
      <c r="AS13" s="19">
        <v>20.0</v>
      </c>
      <c r="AT13" s="20" t="b">
        <v>0</v>
      </c>
      <c r="AU13" s="27" t="s">
        <v>23</v>
      </c>
      <c r="AV13" s="11" t="str">
        <f t="shared" si="9"/>
        <v/>
      </c>
      <c r="AW13" s="19">
        <v>28.0</v>
      </c>
      <c r="AX13" s="19">
        <v>7.0</v>
      </c>
      <c r="AY13" s="20" t="b">
        <v>0</v>
      </c>
      <c r="AZ13" s="27" t="s">
        <v>23</v>
      </c>
      <c r="BA13" s="11" t="str">
        <f t="shared" si="10"/>
        <v/>
      </c>
      <c r="BB13" s="19">
        <v>23.0</v>
      </c>
      <c r="BC13" s="19">
        <v>20.0</v>
      </c>
      <c r="BD13" s="20" t="b">
        <v>0</v>
      </c>
      <c r="BE13" s="27" t="s">
        <v>23</v>
      </c>
      <c r="BF13" s="11" t="str">
        <f t="shared" si="11"/>
        <v/>
      </c>
      <c r="BG13" s="19">
        <v>21.0</v>
      </c>
      <c r="BH13" s="19">
        <v>17.0</v>
      </c>
      <c r="BI13" s="20" t="b">
        <v>1</v>
      </c>
      <c r="BJ13" s="27" t="s">
        <v>23</v>
      </c>
      <c r="BK13" s="11" t="str">
        <f t="shared" si="12"/>
        <v/>
      </c>
      <c r="BL13" s="19">
        <v>14.0</v>
      </c>
      <c r="BM13" s="19">
        <v>10.0</v>
      </c>
      <c r="BN13" s="20" t="b">
        <v>1</v>
      </c>
      <c r="BO13" s="17"/>
      <c r="BP13" s="17"/>
      <c r="BQ13" s="17"/>
    </row>
    <row r="14">
      <c r="A14" s="16" t="s">
        <v>223</v>
      </c>
      <c r="B14" s="17" t="s">
        <v>224</v>
      </c>
      <c r="C14" s="18"/>
      <c r="D14" s="11" t="str">
        <f>IFERROR(__xludf.DUMMYFUNCTION("""COMPUTED_VALUE"""),"")</f>
        <v/>
      </c>
      <c r="E14" s="19"/>
      <c r="F14" s="20"/>
      <c r="G14" s="19" t="s">
        <v>84</v>
      </c>
      <c r="H14" s="11" t="str">
        <f t="shared" si="1"/>
        <v/>
      </c>
      <c r="I14" s="19">
        <v>28.0</v>
      </c>
      <c r="J14" s="19">
        <v>21.0</v>
      </c>
      <c r="K14" s="20" t="b">
        <v>0</v>
      </c>
      <c r="L14" s="19" t="s">
        <v>84</v>
      </c>
      <c r="M14" s="11" t="str">
        <f t="shared" si="2"/>
        <v/>
      </c>
      <c r="N14" s="19">
        <v>17.0</v>
      </c>
      <c r="O14" s="19">
        <v>14.0</v>
      </c>
      <c r="P14" s="19" t="b">
        <v>0</v>
      </c>
      <c r="Q14" s="27" t="s">
        <v>84</v>
      </c>
      <c r="R14" s="11" t="str">
        <f t="shared" si="3"/>
        <v/>
      </c>
      <c r="S14" s="19">
        <v>28.0</v>
      </c>
      <c r="T14" s="19">
        <v>21.0</v>
      </c>
      <c r="U14" s="20" t="b">
        <v>0</v>
      </c>
      <c r="V14" s="19" t="s">
        <v>26</v>
      </c>
      <c r="W14" s="11" t="str">
        <f t="shared" si="4"/>
        <v/>
      </c>
      <c r="X14" s="19">
        <v>14.0</v>
      </c>
      <c r="Y14" s="19">
        <v>21.0</v>
      </c>
      <c r="Z14" s="20" t="b">
        <v>0</v>
      </c>
      <c r="AA14" s="27" t="s">
        <v>84</v>
      </c>
      <c r="AB14" s="11" t="str">
        <f t="shared" si="5"/>
        <v/>
      </c>
      <c r="AC14" s="19">
        <v>24.0</v>
      </c>
      <c r="AD14" s="19">
        <v>17.0</v>
      </c>
      <c r="AE14" s="19" t="b">
        <v>0</v>
      </c>
      <c r="AF14" s="27" t="s">
        <v>26</v>
      </c>
      <c r="AG14" s="11" t="str">
        <f t="shared" si="6"/>
        <v/>
      </c>
      <c r="AH14" s="19">
        <v>24.0</v>
      </c>
      <c r="AI14" s="19">
        <v>31.0</v>
      </c>
      <c r="AJ14" s="20" t="b">
        <v>0</v>
      </c>
      <c r="AK14" s="19" t="s">
        <v>26</v>
      </c>
      <c r="AL14" s="11" t="str">
        <f t="shared" si="7"/>
        <v/>
      </c>
      <c r="AM14" s="19">
        <v>24.0</v>
      </c>
      <c r="AN14" s="19">
        <v>31.0</v>
      </c>
      <c r="AO14" s="20" t="b">
        <v>0</v>
      </c>
      <c r="AP14" s="27" t="s">
        <v>26</v>
      </c>
      <c r="AQ14" s="11" t="str">
        <f t="shared" si="8"/>
        <v/>
      </c>
      <c r="AR14" s="19">
        <v>20.0</v>
      </c>
      <c r="AS14" s="19">
        <v>24.0</v>
      </c>
      <c r="AT14" s="20" t="b">
        <v>0</v>
      </c>
      <c r="AU14" s="27" t="s">
        <v>26</v>
      </c>
      <c r="AV14" s="11" t="str">
        <f t="shared" si="9"/>
        <v/>
      </c>
      <c r="AW14" s="19">
        <v>21.0</v>
      </c>
      <c r="AX14" s="19">
        <v>28.0</v>
      </c>
      <c r="AY14" s="20" t="b">
        <v>0</v>
      </c>
      <c r="AZ14" s="27" t="s">
        <v>26</v>
      </c>
      <c r="BA14" s="11" t="str">
        <f t="shared" si="10"/>
        <v/>
      </c>
      <c r="BB14" s="19">
        <v>20.0</v>
      </c>
      <c r="BC14" s="19">
        <v>23.0</v>
      </c>
      <c r="BD14" s="20" t="b">
        <v>0</v>
      </c>
      <c r="BE14" s="27" t="s">
        <v>84</v>
      </c>
      <c r="BF14" s="11" t="str">
        <f t="shared" si="11"/>
        <v/>
      </c>
      <c r="BG14" s="19">
        <v>17.0</v>
      </c>
      <c r="BH14" s="19">
        <v>14.0</v>
      </c>
      <c r="BI14" s="20" t="b">
        <v>0</v>
      </c>
      <c r="BJ14" s="27" t="s">
        <v>84</v>
      </c>
      <c r="BK14" s="11" t="str">
        <f t="shared" si="12"/>
        <v/>
      </c>
      <c r="BL14" s="19">
        <v>27.0</v>
      </c>
      <c r="BM14" s="19">
        <v>24.0</v>
      </c>
      <c r="BN14" s="20" t="b">
        <v>0</v>
      </c>
      <c r="BO14" s="17"/>
      <c r="BP14" s="17"/>
      <c r="BQ14" s="17"/>
    </row>
    <row r="15">
      <c r="A15" s="32" t="s">
        <v>227</v>
      </c>
      <c r="B15" s="33" t="s">
        <v>228</v>
      </c>
      <c r="C15" s="34"/>
      <c r="D15" s="35" t="str">
        <f>IFERROR(__xludf.DUMMYFUNCTION("""COMPUTED_VALUE"""),"")</f>
        <v/>
      </c>
      <c r="E15" s="36"/>
      <c r="F15" s="37"/>
      <c r="G15" s="36" t="s">
        <v>85</v>
      </c>
      <c r="H15" s="35" t="str">
        <f t="shared" si="1"/>
        <v/>
      </c>
      <c r="I15" s="36">
        <v>23.0</v>
      </c>
      <c r="J15" s="36">
        <v>20.0</v>
      </c>
      <c r="K15" s="37" t="b">
        <v>0</v>
      </c>
      <c r="L15" s="36" t="s">
        <v>40</v>
      </c>
      <c r="M15" s="35" t="str">
        <f t="shared" si="2"/>
        <v/>
      </c>
      <c r="N15" s="36">
        <v>24.0</v>
      </c>
      <c r="O15" s="36">
        <v>27.0</v>
      </c>
      <c r="P15" s="36" t="b">
        <v>0</v>
      </c>
      <c r="Q15" s="38" t="s">
        <v>85</v>
      </c>
      <c r="R15" s="35" t="str">
        <f t="shared" si="3"/>
        <v/>
      </c>
      <c r="S15" s="36">
        <v>27.0</v>
      </c>
      <c r="T15" s="36">
        <v>24.0</v>
      </c>
      <c r="U15" s="37" t="b">
        <v>0</v>
      </c>
      <c r="V15" s="36" t="s">
        <v>40</v>
      </c>
      <c r="W15" s="35" t="str">
        <f t="shared" si="4"/>
        <v/>
      </c>
      <c r="X15" s="36">
        <v>20.0</v>
      </c>
      <c r="Y15" s="36">
        <v>27.0</v>
      </c>
      <c r="Z15" s="37" t="b">
        <v>0</v>
      </c>
      <c r="AA15" s="38" t="s">
        <v>40</v>
      </c>
      <c r="AB15" s="35" t="str">
        <f t="shared" si="5"/>
        <v/>
      </c>
      <c r="AC15" s="36">
        <v>17.0</v>
      </c>
      <c r="AD15" s="36">
        <v>24.0</v>
      </c>
      <c r="AE15" s="36" t="b">
        <v>0</v>
      </c>
      <c r="AF15" s="38" t="s">
        <v>85</v>
      </c>
      <c r="AG15" s="35" t="str">
        <f t="shared" si="6"/>
        <v/>
      </c>
      <c r="AH15" s="36">
        <v>14.0</v>
      </c>
      <c r="AI15" s="36">
        <v>10.0</v>
      </c>
      <c r="AJ15" s="37" t="b">
        <v>0</v>
      </c>
      <c r="AK15" s="36" t="s">
        <v>40</v>
      </c>
      <c r="AL15" s="35" t="str">
        <f t="shared" si="7"/>
        <v/>
      </c>
      <c r="AM15" s="36">
        <v>21.0</v>
      </c>
      <c r="AN15" s="36">
        <v>24.0</v>
      </c>
      <c r="AO15" s="37" t="b">
        <v>0</v>
      </c>
      <c r="AP15" s="38" t="s">
        <v>40</v>
      </c>
      <c r="AQ15" s="35" t="str">
        <f t="shared" si="8"/>
        <v/>
      </c>
      <c r="AR15" s="36">
        <v>17.0</v>
      </c>
      <c r="AS15" s="36">
        <v>26.0</v>
      </c>
      <c r="AT15" s="37" t="b">
        <v>0</v>
      </c>
      <c r="AU15" s="38" t="s">
        <v>40</v>
      </c>
      <c r="AV15" s="35" t="str">
        <f t="shared" si="9"/>
        <v/>
      </c>
      <c r="AW15" s="36">
        <v>20.0</v>
      </c>
      <c r="AX15" s="36">
        <v>23.0</v>
      </c>
      <c r="AY15" s="37" t="b">
        <v>0</v>
      </c>
      <c r="AZ15" s="38" t="s">
        <v>40</v>
      </c>
      <c r="BA15" s="35" t="str">
        <f t="shared" si="10"/>
        <v/>
      </c>
      <c r="BB15" s="36">
        <v>20.0</v>
      </c>
      <c r="BC15" s="36">
        <v>23.0</v>
      </c>
      <c r="BD15" s="37" t="b">
        <v>0</v>
      </c>
      <c r="BE15" s="38" t="s">
        <v>40</v>
      </c>
      <c r="BF15" s="35" t="str">
        <f t="shared" si="11"/>
        <v/>
      </c>
      <c r="BG15" s="36">
        <v>24.0</v>
      </c>
      <c r="BH15" s="36">
        <v>27.0</v>
      </c>
      <c r="BI15" s="37" t="b">
        <v>0</v>
      </c>
      <c r="BJ15" s="38" t="s">
        <v>85</v>
      </c>
      <c r="BK15" s="35" t="str">
        <f t="shared" si="12"/>
        <v/>
      </c>
      <c r="BL15" s="36">
        <v>17.0</v>
      </c>
      <c r="BM15" s="36">
        <v>14.0</v>
      </c>
      <c r="BN15" s="37" t="b">
        <v>0</v>
      </c>
      <c r="BO15" s="17"/>
      <c r="BP15" s="17"/>
      <c r="BQ15" s="17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</row>
    <row r="17" hidden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</row>
    <row r="18" hidden="1">
      <c r="A18" s="41"/>
      <c r="B18" s="41"/>
      <c r="C18" s="42">
        <f t="shared" ref="C18:C31" si="13">MIN(I18,N18,S18,X18,AC18,AH18,AM18,AR18,AW18,BB18,BG18,BL18)</f>
        <v>0</v>
      </c>
      <c r="D18" s="41"/>
      <c r="E18" s="41"/>
      <c r="F18" s="41"/>
      <c r="G18" s="43" t="str">
        <f t="shared" ref="G18:G31" si="14">IF(G2=C2,ABS(I2-E2),"")</f>
        <v/>
      </c>
      <c r="H18" s="43" t="str">
        <f t="shared" ref="H18:H31" si="15">IF(G2=C2,ABS(J2-F2),"")</f>
        <v/>
      </c>
      <c r="I18" s="44" t="str">
        <f t="shared" ref="I18:I31" si="16">IF(G2=C2,SUM(G18,H18),"")</f>
        <v/>
      </c>
      <c r="J18" s="45">
        <f t="shared" ref="J18:J31" si="17">SUM(IF(AND(G2=$C2,I18=$C18,$C18=0,K2=TRUE,I18&lt;$N18,I18&lt;$S18,I18&lt;$X18,I18&lt;$AC18,I18&lt;$AH18,I18&lt;$AM18,I18&lt;$AR18,I18&lt;$AW18,I18&lt;$BB18,I18&lt;$BG18,I18&lt;$BL18),15,
IF(AND(G2=$C2,I18=$C18,$C18=0,K2=TRUE,OR(I18=$N18,I18=$S18,I18=$X18,I18=$AC18,I18=$AH18,I18=$AM18,I18=$AR18,I18=$AW18,I18=$BB18,I18=$BG18,I18=$BL18)),7.5,
IF(AND(G2=$C2,I18=$C18,$C18=0,I18&lt;$N18,I18&lt;$S18,I18&lt;$X18,I18&lt;$AC18,I18&lt;$AH18,I18&lt;$AM18,I18&lt;$AR18,I18&lt;$AW18,I18&lt;$BB18,I18&lt;$BG18,I18&lt;$BL18),5,
IF(AND(G2=$C2,I18=$C18,K2=TRUE,I18&lt;$N18,I18&lt;$S18,I18&lt;$X18,I18&lt;$AC18,I18&lt;$AH18,I18&lt;$AM18,I18&lt;$AR18,I18&lt;$AW18,I18&lt;$BB18,I18&lt;$BG18,I18&lt;$BL18),3,
IF(AND(G2=$C2,I18=$C18,$C18=0,OR(I18=$N18,I18=$S18,I18=$X18,I18=$AC18,I18=$AH18,I18=$AM18,I18=$AR18,I18=$AW18,I18=$BB18,I18=$BG18,I18=$BL18)),2.5,
IF(AND(G2=$C2,I18=$C18,K2=TRUE,OR(I18=$N18,I18=$S18,I18=$X18,I18=$AC18,I18=$AH18,I18=$AM18,I18=$AR18,I18=$AW18,I18=$BB18,I18=$BG18,I18=$BL18)),1.5,
IF(AND(G2=$C2,I18=$C18,I18&lt;$N18,I18&lt;$S18,I18&lt;$X18,I18&lt;$AC18,I18&lt;$AH18,I18&lt;$AM18,I18&lt;$AR18,I18&lt;$AW18,I18&lt;$BB18,I18&lt;$BG18,I18&lt;$BL18),1,
IF(AND(G2=$C2,I18=$C18,OR(I18=$N18,I18=$S18,I18=$X18,I18=$AC18,I18=$AH18,I18=$AM18,I18=$AR18,I18=$AW18,I18=$BB18,I18=$BG18,I18=$BL18)),0.5,
0)))))))),
IF(AND(K18=TRUE,K2=TRUE),3,
IF(AND(K18=TRUE,K2=FALSE),1,
IF(K18="",0)))
)</f>
        <v>0</v>
      </c>
      <c r="K18" s="41" t="str">
        <f t="shared" ref="K18:K31" si="18">IF($C2="","",
IF(G2=$C2,TRUE,FALSE))</f>
        <v/>
      </c>
      <c r="L18" s="43" t="str">
        <f t="shared" ref="L18:L31" si="19">IF(L2=C2,ABS(N2-E2),"")</f>
        <v/>
      </c>
      <c r="M18" s="43" t="str">
        <f t="shared" ref="M18:M31" si="20">IF(L2=C2,ABS(O2-F2),"")</f>
        <v/>
      </c>
      <c r="N18" s="44" t="str">
        <f t="shared" ref="N18:N31" si="21">IF(L2=C2,SUM(L18,M18),"")</f>
        <v/>
      </c>
      <c r="O18" s="45">
        <f t="shared" ref="O18:O31" si="22">SUM(IF(AND(L2=$C2,N18=$C18,$C18=0,P2=TRUE,N18&lt;$I18,N18&lt;$S18,N18&lt;$X18,N18&lt;$AC18,N18&lt;$AH18,N18&lt;$AM18,N18&lt;$AR18,N18&lt;$AW18,N18&lt;$BB18,N18&lt;$BG18,N18&lt;$BL18),15,
IF(AND(L2=$C2,N18=$C18,$C18=0,P2=TRUE,OR(N18=$I18,N18=$S18,N18=$X18,N18=$AC18,N18=$AH18,N18=$AM18,N18=$AR18,N18=$AW18,N18=$BB18,N18=$BG18,N18=$BL18)),7.5,
IF(AND(L2=$C2,N18=$C18,$C18=0,N18&lt;$I18,N18&lt;$S18,N18&lt;$X18,N18&lt;$AC18,N18&lt;$AH18,N18&lt;$AM18,N18&lt;$AR18,N18&lt;$AW18,N18&lt;$BB18,N18&lt;$BG18,N18&lt;$BL18),5,
IF(AND(L2=$C2,N18=$C18,P2=TRUE,N18&lt;$I18,N18&lt;$S18,N18&lt;$X18,N18&lt;$AC18,N18&lt;$AH18,N18&lt;$AM18,N18&lt;$AR18,N18&lt;$AW18,N18&lt;$BB18,N18&lt;$BG18,N18&lt;$BL18),3,
IF(AND(L2=$C2,N18=$C18,$C18=0,OR(N18=$I18,N18=$S18,N18=$X18,N18=$AC18,N18=$AH18,N18=$AM18,N18=$AR18,N18=$AW18,N18=$BB18,N18=$BG18,N18=$BL18)),2.5,
IF(AND(L2=$C2,N18=$C18,P2=TRUE,OR(N18=$I18,N18=$S18,N18=$X18,N18=$AC18,N18=$AH18,N18=$AM18,N18=$AR18,N18=$AW18,N18=$BB18,N18=$BG18,N18=$BL18)),1.5,
IF(AND(L2=$C2,N18=$C18,N18&lt;$I18,N18&lt;$S18,N18&lt;$X18,N18&lt;$AC18,N18&lt;$AH18,N18&lt;$AM18,N18&lt;$AR18,N18&lt;$AW18,N18&lt;$BB18,N18&lt;$BG18,N18&lt;$BL18),1,
IF(AND(L2=$C2,N18=$C18,OR(N18=$I18,N18=$S18,N18=$X18,N18=$AC18,N18=$AH18,N18=$AM18,N18=$AR18,N18=$AW18,N18=$BB18,N18=$BG18,N18=$BL18)),0.5,
0)))))))),
IF(AND(P18=TRUE,P2=TRUE),3,
IF(AND(P18=TRUE,P2=FALSE),1,
IF(P18="",0)))
)</f>
        <v>0</v>
      </c>
      <c r="P18" s="41" t="str">
        <f t="shared" ref="P18:P31" si="23">IF($C2="","",
IF(L2=$C2,TRUE,FALSE))</f>
        <v/>
      </c>
      <c r="Q18" s="43" t="str">
        <f t="shared" ref="Q18:Q31" si="24">IF(Q2=C2,ABS(S2-E2),"")</f>
        <v/>
      </c>
      <c r="R18" s="43" t="str">
        <f t="shared" ref="R18:R31" si="25">IF(Q2=C2,ABS(T2-F2),"")</f>
        <v/>
      </c>
      <c r="S18" s="44" t="str">
        <f t="shared" ref="S18:S31" si="26">IF(Q2=C2,SUM(Q18,R18),"")</f>
        <v/>
      </c>
      <c r="T18" s="45">
        <f t="shared" ref="T18:T31" si="27">SUM(IF(AND(Q2=$C2,S18=$C18,$C18=0,U2=TRUE,S18&lt;$I18,S18&lt;$N18,S18&lt;$X18,S18&lt;$AC18,S18&lt;$AH18,S18&lt;$AM18,S18&lt;$AR18,S18&lt;$AW18,S18&lt;$BB18,S18&lt;$BG18,S18&lt;$BL18),15,
IF(AND(Q2=$C2,S18=$C18,$C18=0,U2=TRUE,OR(S18=$I18,S18=$N18,S18=$X18,S18=$AC18,S18=$AH18,S18=$AM18,S18=$AR18,S18=$AW18,S18=$BB18,S18=$BG18,S18=$BL18)),7.5,
IF(AND(Q2=$C2,S18=$C18,$C18=0,S18&lt;$I18,S18&lt;$N18,S18&lt;$X18,S18&lt;$AC18,S18&lt;$AH18,S18&lt;$AM18,S18&lt;$AR18,S18&lt;$AW18,S18&lt;$BB18,S18&lt;$BG18,S18&lt;$BL18),5,
IF(AND(Q2=$C2,S18=$C18,U2=TRUE,S18&lt;$I18,S18&lt;$N18,S18&lt;$X18,S18&lt;$AC18,S18&lt;$AH18,S18&lt;$AM18,S18&lt;$AR18,S18&lt;$AW18,S18&lt;$BB18,S18&lt;$BG18,S18&lt;$BL18),3,
IF(AND(Q2=$C2,S18=$C18,$C18=0,OR(S18=$I18,S18=$N18,S18=$X18,S18=$AC18,S18=$AH18,S18=$AM18,S18=$AR18,S18=$AW18,S18=$BB18,S18=$BG18,S18=$BL18)),2.5,
IF(AND(Q2=$C2,S18=$C18,U2=TRUE,OR(S18=$I18,S18=$N18,S18=$X18,S18=$AC18,S18=$AH18,S18=$AM18,S18=$AR18,S18=$AW18,S18=$BB18,S18=$BG18,S18=$BL18)),1.5,
IF(AND(Q2=$C2,S18=$C18,S18&lt;$I18,S18&lt;$N18,S18&lt;$X18,S18&lt;$AC18,S18&lt;$AH18,S18&lt;$AM18,S18&lt;$AR18,S18&lt;$AW18,S18&lt;$BB18,S18&lt;$BG18,S18&lt;$BL18),1,
IF(AND(Q2=$C2,S18=$C18,OR(S18=$I18,S18=$N18,S18=$X18,S18=$AC18,S18=$AH18,S18=$AM18,S18=$AR18,S18=$AW18,S18=$BB18,S18=$BG18,S18=$BL18)),0.5,
0)))))))),
IF(AND(U18=TRUE,U2=TRUE),3,
IF(AND(U18=TRUE,U2=FALSE),1,
IF(U18="",0)))
)</f>
        <v>0</v>
      </c>
      <c r="U18" s="41" t="str">
        <f t="shared" ref="U18:U31" si="28">IF($C2="","",
IF(Q2=$C2,TRUE,FALSE))</f>
        <v/>
      </c>
      <c r="V18" s="43" t="str">
        <f t="shared" ref="V18:V31" si="29">IF(V2=C2,ABS(X2-E2),"")</f>
        <v/>
      </c>
      <c r="W18" s="43" t="str">
        <f t="shared" ref="W18:W31" si="30">IF(V2=C2,ABS(Y2-F2),"")</f>
        <v/>
      </c>
      <c r="X18" s="44" t="str">
        <f t="shared" ref="X18:X31" si="31">IF(V2=C2,SUM(V18,W18),"")</f>
        <v/>
      </c>
      <c r="Y18" s="45">
        <f t="shared" ref="Y18:Y31" si="32">SUM(IF(AND(V2=$C2,X18=$C18,$C18=0,Z2=TRUE,X18&lt;$I18,X18&lt;$N18,X18&lt;$S18,X18&lt;$AC18,X18&lt;$AH18,X18&lt;$AM18,X18&lt;$AR18,X18&lt;$AW18,X18&lt;$BB18,X18&lt;$BG18,X18&lt;$BL18),15,
IF(AND(V2=$C2,X18=$C18,$C18=0,Z2=TRUE,OR(X18=$I18,X18=$N18,X18=$S18,X18=$AC18,X18=$AH18,X18=$AM18,X18=$AR18,X18=$AW18,X18=$BB18,X18=$BG18,X18=$BL18)),7.5,
IF(AND(V2=$C2,X18=$C18,$C18=0,X18&lt;$I18,X18&lt;$N18,X18&lt;$S18,X18&lt;$AC18,X18&lt;$AH18,X18&lt;$AM18,X18&lt;$AR18,X18&lt;$AW18,X18&lt;$BB18,X18&lt;$BG18,X18&lt;$BL18),5,
IF(AND(V2=$C2,X18=$C18,Z2=TRUE,X18&lt;$I18,X18&lt;$N18,X18&lt;$S18,X18&lt;$AC18,X18&lt;$AH18,X18&lt;$AM18,X18&lt;$AR18,X18&lt;$AW18,X18&lt;$BB18,X18&lt;$BG18,X18&lt;$BL18),3,
IF(AND(V2=$C2,X18=$C18,$C18=0,OR(X18=$I18,X18=$N18,X18=$S18,X18=$AC18,X18=$AH18,X18=$AM18,X18=$AR18,X18=$AW18,X18=$BB18,X18=$BG18,X18=$BL18)),2.5,
IF(AND(V2=$C2,X18=$C18,Z2=TRUE,OR(X18=$I18,X18=$N18,X18=$S18,X18=$AC18,X18=$AH18,X18=$AM18,X18=$AR18,X18=$AW18,X18=$BB18,X18=$BG18,X18=$BL18)),1.5,
IF(AND(V2=$C2,X18=$C18,X18&lt;$I18,X18&lt;$N18,X18&lt;$S18,X18&lt;$AC18,X18&lt;$AH18,X18&lt;$AM18,X18&lt;$AR18,X18&lt;$AW18,X18&lt;$BB18,X18&lt;$BG18,X18&lt;$BL18),1,
IF(AND(V2=$C2,X18=$C18,OR(X18=$I18,X18=$N18,X18=$S18,X18=$AC18,X18=$AH18,X18=$AM18,X18=$AR18,X18=$AW18,X18=$BB18,X18=$BG18,X18=$BL18)),0.5,
0)))))))),
IF(AND(Z18=TRUE,Z2=TRUE),3,
IF(AND(Z18=TRUE,Z2=FALSE),1,
IF(Z18="",0)))
)</f>
        <v>0</v>
      </c>
      <c r="Z18" s="41" t="str">
        <f t="shared" ref="Z18:Z31" si="33">IF($C2="","",
IF(V2=$C2,TRUE,FALSE))</f>
        <v/>
      </c>
      <c r="AA18" s="43" t="str">
        <f t="shared" ref="AA18:AA31" si="34">IF(AA2=C2,ABS(AC2-E2),"")</f>
        <v/>
      </c>
      <c r="AB18" s="43" t="str">
        <f t="shared" ref="AB18:AB31" si="35">IF(AA2=C2,ABS(AD2-F2),"")</f>
        <v/>
      </c>
      <c r="AC18" s="44" t="str">
        <f t="shared" ref="AC18:AC31" si="36">IF(AA2=C2,SUM(AA18,AB18),"")</f>
        <v/>
      </c>
      <c r="AD18" s="45">
        <f t="shared" ref="AD18:AD31" si="37">SUM(IF(AND(AA2=$C2,AC18=$C18,$C18=0,AE2=TRUE,AC18&lt;$I18,AC18&lt;$N18,AC18&lt;$S18,AC18&lt;$X18,AC18&lt;$AH18,AC18&lt;$AM18,AC18&lt;$AR18,AC18&lt;$AW18,AC18&lt;$BB18,AC18&lt;$BG18,AC18&lt;$BL18),15,
IF(AND(AA2=$C2,AC18=$C18,$C18=0,AE2=TRUE,OR(AC18=$I18,AC18=$N18,AC18=$S18,AC18=$X18,AC18=$AH18,AC18=$AM18,AC18=$AR18,AC18=$AW18,AC18=$BB18,AC18=$BG18,AC18=$BL18)),7.5,
IF(AND(AA2=$C2,AC18=$C18,$C18=0,AC18&lt;$I18,AC18&lt;$N18,AC18&lt;$S18,AC18&lt;$X18,AC18&lt;$AH18,AC18&lt;$AM18,AC18&lt;$AR18,AC18&lt;$AW18,AC18&lt;$BB18,AC18&lt;$BG18,AC18&lt;$BL18),5,
IF(AND(AA2=$C2,AC18=$C18,AE2=TRUE,AC18&lt;$I18,AC18&lt;$N18,AC18&lt;$S18,AC18&lt;$X18,AC18&lt;$AH18,AC18&lt;$AM18,AC18&lt;$AR18,AC18&lt;$AW18,AC18&lt;$BB18,AC18&lt;$BG18,AC18&lt;$BL18),3,
IF(AND(AA2=$C2,AC18=$C18,$C18=0,OR(AC18=$I18,AC18=$N18,AC18=$S18,AC18=$X18,AC18=$AH18,AC18=$AM18,AC18=$AR18,AC18=$AW18,AC18=$BB18,AC18=$BG18,AC18=$BL18)),2.5,
IF(AND(AA2=$C2,AC18=$C18,AE2=TRUE,OR(AC18=$I18,AC18=$N18,AC18=$S18,AC18=$X18,AC18=$AH18,AC18=$AM18,AC18=$AR18,AC18=$AW18,AC18=$BB18,AC18=$BG18,AC18=$BL18)),1.5,
IF(AND(AA2=$C2,AC18=$C18,AC18&lt;$I18,AC18&lt;$N18,AC18&lt;$S18,AC18&lt;$X18,AC18&lt;$AH18,AC18&lt;$AM18,AC18&lt;$AR18,AC18&lt;$AW18,AC18&lt;$BB18,AC18&lt;$BG18,AC18&lt;$BL18),1,
IF(AND(AA2=$C2,AC18=$C18,OR(AC18=$I18,AC18=$N18,AC18=$S18,AC18=$X18,AC18=$AH18,AC18=$AM18,AC18=$AR18,AC18=$AW18,AC18=$BB18,AC18=$BG18,AC18=$BL18)),0.5,
0)))))))),
IF(AND(AE18=TRUE,AE2=TRUE),3,
IF(AND(AE18=TRUE,AE2=FALSE),1,
IF(AE18="",0)))
)</f>
        <v>0</v>
      </c>
      <c r="AE18" s="41" t="str">
        <f t="shared" ref="AE18:AE31" si="38">IF($C2="","",
IF(AA2=$C2,TRUE,FALSE))</f>
        <v/>
      </c>
      <c r="AF18" s="43" t="str">
        <f t="shared" ref="AF18:AF31" si="39">IF(AF2=C2,ABS(AH2-E2),"")</f>
        <v/>
      </c>
      <c r="AG18" s="43" t="str">
        <f t="shared" ref="AG18:AG31" si="40">IF(AF2=C2,ABS(AI2-F2),"")</f>
        <v/>
      </c>
      <c r="AH18" s="44" t="str">
        <f t="shared" ref="AH18:AH31" si="41">IF(AF2=C2,SUM(AF18,AG18),"")</f>
        <v/>
      </c>
      <c r="AI18" s="45">
        <f t="shared" ref="AI18:AI31" si="42">SUM(IF(AND(AF2=$C2,AH18=$C18,$C18=0,AJ2=TRUE,AH18&lt;$I18,AH18&lt;$N18,AH18&lt;$S18,AH18&lt;$X18,AH18&lt;$AC18,AH18&lt;$AM18,AH18&lt;$AR18,AH18&lt;$AW18,AH18&lt;$BB18,AH18&lt;$BG18,AH18&lt;$BL18),15,
IF(AND(AF2=$C2,AH18=$C18,$C18=0,AJ2=TRUE,OR(AH18=$I18,AH18=$N18,AH18=$S18,AH18=$X18,AH18=$AC18,AH18=$AM18,AH18=$AR18,AH18=$AW18,AH18=$BB18,AH18=$BG18,AH18=$BL18)),7.5,
IF(AND(AF2=$C2,AH18=$C18,$C18=0,AH18&lt;$I18,AH18&lt;$N18,AH18&lt;$S18,AH18&lt;$X18,AH18&lt;$AC18,AH18&lt;$AM18,AH18&lt;$AR18,AH18&lt;$AW18,AH18&lt;$BB18,AH18&lt;$BG18,AH18&lt;$BL18),5,
IF(AND(AF2=$C2,AH18=$C18,AJ2=TRUE,AH18&lt;$I18,AH18&lt;$N18,AH18&lt;$S18,AH18&lt;$X18,AH18&lt;$AC18,AH18&lt;$AM18,AH18&lt;$AR18,AH18&lt;$AW18,AH18&lt;$BB18,AH18&lt;$BG18,AH18&lt;$BL18),3,
IF(AND(AF2=$C2,AH18=$C18,$C18=0,OR(AH18=$I18,AH18=$N18,AH18=$S18,AH18=$X18,AH18=$AC18,AH18=$AM18,AH18=$AR18,AH18=$AW18,AH18=$BB18,AH18=$BG18,AH18=$BL18)),2.5,
IF(AND(AF2=$C2,AH18=$C18,AJ2=TRUE,OR(AH18=$I18,AH18=$N18,AH18=$S18,AH18=$X18,AH18=$AC18,AH18=$AM18,AH18=$AR18,AH18=$AW18,AH18=$BB18,AH18=$BG18,AH18=$BL18)),1.5,
IF(AND(AF2=$C2,AH18=$C18,AH18&lt;$I18,AH18&lt;$N18,AH18&lt;$S18,AH18&lt;$X18,AH18&lt;$AC18,AH18&lt;$AM18,AH18&lt;$AR18,AH18&lt;$AW18,AH18&lt;$BB18,AH18&lt;$BG18,AH18&lt;$BL18),1,
IF(AND(AF2=$C2,AH18=$C18,OR(AH18=$I18,AH18=$N18,AH18=$S18,AH18=$X18,AH18=$AC18,AH18=$AM18,AH18=$AR18,AH18=$AW18,AH18=$BB18,AH18=$BG18,AH18=$BL18)),0.5,
0)))))))),
IF(AND(AJ18=TRUE,AJ2=TRUE),3,
IF(AND(AJ18=TRUE,AJ2=FALSE),1,
IF(AJ18="",0)))
)</f>
        <v>0</v>
      </c>
      <c r="AJ18" s="41" t="str">
        <f t="shared" ref="AJ18:AJ31" si="43">IF($C2="","",
IF(AF2=$C2,TRUE,FALSE))</f>
        <v/>
      </c>
      <c r="AK18" s="43" t="str">
        <f t="shared" ref="AK18:AK31" si="44">IF(AK2=C2,ABS(AM2-E2),"")</f>
        <v/>
      </c>
      <c r="AL18" s="43" t="str">
        <f t="shared" ref="AL18:AL31" si="45">IF(AK2=C2,ABS(AN2-F2),"")</f>
        <v/>
      </c>
      <c r="AM18" s="44" t="str">
        <f t="shared" ref="AM18:AM31" si="46">IF(AK2=C2,SUM(AK18,AL18),"")</f>
        <v/>
      </c>
      <c r="AN18" s="45">
        <f t="shared" ref="AN18:AN31" si="47">SUM(IF(AND(AK2=$C2,AM18=$C18,$C18=0,AO2=TRUE,AM18&lt;$I18,AM18&lt;$N18,AM18&lt;$S18,AM18&lt;$X18,AM18&lt;$AC18,AM18&lt;$AH18,AM18&lt;$AR18,AM18&lt;$AW18,AM18&lt;$BB18,AM18&lt;$BG18,AM18&lt;$BL18),15,
IF(AND(AK2=$C2,AM18=$C18,$C18=0,AO2=TRUE,OR(AM18=$I18,AM18=$N18,AM18=$S18,AM18=$X18,AM18=$AC18,AM18=$AH18,AM18=$AR18,AM18=$AW18,AM18=$BB18,AM18=$BG18,AM18=$BL18)),7.5,
IF(AND(AK2=$C2,AM18=$C18,$C18=0,AM18&lt;$I18,AM18&lt;$N18,AM18&lt;$S18,AM18&lt;$X18,AM18&lt;$AC18,AM18&lt;$AH18,AM18&lt;$AR18,AM18&lt;$AW18,AM18&lt;$BB18,AM18&lt;$BG18,AM18&lt;$BL18),5,
IF(AND(AK2=$C2,AM18=$C18,AO2=TRUE,AM18&lt;$I18,AM18&lt;$N18,AM18&lt;$S18,AM18&lt;$X18,AM18&lt;$AC18,AM18&lt;$AH18,AM18&lt;$AR18,AM18&lt;$AW18,AM18&lt;$BB18,AM18&lt;$BG18,AM18&lt;$BL18),3,
IF(AND(AK2=$C2,AM18=$C18,$C18=0,OR(AM18=$I18,AM18=$N18,AM18=$S18,AM18=$X18,AM18=$AC18,AM18=$AH18,AM18=$AR18,AM18=$AW18,AM18=$BB18,AM18=$BG18,AM18=$BL18)),2.5,
IF(AND(AK2=$C2,AM18=$C18,AO2=TRUE,OR(AM18=$I18,AM18=$N18,AM18=$S18,AM18=$X18,AM18=$AC18,AM18=$AH18,AM18=$AR18,AM18=$AW18,AM18=$BB18,AM18=$BG18,AM18=$BL18)),1.5,
IF(AND(AK2=$C2,AM18=$C18,AM18&lt;$I18,AM18&lt;$N18,AM18&lt;$S18,AM18&lt;$X18,AM18&lt;$AC18,AM18&lt;$AH18,AM18&lt;$AR18,AM18&lt;$AW18,AM18&lt;$BB18,AM18&lt;$BG18,AM18&lt;$BL18),1,
IF(AND(AK2=$C2,AM18=$C18,OR(AM18=$I18,AM18=$N18,AM18=$S18,AM18=$X18,AM18=$AC18,AM18=$AH18,AM18=$AR18,AM18=$AW18,AM18=$BB18,AM18=$BG18,AM18=$BL18)),0.5,
0)))))))),
IF(AND(AO18=TRUE,AO2=TRUE),3,
IF(AND(AO18=TRUE,AO2=FALSE),1,
IF(AO18="",0)))
)</f>
        <v>0</v>
      </c>
      <c r="AO18" s="41" t="str">
        <f t="shared" ref="AO18:AO31" si="48">IF($C2="","",
IF(AK2=$C2,TRUE,FALSE))</f>
        <v/>
      </c>
      <c r="AP18" s="43" t="str">
        <f t="shared" ref="AP18:AP31" si="49">IF(AP2=C2,ABS(AR2-E2),"")</f>
        <v/>
      </c>
      <c r="AQ18" s="43" t="str">
        <f t="shared" ref="AQ18:AQ31" si="50">IF(AP2=C2,ABS(AS2-F2),"")</f>
        <v/>
      </c>
      <c r="AR18" s="44" t="str">
        <f t="shared" ref="AR18:AR31" si="51">IF(AP2=C2,SUM(AP18,AQ18),"")</f>
        <v/>
      </c>
      <c r="AS18" s="45">
        <f t="shared" ref="AS18:AS31" si="52">SUM(IF(AND(AP2=$C2,AR18=$C18,$C18=0,AT2=TRUE,AR18&lt;$I18,AR18&lt;$N18,AR18&lt;$S18,AR18&lt;$X18,AR18&lt;$AC18,AR18&lt;$AH18,AR18&lt;$AM18,AR18&lt;$AW18,AR18&lt;$BB18,AR18&lt;$BG18,AR18&lt;$BL18),15,
IF(AND(AP2=$C2,AR18=$C18,$C18=0,AT2=TRUE,OR(AR18=$I18,AR18=$N18,AR18=$S18,AR18=$X18,AR18=$AC18,AR18=$AH18,AR18=$AM18,AR18=$AW18,AR18=$BB18,AR18=$BG18,AR18=$BL18)),7.5,
IF(AND(AP2=$C2,AR18=$C18,$C18=0,AR18&lt;$I18,AR18&lt;$N18,AR18&lt;$S18,AR18&lt;$X18,AR18&lt;$AC18,AR18&lt;$AH18,AR18&lt;$AM18,AR18&lt;$AW18,AR18&lt;$BB18,AR18&lt;$BG18,AR18&lt;$BL18),5,
IF(AND(AP2=$C2,AR18=$C18,AT2=TRUE,AR18&lt;$I18,AR18&lt;$N18,AR18&lt;$S18,AR18&lt;$X18,AR18&lt;$AC18,AR18&lt;$AH18,AR18&lt;$AM18,AR18&lt;$AW18,AR18&lt;$BB18,AR18&lt;$BG18,AR18&lt;$BL18),3,
IF(AND(AP2=$C2,AR18=$C18,$C18=0,OR(AR18=$I18,AR18=$N18,AR18=$S18,AR18=$X18,AR18=$AC18,AR18=$AH18,AR18=$AM18,AR18=$AW18,AR18=$BB18,AR18=$BG18,AR18=$BL18)),2.5,
IF(AND(AP2=$C2,AR18=$C18,AT2=TRUE,OR(AR18=$I18,AR18=$N18,AR18=$S18,AR18=$X18,AR18=$AC18,AR18=$AH18,AR18=$AM18,AR18=$AW18,AR18=$BB18,AR18=$BG18,AR18=$BL18)),1.5,
IF(AND(AP2=$C2,AR18=$C18,AR18&lt;$I18,AR18&lt;$N18,AR18&lt;$S18,AR18&lt;$X18,AR18&lt;$AC18,AR18&lt;$AH18,AR18&lt;$AM18,AR18&lt;$AW18,AR18&lt;$BB18,AR18&lt;$BG18,AR18&lt;$BL18),1,
IF(AND(AP2=$C2,AR18=$C18,OR(AR18=$I18,AR18=$N18,AR18=$S18,AR18=$X18,AR18=$AC18,AR18=$AH18,AR18=$AM18,AR18=$AW18,AR18=$BB18,AR18=$BG18,AR18=$BL18)),0.5,
0)))))))),
IF(AND(AT18=TRUE,AT2=TRUE),3,
IF(AND(AT18=TRUE,AT2=FALSE),1,
IF(AT18="",0)))
)</f>
        <v>0</v>
      </c>
      <c r="AT18" s="41" t="str">
        <f t="shared" ref="AT18:AT31" si="53">IF($C2="","",
IF(AP2=$C2,TRUE,FALSE))</f>
        <v/>
      </c>
      <c r="AU18" s="43" t="str">
        <f t="shared" ref="AU18:AU31" si="54">IF(AU2=C2,ABS(AW2-E2),"")</f>
        <v/>
      </c>
      <c r="AV18" s="43" t="str">
        <f t="shared" ref="AV18:AV31" si="55">IF(AU2=C2,ABS(AX2-F2),"")</f>
        <v/>
      </c>
      <c r="AW18" s="44" t="str">
        <f t="shared" ref="AW18:AW31" si="56">IF(AU2=C2,SUM(AU18,AV18),"")</f>
        <v/>
      </c>
      <c r="AX18" s="45">
        <f t="shared" ref="AX18:AX31" si="57">SUM(IF(AND(AU2=$C2,AW18=$C18,$C18=0,AY2=TRUE,AW18&lt;$I18,AW18&lt;$N18,AW18&lt;$S18,AW18&lt;$X18,AW18&lt;$AC18,AW18&lt;$AH18,AW18&lt;$AM18,AW18&lt;$AR18,AW18&lt;$BB18,AW18&lt;$BG18,AW18&lt;$BL18),15,
IF(AND(AU2=$C2,AW18=$C18,$C18=0,AY2=TRUE,OR(AW18=$I18,AW18=$N18,AW18=$S18,AW18=$X18,AW18=$AC18,AW18=$AH18,AW18=$AM18,AW18=$AR18,AW18=$BB18,AW18=$BG18,AW18=$BL18)),7.5,
IF(AND(AU2=$C2,AW18=$C18,$C18=0,AW18&lt;$I18,AW18&lt;$N18,AW18&lt;$S18,AW18&lt;$X18,AW18&lt;$AC18,AW18&lt;$AH18,AW18&lt;$AM18,AW18&lt;$AR18,AW18&lt;$BB18,AW18&lt;$BG18,AW18&lt;$BL18),5,
IF(AND(AU2=$C2,AW18=$C18,AY2=TRUE,AW18&lt;$I18,AW18&lt;$N18,AW18&lt;$S18,AW18&lt;$X18,AW18&lt;$AC18,AW18&lt;$AH18,AW18&lt;$AM18,AW18&lt;$AR18,AW18&lt;$BB18,AW18&lt;$BG18,AW18&lt;$BL18),3,
IF(AND(AU2=$C2,AW18=$C18,$C18=0,OR(AW18=$I18,AW18=$N18,AW18=$S18,AW18=$X18,AW18=$AC18,AW18=$AH18,AW18=$AM18,AW18=$AR18,AW18=$BB18,AW18=$BG18,AW18=$BL18)),2.5,
IF(AND(AU2=$C2,AW18=$C18,AY2=TRUE,OR(AW18=$I18,AW18=$N18,AW18=$S18,AW18=$X18,AW18=$AC18,AW18=$AH18,AW18=$AM18,AW18=$AR18,AW18=$BB18,AW18=$BG18,AW18=$BL18)),1.5,
IF(AND(AU2=$C2,AW18=$C18,AW18&lt;$I18,AW18&lt;$N18,AW18&lt;$S18,AW18&lt;$X18,AW18&lt;$AC18,AW18&lt;$AH18,AW18&lt;$AM18,AW18&lt;$AR18,AW18&lt;$BB18,AW18&lt;$BG18,AW18&lt;$BL18),1,
IF(AND(AU2=$C2,AW18=$C18,OR(AW18=$I18,AW18=$N18,AW18=$S18,AW18=$X18,AW18=$AC18,AW18=$AH18,AW18=$AM18,AW18=$AR18,AW18=$BB18,AW18=$BG18,AW18=$BL18)),0.5,
0)))))))),
IF(AND(AY18=TRUE,AY2=TRUE),3,
IF(AND(AY18=TRUE,AY2=FALSE),1,
IF(AY18="",0)))
)</f>
        <v>0</v>
      </c>
      <c r="AY18" s="41" t="str">
        <f t="shared" ref="AY18:AY31" si="58">IF($C2="","",
IF(AU2=$C2,TRUE,FALSE))</f>
        <v/>
      </c>
      <c r="AZ18" s="43" t="str">
        <f t="shared" ref="AZ18:AZ31" si="59">IF(AZ2=C2,ABS(BB2-E2),"")</f>
        <v/>
      </c>
      <c r="BA18" s="43" t="str">
        <f t="shared" ref="BA18:BA31" si="60">IF(AZ2=C2,ABS(BC2-F2),"")</f>
        <v/>
      </c>
      <c r="BB18" s="44" t="str">
        <f t="shared" ref="BB18:BB31" si="61">IF(AZ2=C2,SUM(AZ18,BA18),"")</f>
        <v/>
      </c>
      <c r="BC18" s="45">
        <f t="shared" ref="BC18:BC31" si="62">SUM(IF(AND(AZ2=$C2,BB18=$C18,$C18=0,BD2=TRUE,BB18&lt;$I18,BB18&lt;$N18,BB18&lt;$S18,BB18&lt;$X18,BB18&lt;$AC18,BB18&lt;$AH18,BB18&lt;$AM18,BB18&lt;$AR18,BB18&lt;$AW18,BB18&lt;$BG18,BB18&lt;$BL18),15,
IF(AND(AZ2=$C2,BB18=$C18,$C18=0,BD2=TRUE,OR(BB18=$I18,BB18=$N18,BB18=$S18,BB18=$X18,BB18=$AC18,BB18=$AH18,BB18=$AM18,BB18=$AR18,BB18=$AW18,BB18=$BG18,BB18=$BL18)),7.5,
IF(AND(AZ2=$C2,BB18=$C18,$C18=0,BB18&lt;$I18,BB18&lt;$N18,BB18&lt;$S18,BB18&lt;$X18,BB18&lt;$AC18,BB18&lt;$AH18,BB18&lt;$AM18,BB18&lt;$AR18,BB18&lt;$AW18,BB18&lt;$BG18,BB18&lt;$BL18),5,
IF(AND(AZ2=$C2,BB18=$C18,BD2=TRUE,BB18&lt;$I18,BB18&lt;$N18,BB18&lt;$S18,BB18&lt;$X18,BB18&lt;$AC18,BB18&lt;$AH18,BB18&lt;$AM18,BB18&lt;$AR18,BB18&lt;$AW18,BB18&lt;$BG18,BB18&lt;$BL18),3,
IF(AND(AZ2=$C2,BB18=$C18,$C18=0,OR(BB18=$I18,BB18=$N18,BB18=$S18,BB18=$X18,BB18=$AC18,BB18=$AH18,BB18=$AM18,BB18=$AR18,BB18=$AW18,BB18=$BG18,BB18=$BL18)),2.5,
IF(AND(AZ2=$C2,BB18=$C18,BD2=TRUE,OR(BB18=$I18,BB18=$N18,BB18=$S18,BB18=$X18,BB18=$AC18,BB18=$AH18,BB18=$AM18,BB18=$AR18,BB18=$AW18,BB18=$BG18,BB18=$BL18)),1.5,
IF(AND(AZ2=$C2,BB18=$C18,BB18&lt;$I18,BB18&lt;$N18,BB18&lt;$S18,BB18&lt;$X18,BB18&lt;$AC18,BB18&lt;$AH18,BB18&lt;$AM18,BB18&lt;$AR18,BB18&lt;$AW18,BB18&lt;$BG18,BB18&lt;$BL18),1,
IF(AND(AZ2=$C2,BB18=$C18,OR(BB18=$I18,BB18=$N18,BB18=$S18,BB18=$X18,BB18=$AC18,BB18=$AH18,BB18=$AM18,BB18=$AR18,BB18=$AW18,BB18=$BG18,BB18=$BL18)),0.5,
0)))))))),
IF(AND(BD18=TRUE,BD2=TRUE),3,
IF(AND(BD18=TRUE,BD2=FALSE),1,
IF(BD18="",0)))
)</f>
        <v>0</v>
      </c>
      <c r="BD18" s="41" t="str">
        <f t="shared" ref="BD18:BD31" si="63">IF($C2="","",
IF(AZ2=$C2,TRUE,FALSE))</f>
        <v/>
      </c>
      <c r="BE18" s="43" t="str">
        <f t="shared" ref="BE18:BE31" si="64">IF(BE2=C2,ABS(BG2-E2),"")</f>
        <v/>
      </c>
      <c r="BF18" s="43" t="str">
        <f t="shared" ref="BF18:BF31" si="65">IF(BE2=C2,ABS(BH2-F2),"")</f>
        <v/>
      </c>
      <c r="BG18" s="44" t="str">
        <f t="shared" ref="BG18:BG31" si="66">IF(BE2=C2,SUM(BE18,BF18),"")</f>
        <v/>
      </c>
      <c r="BH18" s="45">
        <f t="shared" ref="BH18:BH31" si="67">SUM(IF(AND(BE2=$C2,BG18=$C18,$C18=0,BI2=TRUE,BG18&lt;$I18,BG18&lt;$N18,BG18&lt;$S18,BG18&lt;$X18,BG18&lt;$AC18,BG18&lt;$AH18,BG18&lt;$AM18,BG18&lt;$AR18,BG18&lt;$AW18,BG18&lt;$BB18,BG18&lt;$BL18),15,
IF(AND(BE2=$C2,BG18=$C18,$C18=0,BI2=TRUE,OR(BG18=$I18,BG18=$N18,BG18=$S18,BG18=$X18,BG18=$AC18,BG18=$AH18,BG18=$AM18,BG18=$AR18,BG18=$AW18,BG18=$BB18,BG18=$BL18)),7.5,
IF(AND(BE2=$C2,BG18=$C18,$C18=0,BG18&lt;$I18,BG18&lt;$N18,BG18&lt;$S18,BG18&lt;$X18,BG18&lt;$AC18,BG18&lt;$AH18,BG18&lt;$AM18,BG18&lt;$AR18,BG18&lt;$AW18,BG18&lt;$BB18,BG18&lt;$BL18),5,
IF(AND(BE2=$C2,BG18=$C18,BI2=TRUE,BG18&lt;$I18,BG18&lt;$N18,BG18&lt;$S18,BG18&lt;$X18,BG18&lt;$AC18,BG18&lt;$AH18,BG18&lt;$AM18,BG18&lt;$AR18,BG18&lt;$AW18,BG18&lt;$BB18,BG18&lt;$BL18),3,
IF(AND(BE2=$C2,BG18=$C18,$C18=0,OR(BG18=$I18,BG18=$N18,BG18=$S18,BG18=$X18,BG18=$AC18,BG18=$AH18,BG18=$AM18,BG18=$AR18,BG18=$AW18,BG18=$BB18,BG18=$BL18)),2.5,
IF(AND(BE2=$C2,BG18=$C18,BI2=TRUE,OR(BG18=$I18,BG18=$N18,BG18=$S18,BG18=$X18,BG18=$AC18,BG18=$AH18,BG18=$AM18,BG18=$AR18,BG18=$AW18,BG18=$BB18,BG18=$BL18)),1.5,
IF(AND(BE2=$C2,BG18=$C18,BG18&lt;$I18,BG18&lt;$N18,BG18&lt;$S18,BG18&lt;$X18,BG18&lt;$AC18,BG18&lt;$AH18,BG18&lt;$AM18,BG18&lt;$AR18,BG18&lt;$AW18,BG18&lt;$BB18,BG18&lt;$BL18),1,
IF(AND(BE2=$C2,BG18=$C18,OR(BG18=$I18,BG18=$N18,BG18=$S18,BG18=$X18,BG18=$AC18,BG18=$AH18,BG18=$AM18,BG18=$AR18,BG18=$AW18,BG18=$BB18,BG18=$BL18)),0.5,
0)))))))),
IF(AND(BI18=TRUE,BI2=TRUE),3,
IF(AND(BI18=TRUE,BI2=FALSE),1,
IF(BI18="",0)))
)</f>
        <v>0</v>
      </c>
      <c r="BI18" s="41" t="str">
        <f t="shared" ref="BI18:BI31" si="68">IF($C2="","",
IF(BE2=$C2,TRUE,FALSE))</f>
        <v/>
      </c>
      <c r="BJ18" s="43" t="str">
        <f t="shared" ref="BJ18:BJ31" si="69">IF(BJ2=C2,ABS(BL2-E2),"")</f>
        <v/>
      </c>
      <c r="BK18" s="43" t="str">
        <f t="shared" ref="BK18:BK31" si="70">IF(BJ2=C2,ABS(BM2-F2),"")</f>
        <v/>
      </c>
      <c r="BL18" s="44" t="str">
        <f t="shared" ref="BL18:BL31" si="71">IF(BJ2=C2,SUM(BJ18,BK18),"")</f>
        <v/>
      </c>
      <c r="BM18" s="45">
        <f t="shared" ref="BM18:BM31" si="72">SUM(IF(AND(BJ2=$C2,BL18=$C18,$C18=0,BN2=TRUE,BL18&lt;$I18,BL18&lt;$N18,BL18&lt;$S18,BL18&lt;$X18,BL18&lt;$AC18,BL18&lt;$AH18,BL18&lt;$AM18,BL18&lt;$AR18,BL18&lt;$AW18,BL18&lt;$BB18,BL18&lt;$BG18),15,
IF(AND(BJ2=$C2,BL18=$C18,$C18=0,BN2=TRUE,OR(BL18=$I18,BL18=$N18,BL18=$S18,BL18=$X18,BL18=$AC18,BL18=$AH18,BL18=$AM18,BL18=$AR18,BL18=$AW18,BL18=$BB18,BL18=$BG18)),7.5,
IF(AND(BJ2=$C2,BL18=$C18,$C18=0,BL18&lt;$I18,BL18&lt;$N18,BL18&lt;$S18,BL18&lt;$X18,BL18&lt;$AC18,BL18&lt;$AH18,BL18&lt;$AM18,BL18&lt;$AR18,BL18&lt;$AW18,BL18&lt;$BB18,BL18&lt;$BG18),5,
IF(AND(BJ2=$C2,BL18=$C18,BN2=TRUE,BL18&lt;$I18,BL18&lt;$N18,BL18&lt;$S18,BL18&lt;$X18,BL18&lt;$AC18,BL18&lt;$AH18,BL18&lt;$AM18,BL18&lt;$AR18,BL18&lt;$AW18,BL18&lt;$BB18,BL18&lt;$BG18),3,
IF(AND(BJ2=$C2,BL18=$C18,$C18=0,OR(BL18=$I18,BL18=$N18,BL18=$S18,BL18=$X18,BL18=$AC18,BL18=$AH18,BL18=$AM18,BL18=$AR18,BL18=$AW18,BL18=$BB18,BL18=$BG18)),2.5,
IF(AND(BJ2=$C2,BL18=$C18,BN2=TRUE,OR(BL18=$I18,BL18=$N18,BL18=$S18,BL18=$X18,BL18=$AC18,BL18=$AH18,BL18=$AM18,BL18=$AR18,BL18=$AW18,BL18=$BB18,BL18=$BG18)),1.5,
IF(AND(BJ2=$C2,BL18=$C18,BL18&lt;$I18,BL18&lt;$N18,BL18&lt;$S18,BL18&lt;$X18,BL18&lt;$AC18,BL18&lt;$AH18,BL18&lt;$AM18,BL18&lt;$AR18,BL18&lt;$AW18,BL18&lt;$BB18,BL18&lt;$BG18),1,
IF(AND(BJ2=$C2,BL18=$C18,OR(BL18=$I18,BL18=$N18,BL18=$S18,BL18=$X18,BL18=$AC18,BL18=$AH18,BL18=$AM18,BL18=$AR18,BL18=$AW18,BL18=$BB18,BL18=$BG18)),0.5,
0)))))))),
IF(AND(BN18=TRUE,BN2=TRUE),3,
IF(AND(BN18=TRUE,BN2=FALSE),1,
IF(BN18="",0)))
)</f>
        <v>0</v>
      </c>
      <c r="BN18" s="41" t="str">
        <f t="shared" ref="BN18:BN31" si="73">IF($C2="","",
IF(BJ2=$C2,TRUE,FALSE))</f>
        <v/>
      </c>
      <c r="BO18" s="41"/>
      <c r="BP18" s="41"/>
      <c r="BQ18" s="41"/>
    </row>
    <row r="19" hidden="1">
      <c r="A19" s="40"/>
      <c r="B19" s="40"/>
      <c r="C19" s="42">
        <f t="shared" si="13"/>
        <v>0</v>
      </c>
      <c r="D19" s="40"/>
      <c r="E19" s="40"/>
      <c r="F19" s="40"/>
      <c r="G19" s="43" t="str">
        <f t="shared" si="14"/>
        <v/>
      </c>
      <c r="H19" s="43" t="str">
        <f t="shared" si="15"/>
        <v/>
      </c>
      <c r="I19" s="44" t="str">
        <f t="shared" si="16"/>
        <v/>
      </c>
      <c r="J19" s="45">
        <f t="shared" si="17"/>
        <v>0</v>
      </c>
      <c r="K19" s="41" t="str">
        <f t="shared" si="18"/>
        <v/>
      </c>
      <c r="L19" s="43" t="str">
        <f t="shared" si="19"/>
        <v/>
      </c>
      <c r="M19" s="43" t="str">
        <f t="shared" si="20"/>
        <v/>
      </c>
      <c r="N19" s="44" t="str">
        <f t="shared" si="21"/>
        <v/>
      </c>
      <c r="O19" s="45">
        <f t="shared" si="22"/>
        <v>0</v>
      </c>
      <c r="P19" s="41" t="str">
        <f t="shared" si="23"/>
        <v/>
      </c>
      <c r="Q19" s="43" t="str">
        <f t="shared" si="24"/>
        <v/>
      </c>
      <c r="R19" s="43" t="str">
        <f t="shared" si="25"/>
        <v/>
      </c>
      <c r="S19" s="44" t="str">
        <f t="shared" si="26"/>
        <v/>
      </c>
      <c r="T19" s="45">
        <f t="shared" si="27"/>
        <v>0</v>
      </c>
      <c r="U19" s="41" t="str">
        <f t="shared" si="28"/>
        <v/>
      </c>
      <c r="V19" s="43" t="str">
        <f t="shared" si="29"/>
        <v/>
      </c>
      <c r="W19" s="43" t="str">
        <f t="shared" si="30"/>
        <v/>
      </c>
      <c r="X19" s="44" t="str">
        <f t="shared" si="31"/>
        <v/>
      </c>
      <c r="Y19" s="45">
        <f t="shared" si="32"/>
        <v>0</v>
      </c>
      <c r="Z19" s="41" t="str">
        <f t="shared" si="33"/>
        <v/>
      </c>
      <c r="AA19" s="43" t="str">
        <f t="shared" si="34"/>
        <v/>
      </c>
      <c r="AB19" s="43" t="str">
        <f t="shared" si="35"/>
        <v/>
      </c>
      <c r="AC19" s="44" t="str">
        <f t="shared" si="36"/>
        <v/>
      </c>
      <c r="AD19" s="45">
        <f t="shared" si="37"/>
        <v>0</v>
      </c>
      <c r="AE19" s="41" t="str">
        <f t="shared" si="38"/>
        <v/>
      </c>
      <c r="AF19" s="43" t="str">
        <f t="shared" si="39"/>
        <v/>
      </c>
      <c r="AG19" s="43" t="str">
        <f t="shared" si="40"/>
        <v/>
      </c>
      <c r="AH19" s="44" t="str">
        <f t="shared" si="41"/>
        <v/>
      </c>
      <c r="AI19" s="45">
        <f t="shared" si="42"/>
        <v>0</v>
      </c>
      <c r="AJ19" s="41" t="str">
        <f t="shared" si="43"/>
        <v/>
      </c>
      <c r="AK19" s="43" t="str">
        <f t="shared" si="44"/>
        <v/>
      </c>
      <c r="AL19" s="43" t="str">
        <f t="shared" si="45"/>
        <v/>
      </c>
      <c r="AM19" s="44" t="str">
        <f t="shared" si="46"/>
        <v/>
      </c>
      <c r="AN19" s="45">
        <f t="shared" si="47"/>
        <v>0</v>
      </c>
      <c r="AO19" s="41" t="str">
        <f t="shared" si="48"/>
        <v/>
      </c>
      <c r="AP19" s="43" t="str">
        <f t="shared" si="49"/>
        <v/>
      </c>
      <c r="AQ19" s="43" t="str">
        <f t="shared" si="50"/>
        <v/>
      </c>
      <c r="AR19" s="44" t="str">
        <f t="shared" si="51"/>
        <v/>
      </c>
      <c r="AS19" s="45">
        <f t="shared" si="52"/>
        <v>0</v>
      </c>
      <c r="AT19" s="41" t="str">
        <f t="shared" si="53"/>
        <v/>
      </c>
      <c r="AU19" s="43" t="str">
        <f t="shared" si="54"/>
        <v/>
      </c>
      <c r="AV19" s="43" t="str">
        <f t="shared" si="55"/>
        <v/>
      </c>
      <c r="AW19" s="44" t="str">
        <f t="shared" si="56"/>
        <v/>
      </c>
      <c r="AX19" s="45">
        <f t="shared" si="57"/>
        <v>0</v>
      </c>
      <c r="AY19" s="41" t="str">
        <f t="shared" si="58"/>
        <v/>
      </c>
      <c r="AZ19" s="43" t="str">
        <f t="shared" si="59"/>
        <v/>
      </c>
      <c r="BA19" s="43" t="str">
        <f t="shared" si="60"/>
        <v/>
      </c>
      <c r="BB19" s="44" t="str">
        <f t="shared" si="61"/>
        <v/>
      </c>
      <c r="BC19" s="45">
        <f t="shared" si="62"/>
        <v>0</v>
      </c>
      <c r="BD19" s="41" t="str">
        <f t="shared" si="63"/>
        <v/>
      </c>
      <c r="BE19" s="43" t="str">
        <f t="shared" si="64"/>
        <v/>
      </c>
      <c r="BF19" s="43" t="str">
        <f t="shared" si="65"/>
        <v/>
      </c>
      <c r="BG19" s="44" t="str">
        <f t="shared" si="66"/>
        <v/>
      </c>
      <c r="BH19" s="45">
        <f t="shared" si="67"/>
        <v>0</v>
      </c>
      <c r="BI19" s="41" t="str">
        <f t="shared" si="68"/>
        <v/>
      </c>
      <c r="BJ19" s="43" t="str">
        <f t="shared" si="69"/>
        <v/>
      </c>
      <c r="BK19" s="43" t="str">
        <f t="shared" si="70"/>
        <v/>
      </c>
      <c r="BL19" s="44" t="str">
        <f t="shared" si="71"/>
        <v/>
      </c>
      <c r="BM19" s="45">
        <f t="shared" si="72"/>
        <v>0</v>
      </c>
      <c r="BN19" s="41" t="str">
        <f t="shared" si="73"/>
        <v/>
      </c>
      <c r="BO19" s="40"/>
      <c r="BP19" s="40"/>
      <c r="BQ19" s="40"/>
    </row>
    <row r="20" hidden="1">
      <c r="A20" s="40"/>
      <c r="B20" s="40"/>
      <c r="C20" s="42">
        <f t="shared" si="13"/>
        <v>0</v>
      </c>
      <c r="D20" s="40"/>
      <c r="E20" s="40"/>
      <c r="F20" s="40"/>
      <c r="G20" s="43" t="str">
        <f t="shared" si="14"/>
        <v/>
      </c>
      <c r="H20" s="43" t="str">
        <f t="shared" si="15"/>
        <v/>
      </c>
      <c r="I20" s="44" t="str">
        <f t="shared" si="16"/>
        <v/>
      </c>
      <c r="J20" s="45">
        <f t="shared" si="17"/>
        <v>0</v>
      </c>
      <c r="K20" s="41" t="str">
        <f t="shared" si="18"/>
        <v/>
      </c>
      <c r="L20" s="43" t="str">
        <f t="shared" si="19"/>
        <v/>
      </c>
      <c r="M20" s="43" t="str">
        <f t="shared" si="20"/>
        <v/>
      </c>
      <c r="N20" s="44" t="str">
        <f t="shared" si="21"/>
        <v/>
      </c>
      <c r="O20" s="45">
        <f t="shared" si="22"/>
        <v>0</v>
      </c>
      <c r="P20" s="41" t="str">
        <f t="shared" si="23"/>
        <v/>
      </c>
      <c r="Q20" s="43" t="str">
        <f t="shared" si="24"/>
        <v/>
      </c>
      <c r="R20" s="43" t="str">
        <f t="shared" si="25"/>
        <v/>
      </c>
      <c r="S20" s="44" t="str">
        <f t="shared" si="26"/>
        <v/>
      </c>
      <c r="T20" s="45">
        <f t="shared" si="27"/>
        <v>0</v>
      </c>
      <c r="U20" s="41" t="str">
        <f t="shared" si="28"/>
        <v/>
      </c>
      <c r="V20" s="43" t="str">
        <f t="shared" si="29"/>
        <v/>
      </c>
      <c r="W20" s="43" t="str">
        <f t="shared" si="30"/>
        <v/>
      </c>
      <c r="X20" s="44" t="str">
        <f t="shared" si="31"/>
        <v/>
      </c>
      <c r="Y20" s="45">
        <f t="shared" si="32"/>
        <v>0</v>
      </c>
      <c r="Z20" s="41" t="str">
        <f t="shared" si="33"/>
        <v/>
      </c>
      <c r="AA20" s="43" t="str">
        <f t="shared" si="34"/>
        <v/>
      </c>
      <c r="AB20" s="43" t="str">
        <f t="shared" si="35"/>
        <v/>
      </c>
      <c r="AC20" s="44" t="str">
        <f t="shared" si="36"/>
        <v/>
      </c>
      <c r="AD20" s="45">
        <f t="shared" si="37"/>
        <v>0</v>
      </c>
      <c r="AE20" s="41" t="str">
        <f t="shared" si="38"/>
        <v/>
      </c>
      <c r="AF20" s="43" t="str">
        <f t="shared" si="39"/>
        <v/>
      </c>
      <c r="AG20" s="43" t="str">
        <f t="shared" si="40"/>
        <v/>
      </c>
      <c r="AH20" s="44" t="str">
        <f t="shared" si="41"/>
        <v/>
      </c>
      <c r="AI20" s="45">
        <f t="shared" si="42"/>
        <v>0</v>
      </c>
      <c r="AJ20" s="41" t="str">
        <f t="shared" si="43"/>
        <v/>
      </c>
      <c r="AK20" s="43" t="str">
        <f t="shared" si="44"/>
        <v/>
      </c>
      <c r="AL20" s="43" t="str">
        <f t="shared" si="45"/>
        <v/>
      </c>
      <c r="AM20" s="44" t="str">
        <f t="shared" si="46"/>
        <v/>
      </c>
      <c r="AN20" s="45">
        <f t="shared" si="47"/>
        <v>0</v>
      </c>
      <c r="AO20" s="41" t="str">
        <f t="shared" si="48"/>
        <v/>
      </c>
      <c r="AP20" s="43" t="str">
        <f t="shared" si="49"/>
        <v/>
      </c>
      <c r="AQ20" s="43" t="str">
        <f t="shared" si="50"/>
        <v/>
      </c>
      <c r="AR20" s="44" t="str">
        <f t="shared" si="51"/>
        <v/>
      </c>
      <c r="AS20" s="45">
        <f t="shared" si="52"/>
        <v>0</v>
      </c>
      <c r="AT20" s="41" t="str">
        <f t="shared" si="53"/>
        <v/>
      </c>
      <c r="AU20" s="43" t="str">
        <f t="shared" si="54"/>
        <v/>
      </c>
      <c r="AV20" s="43" t="str">
        <f t="shared" si="55"/>
        <v/>
      </c>
      <c r="AW20" s="44" t="str">
        <f t="shared" si="56"/>
        <v/>
      </c>
      <c r="AX20" s="45">
        <f t="shared" si="57"/>
        <v>0</v>
      </c>
      <c r="AY20" s="41" t="str">
        <f t="shared" si="58"/>
        <v/>
      </c>
      <c r="AZ20" s="43" t="str">
        <f t="shared" si="59"/>
        <v/>
      </c>
      <c r="BA20" s="43" t="str">
        <f t="shared" si="60"/>
        <v/>
      </c>
      <c r="BB20" s="44" t="str">
        <f t="shared" si="61"/>
        <v/>
      </c>
      <c r="BC20" s="45">
        <f t="shared" si="62"/>
        <v>0</v>
      </c>
      <c r="BD20" s="41" t="str">
        <f t="shared" si="63"/>
        <v/>
      </c>
      <c r="BE20" s="43" t="str">
        <f t="shared" si="64"/>
        <v/>
      </c>
      <c r="BF20" s="43" t="str">
        <f t="shared" si="65"/>
        <v/>
      </c>
      <c r="BG20" s="44" t="str">
        <f t="shared" si="66"/>
        <v/>
      </c>
      <c r="BH20" s="45">
        <f t="shared" si="67"/>
        <v>0</v>
      </c>
      <c r="BI20" s="41" t="str">
        <f t="shared" si="68"/>
        <v/>
      </c>
      <c r="BJ20" s="43" t="str">
        <f t="shared" si="69"/>
        <v/>
      </c>
      <c r="BK20" s="43" t="str">
        <f t="shared" si="70"/>
        <v/>
      </c>
      <c r="BL20" s="44" t="str">
        <f t="shared" si="71"/>
        <v/>
      </c>
      <c r="BM20" s="45">
        <f t="shared" si="72"/>
        <v>0</v>
      </c>
      <c r="BN20" s="41" t="str">
        <f t="shared" si="73"/>
        <v/>
      </c>
      <c r="BO20" s="40"/>
      <c r="BP20" s="40"/>
      <c r="BQ20" s="40"/>
    </row>
    <row r="21" hidden="1">
      <c r="A21" s="40"/>
      <c r="B21" s="40"/>
      <c r="C21" s="42">
        <f t="shared" si="13"/>
        <v>0</v>
      </c>
      <c r="D21" s="40"/>
      <c r="E21" s="40"/>
      <c r="F21" s="40"/>
      <c r="G21" s="43" t="str">
        <f t="shared" si="14"/>
        <v/>
      </c>
      <c r="H21" s="43" t="str">
        <f t="shared" si="15"/>
        <v/>
      </c>
      <c r="I21" s="44" t="str">
        <f t="shared" si="16"/>
        <v/>
      </c>
      <c r="J21" s="45">
        <f t="shared" si="17"/>
        <v>0</v>
      </c>
      <c r="K21" s="41" t="str">
        <f t="shared" si="18"/>
        <v/>
      </c>
      <c r="L21" s="43" t="str">
        <f t="shared" si="19"/>
        <v/>
      </c>
      <c r="M21" s="43" t="str">
        <f t="shared" si="20"/>
        <v/>
      </c>
      <c r="N21" s="44" t="str">
        <f t="shared" si="21"/>
        <v/>
      </c>
      <c r="O21" s="45">
        <f t="shared" si="22"/>
        <v>0</v>
      </c>
      <c r="P21" s="41" t="str">
        <f t="shared" si="23"/>
        <v/>
      </c>
      <c r="Q21" s="43" t="str">
        <f t="shared" si="24"/>
        <v/>
      </c>
      <c r="R21" s="43" t="str">
        <f t="shared" si="25"/>
        <v/>
      </c>
      <c r="S21" s="44" t="str">
        <f t="shared" si="26"/>
        <v/>
      </c>
      <c r="T21" s="45">
        <f t="shared" si="27"/>
        <v>0</v>
      </c>
      <c r="U21" s="41" t="str">
        <f t="shared" si="28"/>
        <v/>
      </c>
      <c r="V21" s="43" t="str">
        <f t="shared" si="29"/>
        <v/>
      </c>
      <c r="W21" s="43" t="str">
        <f t="shared" si="30"/>
        <v/>
      </c>
      <c r="X21" s="44" t="str">
        <f t="shared" si="31"/>
        <v/>
      </c>
      <c r="Y21" s="45">
        <f t="shared" si="32"/>
        <v>0</v>
      </c>
      <c r="Z21" s="41" t="str">
        <f t="shared" si="33"/>
        <v/>
      </c>
      <c r="AA21" s="43" t="str">
        <f t="shared" si="34"/>
        <v/>
      </c>
      <c r="AB21" s="43" t="str">
        <f t="shared" si="35"/>
        <v/>
      </c>
      <c r="AC21" s="44" t="str">
        <f t="shared" si="36"/>
        <v/>
      </c>
      <c r="AD21" s="45">
        <f t="shared" si="37"/>
        <v>0</v>
      </c>
      <c r="AE21" s="41" t="str">
        <f t="shared" si="38"/>
        <v/>
      </c>
      <c r="AF21" s="43" t="str">
        <f t="shared" si="39"/>
        <v/>
      </c>
      <c r="AG21" s="43" t="str">
        <f t="shared" si="40"/>
        <v/>
      </c>
      <c r="AH21" s="44" t="str">
        <f t="shared" si="41"/>
        <v/>
      </c>
      <c r="AI21" s="45">
        <f t="shared" si="42"/>
        <v>0</v>
      </c>
      <c r="AJ21" s="41" t="str">
        <f t="shared" si="43"/>
        <v/>
      </c>
      <c r="AK21" s="43" t="str">
        <f t="shared" si="44"/>
        <v/>
      </c>
      <c r="AL21" s="43" t="str">
        <f t="shared" si="45"/>
        <v/>
      </c>
      <c r="AM21" s="44" t="str">
        <f t="shared" si="46"/>
        <v/>
      </c>
      <c r="AN21" s="45">
        <f t="shared" si="47"/>
        <v>0</v>
      </c>
      <c r="AO21" s="41" t="str">
        <f t="shared" si="48"/>
        <v/>
      </c>
      <c r="AP21" s="43" t="str">
        <f t="shared" si="49"/>
        <v/>
      </c>
      <c r="AQ21" s="43" t="str">
        <f t="shared" si="50"/>
        <v/>
      </c>
      <c r="AR21" s="44" t="str">
        <f t="shared" si="51"/>
        <v/>
      </c>
      <c r="AS21" s="45">
        <f t="shared" si="52"/>
        <v>0</v>
      </c>
      <c r="AT21" s="41" t="str">
        <f t="shared" si="53"/>
        <v/>
      </c>
      <c r="AU21" s="43" t="str">
        <f t="shared" si="54"/>
        <v/>
      </c>
      <c r="AV21" s="43" t="str">
        <f t="shared" si="55"/>
        <v/>
      </c>
      <c r="AW21" s="44" t="str">
        <f t="shared" si="56"/>
        <v/>
      </c>
      <c r="AX21" s="45">
        <f t="shared" si="57"/>
        <v>0</v>
      </c>
      <c r="AY21" s="41" t="str">
        <f t="shared" si="58"/>
        <v/>
      </c>
      <c r="AZ21" s="43" t="str">
        <f t="shared" si="59"/>
        <v/>
      </c>
      <c r="BA21" s="43" t="str">
        <f t="shared" si="60"/>
        <v/>
      </c>
      <c r="BB21" s="44" t="str">
        <f t="shared" si="61"/>
        <v/>
      </c>
      <c r="BC21" s="45">
        <f t="shared" si="62"/>
        <v>0</v>
      </c>
      <c r="BD21" s="41" t="str">
        <f t="shared" si="63"/>
        <v/>
      </c>
      <c r="BE21" s="43" t="str">
        <f t="shared" si="64"/>
        <v/>
      </c>
      <c r="BF21" s="43" t="str">
        <f t="shared" si="65"/>
        <v/>
      </c>
      <c r="BG21" s="44" t="str">
        <f t="shared" si="66"/>
        <v/>
      </c>
      <c r="BH21" s="45">
        <f t="shared" si="67"/>
        <v>0</v>
      </c>
      <c r="BI21" s="41" t="str">
        <f t="shared" si="68"/>
        <v/>
      </c>
      <c r="BJ21" s="43" t="str">
        <f t="shared" si="69"/>
        <v/>
      </c>
      <c r="BK21" s="43" t="str">
        <f t="shared" si="70"/>
        <v/>
      </c>
      <c r="BL21" s="44" t="str">
        <f t="shared" si="71"/>
        <v/>
      </c>
      <c r="BM21" s="45">
        <f t="shared" si="72"/>
        <v>0</v>
      </c>
      <c r="BN21" s="41" t="str">
        <f t="shared" si="73"/>
        <v/>
      </c>
      <c r="BO21" s="40"/>
      <c r="BP21" s="40"/>
      <c r="BQ21" s="40"/>
    </row>
    <row r="22" hidden="1">
      <c r="A22" s="40"/>
      <c r="B22" s="40"/>
      <c r="C22" s="42">
        <f t="shared" si="13"/>
        <v>0</v>
      </c>
      <c r="D22" s="40"/>
      <c r="E22" s="40"/>
      <c r="F22" s="40"/>
      <c r="G22" s="43" t="str">
        <f t="shared" si="14"/>
        <v/>
      </c>
      <c r="H22" s="43" t="str">
        <f t="shared" si="15"/>
        <v/>
      </c>
      <c r="I22" s="44" t="str">
        <f t="shared" si="16"/>
        <v/>
      </c>
      <c r="J22" s="45">
        <f t="shared" si="17"/>
        <v>0</v>
      </c>
      <c r="K22" s="41" t="str">
        <f t="shared" si="18"/>
        <v/>
      </c>
      <c r="L22" s="43" t="str">
        <f t="shared" si="19"/>
        <v/>
      </c>
      <c r="M22" s="43" t="str">
        <f t="shared" si="20"/>
        <v/>
      </c>
      <c r="N22" s="44" t="str">
        <f t="shared" si="21"/>
        <v/>
      </c>
      <c r="O22" s="45">
        <f t="shared" si="22"/>
        <v>0</v>
      </c>
      <c r="P22" s="41" t="str">
        <f t="shared" si="23"/>
        <v/>
      </c>
      <c r="Q22" s="43" t="str">
        <f t="shared" si="24"/>
        <v/>
      </c>
      <c r="R22" s="43" t="str">
        <f t="shared" si="25"/>
        <v/>
      </c>
      <c r="S22" s="44" t="str">
        <f t="shared" si="26"/>
        <v/>
      </c>
      <c r="T22" s="45">
        <f t="shared" si="27"/>
        <v>0</v>
      </c>
      <c r="U22" s="41" t="str">
        <f t="shared" si="28"/>
        <v/>
      </c>
      <c r="V22" s="43" t="str">
        <f t="shared" si="29"/>
        <v/>
      </c>
      <c r="W22" s="43" t="str">
        <f t="shared" si="30"/>
        <v/>
      </c>
      <c r="X22" s="44" t="str">
        <f t="shared" si="31"/>
        <v/>
      </c>
      <c r="Y22" s="45">
        <f t="shared" si="32"/>
        <v>0</v>
      </c>
      <c r="Z22" s="41" t="str">
        <f t="shared" si="33"/>
        <v/>
      </c>
      <c r="AA22" s="43" t="str">
        <f t="shared" si="34"/>
        <v/>
      </c>
      <c r="AB22" s="43" t="str">
        <f t="shared" si="35"/>
        <v/>
      </c>
      <c r="AC22" s="44" t="str">
        <f t="shared" si="36"/>
        <v/>
      </c>
      <c r="AD22" s="45">
        <f t="shared" si="37"/>
        <v>0</v>
      </c>
      <c r="AE22" s="41" t="str">
        <f t="shared" si="38"/>
        <v/>
      </c>
      <c r="AF22" s="43" t="str">
        <f t="shared" si="39"/>
        <v/>
      </c>
      <c r="AG22" s="43" t="str">
        <f t="shared" si="40"/>
        <v/>
      </c>
      <c r="AH22" s="44" t="str">
        <f t="shared" si="41"/>
        <v/>
      </c>
      <c r="AI22" s="45">
        <f t="shared" si="42"/>
        <v>0</v>
      </c>
      <c r="AJ22" s="41" t="str">
        <f t="shared" si="43"/>
        <v/>
      </c>
      <c r="AK22" s="43" t="str">
        <f t="shared" si="44"/>
        <v/>
      </c>
      <c r="AL22" s="43" t="str">
        <f t="shared" si="45"/>
        <v/>
      </c>
      <c r="AM22" s="44" t="str">
        <f t="shared" si="46"/>
        <v/>
      </c>
      <c r="AN22" s="45">
        <f t="shared" si="47"/>
        <v>0</v>
      </c>
      <c r="AO22" s="41" t="str">
        <f t="shared" si="48"/>
        <v/>
      </c>
      <c r="AP22" s="43" t="str">
        <f t="shared" si="49"/>
        <v/>
      </c>
      <c r="AQ22" s="43" t="str">
        <f t="shared" si="50"/>
        <v/>
      </c>
      <c r="AR22" s="44" t="str">
        <f t="shared" si="51"/>
        <v/>
      </c>
      <c r="AS22" s="45">
        <f t="shared" si="52"/>
        <v>0</v>
      </c>
      <c r="AT22" s="41" t="str">
        <f t="shared" si="53"/>
        <v/>
      </c>
      <c r="AU22" s="43" t="str">
        <f t="shared" si="54"/>
        <v/>
      </c>
      <c r="AV22" s="43" t="str">
        <f t="shared" si="55"/>
        <v/>
      </c>
      <c r="AW22" s="44" t="str">
        <f t="shared" si="56"/>
        <v/>
      </c>
      <c r="AX22" s="45">
        <f t="shared" si="57"/>
        <v>0</v>
      </c>
      <c r="AY22" s="41" t="str">
        <f t="shared" si="58"/>
        <v/>
      </c>
      <c r="AZ22" s="43" t="str">
        <f t="shared" si="59"/>
        <v/>
      </c>
      <c r="BA22" s="43" t="str">
        <f t="shared" si="60"/>
        <v/>
      </c>
      <c r="BB22" s="44" t="str">
        <f t="shared" si="61"/>
        <v/>
      </c>
      <c r="BC22" s="45">
        <f t="shared" si="62"/>
        <v>0</v>
      </c>
      <c r="BD22" s="41" t="str">
        <f t="shared" si="63"/>
        <v/>
      </c>
      <c r="BE22" s="43" t="str">
        <f t="shared" si="64"/>
        <v/>
      </c>
      <c r="BF22" s="43" t="str">
        <f t="shared" si="65"/>
        <v/>
      </c>
      <c r="BG22" s="44" t="str">
        <f t="shared" si="66"/>
        <v/>
      </c>
      <c r="BH22" s="45">
        <f t="shared" si="67"/>
        <v>0</v>
      </c>
      <c r="BI22" s="41" t="str">
        <f t="shared" si="68"/>
        <v/>
      </c>
      <c r="BJ22" s="43" t="str">
        <f t="shared" si="69"/>
        <v/>
      </c>
      <c r="BK22" s="43" t="str">
        <f t="shared" si="70"/>
        <v/>
      </c>
      <c r="BL22" s="44" t="str">
        <f t="shared" si="71"/>
        <v/>
      </c>
      <c r="BM22" s="45">
        <f t="shared" si="72"/>
        <v>0</v>
      </c>
      <c r="BN22" s="41" t="str">
        <f t="shared" si="73"/>
        <v/>
      </c>
      <c r="BO22" s="40"/>
      <c r="BP22" s="40"/>
      <c r="BQ22" s="40"/>
    </row>
    <row r="23" hidden="1">
      <c r="A23" s="40"/>
      <c r="B23" s="40"/>
      <c r="C23" s="42">
        <f t="shared" si="13"/>
        <v>0</v>
      </c>
      <c r="D23" s="40"/>
      <c r="E23" s="40"/>
      <c r="F23" s="40"/>
      <c r="G23" s="43" t="str">
        <f t="shared" si="14"/>
        <v/>
      </c>
      <c r="H23" s="43" t="str">
        <f t="shared" si="15"/>
        <v/>
      </c>
      <c r="I23" s="44" t="str">
        <f t="shared" si="16"/>
        <v/>
      </c>
      <c r="J23" s="45">
        <f t="shared" si="17"/>
        <v>0</v>
      </c>
      <c r="K23" s="41" t="str">
        <f t="shared" si="18"/>
        <v/>
      </c>
      <c r="L23" s="43" t="str">
        <f t="shared" si="19"/>
        <v/>
      </c>
      <c r="M23" s="43" t="str">
        <f t="shared" si="20"/>
        <v/>
      </c>
      <c r="N23" s="44" t="str">
        <f t="shared" si="21"/>
        <v/>
      </c>
      <c r="O23" s="45">
        <f t="shared" si="22"/>
        <v>0</v>
      </c>
      <c r="P23" s="41" t="str">
        <f t="shared" si="23"/>
        <v/>
      </c>
      <c r="Q23" s="43" t="str">
        <f t="shared" si="24"/>
        <v/>
      </c>
      <c r="R23" s="43" t="str">
        <f t="shared" si="25"/>
        <v/>
      </c>
      <c r="S23" s="44" t="str">
        <f t="shared" si="26"/>
        <v/>
      </c>
      <c r="T23" s="45">
        <f t="shared" si="27"/>
        <v>0</v>
      </c>
      <c r="U23" s="41" t="str">
        <f t="shared" si="28"/>
        <v/>
      </c>
      <c r="V23" s="43" t="str">
        <f t="shared" si="29"/>
        <v/>
      </c>
      <c r="W23" s="43" t="str">
        <f t="shared" si="30"/>
        <v/>
      </c>
      <c r="X23" s="44" t="str">
        <f t="shared" si="31"/>
        <v/>
      </c>
      <c r="Y23" s="45">
        <f t="shared" si="32"/>
        <v>0</v>
      </c>
      <c r="Z23" s="41" t="str">
        <f t="shared" si="33"/>
        <v/>
      </c>
      <c r="AA23" s="43" t="str">
        <f t="shared" si="34"/>
        <v/>
      </c>
      <c r="AB23" s="43" t="str">
        <f t="shared" si="35"/>
        <v/>
      </c>
      <c r="AC23" s="44" t="str">
        <f t="shared" si="36"/>
        <v/>
      </c>
      <c r="AD23" s="45">
        <f t="shared" si="37"/>
        <v>0</v>
      </c>
      <c r="AE23" s="41" t="str">
        <f t="shared" si="38"/>
        <v/>
      </c>
      <c r="AF23" s="43" t="str">
        <f t="shared" si="39"/>
        <v/>
      </c>
      <c r="AG23" s="43" t="str">
        <f t="shared" si="40"/>
        <v/>
      </c>
      <c r="AH23" s="44" t="str">
        <f t="shared" si="41"/>
        <v/>
      </c>
      <c r="AI23" s="45">
        <f t="shared" si="42"/>
        <v>0</v>
      </c>
      <c r="AJ23" s="41" t="str">
        <f t="shared" si="43"/>
        <v/>
      </c>
      <c r="AK23" s="43" t="str">
        <f t="shared" si="44"/>
        <v/>
      </c>
      <c r="AL23" s="43" t="str">
        <f t="shared" si="45"/>
        <v/>
      </c>
      <c r="AM23" s="44" t="str">
        <f t="shared" si="46"/>
        <v/>
      </c>
      <c r="AN23" s="45">
        <f t="shared" si="47"/>
        <v>0</v>
      </c>
      <c r="AO23" s="41" t="str">
        <f t="shared" si="48"/>
        <v/>
      </c>
      <c r="AP23" s="43" t="str">
        <f t="shared" si="49"/>
        <v/>
      </c>
      <c r="AQ23" s="43" t="str">
        <f t="shared" si="50"/>
        <v/>
      </c>
      <c r="AR23" s="44" t="str">
        <f t="shared" si="51"/>
        <v/>
      </c>
      <c r="AS23" s="45">
        <f t="shared" si="52"/>
        <v>0</v>
      </c>
      <c r="AT23" s="41" t="str">
        <f t="shared" si="53"/>
        <v/>
      </c>
      <c r="AU23" s="43" t="str">
        <f t="shared" si="54"/>
        <v/>
      </c>
      <c r="AV23" s="43" t="str">
        <f t="shared" si="55"/>
        <v/>
      </c>
      <c r="AW23" s="44" t="str">
        <f t="shared" si="56"/>
        <v/>
      </c>
      <c r="AX23" s="45">
        <f t="shared" si="57"/>
        <v>0</v>
      </c>
      <c r="AY23" s="41" t="str">
        <f t="shared" si="58"/>
        <v/>
      </c>
      <c r="AZ23" s="43" t="str">
        <f t="shared" si="59"/>
        <v/>
      </c>
      <c r="BA23" s="43" t="str">
        <f t="shared" si="60"/>
        <v/>
      </c>
      <c r="BB23" s="44" t="str">
        <f t="shared" si="61"/>
        <v/>
      </c>
      <c r="BC23" s="45">
        <f t="shared" si="62"/>
        <v>0</v>
      </c>
      <c r="BD23" s="41" t="str">
        <f t="shared" si="63"/>
        <v/>
      </c>
      <c r="BE23" s="43" t="str">
        <f t="shared" si="64"/>
        <v/>
      </c>
      <c r="BF23" s="43" t="str">
        <f t="shared" si="65"/>
        <v/>
      </c>
      <c r="BG23" s="44" t="str">
        <f t="shared" si="66"/>
        <v/>
      </c>
      <c r="BH23" s="45">
        <f t="shared" si="67"/>
        <v>0</v>
      </c>
      <c r="BI23" s="41" t="str">
        <f t="shared" si="68"/>
        <v/>
      </c>
      <c r="BJ23" s="43" t="str">
        <f t="shared" si="69"/>
        <v/>
      </c>
      <c r="BK23" s="43" t="str">
        <f t="shared" si="70"/>
        <v/>
      </c>
      <c r="BL23" s="44" t="str">
        <f t="shared" si="71"/>
        <v/>
      </c>
      <c r="BM23" s="45">
        <f t="shared" si="72"/>
        <v>0</v>
      </c>
      <c r="BN23" s="41" t="str">
        <f t="shared" si="73"/>
        <v/>
      </c>
      <c r="BO23" s="40"/>
      <c r="BP23" s="40"/>
      <c r="BQ23" s="40"/>
    </row>
    <row r="24" hidden="1">
      <c r="A24" s="40"/>
      <c r="B24" s="40"/>
      <c r="C24" s="42">
        <f t="shared" si="13"/>
        <v>0</v>
      </c>
      <c r="D24" s="40"/>
      <c r="E24" s="40"/>
      <c r="F24" s="40"/>
      <c r="G24" s="43" t="str">
        <f t="shared" si="14"/>
        <v/>
      </c>
      <c r="H24" s="43" t="str">
        <f t="shared" si="15"/>
        <v/>
      </c>
      <c r="I24" s="44" t="str">
        <f t="shared" si="16"/>
        <v/>
      </c>
      <c r="J24" s="45">
        <f t="shared" si="17"/>
        <v>0</v>
      </c>
      <c r="K24" s="41" t="str">
        <f t="shared" si="18"/>
        <v/>
      </c>
      <c r="L24" s="43" t="str">
        <f t="shared" si="19"/>
        <v/>
      </c>
      <c r="M24" s="43" t="str">
        <f t="shared" si="20"/>
        <v/>
      </c>
      <c r="N24" s="44" t="str">
        <f t="shared" si="21"/>
        <v/>
      </c>
      <c r="O24" s="45">
        <f t="shared" si="22"/>
        <v>0</v>
      </c>
      <c r="P24" s="41" t="str">
        <f t="shared" si="23"/>
        <v/>
      </c>
      <c r="Q24" s="43" t="str">
        <f t="shared" si="24"/>
        <v/>
      </c>
      <c r="R24" s="43" t="str">
        <f t="shared" si="25"/>
        <v/>
      </c>
      <c r="S24" s="44" t="str">
        <f t="shared" si="26"/>
        <v/>
      </c>
      <c r="T24" s="45">
        <f t="shared" si="27"/>
        <v>0</v>
      </c>
      <c r="U24" s="41" t="str">
        <f t="shared" si="28"/>
        <v/>
      </c>
      <c r="V24" s="43" t="str">
        <f t="shared" si="29"/>
        <v/>
      </c>
      <c r="W24" s="43" t="str">
        <f t="shared" si="30"/>
        <v/>
      </c>
      <c r="X24" s="44" t="str">
        <f t="shared" si="31"/>
        <v/>
      </c>
      <c r="Y24" s="45">
        <f t="shared" si="32"/>
        <v>0</v>
      </c>
      <c r="Z24" s="41" t="str">
        <f t="shared" si="33"/>
        <v/>
      </c>
      <c r="AA24" s="43" t="str">
        <f t="shared" si="34"/>
        <v/>
      </c>
      <c r="AB24" s="43" t="str">
        <f t="shared" si="35"/>
        <v/>
      </c>
      <c r="AC24" s="44" t="str">
        <f t="shared" si="36"/>
        <v/>
      </c>
      <c r="AD24" s="45">
        <f t="shared" si="37"/>
        <v>0</v>
      </c>
      <c r="AE24" s="41" t="str">
        <f t="shared" si="38"/>
        <v/>
      </c>
      <c r="AF24" s="43" t="str">
        <f t="shared" si="39"/>
        <v/>
      </c>
      <c r="AG24" s="43" t="str">
        <f t="shared" si="40"/>
        <v/>
      </c>
      <c r="AH24" s="44" t="str">
        <f t="shared" si="41"/>
        <v/>
      </c>
      <c r="AI24" s="45">
        <f t="shared" si="42"/>
        <v>0</v>
      </c>
      <c r="AJ24" s="41" t="str">
        <f t="shared" si="43"/>
        <v/>
      </c>
      <c r="AK24" s="43" t="str">
        <f t="shared" si="44"/>
        <v/>
      </c>
      <c r="AL24" s="43" t="str">
        <f t="shared" si="45"/>
        <v/>
      </c>
      <c r="AM24" s="44" t="str">
        <f t="shared" si="46"/>
        <v/>
      </c>
      <c r="AN24" s="45">
        <f t="shared" si="47"/>
        <v>0</v>
      </c>
      <c r="AO24" s="41" t="str">
        <f t="shared" si="48"/>
        <v/>
      </c>
      <c r="AP24" s="43" t="str">
        <f t="shared" si="49"/>
        <v/>
      </c>
      <c r="AQ24" s="43" t="str">
        <f t="shared" si="50"/>
        <v/>
      </c>
      <c r="AR24" s="44" t="str">
        <f t="shared" si="51"/>
        <v/>
      </c>
      <c r="AS24" s="45">
        <f t="shared" si="52"/>
        <v>0</v>
      </c>
      <c r="AT24" s="41" t="str">
        <f t="shared" si="53"/>
        <v/>
      </c>
      <c r="AU24" s="43" t="str">
        <f t="shared" si="54"/>
        <v/>
      </c>
      <c r="AV24" s="43" t="str">
        <f t="shared" si="55"/>
        <v/>
      </c>
      <c r="AW24" s="44" t="str">
        <f t="shared" si="56"/>
        <v/>
      </c>
      <c r="AX24" s="45">
        <f t="shared" si="57"/>
        <v>0</v>
      </c>
      <c r="AY24" s="41" t="str">
        <f t="shared" si="58"/>
        <v/>
      </c>
      <c r="AZ24" s="43" t="str">
        <f t="shared" si="59"/>
        <v/>
      </c>
      <c r="BA24" s="43" t="str">
        <f t="shared" si="60"/>
        <v/>
      </c>
      <c r="BB24" s="44" t="str">
        <f t="shared" si="61"/>
        <v/>
      </c>
      <c r="BC24" s="45">
        <f t="shared" si="62"/>
        <v>0</v>
      </c>
      <c r="BD24" s="41" t="str">
        <f t="shared" si="63"/>
        <v/>
      </c>
      <c r="BE24" s="43" t="str">
        <f t="shared" si="64"/>
        <v/>
      </c>
      <c r="BF24" s="43" t="str">
        <f t="shared" si="65"/>
        <v/>
      </c>
      <c r="BG24" s="44" t="str">
        <f t="shared" si="66"/>
        <v/>
      </c>
      <c r="BH24" s="45">
        <f t="shared" si="67"/>
        <v>0</v>
      </c>
      <c r="BI24" s="41" t="str">
        <f t="shared" si="68"/>
        <v/>
      </c>
      <c r="BJ24" s="43" t="str">
        <f t="shared" si="69"/>
        <v/>
      </c>
      <c r="BK24" s="43" t="str">
        <f t="shared" si="70"/>
        <v/>
      </c>
      <c r="BL24" s="44" t="str">
        <f t="shared" si="71"/>
        <v/>
      </c>
      <c r="BM24" s="45">
        <f t="shared" si="72"/>
        <v>0</v>
      </c>
      <c r="BN24" s="41" t="str">
        <f t="shared" si="73"/>
        <v/>
      </c>
      <c r="BO24" s="40"/>
      <c r="BP24" s="40"/>
      <c r="BQ24" s="40"/>
    </row>
    <row r="25" hidden="1">
      <c r="A25" s="40"/>
      <c r="B25" s="40"/>
      <c r="C25" s="42">
        <f t="shared" si="13"/>
        <v>0</v>
      </c>
      <c r="D25" s="40"/>
      <c r="E25" s="40"/>
      <c r="F25" s="40"/>
      <c r="G25" s="43" t="str">
        <f t="shared" si="14"/>
        <v/>
      </c>
      <c r="H25" s="43" t="str">
        <f t="shared" si="15"/>
        <v/>
      </c>
      <c r="I25" s="44" t="str">
        <f t="shared" si="16"/>
        <v/>
      </c>
      <c r="J25" s="45">
        <f t="shared" si="17"/>
        <v>0</v>
      </c>
      <c r="K25" s="41" t="str">
        <f t="shared" si="18"/>
        <v/>
      </c>
      <c r="L25" s="43" t="str">
        <f t="shared" si="19"/>
        <v/>
      </c>
      <c r="M25" s="43" t="str">
        <f t="shared" si="20"/>
        <v/>
      </c>
      <c r="N25" s="44" t="str">
        <f t="shared" si="21"/>
        <v/>
      </c>
      <c r="O25" s="45">
        <f t="shared" si="22"/>
        <v>0</v>
      </c>
      <c r="P25" s="41" t="str">
        <f t="shared" si="23"/>
        <v/>
      </c>
      <c r="Q25" s="43" t="str">
        <f t="shared" si="24"/>
        <v/>
      </c>
      <c r="R25" s="43" t="str">
        <f t="shared" si="25"/>
        <v/>
      </c>
      <c r="S25" s="44" t="str">
        <f t="shared" si="26"/>
        <v/>
      </c>
      <c r="T25" s="45">
        <f t="shared" si="27"/>
        <v>0</v>
      </c>
      <c r="U25" s="41" t="str">
        <f t="shared" si="28"/>
        <v/>
      </c>
      <c r="V25" s="43" t="str">
        <f t="shared" si="29"/>
        <v/>
      </c>
      <c r="W25" s="43" t="str">
        <f t="shared" si="30"/>
        <v/>
      </c>
      <c r="X25" s="44" t="str">
        <f t="shared" si="31"/>
        <v/>
      </c>
      <c r="Y25" s="45">
        <f t="shared" si="32"/>
        <v>0</v>
      </c>
      <c r="Z25" s="41" t="str">
        <f t="shared" si="33"/>
        <v/>
      </c>
      <c r="AA25" s="43" t="str">
        <f t="shared" si="34"/>
        <v/>
      </c>
      <c r="AB25" s="43" t="str">
        <f t="shared" si="35"/>
        <v/>
      </c>
      <c r="AC25" s="44" t="str">
        <f t="shared" si="36"/>
        <v/>
      </c>
      <c r="AD25" s="45">
        <f t="shared" si="37"/>
        <v>0</v>
      </c>
      <c r="AE25" s="41" t="str">
        <f t="shared" si="38"/>
        <v/>
      </c>
      <c r="AF25" s="43" t="str">
        <f t="shared" si="39"/>
        <v/>
      </c>
      <c r="AG25" s="43" t="str">
        <f t="shared" si="40"/>
        <v/>
      </c>
      <c r="AH25" s="44" t="str">
        <f t="shared" si="41"/>
        <v/>
      </c>
      <c r="AI25" s="45">
        <f t="shared" si="42"/>
        <v>0</v>
      </c>
      <c r="AJ25" s="41" t="str">
        <f t="shared" si="43"/>
        <v/>
      </c>
      <c r="AK25" s="43" t="str">
        <f t="shared" si="44"/>
        <v/>
      </c>
      <c r="AL25" s="43" t="str">
        <f t="shared" si="45"/>
        <v/>
      </c>
      <c r="AM25" s="44" t="str">
        <f t="shared" si="46"/>
        <v/>
      </c>
      <c r="AN25" s="45">
        <f t="shared" si="47"/>
        <v>0</v>
      </c>
      <c r="AO25" s="41" t="str">
        <f t="shared" si="48"/>
        <v/>
      </c>
      <c r="AP25" s="43" t="str">
        <f t="shared" si="49"/>
        <v/>
      </c>
      <c r="AQ25" s="43" t="str">
        <f t="shared" si="50"/>
        <v/>
      </c>
      <c r="AR25" s="44" t="str">
        <f t="shared" si="51"/>
        <v/>
      </c>
      <c r="AS25" s="45">
        <f t="shared" si="52"/>
        <v>0</v>
      </c>
      <c r="AT25" s="41" t="str">
        <f t="shared" si="53"/>
        <v/>
      </c>
      <c r="AU25" s="43" t="str">
        <f t="shared" si="54"/>
        <v/>
      </c>
      <c r="AV25" s="43" t="str">
        <f t="shared" si="55"/>
        <v/>
      </c>
      <c r="AW25" s="44" t="str">
        <f t="shared" si="56"/>
        <v/>
      </c>
      <c r="AX25" s="45">
        <f t="shared" si="57"/>
        <v>0</v>
      </c>
      <c r="AY25" s="41" t="str">
        <f t="shared" si="58"/>
        <v/>
      </c>
      <c r="AZ25" s="43" t="str">
        <f t="shared" si="59"/>
        <v/>
      </c>
      <c r="BA25" s="43" t="str">
        <f t="shared" si="60"/>
        <v/>
      </c>
      <c r="BB25" s="44" t="str">
        <f t="shared" si="61"/>
        <v/>
      </c>
      <c r="BC25" s="45">
        <f t="shared" si="62"/>
        <v>0</v>
      </c>
      <c r="BD25" s="41" t="str">
        <f t="shared" si="63"/>
        <v/>
      </c>
      <c r="BE25" s="43" t="str">
        <f t="shared" si="64"/>
        <v/>
      </c>
      <c r="BF25" s="43" t="str">
        <f t="shared" si="65"/>
        <v/>
      </c>
      <c r="BG25" s="44" t="str">
        <f t="shared" si="66"/>
        <v/>
      </c>
      <c r="BH25" s="45">
        <f t="shared" si="67"/>
        <v>0</v>
      </c>
      <c r="BI25" s="41" t="str">
        <f t="shared" si="68"/>
        <v/>
      </c>
      <c r="BJ25" s="43" t="str">
        <f t="shared" si="69"/>
        <v/>
      </c>
      <c r="BK25" s="43" t="str">
        <f t="shared" si="70"/>
        <v/>
      </c>
      <c r="BL25" s="44" t="str">
        <f t="shared" si="71"/>
        <v/>
      </c>
      <c r="BM25" s="45">
        <f t="shared" si="72"/>
        <v>0</v>
      </c>
      <c r="BN25" s="41" t="str">
        <f t="shared" si="73"/>
        <v/>
      </c>
      <c r="BO25" s="40"/>
      <c r="BP25" s="40"/>
      <c r="BQ25" s="40"/>
    </row>
    <row r="26" hidden="1">
      <c r="A26" s="40"/>
      <c r="B26" s="40"/>
      <c r="C26" s="42">
        <f t="shared" si="13"/>
        <v>0</v>
      </c>
      <c r="D26" s="40"/>
      <c r="E26" s="40"/>
      <c r="F26" s="40"/>
      <c r="G26" s="43" t="str">
        <f t="shared" si="14"/>
        <v/>
      </c>
      <c r="H26" s="43" t="str">
        <f t="shared" si="15"/>
        <v/>
      </c>
      <c r="I26" s="44" t="str">
        <f t="shared" si="16"/>
        <v/>
      </c>
      <c r="J26" s="45">
        <f t="shared" si="17"/>
        <v>0</v>
      </c>
      <c r="K26" s="41" t="str">
        <f t="shared" si="18"/>
        <v/>
      </c>
      <c r="L26" s="43" t="str">
        <f t="shared" si="19"/>
        <v/>
      </c>
      <c r="M26" s="43" t="str">
        <f t="shared" si="20"/>
        <v/>
      </c>
      <c r="N26" s="44" t="str">
        <f t="shared" si="21"/>
        <v/>
      </c>
      <c r="O26" s="45">
        <f t="shared" si="22"/>
        <v>0</v>
      </c>
      <c r="P26" s="41" t="str">
        <f t="shared" si="23"/>
        <v/>
      </c>
      <c r="Q26" s="43" t="str">
        <f t="shared" si="24"/>
        <v/>
      </c>
      <c r="R26" s="43" t="str">
        <f t="shared" si="25"/>
        <v/>
      </c>
      <c r="S26" s="44" t="str">
        <f t="shared" si="26"/>
        <v/>
      </c>
      <c r="T26" s="45">
        <f t="shared" si="27"/>
        <v>0</v>
      </c>
      <c r="U26" s="41" t="str">
        <f t="shared" si="28"/>
        <v/>
      </c>
      <c r="V26" s="43" t="str">
        <f t="shared" si="29"/>
        <v/>
      </c>
      <c r="W26" s="43" t="str">
        <f t="shared" si="30"/>
        <v/>
      </c>
      <c r="X26" s="44" t="str">
        <f t="shared" si="31"/>
        <v/>
      </c>
      <c r="Y26" s="45">
        <f t="shared" si="32"/>
        <v>0</v>
      </c>
      <c r="Z26" s="41" t="str">
        <f t="shared" si="33"/>
        <v/>
      </c>
      <c r="AA26" s="43" t="str">
        <f t="shared" si="34"/>
        <v/>
      </c>
      <c r="AB26" s="43" t="str">
        <f t="shared" si="35"/>
        <v/>
      </c>
      <c r="AC26" s="44" t="str">
        <f t="shared" si="36"/>
        <v/>
      </c>
      <c r="AD26" s="45">
        <f t="shared" si="37"/>
        <v>0</v>
      </c>
      <c r="AE26" s="41" t="str">
        <f t="shared" si="38"/>
        <v/>
      </c>
      <c r="AF26" s="43" t="str">
        <f t="shared" si="39"/>
        <v/>
      </c>
      <c r="AG26" s="43" t="str">
        <f t="shared" si="40"/>
        <v/>
      </c>
      <c r="AH26" s="44" t="str">
        <f t="shared" si="41"/>
        <v/>
      </c>
      <c r="AI26" s="45">
        <f t="shared" si="42"/>
        <v>0</v>
      </c>
      <c r="AJ26" s="41" t="str">
        <f t="shared" si="43"/>
        <v/>
      </c>
      <c r="AK26" s="43" t="str">
        <f t="shared" si="44"/>
        <v/>
      </c>
      <c r="AL26" s="43" t="str">
        <f t="shared" si="45"/>
        <v/>
      </c>
      <c r="AM26" s="44" t="str">
        <f t="shared" si="46"/>
        <v/>
      </c>
      <c r="AN26" s="45">
        <f t="shared" si="47"/>
        <v>0</v>
      </c>
      <c r="AO26" s="41" t="str">
        <f t="shared" si="48"/>
        <v/>
      </c>
      <c r="AP26" s="43" t="str">
        <f t="shared" si="49"/>
        <v/>
      </c>
      <c r="AQ26" s="43" t="str">
        <f t="shared" si="50"/>
        <v/>
      </c>
      <c r="AR26" s="44" t="str">
        <f t="shared" si="51"/>
        <v/>
      </c>
      <c r="AS26" s="45">
        <f t="shared" si="52"/>
        <v>0</v>
      </c>
      <c r="AT26" s="41" t="str">
        <f t="shared" si="53"/>
        <v/>
      </c>
      <c r="AU26" s="43" t="str">
        <f t="shared" si="54"/>
        <v/>
      </c>
      <c r="AV26" s="43" t="str">
        <f t="shared" si="55"/>
        <v/>
      </c>
      <c r="AW26" s="44" t="str">
        <f t="shared" si="56"/>
        <v/>
      </c>
      <c r="AX26" s="45">
        <f t="shared" si="57"/>
        <v>0</v>
      </c>
      <c r="AY26" s="41" t="str">
        <f t="shared" si="58"/>
        <v/>
      </c>
      <c r="AZ26" s="43" t="str">
        <f t="shared" si="59"/>
        <v/>
      </c>
      <c r="BA26" s="43" t="str">
        <f t="shared" si="60"/>
        <v/>
      </c>
      <c r="BB26" s="44" t="str">
        <f t="shared" si="61"/>
        <v/>
      </c>
      <c r="BC26" s="45">
        <f t="shared" si="62"/>
        <v>0</v>
      </c>
      <c r="BD26" s="41" t="str">
        <f t="shared" si="63"/>
        <v/>
      </c>
      <c r="BE26" s="43" t="str">
        <f t="shared" si="64"/>
        <v/>
      </c>
      <c r="BF26" s="43" t="str">
        <f t="shared" si="65"/>
        <v/>
      </c>
      <c r="BG26" s="44" t="str">
        <f t="shared" si="66"/>
        <v/>
      </c>
      <c r="BH26" s="45">
        <f t="shared" si="67"/>
        <v>0</v>
      </c>
      <c r="BI26" s="41" t="str">
        <f t="shared" si="68"/>
        <v/>
      </c>
      <c r="BJ26" s="43" t="str">
        <f t="shared" si="69"/>
        <v/>
      </c>
      <c r="BK26" s="43" t="str">
        <f t="shared" si="70"/>
        <v/>
      </c>
      <c r="BL26" s="44" t="str">
        <f t="shared" si="71"/>
        <v/>
      </c>
      <c r="BM26" s="45">
        <f t="shared" si="72"/>
        <v>0</v>
      </c>
      <c r="BN26" s="41" t="str">
        <f t="shared" si="73"/>
        <v/>
      </c>
      <c r="BO26" s="40"/>
      <c r="BP26" s="40"/>
      <c r="BQ26" s="40"/>
    </row>
    <row r="27" hidden="1">
      <c r="A27" s="40"/>
      <c r="B27" s="40"/>
      <c r="C27" s="42">
        <f t="shared" si="13"/>
        <v>0</v>
      </c>
      <c r="D27" s="40"/>
      <c r="E27" s="40"/>
      <c r="F27" s="40"/>
      <c r="G27" s="43" t="str">
        <f t="shared" si="14"/>
        <v/>
      </c>
      <c r="H27" s="43" t="str">
        <f t="shared" si="15"/>
        <v/>
      </c>
      <c r="I27" s="44" t="str">
        <f t="shared" si="16"/>
        <v/>
      </c>
      <c r="J27" s="45">
        <f t="shared" si="17"/>
        <v>0</v>
      </c>
      <c r="K27" s="41" t="str">
        <f t="shared" si="18"/>
        <v/>
      </c>
      <c r="L27" s="43" t="str">
        <f t="shared" si="19"/>
        <v/>
      </c>
      <c r="M27" s="43" t="str">
        <f t="shared" si="20"/>
        <v/>
      </c>
      <c r="N27" s="44" t="str">
        <f t="shared" si="21"/>
        <v/>
      </c>
      <c r="O27" s="45">
        <f t="shared" si="22"/>
        <v>0</v>
      </c>
      <c r="P27" s="41" t="str">
        <f t="shared" si="23"/>
        <v/>
      </c>
      <c r="Q27" s="43" t="str">
        <f t="shared" si="24"/>
        <v/>
      </c>
      <c r="R27" s="43" t="str">
        <f t="shared" si="25"/>
        <v/>
      </c>
      <c r="S27" s="44" t="str">
        <f t="shared" si="26"/>
        <v/>
      </c>
      <c r="T27" s="45">
        <f t="shared" si="27"/>
        <v>0</v>
      </c>
      <c r="U27" s="41" t="str">
        <f t="shared" si="28"/>
        <v/>
      </c>
      <c r="V27" s="43" t="str">
        <f t="shared" si="29"/>
        <v/>
      </c>
      <c r="W27" s="43" t="str">
        <f t="shared" si="30"/>
        <v/>
      </c>
      <c r="X27" s="44" t="str">
        <f t="shared" si="31"/>
        <v/>
      </c>
      <c r="Y27" s="45">
        <f t="shared" si="32"/>
        <v>0</v>
      </c>
      <c r="Z27" s="41" t="str">
        <f t="shared" si="33"/>
        <v/>
      </c>
      <c r="AA27" s="43" t="str">
        <f t="shared" si="34"/>
        <v/>
      </c>
      <c r="AB27" s="43" t="str">
        <f t="shared" si="35"/>
        <v/>
      </c>
      <c r="AC27" s="44" t="str">
        <f t="shared" si="36"/>
        <v/>
      </c>
      <c r="AD27" s="45">
        <f t="shared" si="37"/>
        <v>0</v>
      </c>
      <c r="AE27" s="41" t="str">
        <f t="shared" si="38"/>
        <v/>
      </c>
      <c r="AF27" s="43" t="str">
        <f t="shared" si="39"/>
        <v/>
      </c>
      <c r="AG27" s="43" t="str">
        <f t="shared" si="40"/>
        <v/>
      </c>
      <c r="AH27" s="44" t="str">
        <f t="shared" si="41"/>
        <v/>
      </c>
      <c r="AI27" s="45">
        <f t="shared" si="42"/>
        <v>0</v>
      </c>
      <c r="AJ27" s="41" t="str">
        <f t="shared" si="43"/>
        <v/>
      </c>
      <c r="AK27" s="43" t="str">
        <f t="shared" si="44"/>
        <v/>
      </c>
      <c r="AL27" s="43" t="str">
        <f t="shared" si="45"/>
        <v/>
      </c>
      <c r="AM27" s="44" t="str">
        <f t="shared" si="46"/>
        <v/>
      </c>
      <c r="AN27" s="45">
        <f t="shared" si="47"/>
        <v>0</v>
      </c>
      <c r="AO27" s="41" t="str">
        <f t="shared" si="48"/>
        <v/>
      </c>
      <c r="AP27" s="43" t="str">
        <f t="shared" si="49"/>
        <v/>
      </c>
      <c r="AQ27" s="43" t="str">
        <f t="shared" si="50"/>
        <v/>
      </c>
      <c r="AR27" s="44" t="str">
        <f t="shared" si="51"/>
        <v/>
      </c>
      <c r="AS27" s="45">
        <f t="shared" si="52"/>
        <v>0</v>
      </c>
      <c r="AT27" s="41" t="str">
        <f t="shared" si="53"/>
        <v/>
      </c>
      <c r="AU27" s="43" t="str">
        <f t="shared" si="54"/>
        <v/>
      </c>
      <c r="AV27" s="43" t="str">
        <f t="shared" si="55"/>
        <v/>
      </c>
      <c r="AW27" s="44" t="str">
        <f t="shared" si="56"/>
        <v/>
      </c>
      <c r="AX27" s="45">
        <f t="shared" si="57"/>
        <v>0</v>
      </c>
      <c r="AY27" s="41" t="str">
        <f t="shared" si="58"/>
        <v/>
      </c>
      <c r="AZ27" s="43" t="str">
        <f t="shared" si="59"/>
        <v/>
      </c>
      <c r="BA27" s="43" t="str">
        <f t="shared" si="60"/>
        <v/>
      </c>
      <c r="BB27" s="44" t="str">
        <f t="shared" si="61"/>
        <v/>
      </c>
      <c r="BC27" s="45">
        <f t="shared" si="62"/>
        <v>0</v>
      </c>
      <c r="BD27" s="41" t="str">
        <f t="shared" si="63"/>
        <v/>
      </c>
      <c r="BE27" s="43" t="str">
        <f t="shared" si="64"/>
        <v/>
      </c>
      <c r="BF27" s="43" t="str">
        <f t="shared" si="65"/>
        <v/>
      </c>
      <c r="BG27" s="44" t="str">
        <f t="shared" si="66"/>
        <v/>
      </c>
      <c r="BH27" s="45">
        <f t="shared" si="67"/>
        <v>0</v>
      </c>
      <c r="BI27" s="41" t="str">
        <f t="shared" si="68"/>
        <v/>
      </c>
      <c r="BJ27" s="43" t="str">
        <f t="shared" si="69"/>
        <v/>
      </c>
      <c r="BK27" s="43" t="str">
        <f t="shared" si="70"/>
        <v/>
      </c>
      <c r="BL27" s="44" t="str">
        <f t="shared" si="71"/>
        <v/>
      </c>
      <c r="BM27" s="45">
        <f t="shared" si="72"/>
        <v>0</v>
      </c>
      <c r="BN27" s="41" t="str">
        <f t="shared" si="73"/>
        <v/>
      </c>
      <c r="BO27" s="40"/>
      <c r="BP27" s="40"/>
      <c r="BQ27" s="40"/>
    </row>
    <row r="28" hidden="1">
      <c r="A28" s="40"/>
      <c r="B28" s="40"/>
      <c r="C28" s="42">
        <f t="shared" si="13"/>
        <v>0</v>
      </c>
      <c r="D28" s="40"/>
      <c r="E28" s="40"/>
      <c r="F28" s="40"/>
      <c r="G28" s="43" t="str">
        <f t="shared" si="14"/>
        <v/>
      </c>
      <c r="H28" s="43" t="str">
        <f t="shared" si="15"/>
        <v/>
      </c>
      <c r="I28" s="44" t="str">
        <f t="shared" si="16"/>
        <v/>
      </c>
      <c r="J28" s="45">
        <f t="shared" si="17"/>
        <v>0</v>
      </c>
      <c r="K28" s="41" t="str">
        <f t="shared" si="18"/>
        <v/>
      </c>
      <c r="L28" s="43" t="str">
        <f t="shared" si="19"/>
        <v/>
      </c>
      <c r="M28" s="43" t="str">
        <f t="shared" si="20"/>
        <v/>
      </c>
      <c r="N28" s="44" t="str">
        <f t="shared" si="21"/>
        <v/>
      </c>
      <c r="O28" s="45">
        <f t="shared" si="22"/>
        <v>0</v>
      </c>
      <c r="P28" s="41" t="str">
        <f t="shared" si="23"/>
        <v/>
      </c>
      <c r="Q28" s="43" t="str">
        <f t="shared" si="24"/>
        <v/>
      </c>
      <c r="R28" s="43" t="str">
        <f t="shared" si="25"/>
        <v/>
      </c>
      <c r="S28" s="44" t="str">
        <f t="shared" si="26"/>
        <v/>
      </c>
      <c r="T28" s="45">
        <f t="shared" si="27"/>
        <v>0</v>
      </c>
      <c r="U28" s="41" t="str">
        <f t="shared" si="28"/>
        <v/>
      </c>
      <c r="V28" s="43" t="str">
        <f t="shared" si="29"/>
        <v/>
      </c>
      <c r="W28" s="43" t="str">
        <f t="shared" si="30"/>
        <v/>
      </c>
      <c r="X28" s="44" t="str">
        <f t="shared" si="31"/>
        <v/>
      </c>
      <c r="Y28" s="45">
        <f t="shared" si="32"/>
        <v>0</v>
      </c>
      <c r="Z28" s="41" t="str">
        <f t="shared" si="33"/>
        <v/>
      </c>
      <c r="AA28" s="43" t="str">
        <f t="shared" si="34"/>
        <v/>
      </c>
      <c r="AB28" s="43" t="str">
        <f t="shared" si="35"/>
        <v/>
      </c>
      <c r="AC28" s="44" t="str">
        <f t="shared" si="36"/>
        <v/>
      </c>
      <c r="AD28" s="45">
        <f t="shared" si="37"/>
        <v>0</v>
      </c>
      <c r="AE28" s="41" t="str">
        <f t="shared" si="38"/>
        <v/>
      </c>
      <c r="AF28" s="43" t="str">
        <f t="shared" si="39"/>
        <v/>
      </c>
      <c r="AG28" s="43" t="str">
        <f t="shared" si="40"/>
        <v/>
      </c>
      <c r="AH28" s="44" t="str">
        <f t="shared" si="41"/>
        <v/>
      </c>
      <c r="AI28" s="45">
        <f t="shared" si="42"/>
        <v>0</v>
      </c>
      <c r="AJ28" s="41" t="str">
        <f t="shared" si="43"/>
        <v/>
      </c>
      <c r="AK28" s="43" t="str">
        <f t="shared" si="44"/>
        <v/>
      </c>
      <c r="AL28" s="43" t="str">
        <f t="shared" si="45"/>
        <v/>
      </c>
      <c r="AM28" s="44" t="str">
        <f t="shared" si="46"/>
        <v/>
      </c>
      <c r="AN28" s="45">
        <f t="shared" si="47"/>
        <v>0</v>
      </c>
      <c r="AO28" s="41" t="str">
        <f t="shared" si="48"/>
        <v/>
      </c>
      <c r="AP28" s="43" t="str">
        <f t="shared" si="49"/>
        <v/>
      </c>
      <c r="AQ28" s="43" t="str">
        <f t="shared" si="50"/>
        <v/>
      </c>
      <c r="AR28" s="44" t="str">
        <f t="shared" si="51"/>
        <v/>
      </c>
      <c r="AS28" s="45">
        <f t="shared" si="52"/>
        <v>0</v>
      </c>
      <c r="AT28" s="41" t="str">
        <f t="shared" si="53"/>
        <v/>
      </c>
      <c r="AU28" s="43" t="str">
        <f t="shared" si="54"/>
        <v/>
      </c>
      <c r="AV28" s="43" t="str">
        <f t="shared" si="55"/>
        <v/>
      </c>
      <c r="AW28" s="44" t="str">
        <f t="shared" si="56"/>
        <v/>
      </c>
      <c r="AX28" s="45">
        <f t="shared" si="57"/>
        <v>0</v>
      </c>
      <c r="AY28" s="41" t="str">
        <f t="shared" si="58"/>
        <v/>
      </c>
      <c r="AZ28" s="43" t="str">
        <f t="shared" si="59"/>
        <v/>
      </c>
      <c r="BA28" s="43" t="str">
        <f t="shared" si="60"/>
        <v/>
      </c>
      <c r="BB28" s="44" t="str">
        <f t="shared" si="61"/>
        <v/>
      </c>
      <c r="BC28" s="45">
        <f t="shared" si="62"/>
        <v>0</v>
      </c>
      <c r="BD28" s="41" t="str">
        <f t="shared" si="63"/>
        <v/>
      </c>
      <c r="BE28" s="43" t="str">
        <f t="shared" si="64"/>
        <v/>
      </c>
      <c r="BF28" s="43" t="str">
        <f t="shared" si="65"/>
        <v/>
      </c>
      <c r="BG28" s="44" t="str">
        <f t="shared" si="66"/>
        <v/>
      </c>
      <c r="BH28" s="45">
        <f t="shared" si="67"/>
        <v>0</v>
      </c>
      <c r="BI28" s="41" t="str">
        <f t="shared" si="68"/>
        <v/>
      </c>
      <c r="BJ28" s="43" t="str">
        <f t="shared" si="69"/>
        <v/>
      </c>
      <c r="BK28" s="43" t="str">
        <f t="shared" si="70"/>
        <v/>
      </c>
      <c r="BL28" s="44" t="str">
        <f t="shared" si="71"/>
        <v/>
      </c>
      <c r="BM28" s="45">
        <f t="shared" si="72"/>
        <v>0</v>
      </c>
      <c r="BN28" s="41" t="str">
        <f t="shared" si="73"/>
        <v/>
      </c>
      <c r="BO28" s="40"/>
      <c r="BP28" s="40"/>
      <c r="BQ28" s="40"/>
    </row>
    <row r="29" hidden="1">
      <c r="A29" s="40"/>
      <c r="B29" s="40"/>
      <c r="C29" s="42">
        <f t="shared" si="13"/>
        <v>0</v>
      </c>
      <c r="D29" s="40"/>
      <c r="E29" s="40"/>
      <c r="F29" s="40"/>
      <c r="G29" s="43" t="str">
        <f t="shared" si="14"/>
        <v/>
      </c>
      <c r="H29" s="43" t="str">
        <f t="shared" si="15"/>
        <v/>
      </c>
      <c r="I29" s="44" t="str">
        <f t="shared" si="16"/>
        <v/>
      </c>
      <c r="J29" s="45">
        <f t="shared" si="17"/>
        <v>0</v>
      </c>
      <c r="K29" s="41" t="str">
        <f t="shared" si="18"/>
        <v/>
      </c>
      <c r="L29" s="43" t="str">
        <f t="shared" si="19"/>
        <v/>
      </c>
      <c r="M29" s="43" t="str">
        <f t="shared" si="20"/>
        <v/>
      </c>
      <c r="N29" s="44" t="str">
        <f t="shared" si="21"/>
        <v/>
      </c>
      <c r="O29" s="45">
        <f t="shared" si="22"/>
        <v>0</v>
      </c>
      <c r="P29" s="41" t="str">
        <f t="shared" si="23"/>
        <v/>
      </c>
      <c r="Q29" s="43" t="str">
        <f t="shared" si="24"/>
        <v/>
      </c>
      <c r="R29" s="43" t="str">
        <f t="shared" si="25"/>
        <v/>
      </c>
      <c r="S29" s="44" t="str">
        <f t="shared" si="26"/>
        <v/>
      </c>
      <c r="T29" s="45">
        <f t="shared" si="27"/>
        <v>0</v>
      </c>
      <c r="U29" s="41" t="str">
        <f t="shared" si="28"/>
        <v/>
      </c>
      <c r="V29" s="43" t="str">
        <f t="shared" si="29"/>
        <v/>
      </c>
      <c r="W29" s="43" t="str">
        <f t="shared" si="30"/>
        <v/>
      </c>
      <c r="X29" s="44" t="str">
        <f t="shared" si="31"/>
        <v/>
      </c>
      <c r="Y29" s="45">
        <f t="shared" si="32"/>
        <v>0</v>
      </c>
      <c r="Z29" s="41" t="str">
        <f t="shared" si="33"/>
        <v/>
      </c>
      <c r="AA29" s="43" t="str">
        <f t="shared" si="34"/>
        <v/>
      </c>
      <c r="AB29" s="43" t="str">
        <f t="shared" si="35"/>
        <v/>
      </c>
      <c r="AC29" s="44" t="str">
        <f t="shared" si="36"/>
        <v/>
      </c>
      <c r="AD29" s="45">
        <f t="shared" si="37"/>
        <v>0</v>
      </c>
      <c r="AE29" s="41" t="str">
        <f t="shared" si="38"/>
        <v/>
      </c>
      <c r="AF29" s="43" t="str">
        <f t="shared" si="39"/>
        <v/>
      </c>
      <c r="AG29" s="43" t="str">
        <f t="shared" si="40"/>
        <v/>
      </c>
      <c r="AH29" s="44" t="str">
        <f t="shared" si="41"/>
        <v/>
      </c>
      <c r="AI29" s="45">
        <f t="shared" si="42"/>
        <v>0</v>
      </c>
      <c r="AJ29" s="41" t="str">
        <f t="shared" si="43"/>
        <v/>
      </c>
      <c r="AK29" s="43" t="str">
        <f t="shared" si="44"/>
        <v/>
      </c>
      <c r="AL29" s="43" t="str">
        <f t="shared" si="45"/>
        <v/>
      </c>
      <c r="AM29" s="44" t="str">
        <f t="shared" si="46"/>
        <v/>
      </c>
      <c r="AN29" s="45">
        <f t="shared" si="47"/>
        <v>0</v>
      </c>
      <c r="AO29" s="41" t="str">
        <f t="shared" si="48"/>
        <v/>
      </c>
      <c r="AP29" s="43" t="str">
        <f t="shared" si="49"/>
        <v/>
      </c>
      <c r="AQ29" s="43" t="str">
        <f t="shared" si="50"/>
        <v/>
      </c>
      <c r="AR29" s="44" t="str">
        <f t="shared" si="51"/>
        <v/>
      </c>
      <c r="AS29" s="45">
        <f t="shared" si="52"/>
        <v>0</v>
      </c>
      <c r="AT29" s="41" t="str">
        <f t="shared" si="53"/>
        <v/>
      </c>
      <c r="AU29" s="43" t="str">
        <f t="shared" si="54"/>
        <v/>
      </c>
      <c r="AV29" s="43" t="str">
        <f t="shared" si="55"/>
        <v/>
      </c>
      <c r="AW29" s="44" t="str">
        <f t="shared" si="56"/>
        <v/>
      </c>
      <c r="AX29" s="45">
        <f t="shared" si="57"/>
        <v>0</v>
      </c>
      <c r="AY29" s="41" t="str">
        <f t="shared" si="58"/>
        <v/>
      </c>
      <c r="AZ29" s="43" t="str">
        <f t="shared" si="59"/>
        <v/>
      </c>
      <c r="BA29" s="43" t="str">
        <f t="shared" si="60"/>
        <v/>
      </c>
      <c r="BB29" s="44" t="str">
        <f t="shared" si="61"/>
        <v/>
      </c>
      <c r="BC29" s="45">
        <f t="shared" si="62"/>
        <v>0</v>
      </c>
      <c r="BD29" s="41" t="str">
        <f t="shared" si="63"/>
        <v/>
      </c>
      <c r="BE29" s="43" t="str">
        <f t="shared" si="64"/>
        <v/>
      </c>
      <c r="BF29" s="43" t="str">
        <f t="shared" si="65"/>
        <v/>
      </c>
      <c r="BG29" s="44" t="str">
        <f t="shared" si="66"/>
        <v/>
      </c>
      <c r="BH29" s="45">
        <f t="shared" si="67"/>
        <v>0</v>
      </c>
      <c r="BI29" s="41" t="str">
        <f t="shared" si="68"/>
        <v/>
      </c>
      <c r="BJ29" s="43" t="str">
        <f t="shared" si="69"/>
        <v/>
      </c>
      <c r="BK29" s="43" t="str">
        <f t="shared" si="70"/>
        <v/>
      </c>
      <c r="BL29" s="44" t="str">
        <f t="shared" si="71"/>
        <v/>
      </c>
      <c r="BM29" s="45">
        <f t="shared" si="72"/>
        <v>0</v>
      </c>
      <c r="BN29" s="41" t="str">
        <f t="shared" si="73"/>
        <v/>
      </c>
      <c r="BO29" s="40"/>
      <c r="BP29" s="40"/>
      <c r="BQ29" s="40"/>
    </row>
    <row r="30" hidden="1">
      <c r="A30" s="40"/>
      <c r="B30" s="40"/>
      <c r="C30" s="42">
        <f t="shared" si="13"/>
        <v>0</v>
      </c>
      <c r="D30" s="40"/>
      <c r="E30" s="40"/>
      <c r="F30" s="40"/>
      <c r="G30" s="43" t="str">
        <f t="shared" si="14"/>
        <v/>
      </c>
      <c r="H30" s="43" t="str">
        <f t="shared" si="15"/>
        <v/>
      </c>
      <c r="I30" s="44" t="str">
        <f t="shared" si="16"/>
        <v/>
      </c>
      <c r="J30" s="45">
        <f t="shared" si="17"/>
        <v>0</v>
      </c>
      <c r="K30" s="41" t="str">
        <f t="shared" si="18"/>
        <v/>
      </c>
      <c r="L30" s="43" t="str">
        <f t="shared" si="19"/>
        <v/>
      </c>
      <c r="M30" s="43" t="str">
        <f t="shared" si="20"/>
        <v/>
      </c>
      <c r="N30" s="44" t="str">
        <f t="shared" si="21"/>
        <v/>
      </c>
      <c r="O30" s="45">
        <f t="shared" si="22"/>
        <v>0</v>
      </c>
      <c r="P30" s="41" t="str">
        <f t="shared" si="23"/>
        <v/>
      </c>
      <c r="Q30" s="43" t="str">
        <f t="shared" si="24"/>
        <v/>
      </c>
      <c r="R30" s="43" t="str">
        <f t="shared" si="25"/>
        <v/>
      </c>
      <c r="S30" s="44" t="str">
        <f t="shared" si="26"/>
        <v/>
      </c>
      <c r="T30" s="45">
        <f t="shared" si="27"/>
        <v>0</v>
      </c>
      <c r="U30" s="41" t="str">
        <f t="shared" si="28"/>
        <v/>
      </c>
      <c r="V30" s="43" t="str">
        <f t="shared" si="29"/>
        <v/>
      </c>
      <c r="W30" s="43" t="str">
        <f t="shared" si="30"/>
        <v/>
      </c>
      <c r="X30" s="44" t="str">
        <f t="shared" si="31"/>
        <v/>
      </c>
      <c r="Y30" s="45">
        <f t="shared" si="32"/>
        <v>0</v>
      </c>
      <c r="Z30" s="41" t="str">
        <f t="shared" si="33"/>
        <v/>
      </c>
      <c r="AA30" s="43" t="str">
        <f t="shared" si="34"/>
        <v/>
      </c>
      <c r="AB30" s="43" t="str">
        <f t="shared" si="35"/>
        <v/>
      </c>
      <c r="AC30" s="44" t="str">
        <f t="shared" si="36"/>
        <v/>
      </c>
      <c r="AD30" s="45">
        <f t="shared" si="37"/>
        <v>0</v>
      </c>
      <c r="AE30" s="41" t="str">
        <f t="shared" si="38"/>
        <v/>
      </c>
      <c r="AF30" s="43" t="str">
        <f t="shared" si="39"/>
        <v/>
      </c>
      <c r="AG30" s="43" t="str">
        <f t="shared" si="40"/>
        <v/>
      </c>
      <c r="AH30" s="44" t="str">
        <f t="shared" si="41"/>
        <v/>
      </c>
      <c r="AI30" s="45">
        <f t="shared" si="42"/>
        <v>0</v>
      </c>
      <c r="AJ30" s="41" t="str">
        <f t="shared" si="43"/>
        <v/>
      </c>
      <c r="AK30" s="43" t="str">
        <f t="shared" si="44"/>
        <v/>
      </c>
      <c r="AL30" s="43" t="str">
        <f t="shared" si="45"/>
        <v/>
      </c>
      <c r="AM30" s="44" t="str">
        <f t="shared" si="46"/>
        <v/>
      </c>
      <c r="AN30" s="45">
        <f t="shared" si="47"/>
        <v>0</v>
      </c>
      <c r="AO30" s="41" t="str">
        <f t="shared" si="48"/>
        <v/>
      </c>
      <c r="AP30" s="43" t="str">
        <f t="shared" si="49"/>
        <v/>
      </c>
      <c r="AQ30" s="43" t="str">
        <f t="shared" si="50"/>
        <v/>
      </c>
      <c r="AR30" s="44" t="str">
        <f t="shared" si="51"/>
        <v/>
      </c>
      <c r="AS30" s="45">
        <f t="shared" si="52"/>
        <v>0</v>
      </c>
      <c r="AT30" s="41" t="str">
        <f t="shared" si="53"/>
        <v/>
      </c>
      <c r="AU30" s="43" t="str">
        <f t="shared" si="54"/>
        <v/>
      </c>
      <c r="AV30" s="43" t="str">
        <f t="shared" si="55"/>
        <v/>
      </c>
      <c r="AW30" s="44" t="str">
        <f t="shared" si="56"/>
        <v/>
      </c>
      <c r="AX30" s="45">
        <f t="shared" si="57"/>
        <v>0</v>
      </c>
      <c r="AY30" s="41" t="str">
        <f t="shared" si="58"/>
        <v/>
      </c>
      <c r="AZ30" s="43" t="str">
        <f t="shared" si="59"/>
        <v/>
      </c>
      <c r="BA30" s="43" t="str">
        <f t="shared" si="60"/>
        <v/>
      </c>
      <c r="BB30" s="44" t="str">
        <f t="shared" si="61"/>
        <v/>
      </c>
      <c r="BC30" s="45">
        <f t="shared" si="62"/>
        <v>0</v>
      </c>
      <c r="BD30" s="41" t="str">
        <f t="shared" si="63"/>
        <v/>
      </c>
      <c r="BE30" s="43" t="str">
        <f t="shared" si="64"/>
        <v/>
      </c>
      <c r="BF30" s="43" t="str">
        <f t="shared" si="65"/>
        <v/>
      </c>
      <c r="BG30" s="44" t="str">
        <f t="shared" si="66"/>
        <v/>
      </c>
      <c r="BH30" s="45">
        <f t="shared" si="67"/>
        <v>0</v>
      </c>
      <c r="BI30" s="41" t="str">
        <f t="shared" si="68"/>
        <v/>
      </c>
      <c r="BJ30" s="43" t="str">
        <f t="shared" si="69"/>
        <v/>
      </c>
      <c r="BK30" s="43" t="str">
        <f t="shared" si="70"/>
        <v/>
      </c>
      <c r="BL30" s="44" t="str">
        <f t="shared" si="71"/>
        <v/>
      </c>
      <c r="BM30" s="45">
        <f t="shared" si="72"/>
        <v>0</v>
      </c>
      <c r="BN30" s="41" t="str">
        <f t="shared" si="73"/>
        <v/>
      </c>
      <c r="BO30" s="40"/>
      <c r="BP30" s="40"/>
      <c r="BQ30" s="40"/>
    </row>
    <row r="31" hidden="1">
      <c r="A31" s="40"/>
      <c r="B31" s="40"/>
      <c r="C31" s="42">
        <f t="shared" si="13"/>
        <v>0</v>
      </c>
      <c r="D31" s="40"/>
      <c r="E31" s="40"/>
      <c r="F31" s="40"/>
      <c r="G31" s="43" t="str">
        <f t="shared" si="14"/>
        <v/>
      </c>
      <c r="H31" s="43" t="str">
        <f t="shared" si="15"/>
        <v/>
      </c>
      <c r="I31" s="44" t="str">
        <f t="shared" si="16"/>
        <v/>
      </c>
      <c r="J31" s="45">
        <f t="shared" si="17"/>
        <v>0</v>
      </c>
      <c r="K31" s="41" t="str">
        <f t="shared" si="18"/>
        <v/>
      </c>
      <c r="L31" s="43" t="str">
        <f t="shared" si="19"/>
        <v/>
      </c>
      <c r="M31" s="43" t="str">
        <f t="shared" si="20"/>
        <v/>
      </c>
      <c r="N31" s="44" t="str">
        <f t="shared" si="21"/>
        <v/>
      </c>
      <c r="O31" s="45">
        <f t="shared" si="22"/>
        <v>0</v>
      </c>
      <c r="P31" s="41" t="str">
        <f t="shared" si="23"/>
        <v/>
      </c>
      <c r="Q31" s="43" t="str">
        <f t="shared" si="24"/>
        <v/>
      </c>
      <c r="R31" s="43" t="str">
        <f t="shared" si="25"/>
        <v/>
      </c>
      <c r="S31" s="44" t="str">
        <f t="shared" si="26"/>
        <v/>
      </c>
      <c r="T31" s="45">
        <f t="shared" si="27"/>
        <v>0</v>
      </c>
      <c r="U31" s="41" t="str">
        <f t="shared" si="28"/>
        <v/>
      </c>
      <c r="V31" s="43" t="str">
        <f t="shared" si="29"/>
        <v/>
      </c>
      <c r="W31" s="43" t="str">
        <f t="shared" si="30"/>
        <v/>
      </c>
      <c r="X31" s="44" t="str">
        <f t="shared" si="31"/>
        <v/>
      </c>
      <c r="Y31" s="45">
        <f t="shared" si="32"/>
        <v>0</v>
      </c>
      <c r="Z31" s="41" t="str">
        <f t="shared" si="33"/>
        <v/>
      </c>
      <c r="AA31" s="43" t="str">
        <f t="shared" si="34"/>
        <v/>
      </c>
      <c r="AB31" s="43" t="str">
        <f t="shared" si="35"/>
        <v/>
      </c>
      <c r="AC31" s="44" t="str">
        <f t="shared" si="36"/>
        <v/>
      </c>
      <c r="AD31" s="45">
        <f t="shared" si="37"/>
        <v>0</v>
      </c>
      <c r="AE31" s="41" t="str">
        <f t="shared" si="38"/>
        <v/>
      </c>
      <c r="AF31" s="43" t="str">
        <f t="shared" si="39"/>
        <v/>
      </c>
      <c r="AG31" s="43" t="str">
        <f t="shared" si="40"/>
        <v/>
      </c>
      <c r="AH31" s="44" t="str">
        <f t="shared" si="41"/>
        <v/>
      </c>
      <c r="AI31" s="45">
        <f t="shared" si="42"/>
        <v>0</v>
      </c>
      <c r="AJ31" s="41" t="str">
        <f t="shared" si="43"/>
        <v/>
      </c>
      <c r="AK31" s="43" t="str">
        <f t="shared" si="44"/>
        <v/>
      </c>
      <c r="AL31" s="43" t="str">
        <f t="shared" si="45"/>
        <v/>
      </c>
      <c r="AM31" s="44" t="str">
        <f t="shared" si="46"/>
        <v/>
      </c>
      <c r="AN31" s="45">
        <f t="shared" si="47"/>
        <v>0</v>
      </c>
      <c r="AO31" s="41" t="str">
        <f t="shared" si="48"/>
        <v/>
      </c>
      <c r="AP31" s="43" t="str">
        <f t="shared" si="49"/>
        <v/>
      </c>
      <c r="AQ31" s="43" t="str">
        <f t="shared" si="50"/>
        <v/>
      </c>
      <c r="AR31" s="44" t="str">
        <f t="shared" si="51"/>
        <v/>
      </c>
      <c r="AS31" s="45">
        <f t="shared" si="52"/>
        <v>0</v>
      </c>
      <c r="AT31" s="41" t="str">
        <f t="shared" si="53"/>
        <v/>
      </c>
      <c r="AU31" s="43" t="str">
        <f t="shared" si="54"/>
        <v/>
      </c>
      <c r="AV31" s="43" t="str">
        <f t="shared" si="55"/>
        <v/>
      </c>
      <c r="AW31" s="44" t="str">
        <f t="shared" si="56"/>
        <v/>
      </c>
      <c r="AX31" s="45">
        <f t="shared" si="57"/>
        <v>0</v>
      </c>
      <c r="AY31" s="41" t="str">
        <f t="shared" si="58"/>
        <v/>
      </c>
      <c r="AZ31" s="43" t="str">
        <f t="shared" si="59"/>
        <v/>
      </c>
      <c r="BA31" s="43" t="str">
        <f t="shared" si="60"/>
        <v/>
      </c>
      <c r="BB31" s="44" t="str">
        <f t="shared" si="61"/>
        <v/>
      </c>
      <c r="BC31" s="45">
        <f t="shared" si="62"/>
        <v>0</v>
      </c>
      <c r="BD31" s="41" t="str">
        <f t="shared" si="63"/>
        <v/>
      </c>
      <c r="BE31" s="43" t="str">
        <f t="shared" si="64"/>
        <v/>
      </c>
      <c r="BF31" s="43" t="str">
        <f t="shared" si="65"/>
        <v/>
      </c>
      <c r="BG31" s="44" t="str">
        <f t="shared" si="66"/>
        <v/>
      </c>
      <c r="BH31" s="45">
        <f t="shared" si="67"/>
        <v>0</v>
      </c>
      <c r="BI31" s="41" t="str">
        <f t="shared" si="68"/>
        <v/>
      </c>
      <c r="BJ31" s="43" t="str">
        <f t="shared" si="69"/>
        <v/>
      </c>
      <c r="BK31" s="43" t="str">
        <f t="shared" si="70"/>
        <v/>
      </c>
      <c r="BL31" s="44" t="str">
        <f t="shared" si="71"/>
        <v/>
      </c>
      <c r="BM31" s="45">
        <f t="shared" si="72"/>
        <v>0</v>
      </c>
      <c r="BN31" s="41" t="str">
        <f t="shared" si="73"/>
        <v/>
      </c>
      <c r="BO31" s="40"/>
      <c r="BP31" s="40"/>
      <c r="BQ31" s="40"/>
    </row>
    <row r="32" hidden="1">
      <c r="A32" s="40"/>
      <c r="B32" s="40"/>
      <c r="C32" s="40"/>
      <c r="D32" s="40"/>
      <c r="E32" s="40"/>
      <c r="F32" s="40"/>
      <c r="G32" s="40"/>
      <c r="H32" s="40"/>
      <c r="I32" s="40"/>
      <c r="J32" s="50">
        <f>MULTIPLY(SUM(J18:J31),10)</f>
        <v>0</v>
      </c>
      <c r="K32" s="62">
        <f>COUNTIF(K18:K31,"TRUE")</f>
        <v>0</v>
      </c>
      <c r="L32" s="40"/>
      <c r="M32" s="40"/>
      <c r="N32" s="40"/>
      <c r="O32" s="50">
        <f>MULTIPLY(SUM(O18:O31),10)</f>
        <v>0</v>
      </c>
      <c r="P32" s="62">
        <f>COUNTIF(P18:P31,"TRUE")</f>
        <v>0</v>
      </c>
      <c r="Q32" s="40"/>
      <c r="R32" s="40"/>
      <c r="S32" s="40"/>
      <c r="T32" s="50">
        <f>MULTIPLY(SUM(T18:T31),10)</f>
        <v>0</v>
      </c>
      <c r="U32" s="62">
        <f>COUNTIF(U18:U31,"TRUE")</f>
        <v>0</v>
      </c>
      <c r="V32" s="40"/>
      <c r="W32" s="40"/>
      <c r="X32" s="40"/>
      <c r="Y32" s="50">
        <f>MULTIPLY(SUM(Y18:Y31),10)</f>
        <v>0</v>
      </c>
      <c r="Z32" s="62">
        <f>COUNTIF(Z18:Z31,"TRUE")</f>
        <v>0</v>
      </c>
      <c r="AA32" s="40"/>
      <c r="AB32" s="40"/>
      <c r="AC32" s="40"/>
      <c r="AD32" s="50">
        <f>MULTIPLY(SUM(AD18:AD31),10)</f>
        <v>0</v>
      </c>
      <c r="AE32" s="62">
        <f>COUNTIF(AE18:AE31,"TRUE")</f>
        <v>0</v>
      </c>
      <c r="AF32" s="40"/>
      <c r="AG32" s="40"/>
      <c r="AH32" s="40"/>
      <c r="AI32" s="50">
        <f>MULTIPLY(SUM(AI18:AI31),10)</f>
        <v>0</v>
      </c>
      <c r="AJ32" s="62">
        <f>COUNTIF(AJ18:AJ31,"TRUE")</f>
        <v>0</v>
      </c>
      <c r="AK32" s="40"/>
      <c r="AL32" s="40"/>
      <c r="AM32" s="40"/>
      <c r="AN32" s="50">
        <f>MULTIPLY(SUM(AN18:AN31),10)</f>
        <v>0</v>
      </c>
      <c r="AO32" s="62">
        <f>COUNTIF(AO18:AO31,"TRUE")</f>
        <v>0</v>
      </c>
      <c r="AP32" s="40"/>
      <c r="AQ32" s="40"/>
      <c r="AR32" s="40"/>
      <c r="AS32" s="50">
        <f>MULTIPLY(SUM(AS18:AS31),10)</f>
        <v>0</v>
      </c>
      <c r="AT32" s="62">
        <f>COUNTIF(AT18:AT31,"TRUE")</f>
        <v>0</v>
      </c>
      <c r="AU32" s="40"/>
      <c r="AV32" s="40"/>
      <c r="AW32" s="40"/>
      <c r="AX32" s="50">
        <f>MULTIPLY(SUM(AX18:AX31),10)</f>
        <v>0</v>
      </c>
      <c r="AY32" s="62">
        <f>COUNTIF(AY18:AY31,"TRUE")</f>
        <v>0</v>
      </c>
      <c r="AZ32" s="40"/>
      <c r="BA32" s="40"/>
      <c r="BB32" s="40"/>
      <c r="BC32" s="50">
        <f>MULTIPLY(SUM(BC18:BC31),10)</f>
        <v>0</v>
      </c>
      <c r="BD32" s="62">
        <f>COUNTIF(BD18:BD31,"TRUE")</f>
        <v>0</v>
      </c>
      <c r="BE32" s="40"/>
      <c r="BF32" s="40"/>
      <c r="BG32" s="40"/>
      <c r="BH32" s="50">
        <f>MULTIPLY(SUM(BH18:BH31),10)</f>
        <v>0</v>
      </c>
      <c r="BI32" s="62">
        <f>COUNTIF(BI18:BI31,"TRUE")</f>
        <v>0</v>
      </c>
      <c r="BJ32" s="40"/>
      <c r="BK32" s="40"/>
      <c r="BL32" s="40"/>
      <c r="BM32" s="50">
        <f>MULTIPLY(SUM(BM18:BM31),10)</f>
        <v>0</v>
      </c>
      <c r="BN32" s="62">
        <f>COUNTIF(BN18:BN31,"TRUE")</f>
        <v>0</v>
      </c>
      <c r="BO32" s="40"/>
      <c r="BP32" s="40"/>
      <c r="BQ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</row>
    <row r="34">
      <c r="A34" s="83" t="s">
        <v>234</v>
      </c>
      <c r="B34" s="52"/>
      <c r="C34" s="53" t="s">
        <v>6</v>
      </c>
      <c r="D34" s="53" t="s">
        <v>7</v>
      </c>
      <c r="E34" s="53" t="s">
        <v>8</v>
      </c>
      <c r="F34" s="53" t="s">
        <v>9</v>
      </c>
      <c r="G34" s="53" t="s">
        <v>10</v>
      </c>
      <c r="H34" s="53" t="s">
        <v>11</v>
      </c>
      <c r="I34" s="53" t="s">
        <v>12</v>
      </c>
      <c r="J34" s="53" t="s">
        <v>13</v>
      </c>
      <c r="K34" s="53" t="s">
        <v>14</v>
      </c>
      <c r="L34" s="53" t="s">
        <v>15</v>
      </c>
      <c r="M34" s="53" t="s">
        <v>16</v>
      </c>
      <c r="N34" s="54" t="s">
        <v>17</v>
      </c>
      <c r="O34" s="55"/>
      <c r="P34" s="56"/>
      <c r="Q34" s="56"/>
      <c r="R34" s="56"/>
      <c r="S34" s="56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</row>
    <row r="35">
      <c r="A35" s="81" t="s">
        <v>46</v>
      </c>
      <c r="B35" s="57" t="s">
        <v>141</v>
      </c>
      <c r="C35" s="58">
        <f t="array" ref="C35">INDEX(J32,0)</f>
        <v>0</v>
      </c>
      <c r="D35" s="58">
        <f t="array" ref="D35">INDEX(O32,0)</f>
        <v>0</v>
      </c>
      <c r="E35" s="58">
        <f t="array" ref="E35">INDEX(T32,0)</f>
        <v>0</v>
      </c>
      <c r="F35" s="58">
        <f t="array" ref="F35">INDEX(Y32,0)</f>
        <v>0</v>
      </c>
      <c r="G35" s="58">
        <f t="array" ref="G35">INDEX(AD32,0)</f>
        <v>0</v>
      </c>
      <c r="H35" s="58">
        <f t="array" ref="H35">INDEX(AI32,0)</f>
        <v>0</v>
      </c>
      <c r="I35" s="58">
        <f t="array" ref="I35">INDEX(AN32,0)</f>
        <v>0</v>
      </c>
      <c r="J35" s="58">
        <f t="array" ref="J35">INDEX(AS32,0)</f>
        <v>0</v>
      </c>
      <c r="K35" s="58">
        <f t="array" ref="K35">INDEX(AX32,0)</f>
        <v>0</v>
      </c>
      <c r="L35" s="58">
        <f t="array" ref="L35">INDEX(BC32,0)</f>
        <v>0</v>
      </c>
      <c r="M35" s="58">
        <f t="array" ref="M35">INDEX(BH32,0)</f>
        <v>0</v>
      </c>
      <c r="N35" s="60">
        <f t="array" ref="N35">INDEX(BM32,0)</f>
        <v>0</v>
      </c>
      <c r="O35" s="61"/>
      <c r="P35" s="11"/>
      <c r="Q35" s="11"/>
      <c r="R35" s="11"/>
      <c r="S35" s="11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</row>
    <row r="36">
      <c r="A36" s="81" t="s">
        <v>27</v>
      </c>
      <c r="B36" s="63" t="s">
        <v>142</v>
      </c>
      <c r="C36" s="64">
        <f>COUNTIF(K18:K31,true)</f>
        <v>0</v>
      </c>
      <c r="D36" s="64">
        <f>COUNTIF(P18:P31,true)</f>
        <v>0</v>
      </c>
      <c r="E36" s="64">
        <f>COUNTIF(U18:U31,true)</f>
        <v>0</v>
      </c>
      <c r="F36" s="64">
        <f>COUNTIF(Z18:Z31,true)</f>
        <v>0</v>
      </c>
      <c r="G36" s="64">
        <f>COUNTIF(AE18:AE31,true)</f>
        <v>0</v>
      </c>
      <c r="H36" s="64">
        <f>COUNTIF(AJ18:AJ31,true)</f>
        <v>0</v>
      </c>
      <c r="I36" s="64">
        <f>COUNTIF(AO18:AO31,true)</f>
        <v>0</v>
      </c>
      <c r="J36" s="64">
        <f>COUNTIF(AT18:AT31,true)</f>
        <v>0</v>
      </c>
      <c r="K36" s="64">
        <f>COUNTIF(AY18:AY31,true)</f>
        <v>0</v>
      </c>
      <c r="L36" s="64">
        <f>COUNTIF(BD18:BD31,true)</f>
        <v>0</v>
      </c>
      <c r="M36" s="64">
        <f>COUNTIF(BI18:BI31,true)</f>
        <v>0</v>
      </c>
      <c r="N36" s="65">
        <f>COUNTIF(BN18:BN31,true)</f>
        <v>0</v>
      </c>
      <c r="O36" s="66"/>
      <c r="P36" s="67"/>
      <c r="Q36" s="67"/>
      <c r="R36" s="67"/>
      <c r="S36" s="67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81" t="s">
        <v>87</v>
      </c>
      <c r="B37" s="63" t="s">
        <v>143</v>
      </c>
      <c r="C37" s="68">
        <f>COUNTIF(K18:K31,FALSE)</f>
        <v>0</v>
      </c>
      <c r="D37" s="68">
        <f>COUNTIF(P18:P31,FALSE)</f>
        <v>0</v>
      </c>
      <c r="E37" s="68">
        <f>COUNTIF(U18:U31,FALSE)</f>
        <v>0</v>
      </c>
      <c r="F37" s="68">
        <f>COUNTIF(Z18:Z31,FALSE)</f>
        <v>0</v>
      </c>
      <c r="G37" s="68">
        <f>COUNTIF(AE18:AE31,FALSE)</f>
        <v>0</v>
      </c>
      <c r="H37" s="68">
        <f>COUNTIF(AJ18:AJ31,FALSE)</f>
        <v>0</v>
      </c>
      <c r="I37" s="68">
        <f>COUNTIF(AO18:AO31,FALSE)</f>
        <v>0</v>
      </c>
      <c r="J37" s="68">
        <f>COUNTIF(AT18:AT31,FALSE)</f>
        <v>0</v>
      </c>
      <c r="K37" s="68">
        <f>COUNTIF(AY18:AY31,FALSE)</f>
        <v>0</v>
      </c>
      <c r="L37" s="68">
        <f>COUNTIF(BD18:BD31,FALSE)</f>
        <v>0</v>
      </c>
      <c r="M37" s="68">
        <f>COUNTIF(BI18:BI31,FALSE)</f>
        <v>0</v>
      </c>
      <c r="N37" s="69">
        <f>COUNTIF(BN18:BN31,FALSE)</f>
        <v>0</v>
      </c>
      <c r="O37" s="66"/>
      <c r="P37" s="67"/>
      <c r="Q37" s="67"/>
      <c r="R37" s="67"/>
      <c r="S37" s="67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1" t="s">
        <v>51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70" t="s">
        <v>144</v>
      </c>
      <c r="C39" s="71">
        <f>SUM('Week 1'!C38,'Week 2'!C38,'Week 3'!C38,'Week 4'!C38,'Week 5'!C39,C35)</f>
        <v>325</v>
      </c>
      <c r="D39" s="71">
        <f>SUM('Week 1'!D38,'Week 2'!D38,'Week 3'!D38,'Week 4'!D38,'Week 5'!D39,D35)</f>
        <v>275</v>
      </c>
      <c r="E39" s="71">
        <f>SUM('Week 1'!E38,'Week 2'!E38,'Week 3'!E38,'Week 4'!E38,'Week 5'!E39,E35)</f>
        <v>290</v>
      </c>
      <c r="F39" s="71">
        <f>SUM('Week 1'!F38,'Week 2'!F38,'Week 3'!F38,'Week 4'!F38,'Week 5'!F39,F35)</f>
        <v>375</v>
      </c>
      <c r="G39" s="71">
        <f>SUM('Week 1'!G38,'Week 2'!G38,'Week 3'!G38,'Week 4'!G38,'Week 5'!G39,G35)</f>
        <v>410</v>
      </c>
      <c r="H39" s="71">
        <f>SUM('Week 1'!H38,'Week 2'!H38,'Week 3'!H38,'Week 4'!H38,'Week 5'!H39,H35)</f>
        <v>480</v>
      </c>
      <c r="I39" s="71">
        <f>SUM('Week 1'!I38,'Week 2'!I38,'Week 3'!I38,'Week 4'!I38,'Week 5'!I39,I35)</f>
        <v>320</v>
      </c>
      <c r="J39" s="71">
        <f>SUM('Week 1'!J38,'Week 2'!J38,'Week 3'!J38,'Week 4'!J38,'Week 5'!J39,J35)</f>
        <v>445</v>
      </c>
      <c r="K39" s="71">
        <f>SUM('Week 1'!K38,'Week 2'!K38,'Week 3'!K38,'Week 4'!K38,'Week 5'!K39,K35)</f>
        <v>370</v>
      </c>
      <c r="L39" s="71">
        <f>SUM('Week 1'!L38,'Week 2'!L38,'Week 3'!L38,'Week 4'!L38,'Week 5'!L39,L35)</f>
        <v>280</v>
      </c>
      <c r="M39" s="71">
        <f>SUM('Week 1'!M38,'Week 2'!M38,'Week 3'!M38,'Week 4'!M38,'Week 5'!M39,M35)</f>
        <v>365</v>
      </c>
      <c r="N39" s="72">
        <f>SUM('Week 1'!N38,'Week 2'!N38,'Week 3'!N38,'Week 4'!N38,'Week 5'!N39,N35)</f>
        <v>290</v>
      </c>
      <c r="O39" s="61"/>
      <c r="P39" s="11"/>
      <c r="Q39" s="11"/>
      <c r="R39" s="11"/>
      <c r="S39" s="11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57" t="s">
        <v>145</v>
      </c>
      <c r="C40" s="73" t="str">
        <f>CONCATENATE(SUM('Week 1'!C39,'Week 2'!C39,'Week 3'!C39,'Week 4'!C39,'Week 5'!C40,C36)," - ",SUM('Week 1'!C40,'Week 2'!C40,'Week 3'!C40,'Week 4'!C40,'Week 5'!C41,C37))</f>
        <v>25 - 21</v>
      </c>
      <c r="D40" s="73" t="str">
        <f>CONCATENATE(SUM('Week 1'!D39,'Week 2'!D39,'Week 3'!D39,'Week 4'!D39,'Week 5'!D40,D36)," - ",SUM('Week 1'!D40,'Week 2'!D40,'Week 3'!D40,'Week 4'!D40,'Week 5'!D41,D37))</f>
        <v>24 - 22</v>
      </c>
      <c r="E40" s="73" t="str">
        <f>CONCATENATE(SUM('Week 1'!E39,'Week 2'!E39,'Week 3'!E39,'Week 4'!E39,'Week 5'!E40,E36)," - ",SUM('Week 1'!E40,'Week 2'!E40,'Week 3'!E40,'Week 4'!E40,'Week 5'!E41,E37))</f>
        <v>23 - 23</v>
      </c>
      <c r="F40" s="73" t="str">
        <f>CONCATENATE(SUM('Week 1'!F39,'Week 2'!F39,'Week 3'!F39,'Week 4'!F39,'Week 5'!F40,F36)," - ",SUM('Week 1'!F40,'Week 2'!F40,'Week 3'!F40,'Week 4'!F40,'Week 5'!F41,F37))</f>
        <v>26 - 20</v>
      </c>
      <c r="G40" s="73" t="str">
        <f>CONCATENATE(SUM('Week 1'!G39,'Week 2'!G39,'Week 3'!G39,'Week 4'!G39,'Week 5'!G40,G36)," - ",SUM('Week 1'!G40,'Week 2'!G40,'Week 3'!G40,'Week 4'!G40,'Week 5'!G41,G37))</f>
        <v>30 - 16</v>
      </c>
      <c r="H40" s="73" t="str">
        <f>CONCATENATE(SUM('Week 1'!H39,'Week 2'!H39,'Week 3'!H39,'Week 4'!H39,'Week 5'!H40,H36)," - ",SUM('Week 1'!H40,'Week 2'!H40,'Week 3'!H40,'Week 4'!H40,'Week 5'!H41,H37))</f>
        <v>33 - 13</v>
      </c>
      <c r="I40" s="73" t="str">
        <f>CONCATENATE(SUM('Week 1'!I39,'Week 2'!I39,'Week 3'!I39,'Week 4'!I39,'Week 5'!I40,I36)," - ",SUM('Week 1'!I40,'Week 2'!I40,'Week 3'!I40,'Week 4'!I40,'Week 5'!I41,I37))</f>
        <v>26 - 20</v>
      </c>
      <c r="J40" s="73" t="str">
        <f>CONCATENATE(SUM('Week 1'!J39,'Week 2'!J39,'Week 3'!J39,'Week 4'!J39,'Week 5'!J40,J36)," - ",SUM('Week 1'!J40,'Week 2'!J40,'Week 3'!J40,'Week 4'!J40,'Week 5'!J41,J37))</f>
        <v>27 - 19</v>
      </c>
      <c r="K40" s="73" t="str">
        <f>CONCATENATE(SUM('Week 1'!K39,'Week 2'!K39,'Week 3'!K39,'Week 4'!K39,'Week 5'!K40,K36)," - ",SUM('Week 1'!K40,'Week 2'!K40,'Week 3'!K40,'Week 4'!K40,'Week 5'!K41,K37))</f>
        <v>29 - 17</v>
      </c>
      <c r="L40" s="73" t="str">
        <f>CONCATENATE(SUM('Week 1'!L39,'Week 2'!L39,'Week 3'!L39,'Week 4'!L39,'Week 5'!L40,L36)," - ",SUM('Week 1'!L40,'Week 2'!L40,'Week 3'!L40,'Week 4'!L40,'Week 5'!L41,L37))</f>
        <v>26 - 20</v>
      </c>
      <c r="M40" s="73" t="str">
        <f>CONCATENATE(SUM('Week 1'!M39,'Week 2'!M39,'Week 3'!M39,'Week 4'!M39,'Week 5'!M40,M36)," - ",SUM('Week 1'!M40,'Week 2'!M40,'Week 3'!M40,'Week 4'!M40,'Week 5'!M41,M37))</f>
        <v>24 - 22</v>
      </c>
      <c r="N40" s="74" t="str">
        <f>CONCATENATE(SUM('Week 1'!N39,'Week 2'!N39,'Week 3'!N39,'Week 4'!N39,'Week 5'!N40,N36)," - ",SUM('Week 1'!N40,'Week 2'!N40,'Week 3'!N40,'Week 4'!N40,'Week 5'!N41,N37))</f>
        <v>20 - 26</v>
      </c>
      <c r="O40" s="75"/>
      <c r="P40" s="76"/>
      <c r="Q40" s="76"/>
      <c r="R40" s="76"/>
      <c r="S40" s="76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C42" s="29">
        <f t="array" ref="C42:E58">INDEX(H60:J76,0)</f>
        <v>1</v>
      </c>
      <c r="D42" s="29" t="s">
        <v>11</v>
      </c>
      <c r="E42" s="29">
        <v>480.0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C43" s="29">
        <v>2.0</v>
      </c>
      <c r="D43" s="29" t="s">
        <v>13</v>
      </c>
      <c r="E43" s="29">
        <v>445.0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C44" s="29">
        <v>3.0</v>
      </c>
      <c r="D44" s="29" t="s">
        <v>10</v>
      </c>
      <c r="E44" s="29">
        <v>410.0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v>4.0</v>
      </c>
      <c r="D45" s="29" t="s">
        <v>9</v>
      </c>
      <c r="E45" s="29">
        <v>375.0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5.0</v>
      </c>
      <c r="D46" s="29" t="s">
        <v>14</v>
      </c>
      <c r="E46" s="29">
        <v>370.0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6.0</v>
      </c>
      <c r="D47" s="29" t="s">
        <v>16</v>
      </c>
      <c r="E47" s="29">
        <v>365.0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7.0</v>
      </c>
      <c r="D48" s="29" t="s">
        <v>6</v>
      </c>
      <c r="E48" s="29">
        <v>325.0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8.0</v>
      </c>
      <c r="D49" s="29" t="s">
        <v>12</v>
      </c>
      <c r="E49" s="29">
        <v>320.0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9.0</v>
      </c>
      <c r="D50" s="29" t="s">
        <v>8</v>
      </c>
      <c r="E50" s="29">
        <v>290.0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9.0</v>
      </c>
      <c r="D51" s="29" t="s">
        <v>17</v>
      </c>
      <c r="E51" s="29">
        <v>290.0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11.0</v>
      </c>
      <c r="D52" s="29" t="s">
        <v>15</v>
      </c>
      <c r="E52" s="29">
        <v>280.0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12.0</v>
      </c>
      <c r="D53" s="29" t="s">
        <v>7</v>
      </c>
      <c r="E53" s="29">
        <v>275.0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/>
      <c r="D54" s="29"/>
      <c r="E54" s="2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/>
      <c r="D55" s="29"/>
      <c r="E55" s="2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/>
      <c r="D56" s="29"/>
      <c r="E56" s="2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 hidden="1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 hidden="1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 hidden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B60" s="77" t="s">
        <v>6</v>
      </c>
      <c r="C60" s="41">
        <f t="array" ref="C60">INDEX(C39,0)</f>
        <v>325</v>
      </c>
      <c r="D60" s="40"/>
      <c r="G60" s="40"/>
      <c r="H60" s="40">
        <f t="shared" ref="H60:H71" si="74">RANK(J60,$J$60:$J$76,false)</f>
        <v>1</v>
      </c>
      <c r="I60" s="40" t="str">
        <f t="array" ref="I60:J76">SORT(B60:C76,2,false)</f>
        <v>Caleb</v>
      </c>
      <c r="J60" s="40">
        <v>480.0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B61" s="77" t="s">
        <v>7</v>
      </c>
      <c r="C61" s="41">
        <f t="array" ref="C61">INDEX(D39,0)</f>
        <v>275</v>
      </c>
      <c r="D61" s="40"/>
      <c r="G61" s="40"/>
      <c r="H61" s="40">
        <f t="shared" si="74"/>
        <v>2</v>
      </c>
      <c r="I61" s="40" t="s">
        <v>13</v>
      </c>
      <c r="J61" s="40">
        <v>445.0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77" t="s">
        <v>8</v>
      </c>
      <c r="C62" s="41">
        <f t="array" ref="C62">INDEX(E39,0)</f>
        <v>290</v>
      </c>
      <c r="D62" s="40"/>
      <c r="G62" s="40"/>
      <c r="H62" s="40">
        <f t="shared" si="74"/>
        <v>3</v>
      </c>
      <c r="I62" s="40" t="s">
        <v>10</v>
      </c>
      <c r="J62" s="40">
        <v>410.0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9</v>
      </c>
      <c r="C63" s="41">
        <f t="array" ref="C63">INDEX(F39,0)</f>
        <v>375</v>
      </c>
      <c r="D63" s="40"/>
      <c r="G63" s="40"/>
      <c r="H63" s="40">
        <f t="shared" si="74"/>
        <v>4</v>
      </c>
      <c r="I63" s="40" t="s">
        <v>9</v>
      </c>
      <c r="J63" s="40">
        <v>375.0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10</v>
      </c>
      <c r="C64" s="41">
        <f t="array" ref="C64">INDEX(G39,0)</f>
        <v>410</v>
      </c>
      <c r="D64" s="40"/>
      <c r="G64" s="40"/>
      <c r="H64" s="40">
        <f t="shared" si="74"/>
        <v>5</v>
      </c>
      <c r="I64" s="40" t="s">
        <v>14</v>
      </c>
      <c r="J64" s="40">
        <v>370.0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11</v>
      </c>
      <c r="C65" s="41">
        <f t="array" ref="C65">INDEX(H39,0)</f>
        <v>480</v>
      </c>
      <c r="D65" s="40"/>
      <c r="G65" s="40"/>
      <c r="H65" s="40">
        <f t="shared" si="74"/>
        <v>6</v>
      </c>
      <c r="I65" s="40" t="s">
        <v>16</v>
      </c>
      <c r="J65" s="40">
        <v>365.0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12</v>
      </c>
      <c r="C66" s="41">
        <f t="array" ref="C66">INDEX(I39,0)</f>
        <v>320</v>
      </c>
      <c r="D66" s="40"/>
      <c r="G66" s="40"/>
      <c r="H66" s="40">
        <f t="shared" si="74"/>
        <v>7</v>
      </c>
      <c r="I66" s="40" t="s">
        <v>6</v>
      </c>
      <c r="J66" s="40">
        <v>325.0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13</v>
      </c>
      <c r="C67" s="41">
        <f t="array" ref="C67">INDEX(J39,0)</f>
        <v>445</v>
      </c>
      <c r="D67" s="40"/>
      <c r="G67" s="40"/>
      <c r="H67" s="40">
        <f t="shared" si="74"/>
        <v>8</v>
      </c>
      <c r="I67" s="40" t="s">
        <v>12</v>
      </c>
      <c r="J67" s="40">
        <v>320.0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14</v>
      </c>
      <c r="C68" s="41">
        <f t="array" ref="C68">INDEX(K39,0)</f>
        <v>370</v>
      </c>
      <c r="D68" s="40"/>
      <c r="G68" s="40"/>
      <c r="H68" s="40">
        <f t="shared" si="74"/>
        <v>9</v>
      </c>
      <c r="I68" s="40" t="s">
        <v>8</v>
      </c>
      <c r="J68" s="40">
        <v>290.0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15</v>
      </c>
      <c r="C69" s="41">
        <f t="array" ref="C69">INDEX(L39,0)</f>
        <v>280</v>
      </c>
      <c r="D69" s="40"/>
      <c r="G69" s="40"/>
      <c r="H69" s="40">
        <f t="shared" si="74"/>
        <v>9</v>
      </c>
      <c r="I69" s="40" t="s">
        <v>17</v>
      </c>
      <c r="J69" s="40">
        <v>290.0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16</v>
      </c>
      <c r="C70" s="41">
        <f t="array" ref="C70">INDEX(M39,0)</f>
        <v>365</v>
      </c>
      <c r="D70" s="40"/>
      <c r="G70" s="40"/>
      <c r="H70" s="40">
        <f t="shared" si="74"/>
        <v>11</v>
      </c>
      <c r="I70" s="40" t="s">
        <v>15</v>
      </c>
      <c r="J70" s="40">
        <v>280.0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17</v>
      </c>
      <c r="C71" s="41">
        <f t="array" ref="C71">INDEX(N39,0)</f>
        <v>290</v>
      </c>
      <c r="D71" s="40"/>
      <c r="G71" s="40"/>
      <c r="H71" s="40">
        <f t="shared" si="74"/>
        <v>12</v>
      </c>
      <c r="I71" s="40" t="s">
        <v>7</v>
      </c>
      <c r="J71" s="40">
        <v>275.0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/>
      <c r="C72" s="41"/>
      <c r="D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/>
      <c r="C73" s="41"/>
      <c r="D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/>
      <c r="C74" s="41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5">
    <cfRule type="expression" dxfId="0" priority="1">
      <formula>AND($I18=$C18,$C18=0)</formula>
    </cfRule>
  </conditionalFormatting>
  <conditionalFormatting sqref="G2:K15">
    <cfRule type="expression" dxfId="7" priority="2">
      <formula>$I18=$C18</formula>
    </cfRule>
  </conditionalFormatting>
  <conditionalFormatting sqref="L2:L15">
    <cfRule type="expression" dxfId="2" priority="3">
      <formula>AND(C2&lt;&gt;"",C2&lt;&gt;L2)</formula>
    </cfRule>
  </conditionalFormatting>
  <conditionalFormatting sqref="M2:M15">
    <cfRule type="expression" dxfId="2" priority="4">
      <formula>AND(C2&lt;&gt;"",C2&lt;&gt;L2)</formula>
    </cfRule>
  </conditionalFormatting>
  <conditionalFormatting sqref="N2:N15">
    <cfRule type="expression" dxfId="2" priority="5">
      <formula>AND(C2&lt;&gt;"",C2&lt;&gt;L2)</formula>
    </cfRule>
  </conditionalFormatting>
  <conditionalFormatting sqref="O2:O15">
    <cfRule type="expression" dxfId="2" priority="6">
      <formula>AND(C2&lt;&gt;"",C2&lt;&gt;L2)</formula>
    </cfRule>
  </conditionalFormatting>
  <conditionalFormatting sqref="P2:P15">
    <cfRule type="expression" dxfId="2" priority="7">
      <formula>AND(C2&lt;&gt;"",C2&lt;&gt;L2)</formula>
    </cfRule>
  </conditionalFormatting>
  <conditionalFormatting sqref="L2:P15">
    <cfRule type="expression" dxfId="0" priority="8">
      <formula>AND($N18=$C18,$C18=0)</formula>
    </cfRule>
  </conditionalFormatting>
  <conditionalFormatting sqref="L2:P15">
    <cfRule type="expression" dxfId="7" priority="9">
      <formula>$N18=$C18</formula>
    </cfRule>
  </conditionalFormatting>
  <conditionalFormatting sqref="Q2:Q15">
    <cfRule type="expression" dxfId="2" priority="10">
      <formula>AND(C2&lt;&gt;"",C2&lt;&gt;Q2)</formula>
    </cfRule>
  </conditionalFormatting>
  <conditionalFormatting sqref="R2:R15">
    <cfRule type="expression" dxfId="2" priority="11">
      <formula>AND(C2&lt;&gt;"",C2&lt;&gt;Q2)</formula>
    </cfRule>
  </conditionalFormatting>
  <conditionalFormatting sqref="S2:S15">
    <cfRule type="expression" dxfId="2" priority="12">
      <formula>AND(C2&lt;&gt;"",C2&lt;&gt;Q2)</formula>
    </cfRule>
  </conditionalFormatting>
  <conditionalFormatting sqref="T2:T15">
    <cfRule type="expression" dxfId="2" priority="13">
      <formula>AND(C2&lt;&gt;"",C2&lt;&gt;Q2)</formula>
    </cfRule>
  </conditionalFormatting>
  <conditionalFormatting sqref="U2:U15">
    <cfRule type="expression" dxfId="2" priority="14">
      <formula>AND(C2&lt;&gt;"",C2&lt;&gt;Q2)</formula>
    </cfRule>
  </conditionalFormatting>
  <conditionalFormatting sqref="Q2:U15">
    <cfRule type="expression" dxfId="0" priority="15">
      <formula>AND($S18=$C18,$C18=0)</formula>
    </cfRule>
  </conditionalFormatting>
  <conditionalFormatting sqref="Q2:U15">
    <cfRule type="expression" dxfId="7" priority="16">
      <formula>$S18=$C18</formula>
    </cfRule>
  </conditionalFormatting>
  <conditionalFormatting sqref="V2:V15">
    <cfRule type="expression" dxfId="2" priority="17">
      <formula>AND(C2&lt;&gt;"",C2&lt;&gt;V2)</formula>
    </cfRule>
  </conditionalFormatting>
  <conditionalFormatting sqref="W2:W15">
    <cfRule type="expression" dxfId="2" priority="18">
      <formula>AND(C2&lt;&gt;"",C2&lt;&gt;V2)</formula>
    </cfRule>
  </conditionalFormatting>
  <conditionalFormatting sqref="X2:X15">
    <cfRule type="expression" dxfId="2" priority="19">
      <formula>AND(C2&lt;&gt;"",C2&lt;&gt;V2)</formula>
    </cfRule>
  </conditionalFormatting>
  <conditionalFormatting sqref="Y2:Y15">
    <cfRule type="expression" dxfId="2" priority="20">
      <formula>AND(C2&lt;&gt;"",C2&lt;&gt;V2)</formula>
    </cfRule>
  </conditionalFormatting>
  <conditionalFormatting sqref="Z2:Z15">
    <cfRule type="expression" dxfId="2" priority="21">
      <formula>AND(C2&lt;&gt;"",C2&lt;&gt;V2)</formula>
    </cfRule>
  </conditionalFormatting>
  <conditionalFormatting sqref="AA2:AA15">
    <cfRule type="expression" dxfId="2" priority="22">
      <formula>AND(C2&lt;&gt;"",C2&lt;&gt;AA2)</formula>
    </cfRule>
  </conditionalFormatting>
  <conditionalFormatting sqref="AB2:AB15">
    <cfRule type="expression" dxfId="2" priority="23">
      <formula>AND(C2&lt;&gt;"",C2&lt;&gt;AA2)</formula>
    </cfRule>
  </conditionalFormatting>
  <conditionalFormatting sqref="AC2:AC15">
    <cfRule type="expression" dxfId="2" priority="24">
      <formula>AND(C2&lt;&gt;"",C2&lt;&gt;AA2)</formula>
    </cfRule>
  </conditionalFormatting>
  <conditionalFormatting sqref="AD2:AD15">
    <cfRule type="expression" dxfId="2" priority="25">
      <formula>AND(C2&lt;&gt;"",C2&lt;&gt;AA2)</formula>
    </cfRule>
  </conditionalFormatting>
  <conditionalFormatting sqref="AE2:AE15">
    <cfRule type="expression" dxfId="2" priority="26">
      <formula>AND(C2&lt;&gt;"",C2&lt;&gt;AA2)</formula>
    </cfRule>
  </conditionalFormatting>
  <conditionalFormatting sqref="AF2:AF15">
    <cfRule type="expression" dxfId="2" priority="27">
      <formula>AND(C2&lt;&gt;"",C2&lt;&gt;AF2)</formula>
    </cfRule>
  </conditionalFormatting>
  <conditionalFormatting sqref="AG2:AG15">
    <cfRule type="expression" dxfId="2" priority="28">
      <formula>AND(C2&lt;&gt;"",C2&lt;&gt;AF2)</formula>
    </cfRule>
  </conditionalFormatting>
  <conditionalFormatting sqref="AH2:AH15">
    <cfRule type="expression" dxfId="2" priority="29">
      <formula>AND(C2&lt;&gt;"",C2&lt;&gt;AF2)</formula>
    </cfRule>
  </conditionalFormatting>
  <conditionalFormatting sqref="AI2:AI15">
    <cfRule type="expression" dxfId="2" priority="30">
      <formula>AND(C2&lt;&gt;"",C2&lt;&gt;AF2)</formula>
    </cfRule>
  </conditionalFormatting>
  <conditionalFormatting sqref="AJ2:AJ15">
    <cfRule type="expression" dxfId="2" priority="31">
      <formula>AND(C2&lt;&gt;"",C2&lt;&gt;AF2)</formula>
    </cfRule>
  </conditionalFormatting>
  <conditionalFormatting sqref="AK2:AK15">
    <cfRule type="expression" dxfId="2" priority="32">
      <formula>AND(C2&lt;&gt;"",C2&lt;&gt;AK2)</formula>
    </cfRule>
  </conditionalFormatting>
  <conditionalFormatting sqref="AL2:AL15">
    <cfRule type="expression" dxfId="2" priority="33">
      <formula>AND(C2&lt;&gt;"",C2&lt;&gt;AK2)</formula>
    </cfRule>
  </conditionalFormatting>
  <conditionalFormatting sqref="AM2:AM15">
    <cfRule type="expression" dxfId="2" priority="34">
      <formula>AND(C2&lt;&gt;"",C2&lt;&gt;AK2)</formula>
    </cfRule>
  </conditionalFormatting>
  <conditionalFormatting sqref="AN2:AN15">
    <cfRule type="expression" dxfId="2" priority="35">
      <formula>AND(C2&lt;&gt;"",C2&lt;&gt;AK2)</formula>
    </cfRule>
  </conditionalFormatting>
  <conditionalFormatting sqref="AO2:AO15">
    <cfRule type="expression" dxfId="2" priority="36">
      <formula>AND(C2&lt;&gt;"",C2&lt;&gt;AK2)</formula>
    </cfRule>
  </conditionalFormatting>
  <conditionalFormatting sqref="AP2:AP15">
    <cfRule type="expression" dxfId="2" priority="37">
      <formula>AND(C2&lt;&gt;"",C2&lt;&gt;AP2)</formula>
    </cfRule>
  </conditionalFormatting>
  <conditionalFormatting sqref="AQ2:AQ15">
    <cfRule type="expression" dxfId="2" priority="38">
      <formula>AND(C2&lt;&gt;"",C2&lt;&gt;AP2)</formula>
    </cfRule>
  </conditionalFormatting>
  <conditionalFormatting sqref="AR2:AR15">
    <cfRule type="expression" dxfId="2" priority="39">
      <formula>AND(C2&lt;&gt;"",C2&lt;&gt;AP2)</formula>
    </cfRule>
  </conditionalFormatting>
  <conditionalFormatting sqref="AS2:AS15">
    <cfRule type="expression" dxfId="2" priority="40">
      <formula>AND(C2&lt;&gt;"",C2&lt;&gt;AP2)</formula>
    </cfRule>
  </conditionalFormatting>
  <conditionalFormatting sqref="AT2:AT15">
    <cfRule type="expression" dxfId="2" priority="41">
      <formula>AND(C2&lt;&gt;"",C2&lt;&gt;AP2)</formula>
    </cfRule>
  </conditionalFormatting>
  <conditionalFormatting sqref="AU2:AU15">
    <cfRule type="expression" dxfId="2" priority="42">
      <formula>AND(C2&lt;&gt;"",C2&lt;&gt;AU2)</formula>
    </cfRule>
  </conditionalFormatting>
  <conditionalFormatting sqref="AV2:AV15">
    <cfRule type="expression" dxfId="2" priority="43">
      <formula>AND(C2&lt;&gt;"",C2&lt;&gt;AU2)</formula>
    </cfRule>
  </conditionalFormatting>
  <conditionalFormatting sqref="AW2:AW15">
    <cfRule type="expression" dxfId="2" priority="44">
      <formula>AND(C2&lt;&gt;"",C2&lt;&gt;AU2)</formula>
    </cfRule>
  </conditionalFormatting>
  <conditionalFormatting sqref="AX2:AX15">
    <cfRule type="expression" dxfId="2" priority="45">
      <formula>AND(C2&lt;&gt;"",C2&lt;&gt;AU2)</formula>
    </cfRule>
  </conditionalFormatting>
  <conditionalFormatting sqref="AY2:AY15">
    <cfRule type="expression" dxfId="2" priority="46">
      <formula>AND(C2&lt;&gt;"",C2&lt;&gt;AU2)</formula>
    </cfRule>
  </conditionalFormatting>
  <conditionalFormatting sqref="AZ2:AZ15">
    <cfRule type="expression" dxfId="2" priority="47">
      <formula>AND(C2&lt;&gt;"",C2&lt;&gt;AZ2)</formula>
    </cfRule>
  </conditionalFormatting>
  <conditionalFormatting sqref="BA2:BA15">
    <cfRule type="expression" dxfId="2" priority="48">
      <formula>AND(C2&lt;&gt;"",C2&lt;&gt;AZ2)</formula>
    </cfRule>
  </conditionalFormatting>
  <conditionalFormatting sqref="BB2:BB15">
    <cfRule type="expression" dxfId="2" priority="49">
      <formula>AND(C2&lt;&gt;"",C2&lt;&gt;AZ2)</formula>
    </cfRule>
  </conditionalFormatting>
  <conditionalFormatting sqref="BC2:BC15">
    <cfRule type="expression" dxfId="2" priority="50">
      <formula>AND(C2&lt;&gt;"",C2&lt;&gt;AZ2)</formula>
    </cfRule>
  </conditionalFormatting>
  <conditionalFormatting sqref="BD2:BD15">
    <cfRule type="expression" dxfId="2" priority="51">
      <formula>AND(C2&lt;&gt;"",C2&lt;&gt;AZ2)</formula>
    </cfRule>
  </conditionalFormatting>
  <conditionalFormatting sqref="BE2:BE15">
    <cfRule type="expression" dxfId="2" priority="52">
      <formula>AND(C2&lt;&gt;"",C2&lt;&gt;BE2)</formula>
    </cfRule>
  </conditionalFormatting>
  <conditionalFormatting sqref="BF2:BF15">
    <cfRule type="expression" dxfId="2" priority="53">
      <formula>AND(C2&lt;&gt;"",C2&lt;&gt;BE2)</formula>
    </cfRule>
  </conditionalFormatting>
  <conditionalFormatting sqref="BG2:BG15">
    <cfRule type="expression" dxfId="2" priority="54">
      <formula>AND(C2&lt;&gt;"",C2&lt;&gt;BE2)</formula>
    </cfRule>
  </conditionalFormatting>
  <conditionalFormatting sqref="BH2:BH15">
    <cfRule type="expression" dxfId="2" priority="55">
      <formula>AND(C2&lt;&gt;"",C2&lt;&gt;BE2)</formula>
    </cfRule>
  </conditionalFormatting>
  <conditionalFormatting sqref="BI2:BI15">
    <cfRule type="expression" dxfId="2" priority="56">
      <formula>AND(C2&lt;&gt;"",C2&lt;&gt;BE2)</formula>
    </cfRule>
  </conditionalFormatting>
  <conditionalFormatting sqref="BJ2:BJ15">
    <cfRule type="expression" dxfId="2" priority="57">
      <formula>AND(C2&lt;&gt;"",C2&lt;&gt;BJ2)</formula>
    </cfRule>
  </conditionalFormatting>
  <conditionalFormatting sqref="BK2:BK15">
    <cfRule type="expression" dxfId="2" priority="58">
      <formula>AND(C2&lt;&gt;"",C2&lt;&gt;BJ2)</formula>
    </cfRule>
  </conditionalFormatting>
  <conditionalFormatting sqref="BL2:BL15">
    <cfRule type="expression" dxfId="2" priority="59">
      <formula>AND(C2&lt;&gt;"",C2&lt;&gt;BJ2)</formula>
    </cfRule>
  </conditionalFormatting>
  <conditionalFormatting sqref="BM2:BM15">
    <cfRule type="expression" dxfId="2" priority="60">
      <formula>AND(C2&lt;&gt;"",C2&lt;&gt;BJ2)</formula>
    </cfRule>
  </conditionalFormatting>
  <conditionalFormatting sqref="BN2:BN15">
    <cfRule type="expression" dxfId="2" priority="61">
      <formula>AND(C2&lt;&gt;"",C2&lt;&gt;BJ2)</formula>
    </cfRule>
  </conditionalFormatting>
  <conditionalFormatting sqref="G2:G15">
    <cfRule type="expression" dxfId="3" priority="62">
      <formula>G2=C2</formula>
    </cfRule>
  </conditionalFormatting>
  <conditionalFormatting sqref="H2:H15">
    <cfRule type="expression" dxfId="3" priority="63">
      <formula>G2=C2</formula>
    </cfRule>
  </conditionalFormatting>
  <conditionalFormatting sqref="I2:I15">
    <cfRule type="expression" dxfId="3" priority="64">
      <formula>G2=C2</formula>
    </cfRule>
  </conditionalFormatting>
  <conditionalFormatting sqref="J2:J15">
    <cfRule type="expression" dxfId="3" priority="65">
      <formula>G2=C2</formula>
    </cfRule>
  </conditionalFormatting>
  <conditionalFormatting sqref="K2:K15">
    <cfRule type="expression" dxfId="3" priority="66">
      <formula>G2=C2</formula>
    </cfRule>
  </conditionalFormatting>
  <conditionalFormatting sqref="L2:L15">
    <cfRule type="expression" dxfId="3" priority="67">
      <formula>L2=C2</formula>
    </cfRule>
  </conditionalFormatting>
  <conditionalFormatting sqref="M2:M15">
    <cfRule type="expression" dxfId="3" priority="68">
      <formula>L2=C2</formula>
    </cfRule>
  </conditionalFormatting>
  <conditionalFormatting sqref="N2:N15">
    <cfRule type="expression" dxfId="3" priority="69">
      <formula>L2=C2</formula>
    </cfRule>
  </conditionalFormatting>
  <conditionalFormatting sqref="O2:O15">
    <cfRule type="expression" dxfId="3" priority="70">
      <formula>L2=C2</formula>
    </cfRule>
  </conditionalFormatting>
  <conditionalFormatting sqref="P2:P15">
    <cfRule type="expression" dxfId="3" priority="71">
      <formula>L2=C2</formula>
    </cfRule>
  </conditionalFormatting>
  <conditionalFormatting sqref="Q2:Q15">
    <cfRule type="expression" dxfId="3" priority="72">
      <formula>Q2=C2</formula>
    </cfRule>
  </conditionalFormatting>
  <conditionalFormatting sqref="R2:R15">
    <cfRule type="expression" dxfId="3" priority="73">
      <formula>Q2=C2</formula>
    </cfRule>
  </conditionalFormatting>
  <conditionalFormatting sqref="S2:S15">
    <cfRule type="expression" dxfId="3" priority="74">
      <formula>Q2=C2</formula>
    </cfRule>
  </conditionalFormatting>
  <conditionalFormatting sqref="T2:T15">
    <cfRule type="expression" dxfId="3" priority="75">
      <formula>Q2=C2</formula>
    </cfRule>
  </conditionalFormatting>
  <conditionalFormatting sqref="U2:U15">
    <cfRule type="expression" dxfId="3" priority="76">
      <formula>Q2=C2</formula>
    </cfRule>
  </conditionalFormatting>
  <conditionalFormatting sqref="V2:Z15">
    <cfRule type="expression" dxfId="0" priority="77">
      <formula>AND($X18=$C18,$C18=0)</formula>
    </cfRule>
  </conditionalFormatting>
  <conditionalFormatting sqref="V2:Z15">
    <cfRule type="expression" dxfId="7" priority="78">
      <formula>$X18=$C18</formula>
    </cfRule>
  </conditionalFormatting>
  <conditionalFormatting sqref="V2:Z15">
    <cfRule type="expression" dxfId="3" priority="79">
      <formula>$V2=$C2</formula>
    </cfRule>
  </conditionalFormatting>
  <conditionalFormatting sqref="AA2:AE15">
    <cfRule type="expression" dxfId="0" priority="80">
      <formula>AND($AC18=$C18,$C18=0)</formula>
    </cfRule>
  </conditionalFormatting>
  <conditionalFormatting sqref="AA2:AE15">
    <cfRule type="expression" dxfId="7" priority="81">
      <formula>$AC18=$C18</formula>
    </cfRule>
  </conditionalFormatting>
  <conditionalFormatting sqref="AA2:AE15">
    <cfRule type="expression" dxfId="3" priority="82">
      <formula>$AA2=$C2</formula>
    </cfRule>
  </conditionalFormatting>
  <conditionalFormatting sqref="AF2:AJ15">
    <cfRule type="expression" dxfId="0" priority="83">
      <formula>AND($AH18=$C18,$C18=0)</formula>
    </cfRule>
  </conditionalFormatting>
  <conditionalFormatting sqref="AF2:AJ15">
    <cfRule type="expression" dxfId="7" priority="84">
      <formula>$AH18=$C18</formula>
    </cfRule>
  </conditionalFormatting>
  <conditionalFormatting sqref="AF2:AJ15">
    <cfRule type="expression" dxfId="3" priority="85">
      <formula>$AF2=$C2</formula>
    </cfRule>
  </conditionalFormatting>
  <conditionalFormatting sqref="AK2:AO15">
    <cfRule type="expression" dxfId="0" priority="86">
      <formula>AND($AM18=$C18,$C18=0)</formula>
    </cfRule>
  </conditionalFormatting>
  <conditionalFormatting sqref="AK2:AO15">
    <cfRule type="expression" dxfId="7" priority="87">
      <formula>$AM18=$C18</formula>
    </cfRule>
  </conditionalFormatting>
  <conditionalFormatting sqref="AK2:AO15">
    <cfRule type="expression" dxfId="3" priority="88">
      <formula>$AK2=$C2</formula>
    </cfRule>
  </conditionalFormatting>
  <conditionalFormatting sqref="AP2:AT15">
    <cfRule type="expression" dxfId="0" priority="89">
      <formula>AND($AR18=$C18,$C18=0)</formula>
    </cfRule>
  </conditionalFormatting>
  <conditionalFormatting sqref="AP2:AT15">
    <cfRule type="expression" dxfId="7" priority="90">
      <formula>$AR18=$C18</formula>
    </cfRule>
  </conditionalFormatting>
  <conditionalFormatting sqref="AP2:AT15">
    <cfRule type="expression" dxfId="3" priority="91">
      <formula>$AP2=$C2</formula>
    </cfRule>
  </conditionalFormatting>
  <conditionalFormatting sqref="AU2:AY15">
    <cfRule type="expression" dxfId="0" priority="92">
      <formula>AND($AW18=$C18,$C18=0)</formula>
    </cfRule>
  </conditionalFormatting>
  <conditionalFormatting sqref="AU2:AY15">
    <cfRule type="expression" dxfId="7" priority="93">
      <formula>$AW18=$C18</formula>
    </cfRule>
  </conditionalFormatting>
  <conditionalFormatting sqref="AU2:AY15">
    <cfRule type="expression" dxfId="3" priority="94">
      <formula>$AU2=$C2</formula>
    </cfRule>
  </conditionalFormatting>
  <conditionalFormatting sqref="AZ2:BD15">
    <cfRule type="expression" dxfId="0" priority="95">
      <formula>AND($BB18=$C18,$C18=0)</formula>
    </cfRule>
  </conditionalFormatting>
  <conditionalFormatting sqref="AZ2:BD15">
    <cfRule type="expression" dxfId="7" priority="96">
      <formula>$BB18=$C18</formula>
    </cfRule>
  </conditionalFormatting>
  <conditionalFormatting sqref="AZ2:BD15">
    <cfRule type="expression" dxfId="3" priority="97">
      <formula>$AZ2=$C2</formula>
    </cfRule>
  </conditionalFormatting>
  <conditionalFormatting sqref="BE2:BI15">
    <cfRule type="expression" dxfId="0" priority="98">
      <formula>AND($BG18=$C18,$C18=0)</formula>
    </cfRule>
  </conditionalFormatting>
  <conditionalFormatting sqref="BE2:BI15">
    <cfRule type="expression" dxfId="7" priority="99">
      <formula>$BG18=$C18</formula>
    </cfRule>
  </conditionalFormatting>
  <conditionalFormatting sqref="BE2:BI15">
    <cfRule type="expression" dxfId="3" priority="100">
      <formula>$BE2=$C2</formula>
    </cfRule>
  </conditionalFormatting>
  <conditionalFormatting sqref="BJ2:BN15">
    <cfRule type="expression" dxfId="0" priority="101">
      <formula>AND($BL18=$C18,$C18=0)</formula>
    </cfRule>
  </conditionalFormatting>
  <conditionalFormatting sqref="BJ2:BN15">
    <cfRule type="expression" dxfId="7" priority="102">
      <formula>$BL18=$C18</formula>
    </cfRule>
  </conditionalFormatting>
  <conditionalFormatting sqref="BJ2:BN15">
    <cfRule type="expression" dxfId="3" priority="103">
      <formula>$BJ2=$C2</formula>
    </cfRule>
  </conditionalFormatting>
  <conditionalFormatting sqref="G2:K15">
    <cfRule type="expression" dxfId="2" priority="104">
      <formula>AND($C2&lt;&gt;"",$G2&lt;&gt;$C2)</formula>
    </cfRule>
  </conditionalFormatting>
  <conditionalFormatting sqref="C42:C58">
    <cfRule type="cellIs" dxfId="4" priority="105" operator="equal">
      <formula>1</formula>
    </cfRule>
  </conditionalFormatting>
  <conditionalFormatting sqref="C42:C58">
    <cfRule type="cellIs" dxfId="5" priority="106" operator="equal">
      <formula>2</formula>
    </cfRule>
  </conditionalFormatting>
  <conditionalFormatting sqref="C42:C58">
    <cfRule type="cellIs" dxfId="6" priority="107" operator="equal">
      <formula>3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75"/>
    <col customWidth="1" min="3" max="19" width="7.63"/>
    <col customWidth="1" min="20" max="69" width="5.13"/>
  </cols>
  <sheetData>
    <row r="1">
      <c r="A1" s="78" t="s">
        <v>0</v>
      </c>
      <c r="B1" s="78" t="s">
        <v>152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153</v>
      </c>
      <c r="B2" s="17" t="s">
        <v>154</v>
      </c>
      <c r="C2" s="18" t="str">
        <f>IFERROR(__xludf.DUMMYFUNCTION("IMPORTRANGE(""https://docs.google.com/spreadsheets/d/1v9a6MxzpyXdVbef97sptWrOJUpuAu6ldKC6wbegqpyg/edit?gid=743713274#gid=743713274"",""Week 7!C3:F16"")"),"")</f>
        <v/>
      </c>
      <c r="D2" s="11" t="str">
        <f>IFERROR(__xludf.DUMMYFUNCTION("""COMPUTED_VALUE"""),"")</f>
        <v/>
      </c>
      <c r="E2" s="19"/>
      <c r="F2" s="20"/>
      <c r="G2" s="19" t="s">
        <v>28</v>
      </c>
      <c r="H2" s="11" t="str">
        <f t="shared" ref="H2:H15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24.0</v>
      </c>
      <c r="J2" s="19">
        <v>21.0</v>
      </c>
      <c r="K2" s="20" t="b">
        <v>0</v>
      </c>
      <c r="L2" s="24" t="s">
        <v>28</v>
      </c>
      <c r="M2" s="26" t="str">
        <f t="shared" ref="M2:M15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28.0</v>
      </c>
      <c r="O2" s="24">
        <v>21.0</v>
      </c>
      <c r="P2" s="24" t="b">
        <v>0</v>
      </c>
      <c r="Q2" s="27" t="s">
        <v>28</v>
      </c>
      <c r="R2" s="11" t="str">
        <f t="shared" ref="R2:R15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14.0</v>
      </c>
      <c r="T2" s="19">
        <v>10.0</v>
      </c>
      <c r="U2" s="20" t="b">
        <v>0</v>
      </c>
      <c r="V2" s="19" t="s">
        <v>44</v>
      </c>
      <c r="W2" s="11" t="str">
        <f t="shared" ref="W2:W15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24.0</v>
      </c>
      <c r="Y2" s="19">
        <v>31.0</v>
      </c>
      <c r="Z2" s="20" t="b">
        <v>0</v>
      </c>
      <c r="AA2" s="27" t="s">
        <v>28</v>
      </c>
      <c r="AB2" s="11" t="str">
        <f t="shared" ref="AB2:AB15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24.0</v>
      </c>
      <c r="AD2" s="19">
        <v>17.0</v>
      </c>
      <c r="AE2" s="19" t="b">
        <v>0</v>
      </c>
      <c r="AF2" s="27" t="s">
        <v>44</v>
      </c>
      <c r="AG2" s="11" t="str">
        <f t="shared" ref="AG2:AG15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24.0</v>
      </c>
      <c r="AI2" s="19">
        <v>31.0</v>
      </c>
      <c r="AJ2" s="20" t="b">
        <v>1</v>
      </c>
      <c r="AK2" s="19" t="s">
        <v>28</v>
      </c>
      <c r="AL2" s="11" t="str">
        <f t="shared" ref="AL2:AL15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21.0</v>
      </c>
      <c r="AN2" s="19">
        <v>17.0</v>
      </c>
      <c r="AO2" s="20" t="b">
        <v>0</v>
      </c>
      <c r="AP2" s="27" t="s">
        <v>44</v>
      </c>
      <c r="AQ2" s="11" t="str">
        <f t="shared" ref="AQ2:AQ15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24.0</v>
      </c>
      <c r="AS2" s="19">
        <v>27.0</v>
      </c>
      <c r="AT2" s="20" t="b">
        <v>0</v>
      </c>
      <c r="AU2" s="27" t="s">
        <v>44</v>
      </c>
      <c r="AV2" s="11" t="str">
        <f t="shared" ref="AV2:AV15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17.0</v>
      </c>
      <c r="AX2" s="19">
        <v>20.0</v>
      </c>
      <c r="AY2" s="20" t="b">
        <v>0</v>
      </c>
      <c r="AZ2" s="27" t="s">
        <v>28</v>
      </c>
      <c r="BA2" s="11" t="str">
        <f t="shared" ref="BA2:BA15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23.0</v>
      </c>
      <c r="BC2" s="19">
        <v>20.0</v>
      </c>
      <c r="BD2" s="20" t="b">
        <v>0</v>
      </c>
      <c r="BE2" s="27" t="s">
        <v>44</v>
      </c>
      <c r="BF2" s="11" t="str">
        <f t="shared" ref="BF2:BF15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24.0</v>
      </c>
      <c r="BH2" s="19">
        <v>31.0</v>
      </c>
      <c r="BI2" s="20" t="b">
        <v>0</v>
      </c>
      <c r="BJ2" s="27" t="s">
        <v>44</v>
      </c>
      <c r="BK2" s="11" t="str">
        <f t="shared" ref="BK2:BK15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21.0</v>
      </c>
      <c r="BM2" s="19">
        <v>28.0</v>
      </c>
      <c r="BN2" s="20" t="b">
        <v>0</v>
      </c>
      <c r="BO2" s="19"/>
      <c r="BP2" s="19"/>
      <c r="BQ2" s="19"/>
    </row>
    <row r="3">
      <c r="A3" s="16" t="s">
        <v>170</v>
      </c>
      <c r="B3" s="17" t="s">
        <v>171</v>
      </c>
      <c r="C3" s="18"/>
      <c r="D3" s="11" t="str">
        <f>IFERROR(__xludf.DUMMYFUNCTION("""COMPUTED_VALUE"""),"")</f>
        <v/>
      </c>
      <c r="E3" s="17"/>
      <c r="F3" s="31"/>
      <c r="G3" s="19" t="s">
        <v>126</v>
      </c>
      <c r="H3" s="11" t="str">
        <f t="shared" si="1"/>
        <v/>
      </c>
      <c r="I3" s="19">
        <v>17.0</v>
      </c>
      <c r="J3" s="19">
        <v>21.0</v>
      </c>
      <c r="K3" s="20" t="b">
        <v>0</v>
      </c>
      <c r="L3" s="19" t="s">
        <v>126</v>
      </c>
      <c r="M3" s="11" t="str">
        <f t="shared" si="2"/>
        <v/>
      </c>
      <c r="N3" s="19">
        <v>24.0</v>
      </c>
      <c r="O3" s="19">
        <v>27.0</v>
      </c>
      <c r="P3" s="19" t="b">
        <v>0</v>
      </c>
      <c r="Q3" s="27" t="s">
        <v>33</v>
      </c>
      <c r="R3" s="11" t="str">
        <f t="shared" si="3"/>
        <v/>
      </c>
      <c r="S3" s="19">
        <v>23.0</v>
      </c>
      <c r="T3" s="19">
        <v>20.0</v>
      </c>
      <c r="U3" s="20" t="b">
        <v>0</v>
      </c>
      <c r="V3" s="19" t="s">
        <v>126</v>
      </c>
      <c r="W3" s="11" t="str">
        <f t="shared" si="4"/>
        <v/>
      </c>
      <c r="X3" s="19">
        <v>7.0</v>
      </c>
      <c r="Y3" s="19">
        <v>10.0</v>
      </c>
      <c r="Z3" s="20" t="b">
        <v>0</v>
      </c>
      <c r="AA3" s="27" t="s">
        <v>33</v>
      </c>
      <c r="AB3" s="11" t="str">
        <f t="shared" si="5"/>
        <v/>
      </c>
      <c r="AC3" s="19">
        <v>24.0</v>
      </c>
      <c r="AD3" s="19">
        <v>17.0</v>
      </c>
      <c r="AE3" s="19" t="b">
        <v>0</v>
      </c>
      <c r="AF3" s="27" t="s">
        <v>33</v>
      </c>
      <c r="AG3" s="11" t="str">
        <f t="shared" si="6"/>
        <v/>
      </c>
      <c r="AH3" s="19">
        <v>24.0</v>
      </c>
      <c r="AI3" s="19">
        <v>21.0</v>
      </c>
      <c r="AJ3" s="20" t="b">
        <v>0</v>
      </c>
      <c r="AK3" s="19" t="s">
        <v>126</v>
      </c>
      <c r="AL3" s="11" t="str">
        <f t="shared" si="7"/>
        <v/>
      </c>
      <c r="AM3" s="19">
        <v>17.0</v>
      </c>
      <c r="AN3" s="19">
        <v>21.0</v>
      </c>
      <c r="AO3" s="20" t="b">
        <v>0</v>
      </c>
      <c r="AP3" s="27" t="s">
        <v>33</v>
      </c>
      <c r="AQ3" s="11" t="str">
        <f t="shared" si="8"/>
        <v/>
      </c>
      <c r="AR3" s="19">
        <v>20.0</v>
      </c>
      <c r="AS3" s="19">
        <v>13.0</v>
      </c>
      <c r="AT3" s="20" t="b">
        <v>0</v>
      </c>
      <c r="AU3" s="27" t="s">
        <v>33</v>
      </c>
      <c r="AV3" s="11" t="str">
        <f t="shared" si="9"/>
        <v/>
      </c>
      <c r="AW3" s="19">
        <v>20.0</v>
      </c>
      <c r="AX3" s="19">
        <v>17.0</v>
      </c>
      <c r="AY3" s="20" t="b">
        <v>0</v>
      </c>
      <c r="AZ3" s="27" t="s">
        <v>33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33</v>
      </c>
      <c r="BF3" s="11" t="str">
        <f t="shared" si="11"/>
        <v/>
      </c>
      <c r="BG3" s="19">
        <v>20.0</v>
      </c>
      <c r="BH3" s="19">
        <v>17.0</v>
      </c>
      <c r="BI3" s="20" t="b">
        <v>0</v>
      </c>
      <c r="BJ3" s="27" t="s">
        <v>126</v>
      </c>
      <c r="BK3" s="11" t="str">
        <f t="shared" si="12"/>
        <v/>
      </c>
      <c r="BL3" s="19">
        <v>14.0</v>
      </c>
      <c r="BM3" s="19">
        <v>17.0</v>
      </c>
      <c r="BN3" s="20" t="b">
        <v>0</v>
      </c>
      <c r="BO3" s="17"/>
      <c r="BP3" s="17"/>
      <c r="BQ3" s="17"/>
    </row>
    <row r="4">
      <c r="A4" s="16" t="s">
        <v>175</v>
      </c>
      <c r="B4" s="17" t="s">
        <v>176</v>
      </c>
      <c r="C4" s="18"/>
      <c r="D4" s="11" t="str">
        <f>IFERROR(__xludf.DUMMYFUNCTION("""COMPUTED_VALUE"""),"")</f>
        <v/>
      </c>
      <c r="E4" s="19"/>
      <c r="F4" s="20"/>
      <c r="G4" s="19" t="s">
        <v>40</v>
      </c>
      <c r="H4" s="11" t="str">
        <f t="shared" si="1"/>
        <v/>
      </c>
      <c r="I4" s="19">
        <v>23.0</v>
      </c>
      <c r="J4" s="19">
        <v>20.0</v>
      </c>
      <c r="K4" s="20" t="b">
        <v>0</v>
      </c>
      <c r="L4" s="19" t="s">
        <v>29</v>
      </c>
      <c r="M4" s="11" t="str">
        <f t="shared" si="2"/>
        <v/>
      </c>
      <c r="N4" s="19">
        <v>21.0</v>
      </c>
      <c r="O4" s="19">
        <v>28.0</v>
      </c>
      <c r="P4" s="19" t="b">
        <v>0</v>
      </c>
      <c r="Q4" s="27" t="s">
        <v>29</v>
      </c>
      <c r="R4" s="11" t="str">
        <f t="shared" si="3"/>
        <v/>
      </c>
      <c r="S4" s="19">
        <v>21.0</v>
      </c>
      <c r="T4" s="19">
        <v>24.0</v>
      </c>
      <c r="U4" s="20" t="b">
        <v>0</v>
      </c>
      <c r="V4" s="19" t="s">
        <v>40</v>
      </c>
      <c r="W4" s="11" t="str">
        <f t="shared" si="4"/>
        <v/>
      </c>
      <c r="X4" s="19">
        <v>24.0</v>
      </c>
      <c r="Y4" s="19">
        <v>21.0</v>
      </c>
      <c r="Z4" s="20" t="b">
        <v>0</v>
      </c>
      <c r="AA4" s="27" t="s">
        <v>40</v>
      </c>
      <c r="AB4" s="11" t="str">
        <f t="shared" si="5"/>
        <v/>
      </c>
      <c r="AC4" s="19">
        <v>24.0</v>
      </c>
      <c r="AD4" s="19">
        <v>17.0</v>
      </c>
      <c r="AE4" s="19" t="b">
        <v>0</v>
      </c>
      <c r="AF4" s="27" t="s">
        <v>40</v>
      </c>
      <c r="AG4" s="11" t="str">
        <f t="shared" si="6"/>
        <v/>
      </c>
      <c r="AH4" s="19">
        <v>28.0</v>
      </c>
      <c r="AI4" s="19">
        <v>21.0</v>
      </c>
      <c r="AJ4" s="20" t="b">
        <v>0</v>
      </c>
      <c r="AK4" s="19" t="s">
        <v>40</v>
      </c>
      <c r="AL4" s="11" t="str">
        <f t="shared" si="7"/>
        <v/>
      </c>
      <c r="AM4" s="19">
        <v>23.0</v>
      </c>
      <c r="AN4" s="19">
        <v>20.0</v>
      </c>
      <c r="AO4" s="20" t="b">
        <v>0</v>
      </c>
      <c r="AP4" s="27" t="s">
        <v>40</v>
      </c>
      <c r="AQ4" s="11" t="str">
        <f t="shared" si="8"/>
        <v/>
      </c>
      <c r="AR4" s="19">
        <v>27.0</v>
      </c>
      <c r="AS4" s="19">
        <v>20.0</v>
      </c>
      <c r="AT4" s="20" t="b">
        <v>0</v>
      </c>
      <c r="AU4" s="27" t="s">
        <v>40</v>
      </c>
      <c r="AV4" s="11" t="str">
        <f t="shared" si="9"/>
        <v/>
      </c>
      <c r="AW4" s="19">
        <v>27.0</v>
      </c>
      <c r="AX4" s="19">
        <v>24.0</v>
      </c>
      <c r="AY4" s="20" t="b">
        <v>1</v>
      </c>
      <c r="AZ4" s="27" t="s">
        <v>40</v>
      </c>
      <c r="BA4" s="11" t="str">
        <f t="shared" si="10"/>
        <v/>
      </c>
      <c r="BB4" s="19">
        <v>23.0</v>
      </c>
      <c r="BC4" s="19">
        <v>20.0</v>
      </c>
      <c r="BD4" s="20" t="b">
        <v>0</v>
      </c>
      <c r="BE4" s="27" t="s">
        <v>40</v>
      </c>
      <c r="BF4" s="11" t="str">
        <f t="shared" si="11"/>
        <v/>
      </c>
      <c r="BG4" s="19">
        <v>21.0</v>
      </c>
      <c r="BH4" s="19">
        <v>17.0</v>
      </c>
      <c r="BI4" s="20" t="b">
        <v>0</v>
      </c>
      <c r="BJ4" s="27" t="s">
        <v>29</v>
      </c>
      <c r="BK4" s="11" t="str">
        <f t="shared" si="12"/>
        <v/>
      </c>
      <c r="BL4" s="19">
        <v>21.0</v>
      </c>
      <c r="BM4" s="19">
        <v>28.0</v>
      </c>
      <c r="BN4" s="20" t="b">
        <v>0</v>
      </c>
      <c r="BO4" s="17"/>
      <c r="BP4" s="17"/>
      <c r="BQ4" s="17"/>
    </row>
    <row r="5">
      <c r="A5" s="16" t="s">
        <v>175</v>
      </c>
      <c r="B5" s="30" t="s">
        <v>179</v>
      </c>
      <c r="C5" s="18"/>
      <c r="D5" s="11" t="str">
        <f>IFERROR(__xludf.DUMMYFUNCTION("""COMPUTED_VALUE"""),"")</f>
        <v/>
      </c>
      <c r="E5" s="19"/>
      <c r="F5" s="20"/>
      <c r="G5" s="19" t="s">
        <v>46</v>
      </c>
      <c r="H5" s="11" t="str">
        <f t="shared" si="1"/>
        <v/>
      </c>
      <c r="I5" s="19">
        <v>20.0</v>
      </c>
      <c r="J5" s="19">
        <v>14.0</v>
      </c>
      <c r="K5" s="20" t="b">
        <v>0</v>
      </c>
      <c r="L5" s="19" t="s">
        <v>46</v>
      </c>
      <c r="M5" s="11" t="str">
        <f t="shared" si="2"/>
        <v/>
      </c>
      <c r="N5" s="19">
        <v>27.0</v>
      </c>
      <c r="O5" s="19">
        <v>24.0</v>
      </c>
      <c r="P5" s="19" t="b">
        <v>0</v>
      </c>
      <c r="Q5" s="27" t="s">
        <v>61</v>
      </c>
      <c r="R5" s="11" t="str">
        <f t="shared" si="3"/>
        <v/>
      </c>
      <c r="S5" s="19">
        <v>24.0</v>
      </c>
      <c r="T5" s="19">
        <v>31.0</v>
      </c>
      <c r="U5" s="20" t="b">
        <v>0</v>
      </c>
      <c r="V5" s="19" t="s">
        <v>61</v>
      </c>
      <c r="W5" s="11" t="str">
        <f t="shared" si="4"/>
        <v/>
      </c>
      <c r="X5" s="19">
        <v>14.0</v>
      </c>
      <c r="Y5" s="19">
        <v>17.0</v>
      </c>
      <c r="Z5" s="20" t="b">
        <v>0</v>
      </c>
      <c r="AA5" s="27" t="s">
        <v>61</v>
      </c>
      <c r="AB5" s="11" t="str">
        <f t="shared" si="5"/>
        <v/>
      </c>
      <c r="AC5" s="19">
        <v>17.0</v>
      </c>
      <c r="AD5" s="19">
        <v>24.0</v>
      </c>
      <c r="AE5" s="19" t="b">
        <v>0</v>
      </c>
      <c r="AF5" s="27" t="s">
        <v>61</v>
      </c>
      <c r="AG5" s="11" t="str">
        <f t="shared" si="6"/>
        <v/>
      </c>
      <c r="AH5" s="19">
        <v>24.0</v>
      </c>
      <c r="AI5" s="19">
        <v>27.0</v>
      </c>
      <c r="AJ5" s="20" t="b">
        <v>0</v>
      </c>
      <c r="AK5" s="19" t="s">
        <v>46</v>
      </c>
      <c r="AL5" s="11" t="str">
        <f t="shared" si="7"/>
        <v/>
      </c>
      <c r="AM5" s="19">
        <v>23.0</v>
      </c>
      <c r="AN5" s="19">
        <v>20.0</v>
      </c>
      <c r="AO5" s="20" t="b">
        <v>0</v>
      </c>
      <c r="AP5" s="27" t="s">
        <v>61</v>
      </c>
      <c r="AQ5" s="11" t="str">
        <f t="shared" si="8"/>
        <v/>
      </c>
      <c r="AR5" s="19">
        <v>24.0</v>
      </c>
      <c r="AS5" s="19">
        <v>28.0</v>
      </c>
      <c r="AT5" s="20" t="b">
        <v>0</v>
      </c>
      <c r="AU5" s="27" t="s">
        <v>46</v>
      </c>
      <c r="AV5" s="11" t="str">
        <f t="shared" si="9"/>
        <v/>
      </c>
      <c r="AW5" s="19">
        <v>21.0</v>
      </c>
      <c r="AX5" s="19">
        <v>17.0</v>
      </c>
      <c r="AY5" s="20" t="b">
        <v>0</v>
      </c>
      <c r="AZ5" s="27" t="s">
        <v>61</v>
      </c>
      <c r="BA5" s="11" t="str">
        <f t="shared" si="10"/>
        <v/>
      </c>
      <c r="BB5" s="19">
        <v>20.0</v>
      </c>
      <c r="BC5" s="19">
        <v>23.0</v>
      </c>
      <c r="BD5" s="20" t="b">
        <v>0</v>
      </c>
      <c r="BE5" s="27" t="s">
        <v>61</v>
      </c>
      <c r="BF5" s="11" t="str">
        <f t="shared" si="11"/>
        <v/>
      </c>
      <c r="BG5" s="19">
        <v>24.0</v>
      </c>
      <c r="BH5" s="19">
        <v>31.0</v>
      </c>
      <c r="BI5" s="20" t="b">
        <v>0</v>
      </c>
      <c r="BJ5" s="27" t="s">
        <v>46</v>
      </c>
      <c r="BK5" s="11" t="str">
        <f t="shared" si="12"/>
        <v/>
      </c>
      <c r="BL5" s="19">
        <v>23.0</v>
      </c>
      <c r="BM5" s="19">
        <v>20.0</v>
      </c>
      <c r="BN5" s="20" t="b">
        <v>0</v>
      </c>
      <c r="BO5" s="17"/>
      <c r="BP5" s="17"/>
      <c r="BQ5" s="17"/>
    </row>
    <row r="6">
      <c r="A6" s="16" t="s">
        <v>175</v>
      </c>
      <c r="B6" s="30" t="s">
        <v>183</v>
      </c>
      <c r="C6" s="18"/>
      <c r="D6" s="11" t="str">
        <f>IFERROR(__xludf.DUMMYFUNCTION("""COMPUTED_VALUE"""),"")</f>
        <v/>
      </c>
      <c r="E6" s="19"/>
      <c r="F6" s="20"/>
      <c r="G6" s="19" t="s">
        <v>41</v>
      </c>
      <c r="H6" s="11" t="str">
        <f t="shared" si="1"/>
        <v/>
      </c>
      <c r="I6" s="19">
        <v>14.0</v>
      </c>
      <c r="J6" s="19">
        <v>17.0</v>
      </c>
      <c r="K6" s="20" t="b">
        <v>0</v>
      </c>
      <c r="L6" s="19" t="s">
        <v>41</v>
      </c>
      <c r="M6" s="11" t="str">
        <f t="shared" si="2"/>
        <v/>
      </c>
      <c r="N6" s="19">
        <v>17.0</v>
      </c>
      <c r="O6" s="19">
        <v>21.0</v>
      </c>
      <c r="P6" s="19" t="b">
        <v>0</v>
      </c>
      <c r="Q6" s="27" t="s">
        <v>41</v>
      </c>
      <c r="R6" s="11" t="str">
        <f t="shared" si="3"/>
        <v/>
      </c>
      <c r="S6" s="19">
        <v>14.0</v>
      </c>
      <c r="T6" s="19">
        <v>17.0</v>
      </c>
      <c r="U6" s="20" t="b">
        <v>0</v>
      </c>
      <c r="V6" s="19" t="s">
        <v>48</v>
      </c>
      <c r="W6" s="11" t="str">
        <f t="shared" si="4"/>
        <v/>
      </c>
      <c r="X6" s="19">
        <v>17.0</v>
      </c>
      <c r="Y6" s="19">
        <v>10.0</v>
      </c>
      <c r="Z6" s="20" t="b">
        <v>0</v>
      </c>
      <c r="AA6" s="27" t="s">
        <v>41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48</v>
      </c>
      <c r="AG6" s="11" t="str">
        <f t="shared" si="6"/>
        <v/>
      </c>
      <c r="AH6" s="19">
        <v>10.0</v>
      </c>
      <c r="AI6" s="19">
        <v>7.0</v>
      </c>
      <c r="AJ6" s="20" t="b">
        <v>0</v>
      </c>
      <c r="AK6" s="19" t="s">
        <v>41</v>
      </c>
      <c r="AL6" s="11" t="str">
        <f t="shared" si="7"/>
        <v/>
      </c>
      <c r="AM6" s="19">
        <v>24.0</v>
      </c>
      <c r="AN6" s="19">
        <v>27.0</v>
      </c>
      <c r="AO6" s="20" t="b">
        <v>0</v>
      </c>
      <c r="AP6" s="27" t="s">
        <v>48</v>
      </c>
      <c r="AQ6" s="11" t="str">
        <f t="shared" si="8"/>
        <v/>
      </c>
      <c r="AR6" s="19">
        <v>27.0</v>
      </c>
      <c r="AS6" s="19">
        <v>17.0</v>
      </c>
      <c r="AT6" s="20" t="b">
        <v>0</v>
      </c>
      <c r="AU6" s="27" t="s">
        <v>41</v>
      </c>
      <c r="AV6" s="11" t="str">
        <f t="shared" si="9"/>
        <v/>
      </c>
      <c r="AW6" s="19">
        <v>17.0</v>
      </c>
      <c r="AX6" s="19">
        <v>20.0</v>
      </c>
      <c r="AY6" s="20" t="b">
        <v>0</v>
      </c>
      <c r="AZ6" s="27" t="s">
        <v>48</v>
      </c>
      <c r="BA6" s="11" t="str">
        <f t="shared" si="10"/>
        <v/>
      </c>
      <c r="BB6" s="19">
        <v>23.0</v>
      </c>
      <c r="BC6" s="19">
        <v>20.0</v>
      </c>
      <c r="BD6" s="20" t="b">
        <v>0</v>
      </c>
      <c r="BE6" s="27" t="s">
        <v>48</v>
      </c>
      <c r="BF6" s="11" t="str">
        <f t="shared" si="11"/>
        <v/>
      </c>
      <c r="BG6" s="19">
        <v>31.0</v>
      </c>
      <c r="BH6" s="19">
        <v>24.0</v>
      </c>
      <c r="BI6" s="20" t="b">
        <v>0</v>
      </c>
      <c r="BJ6" s="27" t="s">
        <v>48</v>
      </c>
      <c r="BK6" s="11" t="str">
        <f t="shared" si="12"/>
        <v/>
      </c>
      <c r="BL6" s="19">
        <v>14.0</v>
      </c>
      <c r="BM6" s="19">
        <v>10.0</v>
      </c>
      <c r="BN6" s="20" t="b">
        <v>0</v>
      </c>
      <c r="BO6" s="17"/>
      <c r="BP6" s="17"/>
      <c r="BQ6" s="17"/>
    </row>
    <row r="7">
      <c r="A7" s="16" t="s">
        <v>175</v>
      </c>
      <c r="B7" s="17" t="s">
        <v>186</v>
      </c>
      <c r="C7" s="18"/>
      <c r="D7" s="11" t="str">
        <f>IFERROR(__xludf.DUMMYFUNCTION("""COMPUTED_VALUE"""),"")</f>
        <v/>
      </c>
      <c r="E7" s="19"/>
      <c r="F7" s="20"/>
      <c r="G7" s="19" t="s">
        <v>69</v>
      </c>
      <c r="H7" s="11" t="str">
        <f t="shared" si="1"/>
        <v/>
      </c>
      <c r="I7" s="19">
        <v>21.0</v>
      </c>
      <c r="J7" s="19">
        <v>28.0</v>
      </c>
      <c r="K7" s="20" t="b">
        <v>0</v>
      </c>
      <c r="L7" s="19" t="s">
        <v>92</v>
      </c>
      <c r="M7" s="11" t="str">
        <f t="shared" si="2"/>
        <v/>
      </c>
      <c r="N7" s="19">
        <v>10.0</v>
      </c>
      <c r="O7" s="19">
        <v>7.0</v>
      </c>
      <c r="P7" s="19" t="b">
        <v>0</v>
      </c>
      <c r="Q7" s="27" t="s">
        <v>69</v>
      </c>
      <c r="R7" s="11" t="str">
        <f t="shared" si="3"/>
        <v/>
      </c>
      <c r="S7" s="19">
        <v>24.0</v>
      </c>
      <c r="T7" s="19">
        <v>31.0</v>
      </c>
      <c r="U7" s="20" t="b">
        <v>0</v>
      </c>
      <c r="V7" s="19" t="s">
        <v>69</v>
      </c>
      <c r="W7" s="11" t="str">
        <f t="shared" si="4"/>
        <v/>
      </c>
      <c r="X7" s="19">
        <v>14.0</v>
      </c>
      <c r="Y7" s="19">
        <v>17.0</v>
      </c>
      <c r="Z7" s="20" t="b">
        <v>0</v>
      </c>
      <c r="AA7" s="27" t="s">
        <v>92</v>
      </c>
      <c r="AB7" s="11" t="str">
        <f t="shared" si="5"/>
        <v/>
      </c>
      <c r="AC7" s="19">
        <v>24.0</v>
      </c>
      <c r="AD7" s="19">
        <v>17.0</v>
      </c>
      <c r="AE7" s="19" t="b">
        <v>0</v>
      </c>
      <c r="AF7" s="27" t="s">
        <v>69</v>
      </c>
      <c r="AG7" s="11" t="str">
        <f t="shared" si="6"/>
        <v/>
      </c>
      <c r="AH7" s="19">
        <v>20.0</v>
      </c>
      <c r="AI7" s="19">
        <v>23.0</v>
      </c>
      <c r="AJ7" s="20" t="b">
        <v>0</v>
      </c>
      <c r="AK7" s="19" t="s">
        <v>69</v>
      </c>
      <c r="AL7" s="11" t="str">
        <f t="shared" si="7"/>
        <v/>
      </c>
      <c r="AM7" s="19">
        <v>21.0</v>
      </c>
      <c r="AN7" s="19">
        <v>28.0</v>
      </c>
      <c r="AO7" s="20" t="b">
        <v>0</v>
      </c>
      <c r="AP7" s="27" t="s">
        <v>69</v>
      </c>
      <c r="AQ7" s="11" t="str">
        <f t="shared" si="8"/>
        <v/>
      </c>
      <c r="AR7" s="19">
        <v>17.0</v>
      </c>
      <c r="AS7" s="19">
        <v>31.0</v>
      </c>
      <c r="AT7" s="20" t="b">
        <v>0</v>
      </c>
      <c r="AU7" s="27" t="s">
        <v>69</v>
      </c>
      <c r="AV7" s="11" t="str">
        <f t="shared" si="9"/>
        <v/>
      </c>
      <c r="AW7" s="19">
        <v>10.0</v>
      </c>
      <c r="AX7" s="19">
        <v>14.0</v>
      </c>
      <c r="AY7" s="20" t="b">
        <v>0</v>
      </c>
      <c r="AZ7" s="27" t="s">
        <v>69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92</v>
      </c>
      <c r="BF7" s="11" t="str">
        <f t="shared" si="11"/>
        <v/>
      </c>
      <c r="BG7" s="19">
        <v>27.0</v>
      </c>
      <c r="BH7" s="19">
        <v>24.0</v>
      </c>
      <c r="BI7" s="20" t="b">
        <v>0</v>
      </c>
      <c r="BJ7" s="27" t="s">
        <v>69</v>
      </c>
      <c r="BK7" s="11" t="str">
        <f t="shared" si="12"/>
        <v/>
      </c>
      <c r="BL7" s="19">
        <v>24.0</v>
      </c>
      <c r="BM7" s="19">
        <v>27.0</v>
      </c>
      <c r="BN7" s="20" t="b">
        <v>0</v>
      </c>
      <c r="BO7" s="17"/>
      <c r="BP7" s="17"/>
      <c r="BQ7" s="17"/>
    </row>
    <row r="8">
      <c r="A8" s="16" t="s">
        <v>175</v>
      </c>
      <c r="B8" s="17" t="s">
        <v>189</v>
      </c>
      <c r="C8" s="18"/>
      <c r="D8" s="11" t="str">
        <f>IFERROR(__xludf.DUMMYFUNCTION("""COMPUTED_VALUE"""),"")</f>
        <v/>
      </c>
      <c r="E8" s="19"/>
      <c r="F8" s="20"/>
      <c r="G8" s="19" t="s">
        <v>51</v>
      </c>
      <c r="H8" s="11" t="str">
        <f t="shared" si="1"/>
        <v/>
      </c>
      <c r="I8" s="19">
        <v>21.0</v>
      </c>
      <c r="J8" s="19">
        <v>28.0</v>
      </c>
      <c r="K8" s="20" t="b">
        <v>0</v>
      </c>
      <c r="L8" s="19" t="s">
        <v>76</v>
      </c>
      <c r="M8" s="11" t="str">
        <f t="shared" si="2"/>
        <v/>
      </c>
      <c r="N8" s="19">
        <v>20.0</v>
      </c>
      <c r="O8" s="19">
        <v>17.0</v>
      </c>
      <c r="P8" s="19" t="b">
        <v>0</v>
      </c>
      <c r="Q8" s="27" t="s">
        <v>51</v>
      </c>
      <c r="R8" s="11" t="str">
        <f t="shared" si="3"/>
        <v/>
      </c>
      <c r="S8" s="19">
        <v>21.0</v>
      </c>
      <c r="T8" s="19">
        <v>28.0</v>
      </c>
      <c r="U8" s="20" t="b">
        <v>0</v>
      </c>
      <c r="V8" s="19" t="s">
        <v>76</v>
      </c>
      <c r="W8" s="11" t="str">
        <f t="shared" si="4"/>
        <v/>
      </c>
      <c r="X8" s="19">
        <v>14.0</v>
      </c>
      <c r="Y8" s="19">
        <v>10.0</v>
      </c>
      <c r="Z8" s="20" t="b">
        <v>0</v>
      </c>
      <c r="AA8" s="27" t="s">
        <v>76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51</v>
      </c>
      <c r="AG8" s="11" t="str">
        <f t="shared" si="6"/>
        <v/>
      </c>
      <c r="AH8" s="19">
        <v>24.0</v>
      </c>
      <c r="AI8" s="19">
        <v>27.0</v>
      </c>
      <c r="AJ8" s="20" t="b">
        <v>0</v>
      </c>
      <c r="AK8" s="19" t="s">
        <v>76</v>
      </c>
      <c r="AL8" s="11" t="str">
        <f t="shared" si="7"/>
        <v/>
      </c>
      <c r="AM8" s="19">
        <v>20.0</v>
      </c>
      <c r="AN8" s="19">
        <v>17.0</v>
      </c>
      <c r="AO8" s="20" t="b">
        <v>0</v>
      </c>
      <c r="AP8" s="27" t="s">
        <v>51</v>
      </c>
      <c r="AQ8" s="11" t="str">
        <f t="shared" si="8"/>
        <v/>
      </c>
      <c r="AR8" s="19">
        <v>20.0</v>
      </c>
      <c r="AS8" s="19">
        <v>23.0</v>
      </c>
      <c r="AT8" s="20" t="b">
        <v>0</v>
      </c>
      <c r="AU8" s="27" t="s">
        <v>76</v>
      </c>
      <c r="AV8" s="11" t="str">
        <f t="shared" si="9"/>
        <v/>
      </c>
      <c r="AW8" s="19">
        <v>23.0</v>
      </c>
      <c r="AX8" s="19">
        <v>20.0</v>
      </c>
      <c r="AY8" s="20" t="b">
        <v>0</v>
      </c>
      <c r="AZ8" s="27" t="s">
        <v>51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76</v>
      </c>
      <c r="BF8" s="11" t="str">
        <f t="shared" si="11"/>
        <v/>
      </c>
      <c r="BG8" s="19">
        <v>21.0</v>
      </c>
      <c r="BH8" s="19">
        <v>17.0</v>
      </c>
      <c r="BI8" s="20" t="b">
        <v>0</v>
      </c>
      <c r="BJ8" s="27" t="s">
        <v>51</v>
      </c>
      <c r="BK8" s="11" t="str">
        <f t="shared" si="12"/>
        <v/>
      </c>
      <c r="BL8" s="19">
        <v>21.0</v>
      </c>
      <c r="BM8" s="19">
        <v>24.0</v>
      </c>
      <c r="BN8" s="20" t="b">
        <v>0</v>
      </c>
      <c r="BO8" s="19"/>
      <c r="BP8" s="19"/>
      <c r="BQ8" s="19"/>
    </row>
    <row r="9">
      <c r="A9" s="16" t="s">
        <v>175</v>
      </c>
      <c r="B9" s="30" t="s">
        <v>191</v>
      </c>
      <c r="C9" s="18"/>
      <c r="D9" s="11" t="str">
        <f>IFERROR(__xludf.DUMMYFUNCTION("""COMPUTED_VALUE"""),"")</f>
        <v/>
      </c>
      <c r="E9" s="19"/>
      <c r="F9" s="20"/>
      <c r="G9" s="19" t="s">
        <v>87</v>
      </c>
      <c r="H9" s="11" t="str">
        <f t="shared" si="1"/>
        <v/>
      </c>
      <c r="I9" s="19">
        <v>20.0</v>
      </c>
      <c r="J9" s="19">
        <v>17.0</v>
      </c>
      <c r="K9" s="20" t="b">
        <v>0</v>
      </c>
      <c r="L9" s="19" t="s">
        <v>87</v>
      </c>
      <c r="M9" s="11" t="str">
        <f t="shared" si="2"/>
        <v/>
      </c>
      <c r="N9" s="19">
        <v>23.0</v>
      </c>
      <c r="O9" s="19">
        <v>20.0</v>
      </c>
      <c r="P9" s="19" t="b">
        <v>0</v>
      </c>
      <c r="Q9" s="27" t="s">
        <v>87</v>
      </c>
      <c r="R9" s="11" t="str">
        <f t="shared" si="3"/>
        <v/>
      </c>
      <c r="S9" s="19">
        <v>17.0</v>
      </c>
      <c r="T9" s="19">
        <v>14.0</v>
      </c>
      <c r="U9" s="20" t="b">
        <v>0</v>
      </c>
      <c r="V9" s="19" t="s">
        <v>58</v>
      </c>
      <c r="W9" s="11" t="str">
        <f t="shared" si="4"/>
        <v/>
      </c>
      <c r="X9" s="19">
        <v>14.0</v>
      </c>
      <c r="Y9" s="19">
        <v>17.0</v>
      </c>
      <c r="Z9" s="20" t="b">
        <v>0</v>
      </c>
      <c r="AA9" s="27" t="s">
        <v>87</v>
      </c>
      <c r="AB9" s="11" t="str">
        <f t="shared" si="5"/>
        <v/>
      </c>
      <c r="AC9" s="19">
        <v>24.0</v>
      </c>
      <c r="AD9" s="19">
        <v>17.0</v>
      </c>
      <c r="AE9" s="19" t="b">
        <v>0</v>
      </c>
      <c r="AF9" s="27" t="s">
        <v>87</v>
      </c>
      <c r="AG9" s="11" t="str">
        <f t="shared" si="6"/>
        <v/>
      </c>
      <c r="AH9" s="19">
        <v>28.0</v>
      </c>
      <c r="AI9" s="19">
        <v>21.0</v>
      </c>
      <c r="AJ9" s="20" t="b">
        <v>0</v>
      </c>
      <c r="AK9" s="19" t="s">
        <v>58</v>
      </c>
      <c r="AL9" s="11" t="str">
        <f t="shared" si="7"/>
        <v/>
      </c>
      <c r="AM9" s="19">
        <v>10.0</v>
      </c>
      <c r="AN9" s="19">
        <v>14.0</v>
      </c>
      <c r="AO9" s="20" t="b">
        <v>0</v>
      </c>
      <c r="AP9" s="27" t="s">
        <v>87</v>
      </c>
      <c r="AQ9" s="11" t="str">
        <f t="shared" si="8"/>
        <v/>
      </c>
      <c r="AR9" s="19">
        <v>23.0</v>
      </c>
      <c r="AS9" s="19">
        <v>20.0</v>
      </c>
      <c r="AT9" s="20" t="b">
        <v>0</v>
      </c>
      <c r="AU9" s="27" t="s">
        <v>58</v>
      </c>
      <c r="AV9" s="11" t="str">
        <f t="shared" si="9"/>
        <v/>
      </c>
      <c r="AW9" s="19">
        <v>7.0</v>
      </c>
      <c r="AX9" s="19">
        <v>10.0</v>
      </c>
      <c r="AY9" s="20" t="b">
        <v>0</v>
      </c>
      <c r="AZ9" s="27" t="s">
        <v>58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58</v>
      </c>
      <c r="BF9" s="11" t="str">
        <f t="shared" si="11"/>
        <v/>
      </c>
      <c r="BG9" s="19">
        <v>17.0</v>
      </c>
      <c r="BH9" s="19">
        <v>21.0</v>
      </c>
      <c r="BI9" s="20" t="b">
        <v>1</v>
      </c>
      <c r="BJ9" s="27" t="s">
        <v>87</v>
      </c>
      <c r="BK9" s="11" t="str">
        <f t="shared" si="12"/>
        <v/>
      </c>
      <c r="BL9" s="19">
        <v>17.0</v>
      </c>
      <c r="BM9" s="19">
        <v>14.0</v>
      </c>
      <c r="BN9" s="20" t="b">
        <v>0</v>
      </c>
      <c r="BO9" s="17"/>
      <c r="BP9" s="17"/>
      <c r="BQ9" s="17"/>
    </row>
    <row r="10">
      <c r="A10" s="16" t="s">
        <v>175</v>
      </c>
      <c r="B10" s="17" t="s">
        <v>195</v>
      </c>
      <c r="C10" s="18"/>
      <c r="D10" s="11" t="str">
        <f>IFERROR(__xludf.DUMMYFUNCTION("""COMPUTED_VALUE"""),"")</f>
        <v/>
      </c>
      <c r="E10" s="19"/>
      <c r="F10" s="20"/>
      <c r="G10" s="19" t="s">
        <v>34</v>
      </c>
      <c r="H10" s="11" t="str">
        <f t="shared" si="1"/>
        <v/>
      </c>
      <c r="I10" s="19">
        <v>20.0</v>
      </c>
      <c r="J10" s="19">
        <v>13.0</v>
      </c>
      <c r="K10" s="20" t="b">
        <v>0</v>
      </c>
      <c r="L10" s="19" t="s">
        <v>55</v>
      </c>
      <c r="M10" s="11" t="str">
        <f t="shared" si="2"/>
        <v/>
      </c>
      <c r="N10" s="19">
        <v>24.0</v>
      </c>
      <c r="O10" s="19">
        <v>31.0</v>
      </c>
      <c r="P10" s="19" t="b">
        <v>0</v>
      </c>
      <c r="Q10" s="27" t="s">
        <v>55</v>
      </c>
      <c r="R10" s="11" t="str">
        <f t="shared" si="3"/>
        <v/>
      </c>
      <c r="S10" s="19">
        <v>17.0</v>
      </c>
      <c r="T10" s="19">
        <v>21.0</v>
      </c>
      <c r="U10" s="20" t="b">
        <v>0</v>
      </c>
      <c r="V10" s="19" t="s">
        <v>34</v>
      </c>
      <c r="W10" s="11" t="str">
        <f t="shared" si="4"/>
        <v/>
      </c>
      <c r="X10" s="19">
        <v>31.0</v>
      </c>
      <c r="Y10" s="19">
        <v>24.0</v>
      </c>
      <c r="Z10" s="20" t="b">
        <v>0</v>
      </c>
      <c r="AA10" s="27" t="s">
        <v>55</v>
      </c>
      <c r="AB10" s="11" t="str">
        <f t="shared" si="5"/>
        <v/>
      </c>
      <c r="AC10" s="19">
        <v>17.0</v>
      </c>
      <c r="AD10" s="19">
        <v>24.0</v>
      </c>
      <c r="AE10" s="19" t="b">
        <v>0</v>
      </c>
      <c r="AF10" s="27" t="s">
        <v>55</v>
      </c>
      <c r="AG10" s="11" t="str">
        <f t="shared" si="6"/>
        <v/>
      </c>
      <c r="AH10" s="19">
        <v>21.0</v>
      </c>
      <c r="AI10" s="19">
        <v>28.0</v>
      </c>
      <c r="AJ10" s="20" t="b">
        <v>0</v>
      </c>
      <c r="AK10" s="19" t="s">
        <v>55</v>
      </c>
      <c r="AL10" s="11" t="str">
        <f t="shared" si="7"/>
        <v/>
      </c>
      <c r="AM10" s="19">
        <v>17.0</v>
      </c>
      <c r="AN10" s="19">
        <v>20.0</v>
      </c>
      <c r="AO10" s="20" t="b">
        <v>0</v>
      </c>
      <c r="AP10" s="27" t="s">
        <v>55</v>
      </c>
      <c r="AQ10" s="11" t="str">
        <f t="shared" si="8"/>
        <v/>
      </c>
      <c r="AR10" s="19">
        <v>17.0</v>
      </c>
      <c r="AS10" s="19">
        <v>24.0</v>
      </c>
      <c r="AT10" s="20" t="b">
        <v>0</v>
      </c>
      <c r="AU10" s="27" t="s">
        <v>34</v>
      </c>
      <c r="AV10" s="11" t="str">
        <f t="shared" si="9"/>
        <v/>
      </c>
      <c r="AW10" s="19">
        <v>20.0</v>
      </c>
      <c r="AX10" s="19">
        <v>17.0</v>
      </c>
      <c r="AY10" s="20" t="b">
        <v>0</v>
      </c>
      <c r="AZ10" s="27" t="s">
        <v>55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55</v>
      </c>
      <c r="BF10" s="11" t="str">
        <f t="shared" si="11"/>
        <v/>
      </c>
      <c r="BG10" s="19">
        <v>21.0</v>
      </c>
      <c r="BH10" s="19">
        <v>28.0</v>
      </c>
      <c r="BI10" s="20" t="b">
        <v>0</v>
      </c>
      <c r="BJ10" s="27" t="s">
        <v>34</v>
      </c>
      <c r="BK10" s="11" t="str">
        <f t="shared" si="12"/>
        <v/>
      </c>
      <c r="BL10" s="19">
        <v>27.0</v>
      </c>
      <c r="BM10" s="19">
        <v>24.0</v>
      </c>
      <c r="BN10" s="20" t="b">
        <v>1</v>
      </c>
      <c r="BO10" s="17"/>
      <c r="BP10" s="17"/>
      <c r="BQ10" s="17"/>
    </row>
    <row r="11">
      <c r="A11" s="16" t="s">
        <v>198</v>
      </c>
      <c r="B11" s="17" t="s">
        <v>199</v>
      </c>
      <c r="C11" s="18"/>
      <c r="D11" s="11" t="str">
        <f>IFERROR(__xludf.DUMMYFUNCTION("""COMPUTED_VALUE"""),"")</f>
        <v/>
      </c>
      <c r="E11" s="19"/>
      <c r="F11" s="20"/>
      <c r="G11" s="19" t="s">
        <v>74</v>
      </c>
      <c r="H11" s="11" t="str">
        <f t="shared" si="1"/>
        <v/>
      </c>
      <c r="I11" s="19">
        <v>20.0</v>
      </c>
      <c r="J11" s="19">
        <v>17.0</v>
      </c>
      <c r="K11" s="20" t="b">
        <v>0</v>
      </c>
      <c r="L11" s="19" t="s">
        <v>74</v>
      </c>
      <c r="M11" s="11" t="str">
        <f t="shared" si="2"/>
        <v/>
      </c>
      <c r="N11" s="19">
        <v>31.0</v>
      </c>
      <c r="O11" s="19">
        <v>24.0</v>
      </c>
      <c r="P11" s="19" t="b">
        <v>0</v>
      </c>
      <c r="Q11" s="27" t="s">
        <v>74</v>
      </c>
      <c r="R11" s="11" t="str">
        <f t="shared" si="3"/>
        <v/>
      </c>
      <c r="S11" s="19">
        <v>14.0</v>
      </c>
      <c r="T11" s="19">
        <v>10.0</v>
      </c>
      <c r="U11" s="20" t="b">
        <v>1</v>
      </c>
      <c r="V11" s="19" t="s">
        <v>74</v>
      </c>
      <c r="W11" s="11" t="str">
        <f t="shared" si="4"/>
        <v/>
      </c>
      <c r="X11" s="19">
        <v>23.0</v>
      </c>
      <c r="Y11" s="19">
        <v>20.0</v>
      </c>
      <c r="Z11" s="20" t="b">
        <v>0</v>
      </c>
      <c r="AA11" s="27" t="s">
        <v>74</v>
      </c>
      <c r="AB11" s="11" t="str">
        <f t="shared" si="5"/>
        <v/>
      </c>
      <c r="AC11" s="19">
        <v>24.0</v>
      </c>
      <c r="AD11" s="19">
        <v>17.0</v>
      </c>
      <c r="AE11" s="19" t="b">
        <v>0</v>
      </c>
      <c r="AF11" s="27" t="s">
        <v>93</v>
      </c>
      <c r="AG11" s="11" t="str">
        <f t="shared" si="6"/>
        <v/>
      </c>
      <c r="AH11" s="19">
        <v>24.0</v>
      </c>
      <c r="AI11" s="19">
        <v>31.0</v>
      </c>
      <c r="AJ11" s="20" t="b">
        <v>0</v>
      </c>
      <c r="AK11" s="19" t="s">
        <v>74</v>
      </c>
      <c r="AL11" s="11" t="str">
        <f t="shared" si="7"/>
        <v/>
      </c>
      <c r="AM11" s="19">
        <v>27.0</v>
      </c>
      <c r="AN11" s="19">
        <v>24.0</v>
      </c>
      <c r="AO11" s="20" t="b">
        <v>0</v>
      </c>
      <c r="AP11" s="27" t="s">
        <v>74</v>
      </c>
      <c r="AQ11" s="11" t="str">
        <f t="shared" si="8"/>
        <v/>
      </c>
      <c r="AR11" s="19">
        <v>24.0</v>
      </c>
      <c r="AS11" s="19">
        <v>14.0</v>
      </c>
      <c r="AT11" s="20" t="b">
        <v>1</v>
      </c>
      <c r="AU11" s="27" t="s">
        <v>74</v>
      </c>
      <c r="AV11" s="11" t="str">
        <f t="shared" si="9"/>
        <v/>
      </c>
      <c r="AW11" s="19">
        <v>10.0</v>
      </c>
      <c r="AX11" s="19">
        <v>7.0</v>
      </c>
      <c r="AY11" s="20" t="b">
        <v>0</v>
      </c>
      <c r="AZ11" s="27" t="s">
        <v>74</v>
      </c>
      <c r="BA11" s="11" t="str">
        <f t="shared" si="10"/>
        <v/>
      </c>
      <c r="BB11" s="19">
        <v>23.0</v>
      </c>
      <c r="BC11" s="19">
        <v>20.0</v>
      </c>
      <c r="BD11" s="20" t="b">
        <v>0</v>
      </c>
      <c r="BE11" s="27" t="s">
        <v>93</v>
      </c>
      <c r="BF11" s="11" t="str">
        <f t="shared" si="11"/>
        <v/>
      </c>
      <c r="BG11" s="19">
        <v>24.0</v>
      </c>
      <c r="BH11" s="19">
        <v>31.0</v>
      </c>
      <c r="BI11" s="20" t="b">
        <v>0</v>
      </c>
      <c r="BJ11" s="27" t="s">
        <v>93</v>
      </c>
      <c r="BK11" s="11" t="str">
        <f t="shared" si="12"/>
        <v/>
      </c>
      <c r="BL11" s="19">
        <v>17.0</v>
      </c>
      <c r="BM11" s="19">
        <v>21.0</v>
      </c>
      <c r="BN11" s="20" t="b">
        <v>0</v>
      </c>
      <c r="BO11" s="19"/>
      <c r="BP11" s="19"/>
      <c r="BQ11" s="19"/>
    </row>
    <row r="12">
      <c r="A12" s="16" t="s">
        <v>202</v>
      </c>
      <c r="B12" s="30" t="s">
        <v>203</v>
      </c>
      <c r="C12" s="18"/>
      <c r="D12" s="11" t="str">
        <f>IFERROR(__xludf.DUMMYFUNCTION("""COMPUTED_VALUE"""),"")</f>
        <v/>
      </c>
      <c r="E12" s="19"/>
      <c r="F12" s="20"/>
      <c r="G12" s="19" t="s">
        <v>26</v>
      </c>
      <c r="H12" s="11" t="str">
        <f t="shared" si="1"/>
        <v/>
      </c>
      <c r="I12" s="19">
        <v>28.0</v>
      </c>
      <c r="J12" s="19">
        <v>21.0</v>
      </c>
      <c r="K12" s="20" t="b">
        <v>0</v>
      </c>
      <c r="L12" s="19" t="s">
        <v>26</v>
      </c>
      <c r="M12" s="11" t="str">
        <f t="shared" si="2"/>
        <v/>
      </c>
      <c r="N12" s="19">
        <v>23.0</v>
      </c>
      <c r="O12" s="19">
        <v>20.0</v>
      </c>
      <c r="P12" s="19" t="b">
        <v>0</v>
      </c>
      <c r="Q12" s="27" t="s">
        <v>26</v>
      </c>
      <c r="R12" s="11" t="str">
        <f t="shared" si="3"/>
        <v/>
      </c>
      <c r="S12" s="19">
        <v>17.0</v>
      </c>
      <c r="T12" s="19">
        <v>14.0</v>
      </c>
      <c r="U12" s="20" t="b">
        <v>0</v>
      </c>
      <c r="V12" s="19" t="s">
        <v>26</v>
      </c>
      <c r="W12" s="11" t="str">
        <f t="shared" si="4"/>
        <v/>
      </c>
      <c r="X12" s="19">
        <v>21.0</v>
      </c>
      <c r="Y12" s="19">
        <v>17.0</v>
      </c>
      <c r="Z12" s="20" t="b">
        <v>0</v>
      </c>
      <c r="AA12" s="27" t="s">
        <v>27</v>
      </c>
      <c r="AB12" s="11" t="str">
        <f t="shared" si="5"/>
        <v/>
      </c>
      <c r="AC12" s="19">
        <v>17.0</v>
      </c>
      <c r="AD12" s="19">
        <v>24.0</v>
      </c>
      <c r="AE12" s="19" t="b">
        <v>0</v>
      </c>
      <c r="AF12" s="27" t="s">
        <v>27</v>
      </c>
      <c r="AG12" s="11" t="str">
        <f t="shared" si="6"/>
        <v/>
      </c>
      <c r="AH12" s="19">
        <v>14.0</v>
      </c>
      <c r="AI12" s="19">
        <v>17.0</v>
      </c>
      <c r="AJ12" s="20" t="b">
        <v>0</v>
      </c>
      <c r="AK12" s="19" t="s">
        <v>27</v>
      </c>
      <c r="AL12" s="11" t="str">
        <f t="shared" si="7"/>
        <v/>
      </c>
      <c r="AM12" s="19">
        <v>10.0</v>
      </c>
      <c r="AN12" s="19">
        <v>14.0</v>
      </c>
      <c r="AO12" s="20" t="b">
        <v>0</v>
      </c>
      <c r="AP12" s="27" t="s">
        <v>27</v>
      </c>
      <c r="AQ12" s="11" t="str">
        <f t="shared" si="8"/>
        <v/>
      </c>
      <c r="AR12" s="19">
        <v>27.0</v>
      </c>
      <c r="AS12" s="19">
        <v>31.0</v>
      </c>
      <c r="AT12" s="20" t="b">
        <v>0</v>
      </c>
      <c r="AU12" s="27" t="s">
        <v>27</v>
      </c>
      <c r="AV12" s="11" t="str">
        <f t="shared" si="9"/>
        <v/>
      </c>
      <c r="AW12" s="19">
        <v>20.0</v>
      </c>
      <c r="AX12" s="19">
        <v>23.0</v>
      </c>
      <c r="AY12" s="20" t="b">
        <v>0</v>
      </c>
      <c r="AZ12" s="27" t="s">
        <v>26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27</v>
      </c>
      <c r="BF12" s="11" t="str">
        <f t="shared" si="11"/>
        <v/>
      </c>
      <c r="BG12" s="19">
        <v>21.0</v>
      </c>
      <c r="BH12" s="19">
        <v>24.0</v>
      </c>
      <c r="BI12" s="20" t="b">
        <v>0</v>
      </c>
      <c r="BJ12" s="27" t="s">
        <v>27</v>
      </c>
      <c r="BK12" s="11" t="str">
        <f t="shared" si="12"/>
        <v/>
      </c>
      <c r="BL12" s="19">
        <v>21.0</v>
      </c>
      <c r="BM12" s="19">
        <v>24.0</v>
      </c>
      <c r="BN12" s="20" t="b">
        <v>0</v>
      </c>
      <c r="BO12" s="17"/>
      <c r="BP12" s="17"/>
      <c r="BQ12" s="17"/>
    </row>
    <row r="13">
      <c r="A13" s="16" t="s">
        <v>202</v>
      </c>
      <c r="B13" s="17" t="s">
        <v>206</v>
      </c>
      <c r="C13" s="18"/>
      <c r="D13" s="11" t="str">
        <f>IFERROR(__xludf.DUMMYFUNCTION("""COMPUTED_VALUE"""),"")</f>
        <v/>
      </c>
      <c r="E13" s="19"/>
      <c r="F13" s="20"/>
      <c r="G13" s="19" t="s">
        <v>39</v>
      </c>
      <c r="H13" s="11" t="str">
        <f t="shared" si="1"/>
        <v/>
      </c>
      <c r="I13" s="19">
        <v>21.0</v>
      </c>
      <c r="J13" s="19">
        <v>17.0</v>
      </c>
      <c r="K13" s="20" t="b">
        <v>1</v>
      </c>
      <c r="L13" s="19" t="s">
        <v>39</v>
      </c>
      <c r="M13" s="11" t="str">
        <f t="shared" si="2"/>
        <v/>
      </c>
      <c r="N13" s="19">
        <v>20.0</v>
      </c>
      <c r="O13" s="19">
        <v>17.0</v>
      </c>
      <c r="P13" s="19" t="b">
        <v>1</v>
      </c>
      <c r="Q13" s="27" t="s">
        <v>79</v>
      </c>
      <c r="R13" s="11" t="str">
        <f t="shared" si="3"/>
        <v/>
      </c>
      <c r="S13" s="19">
        <v>7.0</v>
      </c>
      <c r="T13" s="19">
        <v>10.0</v>
      </c>
      <c r="U13" s="20" t="b">
        <v>0</v>
      </c>
      <c r="V13" s="19" t="s">
        <v>39</v>
      </c>
      <c r="W13" s="11" t="str">
        <f t="shared" si="4"/>
        <v/>
      </c>
      <c r="X13" s="19">
        <v>31.0</v>
      </c>
      <c r="Y13" s="19">
        <v>28.0</v>
      </c>
      <c r="Z13" s="20" t="b">
        <v>0</v>
      </c>
      <c r="AA13" s="27" t="s">
        <v>39</v>
      </c>
      <c r="AB13" s="11" t="str">
        <f t="shared" si="5"/>
        <v/>
      </c>
      <c r="AC13" s="19">
        <v>24.0</v>
      </c>
      <c r="AD13" s="19">
        <v>17.0</v>
      </c>
      <c r="AE13" s="19" t="b">
        <v>0</v>
      </c>
      <c r="AF13" s="27" t="s">
        <v>79</v>
      </c>
      <c r="AG13" s="11" t="str">
        <f t="shared" si="6"/>
        <v/>
      </c>
      <c r="AH13" s="19">
        <v>14.0</v>
      </c>
      <c r="AI13" s="19">
        <v>17.0</v>
      </c>
      <c r="AJ13" s="20" t="b">
        <v>0</v>
      </c>
      <c r="AK13" s="19" t="s">
        <v>39</v>
      </c>
      <c r="AL13" s="11" t="str">
        <f t="shared" si="7"/>
        <v/>
      </c>
      <c r="AM13" s="19">
        <v>30.0</v>
      </c>
      <c r="AN13" s="19">
        <v>7.0</v>
      </c>
      <c r="AO13" s="20" t="b">
        <v>1</v>
      </c>
      <c r="AP13" s="27" t="s">
        <v>39</v>
      </c>
      <c r="AQ13" s="11" t="str">
        <f t="shared" si="8"/>
        <v/>
      </c>
      <c r="AR13" s="19">
        <v>27.0</v>
      </c>
      <c r="AS13" s="19">
        <v>17.0</v>
      </c>
      <c r="AT13" s="20" t="b">
        <v>0</v>
      </c>
      <c r="AU13" s="27" t="s">
        <v>79</v>
      </c>
      <c r="AV13" s="11" t="str">
        <f t="shared" si="9"/>
        <v/>
      </c>
      <c r="AW13" s="19">
        <v>24.0</v>
      </c>
      <c r="AX13" s="19">
        <v>31.0</v>
      </c>
      <c r="AY13" s="20" t="b">
        <v>0</v>
      </c>
      <c r="AZ13" s="27" t="s">
        <v>39</v>
      </c>
      <c r="BA13" s="11" t="str">
        <f t="shared" si="10"/>
        <v/>
      </c>
      <c r="BB13" s="19">
        <v>23.0</v>
      </c>
      <c r="BC13" s="19">
        <v>20.0</v>
      </c>
      <c r="BD13" s="20" t="b">
        <v>1</v>
      </c>
      <c r="BE13" s="27" t="s">
        <v>79</v>
      </c>
      <c r="BF13" s="11" t="str">
        <f t="shared" si="11"/>
        <v/>
      </c>
      <c r="BG13" s="19">
        <v>17.0</v>
      </c>
      <c r="BH13" s="19">
        <v>21.0</v>
      </c>
      <c r="BI13" s="20" t="b">
        <v>0</v>
      </c>
      <c r="BJ13" s="27" t="s">
        <v>39</v>
      </c>
      <c r="BK13" s="11" t="str">
        <f t="shared" si="12"/>
        <v/>
      </c>
      <c r="BL13" s="19">
        <v>21.0</v>
      </c>
      <c r="BM13" s="19">
        <v>17.0</v>
      </c>
      <c r="BN13" s="20" t="b">
        <v>0</v>
      </c>
      <c r="BO13" s="17"/>
      <c r="BP13" s="17"/>
      <c r="BQ13" s="17"/>
    </row>
    <row r="14">
      <c r="A14" s="16" t="s">
        <v>209</v>
      </c>
      <c r="B14" s="17" t="s">
        <v>210</v>
      </c>
      <c r="C14" s="18"/>
      <c r="D14" s="11" t="str">
        <f>IFERROR(__xludf.DUMMYFUNCTION("""COMPUTED_VALUE"""),"")</f>
        <v/>
      </c>
      <c r="E14" s="19"/>
      <c r="F14" s="20"/>
      <c r="G14" s="19" t="s">
        <v>24</v>
      </c>
      <c r="H14" s="11" t="str">
        <f t="shared" si="1"/>
        <v/>
      </c>
      <c r="I14" s="19">
        <v>24.0</v>
      </c>
      <c r="J14" s="19">
        <v>27.0</v>
      </c>
      <c r="K14" s="20" t="b">
        <v>0</v>
      </c>
      <c r="L14" s="19" t="s">
        <v>88</v>
      </c>
      <c r="M14" s="11" t="str">
        <f t="shared" si="2"/>
        <v/>
      </c>
      <c r="N14" s="19">
        <v>24.0</v>
      </c>
      <c r="O14" s="19">
        <v>21.0</v>
      </c>
      <c r="P14" s="19" t="b">
        <v>0</v>
      </c>
      <c r="Q14" s="27" t="s">
        <v>24</v>
      </c>
      <c r="R14" s="11" t="str">
        <f t="shared" si="3"/>
        <v/>
      </c>
      <c r="S14" s="19">
        <v>17.0</v>
      </c>
      <c r="T14" s="19">
        <v>21.0</v>
      </c>
      <c r="U14" s="20" t="b">
        <v>0</v>
      </c>
      <c r="V14" s="19" t="s">
        <v>88</v>
      </c>
      <c r="W14" s="11" t="str">
        <f t="shared" si="4"/>
        <v/>
      </c>
      <c r="X14" s="19">
        <v>31.0</v>
      </c>
      <c r="Y14" s="19">
        <v>24.0</v>
      </c>
      <c r="Z14" s="20" t="b">
        <v>1</v>
      </c>
      <c r="AA14" s="27" t="s">
        <v>24</v>
      </c>
      <c r="AB14" s="11" t="str">
        <f t="shared" si="5"/>
        <v/>
      </c>
      <c r="AC14" s="19">
        <v>17.0</v>
      </c>
      <c r="AD14" s="19">
        <v>24.0</v>
      </c>
      <c r="AE14" s="19" t="b">
        <v>1</v>
      </c>
      <c r="AF14" s="27" t="s">
        <v>24</v>
      </c>
      <c r="AG14" s="11" t="str">
        <f t="shared" si="6"/>
        <v/>
      </c>
      <c r="AH14" s="19">
        <v>14.0</v>
      </c>
      <c r="AI14" s="19">
        <v>17.0</v>
      </c>
      <c r="AJ14" s="20" t="b">
        <v>0</v>
      </c>
      <c r="AK14" s="19" t="s">
        <v>24</v>
      </c>
      <c r="AL14" s="11" t="str">
        <f t="shared" si="7"/>
        <v/>
      </c>
      <c r="AM14" s="19">
        <v>10.0</v>
      </c>
      <c r="AN14" s="19">
        <v>14.0</v>
      </c>
      <c r="AO14" s="20" t="b">
        <v>0</v>
      </c>
      <c r="AP14" s="27" t="s">
        <v>88</v>
      </c>
      <c r="AQ14" s="11" t="str">
        <f t="shared" si="8"/>
        <v/>
      </c>
      <c r="AR14" s="19">
        <v>24.0</v>
      </c>
      <c r="AS14" s="19">
        <v>20.0</v>
      </c>
      <c r="AT14" s="20" t="b">
        <v>0</v>
      </c>
      <c r="AU14" s="27" t="s">
        <v>88</v>
      </c>
      <c r="AV14" s="11" t="str">
        <f t="shared" si="9"/>
        <v/>
      </c>
      <c r="AW14" s="19">
        <v>17.0</v>
      </c>
      <c r="AX14" s="19">
        <v>14.0</v>
      </c>
      <c r="AY14" s="20" t="b">
        <v>0</v>
      </c>
      <c r="AZ14" s="27" t="s">
        <v>24</v>
      </c>
      <c r="BA14" s="11" t="str">
        <f t="shared" si="10"/>
        <v/>
      </c>
      <c r="BB14" s="19">
        <v>20.0</v>
      </c>
      <c r="BC14" s="19">
        <v>23.0</v>
      </c>
      <c r="BD14" s="20" t="b">
        <v>0</v>
      </c>
      <c r="BE14" s="27" t="s">
        <v>24</v>
      </c>
      <c r="BF14" s="11" t="str">
        <f t="shared" si="11"/>
        <v/>
      </c>
      <c r="BG14" s="19">
        <v>24.0</v>
      </c>
      <c r="BH14" s="19">
        <v>31.0</v>
      </c>
      <c r="BI14" s="20" t="b">
        <v>0</v>
      </c>
      <c r="BJ14" s="27" t="s">
        <v>24</v>
      </c>
      <c r="BK14" s="11" t="str">
        <f t="shared" si="12"/>
        <v/>
      </c>
      <c r="BL14" s="19">
        <v>17.0</v>
      </c>
      <c r="BM14" s="19">
        <v>21.0</v>
      </c>
      <c r="BN14" s="20" t="b">
        <v>0</v>
      </c>
      <c r="BO14" s="17"/>
      <c r="BP14" s="17"/>
      <c r="BQ14" s="17"/>
    </row>
    <row r="15">
      <c r="A15" s="16" t="s">
        <v>214</v>
      </c>
      <c r="B15" s="30" t="s">
        <v>215</v>
      </c>
      <c r="C15" s="34"/>
      <c r="D15" s="35" t="str">
        <f>IFERROR(__xludf.DUMMYFUNCTION("""COMPUTED_VALUE"""),"")</f>
        <v/>
      </c>
      <c r="E15" s="36"/>
      <c r="F15" s="37"/>
      <c r="G15" s="36" t="s">
        <v>84</v>
      </c>
      <c r="H15" s="35" t="str">
        <f t="shared" si="1"/>
        <v/>
      </c>
      <c r="I15" s="36">
        <v>20.0</v>
      </c>
      <c r="J15" s="36">
        <v>17.0</v>
      </c>
      <c r="K15" s="37" t="b">
        <v>0</v>
      </c>
      <c r="L15" s="36" t="s">
        <v>54</v>
      </c>
      <c r="M15" s="35" t="str">
        <f t="shared" si="2"/>
        <v/>
      </c>
      <c r="N15" s="36">
        <v>17.0</v>
      </c>
      <c r="O15" s="36">
        <v>21.0</v>
      </c>
      <c r="P15" s="36" t="b">
        <v>0</v>
      </c>
      <c r="Q15" s="38" t="s">
        <v>84</v>
      </c>
      <c r="R15" s="35" t="str">
        <f t="shared" si="3"/>
        <v/>
      </c>
      <c r="S15" s="36">
        <v>27.0</v>
      </c>
      <c r="T15" s="36">
        <v>24.0</v>
      </c>
      <c r="U15" s="37" t="b">
        <v>0</v>
      </c>
      <c r="V15" s="36" t="s">
        <v>54</v>
      </c>
      <c r="W15" s="35" t="str">
        <f t="shared" si="4"/>
        <v/>
      </c>
      <c r="X15" s="36">
        <v>7.0</v>
      </c>
      <c r="Y15" s="36">
        <v>10.0</v>
      </c>
      <c r="Z15" s="37" t="b">
        <v>0</v>
      </c>
      <c r="AA15" s="38" t="s">
        <v>54</v>
      </c>
      <c r="AB15" s="35" t="str">
        <f t="shared" si="5"/>
        <v/>
      </c>
      <c r="AC15" s="36">
        <v>17.0</v>
      </c>
      <c r="AD15" s="36">
        <v>24.0</v>
      </c>
      <c r="AE15" s="36" t="b">
        <v>0</v>
      </c>
      <c r="AF15" s="38" t="s">
        <v>84</v>
      </c>
      <c r="AG15" s="35" t="str">
        <f t="shared" si="6"/>
        <v/>
      </c>
      <c r="AH15" s="36">
        <v>20.0</v>
      </c>
      <c r="AI15" s="36">
        <v>17.0</v>
      </c>
      <c r="AJ15" s="37" t="b">
        <v>0</v>
      </c>
      <c r="AK15" s="36" t="s">
        <v>54</v>
      </c>
      <c r="AL15" s="35" t="str">
        <f t="shared" si="7"/>
        <v/>
      </c>
      <c r="AM15" s="36">
        <v>14.0</v>
      </c>
      <c r="AN15" s="36">
        <v>17.0</v>
      </c>
      <c r="AO15" s="37" t="b">
        <v>0</v>
      </c>
      <c r="AP15" s="38" t="s">
        <v>54</v>
      </c>
      <c r="AQ15" s="35" t="str">
        <f t="shared" si="8"/>
        <v/>
      </c>
      <c r="AR15" s="36">
        <v>20.0</v>
      </c>
      <c r="AS15" s="36">
        <v>24.0</v>
      </c>
      <c r="AT15" s="37" t="b">
        <v>0</v>
      </c>
      <c r="AU15" s="38" t="s">
        <v>84</v>
      </c>
      <c r="AV15" s="35" t="str">
        <f t="shared" si="9"/>
        <v/>
      </c>
      <c r="AW15" s="36">
        <v>28.0</v>
      </c>
      <c r="AX15" s="36">
        <v>21.0</v>
      </c>
      <c r="AY15" s="37" t="b">
        <v>0</v>
      </c>
      <c r="AZ15" s="38" t="s">
        <v>54</v>
      </c>
      <c r="BA15" s="35" t="str">
        <f t="shared" si="10"/>
        <v/>
      </c>
      <c r="BB15" s="36">
        <v>20.0</v>
      </c>
      <c r="BC15" s="36">
        <v>23.0</v>
      </c>
      <c r="BD15" s="37" t="b">
        <v>0</v>
      </c>
      <c r="BE15" s="38" t="s">
        <v>84</v>
      </c>
      <c r="BF15" s="35" t="str">
        <f t="shared" si="11"/>
        <v/>
      </c>
      <c r="BG15" s="36">
        <v>31.0</v>
      </c>
      <c r="BH15" s="36">
        <v>24.0</v>
      </c>
      <c r="BI15" s="37" t="b">
        <v>0</v>
      </c>
      <c r="BJ15" s="38" t="s">
        <v>54</v>
      </c>
      <c r="BK15" s="35" t="str">
        <f t="shared" si="12"/>
        <v/>
      </c>
      <c r="BL15" s="36">
        <v>17.0</v>
      </c>
      <c r="BM15" s="36">
        <v>21.0</v>
      </c>
      <c r="BN15" s="37" t="b">
        <v>0</v>
      </c>
      <c r="BO15" s="17"/>
      <c r="BP15" s="17"/>
      <c r="BQ15" s="17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</row>
    <row r="17" hidden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</row>
    <row r="18" hidden="1">
      <c r="A18" s="41"/>
      <c r="B18" s="41"/>
      <c r="C18" s="42">
        <f t="shared" ref="C18:C31" si="13">MIN(I18,N18,S18,X18,AC18,AH18,AM18,AR18,AW18,BB18,BG18,BL18)</f>
        <v>0</v>
      </c>
      <c r="D18" s="41"/>
      <c r="E18" s="41"/>
      <c r="F18" s="41"/>
      <c r="G18" s="43" t="str">
        <f t="shared" ref="G18:G31" si="14">IF(G2=C2,ABS(I2-E2),"")</f>
        <v/>
      </c>
      <c r="H18" s="43" t="str">
        <f t="shared" ref="H18:H31" si="15">IF(G2=C2,ABS(J2-F2),"")</f>
        <v/>
      </c>
      <c r="I18" s="44" t="str">
        <f t="shared" ref="I18:I31" si="16">IF(G2=C2,SUM(G18,H18),"")</f>
        <v/>
      </c>
      <c r="J18" s="45">
        <f t="shared" ref="J18:J31" si="17">SUM(IF(AND(G2=$C2,I18=$C18,$C18=0,K2=TRUE,I18&lt;$N18,I18&lt;$S18,I18&lt;$X18,I18&lt;$AC18,I18&lt;$AH18,I18&lt;$AM18,I18&lt;$AR18,I18&lt;$AW18,I18&lt;$BB18,I18&lt;$BG18,I18&lt;$BL18),15,
IF(AND(G2=$C2,I18=$C18,$C18=0,K2=TRUE,OR(I18=$N18,I18=$S18,I18=$X18,I18=$AC18,I18=$AH18,I18=$AM18,I18=$AR18,I18=$AW18,I18=$BB18,I18=$BG18,I18=$BL18)),7.5,
IF(AND(G2=$C2,I18=$C18,$C18=0,I18&lt;$N18,I18&lt;$S18,I18&lt;$X18,I18&lt;$AC18,I18&lt;$AH18,I18&lt;$AM18,I18&lt;$AR18,I18&lt;$AW18,I18&lt;$BB18,I18&lt;$BG18,I18&lt;$BL18),5,
IF(AND(G2=$C2,I18=$C18,K2=TRUE,I18&lt;$N18,I18&lt;$S18,I18&lt;$X18,I18&lt;$AC18,I18&lt;$AH18,I18&lt;$AM18,I18&lt;$AR18,I18&lt;$AW18,I18&lt;$BB18,I18&lt;$BG18,I18&lt;$BL18),3,
IF(AND(G2=$C2,I18=$C18,$C18=0,OR(I18=$N18,I18=$S18,I18=$X18,I18=$AC18,I18=$AH18,I18=$AM18,I18=$AR18,I18=$AW18,I18=$BB18,I18=$BG18,I18=$BL18)),2.5,
IF(AND(G2=$C2,I18=$C18,K2=TRUE,OR(I18=$N18,I18=$S18,I18=$X18,I18=$AC18,I18=$AH18,I18=$AM18,I18=$AR18,I18=$AW18,I18=$BB18,I18=$BG18,I18=$BL18)),1.5,
IF(AND(G2=$C2,I18=$C18,I18&lt;$N18,I18&lt;$S18,I18&lt;$X18,I18&lt;$AC18,I18&lt;$AH18,I18&lt;$AM18,I18&lt;$AR18,I18&lt;$AW18,I18&lt;$BB18,I18&lt;$BG18,I18&lt;$BL18),1,
IF(AND(G2=$C2,I18=$C18,OR(I18=$N18,I18=$S18,I18=$X18,I18=$AC18,I18=$AH18,I18=$AM18,I18=$AR18,I18=$AW18,I18=$BB18,I18=$BG18,I18=$BL18)),0.5,
0)))))))),
IF(AND(K18=TRUE,K2=TRUE),3,
IF(AND(K18=TRUE,K2=FALSE),1,
IF(K18="",0)))
)</f>
        <v>0</v>
      </c>
      <c r="K18" s="41" t="str">
        <f t="shared" ref="K18:K31" si="18">IF($C2="","",
IF(G2=$C2,TRUE,FALSE))</f>
        <v/>
      </c>
      <c r="L18" s="43" t="str">
        <f t="shared" ref="L18:L31" si="19">IF(L2=C2,ABS(N2-E2),"")</f>
        <v/>
      </c>
      <c r="M18" s="43" t="str">
        <f t="shared" ref="M18:M31" si="20">IF(L2=C2,ABS(O2-F2),"")</f>
        <v/>
      </c>
      <c r="N18" s="44" t="str">
        <f t="shared" ref="N18:N31" si="21">IF(L2=C2,SUM(L18,M18),"")</f>
        <v/>
      </c>
      <c r="O18" s="45">
        <f t="shared" ref="O18:O31" si="22">SUM(IF(AND(L2=$C2,N18=$C18,$C18=0,P2=TRUE,N18&lt;$I18,N18&lt;$S18,N18&lt;$X18,N18&lt;$AC18,N18&lt;$AH18,N18&lt;$AM18,N18&lt;$AR18,N18&lt;$AW18,N18&lt;$BB18,N18&lt;$BG18,N18&lt;$BL18),15,
IF(AND(L2=$C2,N18=$C18,$C18=0,P2=TRUE,OR(N18=$I18,N18=$S18,N18=$X18,N18=$AC18,N18=$AH18,N18=$AM18,N18=$AR18,N18=$AW18,N18=$BB18,N18=$BG18,N18=$BL18)),7.5,
IF(AND(L2=$C2,N18=$C18,$C18=0,N18&lt;$I18,N18&lt;$S18,N18&lt;$X18,N18&lt;$AC18,N18&lt;$AH18,N18&lt;$AM18,N18&lt;$AR18,N18&lt;$AW18,N18&lt;$BB18,N18&lt;$BG18,N18&lt;$BL18),5,
IF(AND(L2=$C2,N18=$C18,P2=TRUE,N18&lt;$I18,N18&lt;$S18,N18&lt;$X18,N18&lt;$AC18,N18&lt;$AH18,N18&lt;$AM18,N18&lt;$AR18,N18&lt;$AW18,N18&lt;$BB18,N18&lt;$BG18,N18&lt;$BL18),3,
IF(AND(L2=$C2,N18=$C18,$C18=0,OR(N18=$I18,N18=$S18,N18=$X18,N18=$AC18,N18=$AH18,N18=$AM18,N18=$AR18,N18=$AW18,N18=$BB18,N18=$BG18,N18=$BL18)),2.5,
IF(AND(L2=$C2,N18=$C18,P2=TRUE,OR(N18=$I18,N18=$S18,N18=$X18,N18=$AC18,N18=$AH18,N18=$AM18,N18=$AR18,N18=$AW18,N18=$BB18,N18=$BG18,N18=$BL18)),1.5,
IF(AND(L2=$C2,N18=$C18,N18&lt;$I18,N18&lt;$S18,N18&lt;$X18,N18&lt;$AC18,N18&lt;$AH18,N18&lt;$AM18,N18&lt;$AR18,N18&lt;$AW18,N18&lt;$BB18,N18&lt;$BG18,N18&lt;$BL18),1,
IF(AND(L2=$C2,N18=$C18,OR(N18=$I18,N18=$S18,N18=$X18,N18=$AC18,N18=$AH18,N18=$AM18,N18=$AR18,N18=$AW18,N18=$BB18,N18=$BG18,N18=$BL18)),0.5,
0)))))))),
IF(AND(P18=TRUE,P2=TRUE),3,
IF(AND(P18=TRUE,P2=FALSE),1,
IF(P18="",0)))
)</f>
        <v>0</v>
      </c>
      <c r="P18" s="41" t="str">
        <f t="shared" ref="P18:P31" si="23">IF($C2="","",
IF(L2=$C2,TRUE,FALSE))</f>
        <v/>
      </c>
      <c r="Q18" s="43" t="str">
        <f t="shared" ref="Q18:Q31" si="24">IF(Q2=C2,ABS(S2-E2),"")</f>
        <v/>
      </c>
      <c r="R18" s="43" t="str">
        <f t="shared" ref="R18:R31" si="25">IF(Q2=C2,ABS(T2-F2),"")</f>
        <v/>
      </c>
      <c r="S18" s="44" t="str">
        <f t="shared" ref="S18:S31" si="26">IF(Q2=C2,SUM(Q18,R18),"")</f>
        <v/>
      </c>
      <c r="T18" s="45">
        <f t="shared" ref="T18:T31" si="27">SUM(IF(AND(Q2=$C2,S18=$C18,$C18=0,U2=TRUE,S18&lt;$I18,S18&lt;$N18,S18&lt;$X18,S18&lt;$AC18,S18&lt;$AH18,S18&lt;$AM18,S18&lt;$AR18,S18&lt;$AW18,S18&lt;$BB18,S18&lt;$BG18,S18&lt;$BL18),15,
IF(AND(Q2=$C2,S18=$C18,$C18=0,U2=TRUE,OR(S18=$I18,S18=$N18,S18=$X18,S18=$AC18,S18=$AH18,S18=$AM18,S18=$AR18,S18=$AW18,S18=$BB18,S18=$BG18,S18=$BL18)),7.5,
IF(AND(Q2=$C2,S18=$C18,$C18=0,S18&lt;$I18,S18&lt;$N18,S18&lt;$X18,S18&lt;$AC18,S18&lt;$AH18,S18&lt;$AM18,S18&lt;$AR18,S18&lt;$AW18,S18&lt;$BB18,S18&lt;$BG18,S18&lt;$BL18),5,
IF(AND(Q2=$C2,S18=$C18,U2=TRUE,S18&lt;$I18,S18&lt;$N18,S18&lt;$X18,S18&lt;$AC18,S18&lt;$AH18,S18&lt;$AM18,S18&lt;$AR18,S18&lt;$AW18,S18&lt;$BB18,S18&lt;$BG18,S18&lt;$BL18),3,
IF(AND(Q2=$C2,S18=$C18,$C18=0,OR(S18=$I18,S18=$N18,S18=$X18,S18=$AC18,S18=$AH18,S18=$AM18,S18=$AR18,S18=$AW18,S18=$BB18,S18=$BG18,S18=$BL18)),2.5,
IF(AND(Q2=$C2,S18=$C18,U2=TRUE,OR(S18=$I18,S18=$N18,S18=$X18,S18=$AC18,S18=$AH18,S18=$AM18,S18=$AR18,S18=$AW18,S18=$BB18,S18=$BG18,S18=$BL18)),1.5,
IF(AND(Q2=$C2,S18=$C18,S18&lt;$I18,S18&lt;$N18,S18&lt;$X18,S18&lt;$AC18,S18&lt;$AH18,S18&lt;$AM18,S18&lt;$AR18,S18&lt;$AW18,S18&lt;$BB18,S18&lt;$BG18,S18&lt;$BL18),1,
IF(AND(Q2=$C2,S18=$C18,OR(S18=$I18,S18=$N18,S18=$X18,S18=$AC18,S18=$AH18,S18=$AM18,S18=$AR18,S18=$AW18,S18=$BB18,S18=$BG18,S18=$BL18)),0.5,
0)))))))),
IF(AND(U18=TRUE,U2=TRUE),3,
IF(AND(U18=TRUE,U2=FALSE),1,
IF(U18="",0)))
)</f>
        <v>0</v>
      </c>
      <c r="U18" s="41" t="str">
        <f t="shared" ref="U18:U31" si="28">IF($C2="","",
IF(Q2=$C2,TRUE,FALSE))</f>
        <v/>
      </c>
      <c r="V18" s="43" t="str">
        <f t="shared" ref="V18:V31" si="29">IF(V2=C2,ABS(X2-E2),"")</f>
        <v/>
      </c>
      <c r="W18" s="43" t="str">
        <f t="shared" ref="W18:W31" si="30">IF(V2=C2,ABS(Y2-F2),"")</f>
        <v/>
      </c>
      <c r="X18" s="44" t="str">
        <f t="shared" ref="X18:X31" si="31">IF(V2=C2,SUM(V18,W18),"")</f>
        <v/>
      </c>
      <c r="Y18" s="45">
        <f t="shared" ref="Y18:Y31" si="32">SUM(IF(AND(V2=$C2,X18=$C18,$C18=0,Z2=TRUE,X18&lt;$I18,X18&lt;$N18,X18&lt;$S18,X18&lt;$AC18,X18&lt;$AH18,X18&lt;$AM18,X18&lt;$AR18,X18&lt;$AW18,X18&lt;$BB18,X18&lt;$BG18,X18&lt;$BL18),15,
IF(AND(V2=$C2,X18=$C18,$C18=0,Z2=TRUE,OR(X18=$I18,X18=$N18,X18=$S18,X18=$AC18,X18=$AH18,X18=$AM18,X18=$AR18,X18=$AW18,X18=$BB18,X18=$BG18,X18=$BL18)),7.5,
IF(AND(V2=$C2,X18=$C18,$C18=0,X18&lt;$I18,X18&lt;$N18,X18&lt;$S18,X18&lt;$AC18,X18&lt;$AH18,X18&lt;$AM18,X18&lt;$AR18,X18&lt;$AW18,X18&lt;$BB18,X18&lt;$BG18,X18&lt;$BL18),5,
IF(AND(V2=$C2,X18=$C18,Z2=TRUE,X18&lt;$I18,X18&lt;$N18,X18&lt;$S18,X18&lt;$AC18,X18&lt;$AH18,X18&lt;$AM18,X18&lt;$AR18,X18&lt;$AW18,X18&lt;$BB18,X18&lt;$BG18,X18&lt;$BL18),3,
IF(AND(V2=$C2,X18=$C18,$C18=0,OR(X18=$I18,X18=$N18,X18=$S18,X18=$AC18,X18=$AH18,X18=$AM18,X18=$AR18,X18=$AW18,X18=$BB18,X18=$BG18,X18=$BL18)),2.5,
IF(AND(V2=$C2,X18=$C18,Z2=TRUE,OR(X18=$I18,X18=$N18,X18=$S18,X18=$AC18,X18=$AH18,X18=$AM18,X18=$AR18,X18=$AW18,X18=$BB18,X18=$BG18,X18=$BL18)),1.5,
IF(AND(V2=$C2,X18=$C18,X18&lt;$I18,X18&lt;$N18,X18&lt;$S18,X18&lt;$AC18,X18&lt;$AH18,X18&lt;$AM18,X18&lt;$AR18,X18&lt;$AW18,X18&lt;$BB18,X18&lt;$BG18,X18&lt;$BL18),1,
IF(AND(V2=$C2,X18=$C18,OR(X18=$I18,X18=$N18,X18=$S18,X18=$AC18,X18=$AH18,X18=$AM18,X18=$AR18,X18=$AW18,X18=$BB18,X18=$BG18,X18=$BL18)),0.5,
0)))))))),
IF(AND(Z18=TRUE,Z2=TRUE),3,
IF(AND(Z18=TRUE,Z2=FALSE),1,
IF(Z18="",0)))
)</f>
        <v>0</v>
      </c>
      <c r="Z18" s="41" t="str">
        <f t="shared" ref="Z18:Z31" si="33">IF($C2="","",
IF(V2=$C2,TRUE,FALSE))</f>
        <v/>
      </c>
      <c r="AA18" s="43" t="str">
        <f t="shared" ref="AA18:AA31" si="34">IF(AA2=C2,ABS(AC2-E2),"")</f>
        <v/>
      </c>
      <c r="AB18" s="43" t="str">
        <f t="shared" ref="AB18:AB31" si="35">IF(AA2=C2,ABS(AD2-F2),"")</f>
        <v/>
      </c>
      <c r="AC18" s="44" t="str">
        <f t="shared" ref="AC18:AC31" si="36">IF(AA2=C2,SUM(AA18,AB18),"")</f>
        <v/>
      </c>
      <c r="AD18" s="45">
        <f t="shared" ref="AD18:AD31" si="37">SUM(IF(AND(AA2=$C2,AC18=$C18,$C18=0,AE2=TRUE,AC18&lt;$I18,AC18&lt;$N18,AC18&lt;$S18,AC18&lt;$X18,AC18&lt;$AH18,AC18&lt;$AM18,AC18&lt;$AR18,AC18&lt;$AW18,AC18&lt;$BB18,AC18&lt;$BG18,AC18&lt;$BL18),15,
IF(AND(AA2=$C2,AC18=$C18,$C18=0,AE2=TRUE,OR(AC18=$I18,AC18=$N18,AC18=$S18,AC18=$X18,AC18=$AH18,AC18=$AM18,AC18=$AR18,AC18=$AW18,AC18=$BB18,AC18=$BG18,AC18=$BL18)),7.5,
IF(AND(AA2=$C2,AC18=$C18,$C18=0,AC18&lt;$I18,AC18&lt;$N18,AC18&lt;$S18,AC18&lt;$X18,AC18&lt;$AH18,AC18&lt;$AM18,AC18&lt;$AR18,AC18&lt;$AW18,AC18&lt;$BB18,AC18&lt;$BG18,AC18&lt;$BL18),5,
IF(AND(AA2=$C2,AC18=$C18,AE2=TRUE,AC18&lt;$I18,AC18&lt;$N18,AC18&lt;$S18,AC18&lt;$X18,AC18&lt;$AH18,AC18&lt;$AM18,AC18&lt;$AR18,AC18&lt;$AW18,AC18&lt;$BB18,AC18&lt;$BG18,AC18&lt;$BL18),3,
IF(AND(AA2=$C2,AC18=$C18,$C18=0,OR(AC18=$I18,AC18=$N18,AC18=$S18,AC18=$X18,AC18=$AH18,AC18=$AM18,AC18=$AR18,AC18=$AW18,AC18=$BB18,AC18=$BG18,AC18=$BL18)),2.5,
IF(AND(AA2=$C2,AC18=$C18,AE2=TRUE,OR(AC18=$I18,AC18=$N18,AC18=$S18,AC18=$X18,AC18=$AH18,AC18=$AM18,AC18=$AR18,AC18=$AW18,AC18=$BB18,AC18=$BG18,AC18=$BL18)),1.5,
IF(AND(AA2=$C2,AC18=$C18,AC18&lt;$I18,AC18&lt;$N18,AC18&lt;$S18,AC18&lt;$X18,AC18&lt;$AH18,AC18&lt;$AM18,AC18&lt;$AR18,AC18&lt;$AW18,AC18&lt;$BB18,AC18&lt;$BG18,AC18&lt;$BL18),1,
IF(AND(AA2=$C2,AC18=$C18,OR(AC18=$I18,AC18=$N18,AC18=$S18,AC18=$X18,AC18=$AH18,AC18=$AM18,AC18=$AR18,AC18=$AW18,AC18=$BB18,AC18=$BG18,AC18=$BL18)),0.5,
0)))))))),
IF(AND(AE18=TRUE,AE2=TRUE),3,
IF(AND(AE18=TRUE,AE2=FALSE),1,
IF(AE18="",0)))
)</f>
        <v>0</v>
      </c>
      <c r="AE18" s="41" t="str">
        <f t="shared" ref="AE18:AE31" si="38">IF($C2="","",
IF(AA2=$C2,TRUE,FALSE))</f>
        <v/>
      </c>
      <c r="AF18" s="43" t="str">
        <f t="shared" ref="AF18:AF31" si="39">IF(AF2=C2,ABS(AH2-E2),"")</f>
        <v/>
      </c>
      <c r="AG18" s="43" t="str">
        <f t="shared" ref="AG18:AG31" si="40">IF(AF2=C2,ABS(AI2-F2),"")</f>
        <v/>
      </c>
      <c r="AH18" s="44" t="str">
        <f t="shared" ref="AH18:AH31" si="41">IF(AF2=C2,SUM(AF18,AG18),"")</f>
        <v/>
      </c>
      <c r="AI18" s="45">
        <f t="shared" ref="AI18:AI31" si="42">SUM(IF(AND(AF2=$C2,AH18=$C18,$C18=0,AJ2=TRUE,AH18&lt;$I18,AH18&lt;$N18,AH18&lt;$S18,AH18&lt;$X18,AH18&lt;$AC18,AH18&lt;$AM18,AH18&lt;$AR18,AH18&lt;$AW18,AH18&lt;$BB18,AH18&lt;$BG18,AH18&lt;$BL18),15,
IF(AND(AF2=$C2,AH18=$C18,$C18=0,AJ2=TRUE,OR(AH18=$I18,AH18=$N18,AH18=$S18,AH18=$X18,AH18=$AC18,AH18=$AM18,AH18=$AR18,AH18=$AW18,AH18=$BB18,AH18=$BG18,AH18=$BL18)),7.5,
IF(AND(AF2=$C2,AH18=$C18,$C18=0,AH18&lt;$I18,AH18&lt;$N18,AH18&lt;$S18,AH18&lt;$X18,AH18&lt;$AC18,AH18&lt;$AM18,AH18&lt;$AR18,AH18&lt;$AW18,AH18&lt;$BB18,AH18&lt;$BG18,AH18&lt;$BL18),5,
IF(AND(AF2=$C2,AH18=$C18,AJ2=TRUE,AH18&lt;$I18,AH18&lt;$N18,AH18&lt;$S18,AH18&lt;$X18,AH18&lt;$AC18,AH18&lt;$AM18,AH18&lt;$AR18,AH18&lt;$AW18,AH18&lt;$BB18,AH18&lt;$BG18,AH18&lt;$BL18),3,
IF(AND(AF2=$C2,AH18=$C18,$C18=0,OR(AH18=$I18,AH18=$N18,AH18=$S18,AH18=$X18,AH18=$AC18,AH18=$AM18,AH18=$AR18,AH18=$AW18,AH18=$BB18,AH18=$BG18,AH18=$BL18)),2.5,
IF(AND(AF2=$C2,AH18=$C18,AJ2=TRUE,OR(AH18=$I18,AH18=$N18,AH18=$S18,AH18=$X18,AH18=$AC18,AH18=$AM18,AH18=$AR18,AH18=$AW18,AH18=$BB18,AH18=$BG18,AH18=$BL18)),1.5,
IF(AND(AF2=$C2,AH18=$C18,AH18&lt;$I18,AH18&lt;$N18,AH18&lt;$S18,AH18&lt;$X18,AH18&lt;$AC18,AH18&lt;$AM18,AH18&lt;$AR18,AH18&lt;$AW18,AH18&lt;$BB18,AH18&lt;$BG18,AH18&lt;$BL18),1,
IF(AND(AF2=$C2,AH18=$C18,OR(AH18=$I18,AH18=$N18,AH18=$S18,AH18=$X18,AH18=$AC18,AH18=$AM18,AH18=$AR18,AH18=$AW18,AH18=$BB18,AH18=$BG18,AH18=$BL18)),0.5,
0)))))))),
IF(AND(AJ18=TRUE,AJ2=TRUE),3,
IF(AND(AJ18=TRUE,AJ2=FALSE),1,
IF(AJ18="",0)))
)</f>
        <v>0</v>
      </c>
      <c r="AJ18" s="41" t="str">
        <f t="shared" ref="AJ18:AJ31" si="43">IF($C2="","",
IF(AF2=$C2,TRUE,FALSE))</f>
        <v/>
      </c>
      <c r="AK18" s="43" t="str">
        <f t="shared" ref="AK18:AK31" si="44">IF(AK2=C2,ABS(AM2-E2),"")</f>
        <v/>
      </c>
      <c r="AL18" s="43" t="str">
        <f t="shared" ref="AL18:AL31" si="45">IF(AK2=C2,ABS(AN2-F2),"")</f>
        <v/>
      </c>
      <c r="AM18" s="44" t="str">
        <f t="shared" ref="AM18:AM31" si="46">IF(AK2=C2,SUM(AK18,AL18),"")</f>
        <v/>
      </c>
      <c r="AN18" s="45">
        <f t="shared" ref="AN18:AN31" si="47">SUM(IF(AND(AK2=$C2,AM18=$C18,$C18=0,AO2=TRUE,AM18&lt;$I18,AM18&lt;$N18,AM18&lt;$S18,AM18&lt;$X18,AM18&lt;$AC18,AM18&lt;$AH18,AM18&lt;$AR18,AM18&lt;$AW18,AM18&lt;$BB18,AM18&lt;$BG18,AM18&lt;$BL18),15,
IF(AND(AK2=$C2,AM18=$C18,$C18=0,AO2=TRUE,OR(AM18=$I18,AM18=$N18,AM18=$S18,AM18=$X18,AM18=$AC18,AM18=$AH18,AM18=$AR18,AM18=$AW18,AM18=$BB18,AM18=$BG18,AM18=$BL18)),7.5,
IF(AND(AK2=$C2,AM18=$C18,$C18=0,AM18&lt;$I18,AM18&lt;$N18,AM18&lt;$S18,AM18&lt;$X18,AM18&lt;$AC18,AM18&lt;$AH18,AM18&lt;$AR18,AM18&lt;$AW18,AM18&lt;$BB18,AM18&lt;$BG18,AM18&lt;$BL18),5,
IF(AND(AK2=$C2,AM18=$C18,AO2=TRUE,AM18&lt;$I18,AM18&lt;$N18,AM18&lt;$S18,AM18&lt;$X18,AM18&lt;$AC18,AM18&lt;$AH18,AM18&lt;$AR18,AM18&lt;$AW18,AM18&lt;$BB18,AM18&lt;$BG18,AM18&lt;$BL18),3,
IF(AND(AK2=$C2,AM18=$C18,$C18=0,OR(AM18=$I18,AM18=$N18,AM18=$S18,AM18=$X18,AM18=$AC18,AM18=$AH18,AM18=$AR18,AM18=$AW18,AM18=$BB18,AM18=$BG18,AM18=$BL18)),2.5,
IF(AND(AK2=$C2,AM18=$C18,AO2=TRUE,OR(AM18=$I18,AM18=$N18,AM18=$S18,AM18=$X18,AM18=$AC18,AM18=$AH18,AM18=$AR18,AM18=$AW18,AM18=$BB18,AM18=$BG18,AM18=$BL18)),1.5,
IF(AND(AK2=$C2,AM18=$C18,AM18&lt;$I18,AM18&lt;$N18,AM18&lt;$S18,AM18&lt;$X18,AM18&lt;$AC18,AM18&lt;$AH18,AM18&lt;$AR18,AM18&lt;$AW18,AM18&lt;$BB18,AM18&lt;$BG18,AM18&lt;$BL18),1,
IF(AND(AK2=$C2,AM18=$C18,OR(AM18=$I18,AM18=$N18,AM18=$S18,AM18=$X18,AM18=$AC18,AM18=$AH18,AM18=$AR18,AM18=$AW18,AM18=$BB18,AM18=$BG18,AM18=$BL18)),0.5,
0)))))))),
IF(AND(AO18=TRUE,AO2=TRUE),3,
IF(AND(AO18=TRUE,AO2=FALSE),1,
IF(AO18="",0)))
)</f>
        <v>0</v>
      </c>
      <c r="AO18" s="41" t="str">
        <f t="shared" ref="AO18:AO31" si="48">IF($C2="","",
IF(AK2=$C2,TRUE,FALSE))</f>
        <v/>
      </c>
      <c r="AP18" s="43" t="str">
        <f t="shared" ref="AP18:AP31" si="49">IF(AP2=C2,ABS(AR2-E2),"")</f>
        <v/>
      </c>
      <c r="AQ18" s="43" t="str">
        <f t="shared" ref="AQ18:AQ31" si="50">IF(AP2=C2,ABS(AS2-F2),"")</f>
        <v/>
      </c>
      <c r="AR18" s="44" t="str">
        <f t="shared" ref="AR18:AR31" si="51">IF(AP2=C2,SUM(AP18,AQ18),"")</f>
        <v/>
      </c>
      <c r="AS18" s="45">
        <f t="shared" ref="AS18:AS31" si="52">SUM(IF(AND(AP2=$C2,AR18=$C18,$C18=0,AT2=TRUE,AR18&lt;$I18,AR18&lt;$N18,AR18&lt;$S18,AR18&lt;$X18,AR18&lt;$AC18,AR18&lt;$AH18,AR18&lt;$AM18,AR18&lt;$AW18,AR18&lt;$BB18,AR18&lt;$BG18,AR18&lt;$BL18),15,
IF(AND(AP2=$C2,AR18=$C18,$C18=0,AT2=TRUE,OR(AR18=$I18,AR18=$N18,AR18=$S18,AR18=$X18,AR18=$AC18,AR18=$AH18,AR18=$AM18,AR18=$AW18,AR18=$BB18,AR18=$BG18,AR18=$BL18)),7.5,
IF(AND(AP2=$C2,AR18=$C18,$C18=0,AR18&lt;$I18,AR18&lt;$N18,AR18&lt;$S18,AR18&lt;$X18,AR18&lt;$AC18,AR18&lt;$AH18,AR18&lt;$AM18,AR18&lt;$AW18,AR18&lt;$BB18,AR18&lt;$BG18,AR18&lt;$BL18),5,
IF(AND(AP2=$C2,AR18=$C18,AT2=TRUE,AR18&lt;$I18,AR18&lt;$N18,AR18&lt;$S18,AR18&lt;$X18,AR18&lt;$AC18,AR18&lt;$AH18,AR18&lt;$AM18,AR18&lt;$AW18,AR18&lt;$BB18,AR18&lt;$BG18,AR18&lt;$BL18),3,
IF(AND(AP2=$C2,AR18=$C18,$C18=0,OR(AR18=$I18,AR18=$N18,AR18=$S18,AR18=$X18,AR18=$AC18,AR18=$AH18,AR18=$AM18,AR18=$AW18,AR18=$BB18,AR18=$BG18,AR18=$BL18)),2.5,
IF(AND(AP2=$C2,AR18=$C18,AT2=TRUE,OR(AR18=$I18,AR18=$N18,AR18=$S18,AR18=$X18,AR18=$AC18,AR18=$AH18,AR18=$AM18,AR18=$AW18,AR18=$BB18,AR18=$BG18,AR18=$BL18)),1.5,
IF(AND(AP2=$C2,AR18=$C18,AR18&lt;$I18,AR18&lt;$N18,AR18&lt;$S18,AR18&lt;$X18,AR18&lt;$AC18,AR18&lt;$AH18,AR18&lt;$AM18,AR18&lt;$AW18,AR18&lt;$BB18,AR18&lt;$BG18,AR18&lt;$BL18),1,
IF(AND(AP2=$C2,AR18=$C18,OR(AR18=$I18,AR18=$N18,AR18=$S18,AR18=$X18,AR18=$AC18,AR18=$AH18,AR18=$AM18,AR18=$AW18,AR18=$BB18,AR18=$BG18,AR18=$BL18)),0.5,
0)))))))),
IF(AND(AT18=TRUE,AT2=TRUE),3,
IF(AND(AT18=TRUE,AT2=FALSE),1,
IF(AT18="",0)))
)</f>
        <v>0</v>
      </c>
      <c r="AT18" s="41" t="str">
        <f t="shared" ref="AT18:AT31" si="53">IF($C2="","",
IF(AP2=$C2,TRUE,FALSE))</f>
        <v/>
      </c>
      <c r="AU18" s="43" t="str">
        <f t="shared" ref="AU18:AU31" si="54">IF(AU2=C2,ABS(AW2-E2),"")</f>
        <v/>
      </c>
      <c r="AV18" s="43" t="str">
        <f t="shared" ref="AV18:AV31" si="55">IF(AU2=C2,ABS(AX2-F2),"")</f>
        <v/>
      </c>
      <c r="AW18" s="44" t="str">
        <f t="shared" ref="AW18:AW31" si="56">IF(AU2=C2,SUM(AU18,AV18),"")</f>
        <v/>
      </c>
      <c r="AX18" s="45">
        <f t="shared" ref="AX18:AX31" si="57">SUM(IF(AND(AU2=$C2,AW18=$C18,$C18=0,AY2=TRUE,AW18&lt;$I18,AW18&lt;$N18,AW18&lt;$S18,AW18&lt;$X18,AW18&lt;$AC18,AW18&lt;$AH18,AW18&lt;$AM18,AW18&lt;$AR18,AW18&lt;$BB18,AW18&lt;$BG18,AW18&lt;$BL18),15,
IF(AND(AU2=$C2,AW18=$C18,$C18=0,AY2=TRUE,OR(AW18=$I18,AW18=$N18,AW18=$S18,AW18=$X18,AW18=$AC18,AW18=$AH18,AW18=$AM18,AW18=$AR18,AW18=$BB18,AW18=$BG18,AW18=$BL18)),7.5,
IF(AND(AU2=$C2,AW18=$C18,$C18=0,AW18&lt;$I18,AW18&lt;$N18,AW18&lt;$S18,AW18&lt;$X18,AW18&lt;$AC18,AW18&lt;$AH18,AW18&lt;$AM18,AW18&lt;$AR18,AW18&lt;$BB18,AW18&lt;$BG18,AW18&lt;$BL18),5,
IF(AND(AU2=$C2,AW18=$C18,AY2=TRUE,AW18&lt;$I18,AW18&lt;$N18,AW18&lt;$S18,AW18&lt;$X18,AW18&lt;$AC18,AW18&lt;$AH18,AW18&lt;$AM18,AW18&lt;$AR18,AW18&lt;$BB18,AW18&lt;$BG18,AW18&lt;$BL18),3,
IF(AND(AU2=$C2,AW18=$C18,$C18=0,OR(AW18=$I18,AW18=$N18,AW18=$S18,AW18=$X18,AW18=$AC18,AW18=$AH18,AW18=$AM18,AW18=$AR18,AW18=$BB18,AW18=$BG18,AW18=$BL18)),2.5,
IF(AND(AU2=$C2,AW18=$C18,AY2=TRUE,OR(AW18=$I18,AW18=$N18,AW18=$S18,AW18=$X18,AW18=$AC18,AW18=$AH18,AW18=$AM18,AW18=$AR18,AW18=$BB18,AW18=$BG18,AW18=$BL18)),1.5,
IF(AND(AU2=$C2,AW18=$C18,AW18&lt;$I18,AW18&lt;$N18,AW18&lt;$S18,AW18&lt;$X18,AW18&lt;$AC18,AW18&lt;$AH18,AW18&lt;$AM18,AW18&lt;$AR18,AW18&lt;$BB18,AW18&lt;$BG18,AW18&lt;$BL18),1,
IF(AND(AU2=$C2,AW18=$C18,OR(AW18=$I18,AW18=$N18,AW18=$S18,AW18=$X18,AW18=$AC18,AW18=$AH18,AW18=$AM18,AW18=$AR18,AW18=$BB18,AW18=$BG18,AW18=$BL18)),0.5,
0)))))))),
IF(AND(AY18=TRUE,AY2=TRUE),3,
IF(AND(AY18=TRUE,AY2=FALSE),1,
IF(AY18="",0)))
)</f>
        <v>0</v>
      </c>
      <c r="AY18" s="41" t="str">
        <f t="shared" ref="AY18:AY31" si="58">IF($C2="","",
IF(AU2=$C2,TRUE,FALSE))</f>
        <v/>
      </c>
      <c r="AZ18" s="43" t="str">
        <f t="shared" ref="AZ18:AZ31" si="59">IF(AZ2=C2,ABS(BB2-E2),"")</f>
        <v/>
      </c>
      <c r="BA18" s="43" t="str">
        <f t="shared" ref="BA18:BA31" si="60">IF(AZ2=C2,ABS(BC2-F2),"")</f>
        <v/>
      </c>
      <c r="BB18" s="44" t="str">
        <f t="shared" ref="BB18:BB31" si="61">IF(AZ2=C2,SUM(AZ18,BA18),"")</f>
        <v/>
      </c>
      <c r="BC18" s="45">
        <f t="shared" ref="BC18:BC31" si="62">SUM(IF(AND(AZ2=$C2,BB18=$C18,$C18=0,BD2=TRUE,BB18&lt;$I18,BB18&lt;$N18,BB18&lt;$S18,BB18&lt;$X18,BB18&lt;$AC18,BB18&lt;$AH18,BB18&lt;$AM18,BB18&lt;$AR18,BB18&lt;$AW18,BB18&lt;$BG18,BB18&lt;$BL18),15,
IF(AND(AZ2=$C2,BB18=$C18,$C18=0,BD2=TRUE,OR(BB18=$I18,BB18=$N18,BB18=$S18,BB18=$X18,BB18=$AC18,BB18=$AH18,BB18=$AM18,BB18=$AR18,BB18=$AW18,BB18=$BG18,BB18=$BL18)),7.5,
IF(AND(AZ2=$C2,BB18=$C18,$C18=0,BB18&lt;$I18,BB18&lt;$N18,BB18&lt;$S18,BB18&lt;$X18,BB18&lt;$AC18,BB18&lt;$AH18,BB18&lt;$AM18,BB18&lt;$AR18,BB18&lt;$AW18,BB18&lt;$BG18,BB18&lt;$BL18),5,
IF(AND(AZ2=$C2,BB18=$C18,BD2=TRUE,BB18&lt;$I18,BB18&lt;$N18,BB18&lt;$S18,BB18&lt;$X18,BB18&lt;$AC18,BB18&lt;$AH18,BB18&lt;$AM18,BB18&lt;$AR18,BB18&lt;$AW18,BB18&lt;$BG18,BB18&lt;$BL18),3,
IF(AND(AZ2=$C2,BB18=$C18,$C18=0,OR(BB18=$I18,BB18=$N18,BB18=$S18,BB18=$X18,BB18=$AC18,BB18=$AH18,BB18=$AM18,BB18=$AR18,BB18=$AW18,BB18=$BG18,BB18=$BL18)),2.5,
IF(AND(AZ2=$C2,BB18=$C18,BD2=TRUE,OR(BB18=$I18,BB18=$N18,BB18=$S18,BB18=$X18,BB18=$AC18,BB18=$AH18,BB18=$AM18,BB18=$AR18,BB18=$AW18,BB18=$BG18,BB18=$BL18)),1.5,
IF(AND(AZ2=$C2,BB18=$C18,BB18&lt;$I18,BB18&lt;$N18,BB18&lt;$S18,BB18&lt;$X18,BB18&lt;$AC18,BB18&lt;$AH18,BB18&lt;$AM18,BB18&lt;$AR18,BB18&lt;$AW18,BB18&lt;$BG18,BB18&lt;$BL18),1,
IF(AND(AZ2=$C2,BB18=$C18,OR(BB18=$I18,BB18=$N18,BB18=$S18,BB18=$X18,BB18=$AC18,BB18=$AH18,BB18=$AM18,BB18=$AR18,BB18=$AW18,BB18=$BG18,BB18=$BL18)),0.5,
0)))))))),
IF(AND(BD18=TRUE,BD2=TRUE),3,
IF(AND(BD18=TRUE,BD2=FALSE),1,
IF(BD18="",0)))
)</f>
        <v>0</v>
      </c>
      <c r="BD18" s="41" t="str">
        <f t="shared" ref="BD18:BD31" si="63">IF($C2="","",
IF(AZ2=$C2,TRUE,FALSE))</f>
        <v/>
      </c>
      <c r="BE18" s="43" t="str">
        <f t="shared" ref="BE18:BE31" si="64">IF(BE2=C2,ABS(BG2-E2),"")</f>
        <v/>
      </c>
      <c r="BF18" s="43" t="str">
        <f t="shared" ref="BF18:BF31" si="65">IF(BE2=C2,ABS(BH2-F2),"")</f>
        <v/>
      </c>
      <c r="BG18" s="44" t="str">
        <f t="shared" ref="BG18:BG31" si="66">IF(BE2=C2,SUM(BE18,BF18),"")</f>
        <v/>
      </c>
      <c r="BH18" s="45">
        <f t="shared" ref="BH18:BH31" si="67">SUM(IF(AND(BE2=$C2,BG18=$C18,$C18=0,BI2=TRUE,BG18&lt;$I18,BG18&lt;$N18,BG18&lt;$S18,BG18&lt;$X18,BG18&lt;$AC18,BG18&lt;$AH18,BG18&lt;$AM18,BG18&lt;$AR18,BG18&lt;$AW18,BG18&lt;$BB18,BG18&lt;$BL18),15,
IF(AND(BE2=$C2,BG18=$C18,$C18=0,BI2=TRUE,OR(BG18=$I18,BG18=$N18,BG18=$S18,BG18=$X18,BG18=$AC18,BG18=$AH18,BG18=$AM18,BG18=$AR18,BG18=$AW18,BG18=$BB18,BG18=$BL18)),7.5,
IF(AND(BE2=$C2,BG18=$C18,$C18=0,BG18&lt;$I18,BG18&lt;$N18,BG18&lt;$S18,BG18&lt;$X18,BG18&lt;$AC18,BG18&lt;$AH18,BG18&lt;$AM18,BG18&lt;$AR18,BG18&lt;$AW18,BG18&lt;$BB18,BG18&lt;$BL18),5,
IF(AND(BE2=$C2,BG18=$C18,BI2=TRUE,BG18&lt;$I18,BG18&lt;$N18,BG18&lt;$S18,BG18&lt;$X18,BG18&lt;$AC18,BG18&lt;$AH18,BG18&lt;$AM18,BG18&lt;$AR18,BG18&lt;$AW18,BG18&lt;$BB18,BG18&lt;$BL18),3,
IF(AND(BE2=$C2,BG18=$C18,$C18=0,OR(BG18=$I18,BG18=$N18,BG18=$S18,BG18=$X18,BG18=$AC18,BG18=$AH18,BG18=$AM18,BG18=$AR18,BG18=$AW18,BG18=$BB18,BG18=$BL18)),2.5,
IF(AND(BE2=$C2,BG18=$C18,BI2=TRUE,OR(BG18=$I18,BG18=$N18,BG18=$S18,BG18=$X18,BG18=$AC18,BG18=$AH18,BG18=$AM18,BG18=$AR18,BG18=$AW18,BG18=$BB18,BG18=$BL18)),1.5,
IF(AND(BE2=$C2,BG18=$C18,BG18&lt;$I18,BG18&lt;$N18,BG18&lt;$S18,BG18&lt;$X18,BG18&lt;$AC18,BG18&lt;$AH18,BG18&lt;$AM18,BG18&lt;$AR18,BG18&lt;$AW18,BG18&lt;$BB18,BG18&lt;$BL18),1,
IF(AND(BE2=$C2,BG18=$C18,OR(BG18=$I18,BG18=$N18,BG18=$S18,BG18=$X18,BG18=$AC18,BG18=$AH18,BG18=$AM18,BG18=$AR18,BG18=$AW18,BG18=$BB18,BG18=$BL18)),0.5,
0)))))))),
IF(AND(BI18=TRUE,BI2=TRUE),3,
IF(AND(BI18=TRUE,BI2=FALSE),1,
IF(BI18="",0)))
)</f>
        <v>0</v>
      </c>
      <c r="BI18" s="41" t="str">
        <f t="shared" ref="BI18:BI31" si="68">IF($C2="","",
IF(BE2=$C2,TRUE,FALSE))</f>
        <v/>
      </c>
      <c r="BJ18" s="43" t="str">
        <f t="shared" ref="BJ18:BJ31" si="69">IF(BJ2=C2,ABS(BL2-E2),"")</f>
        <v/>
      </c>
      <c r="BK18" s="43" t="str">
        <f t="shared" ref="BK18:BK31" si="70">IF(BJ2=C2,ABS(BM2-F2),"")</f>
        <v/>
      </c>
      <c r="BL18" s="44" t="str">
        <f t="shared" ref="BL18:BL31" si="71">IF(BJ2=C2,SUM(BJ18,BK18),"")</f>
        <v/>
      </c>
      <c r="BM18" s="45">
        <f t="shared" ref="BM18:BM31" si="72">SUM(IF(AND(BJ2=$C2,BL18=$C18,$C18=0,BN2=TRUE,BL18&lt;$I18,BL18&lt;$N18,BL18&lt;$S18,BL18&lt;$X18,BL18&lt;$AC18,BL18&lt;$AH18,BL18&lt;$AM18,BL18&lt;$AR18,BL18&lt;$AW18,BL18&lt;$BB18,BL18&lt;$BG18),15,
IF(AND(BJ2=$C2,BL18=$C18,$C18=0,BN2=TRUE,OR(BL18=$I18,BL18=$N18,BL18=$S18,BL18=$X18,BL18=$AC18,BL18=$AH18,BL18=$AM18,BL18=$AR18,BL18=$AW18,BL18=$BB18,BL18=$BG18)),7.5,
IF(AND(BJ2=$C2,BL18=$C18,$C18=0,BL18&lt;$I18,BL18&lt;$N18,BL18&lt;$S18,BL18&lt;$X18,BL18&lt;$AC18,BL18&lt;$AH18,BL18&lt;$AM18,BL18&lt;$AR18,BL18&lt;$AW18,BL18&lt;$BB18,BL18&lt;$BG18),5,
IF(AND(BJ2=$C2,BL18=$C18,BN2=TRUE,BL18&lt;$I18,BL18&lt;$N18,BL18&lt;$S18,BL18&lt;$X18,BL18&lt;$AC18,BL18&lt;$AH18,BL18&lt;$AM18,BL18&lt;$AR18,BL18&lt;$AW18,BL18&lt;$BB18,BL18&lt;$BG18),3,
IF(AND(BJ2=$C2,BL18=$C18,$C18=0,OR(BL18=$I18,BL18=$N18,BL18=$S18,BL18=$X18,BL18=$AC18,BL18=$AH18,BL18=$AM18,BL18=$AR18,BL18=$AW18,BL18=$BB18,BL18=$BG18)),2.5,
IF(AND(BJ2=$C2,BL18=$C18,BN2=TRUE,OR(BL18=$I18,BL18=$N18,BL18=$S18,BL18=$X18,BL18=$AC18,BL18=$AH18,BL18=$AM18,BL18=$AR18,BL18=$AW18,BL18=$BB18,BL18=$BG18)),1.5,
IF(AND(BJ2=$C2,BL18=$C18,BL18&lt;$I18,BL18&lt;$N18,BL18&lt;$S18,BL18&lt;$X18,BL18&lt;$AC18,BL18&lt;$AH18,BL18&lt;$AM18,BL18&lt;$AR18,BL18&lt;$AW18,BL18&lt;$BB18,BL18&lt;$BG18),1,
IF(AND(BJ2=$C2,BL18=$C18,OR(BL18=$I18,BL18=$N18,BL18=$S18,BL18=$X18,BL18=$AC18,BL18=$AH18,BL18=$AM18,BL18=$AR18,BL18=$AW18,BL18=$BB18,BL18=$BG18)),0.5,
0)))))))),
IF(AND(BN18=TRUE,BN2=TRUE),3,
IF(AND(BN18=TRUE,BN2=FALSE),1,
IF(BN18="",0)))
)</f>
        <v>0</v>
      </c>
      <c r="BN18" s="41" t="str">
        <f t="shared" ref="BN18:BN31" si="73">IF($C2="","",
IF(BJ2=$C2,TRUE,FALSE))</f>
        <v/>
      </c>
      <c r="BO18" s="41"/>
      <c r="BP18" s="41"/>
      <c r="BQ18" s="41"/>
    </row>
    <row r="19" hidden="1">
      <c r="A19" s="40"/>
      <c r="B19" s="40"/>
      <c r="C19" s="42">
        <f t="shared" si="13"/>
        <v>0</v>
      </c>
      <c r="D19" s="40"/>
      <c r="E19" s="40"/>
      <c r="F19" s="40"/>
      <c r="G19" s="43" t="str">
        <f t="shared" si="14"/>
        <v/>
      </c>
      <c r="H19" s="43" t="str">
        <f t="shared" si="15"/>
        <v/>
      </c>
      <c r="I19" s="44" t="str">
        <f t="shared" si="16"/>
        <v/>
      </c>
      <c r="J19" s="45">
        <f t="shared" si="17"/>
        <v>0</v>
      </c>
      <c r="K19" s="41" t="str">
        <f t="shared" si="18"/>
        <v/>
      </c>
      <c r="L19" s="43" t="str">
        <f t="shared" si="19"/>
        <v/>
      </c>
      <c r="M19" s="43" t="str">
        <f t="shared" si="20"/>
        <v/>
      </c>
      <c r="N19" s="44" t="str">
        <f t="shared" si="21"/>
        <v/>
      </c>
      <c r="O19" s="45">
        <f t="shared" si="22"/>
        <v>0</v>
      </c>
      <c r="P19" s="41" t="str">
        <f t="shared" si="23"/>
        <v/>
      </c>
      <c r="Q19" s="43" t="str">
        <f t="shared" si="24"/>
        <v/>
      </c>
      <c r="R19" s="43" t="str">
        <f t="shared" si="25"/>
        <v/>
      </c>
      <c r="S19" s="44" t="str">
        <f t="shared" si="26"/>
        <v/>
      </c>
      <c r="T19" s="45">
        <f t="shared" si="27"/>
        <v>0</v>
      </c>
      <c r="U19" s="41" t="str">
        <f t="shared" si="28"/>
        <v/>
      </c>
      <c r="V19" s="43" t="str">
        <f t="shared" si="29"/>
        <v/>
      </c>
      <c r="W19" s="43" t="str">
        <f t="shared" si="30"/>
        <v/>
      </c>
      <c r="X19" s="44" t="str">
        <f t="shared" si="31"/>
        <v/>
      </c>
      <c r="Y19" s="45">
        <f t="shared" si="32"/>
        <v>0</v>
      </c>
      <c r="Z19" s="41" t="str">
        <f t="shared" si="33"/>
        <v/>
      </c>
      <c r="AA19" s="43" t="str">
        <f t="shared" si="34"/>
        <v/>
      </c>
      <c r="AB19" s="43" t="str">
        <f t="shared" si="35"/>
        <v/>
      </c>
      <c r="AC19" s="44" t="str">
        <f t="shared" si="36"/>
        <v/>
      </c>
      <c r="AD19" s="45">
        <f t="shared" si="37"/>
        <v>0</v>
      </c>
      <c r="AE19" s="41" t="str">
        <f t="shared" si="38"/>
        <v/>
      </c>
      <c r="AF19" s="43" t="str">
        <f t="shared" si="39"/>
        <v/>
      </c>
      <c r="AG19" s="43" t="str">
        <f t="shared" si="40"/>
        <v/>
      </c>
      <c r="AH19" s="44" t="str">
        <f t="shared" si="41"/>
        <v/>
      </c>
      <c r="AI19" s="45">
        <f t="shared" si="42"/>
        <v>0</v>
      </c>
      <c r="AJ19" s="41" t="str">
        <f t="shared" si="43"/>
        <v/>
      </c>
      <c r="AK19" s="43" t="str">
        <f t="shared" si="44"/>
        <v/>
      </c>
      <c r="AL19" s="43" t="str">
        <f t="shared" si="45"/>
        <v/>
      </c>
      <c r="AM19" s="44" t="str">
        <f t="shared" si="46"/>
        <v/>
      </c>
      <c r="AN19" s="45">
        <f t="shared" si="47"/>
        <v>0</v>
      </c>
      <c r="AO19" s="41" t="str">
        <f t="shared" si="48"/>
        <v/>
      </c>
      <c r="AP19" s="43" t="str">
        <f t="shared" si="49"/>
        <v/>
      </c>
      <c r="AQ19" s="43" t="str">
        <f t="shared" si="50"/>
        <v/>
      </c>
      <c r="AR19" s="44" t="str">
        <f t="shared" si="51"/>
        <v/>
      </c>
      <c r="AS19" s="45">
        <f t="shared" si="52"/>
        <v>0</v>
      </c>
      <c r="AT19" s="41" t="str">
        <f t="shared" si="53"/>
        <v/>
      </c>
      <c r="AU19" s="43" t="str">
        <f t="shared" si="54"/>
        <v/>
      </c>
      <c r="AV19" s="43" t="str">
        <f t="shared" si="55"/>
        <v/>
      </c>
      <c r="AW19" s="44" t="str">
        <f t="shared" si="56"/>
        <v/>
      </c>
      <c r="AX19" s="45">
        <f t="shared" si="57"/>
        <v>0</v>
      </c>
      <c r="AY19" s="41" t="str">
        <f t="shared" si="58"/>
        <v/>
      </c>
      <c r="AZ19" s="43" t="str">
        <f t="shared" si="59"/>
        <v/>
      </c>
      <c r="BA19" s="43" t="str">
        <f t="shared" si="60"/>
        <v/>
      </c>
      <c r="BB19" s="44" t="str">
        <f t="shared" si="61"/>
        <v/>
      </c>
      <c r="BC19" s="45">
        <f t="shared" si="62"/>
        <v>0</v>
      </c>
      <c r="BD19" s="41" t="str">
        <f t="shared" si="63"/>
        <v/>
      </c>
      <c r="BE19" s="43" t="str">
        <f t="shared" si="64"/>
        <v/>
      </c>
      <c r="BF19" s="43" t="str">
        <f t="shared" si="65"/>
        <v/>
      </c>
      <c r="BG19" s="44" t="str">
        <f t="shared" si="66"/>
        <v/>
      </c>
      <c r="BH19" s="45">
        <f t="shared" si="67"/>
        <v>0</v>
      </c>
      <c r="BI19" s="41" t="str">
        <f t="shared" si="68"/>
        <v/>
      </c>
      <c r="BJ19" s="43" t="str">
        <f t="shared" si="69"/>
        <v/>
      </c>
      <c r="BK19" s="43" t="str">
        <f t="shared" si="70"/>
        <v/>
      </c>
      <c r="BL19" s="44" t="str">
        <f t="shared" si="71"/>
        <v/>
      </c>
      <c r="BM19" s="45">
        <f t="shared" si="72"/>
        <v>0</v>
      </c>
      <c r="BN19" s="41" t="str">
        <f t="shared" si="73"/>
        <v/>
      </c>
      <c r="BO19" s="40"/>
      <c r="BP19" s="40"/>
      <c r="BQ19" s="40"/>
    </row>
    <row r="20" hidden="1">
      <c r="A20" s="40"/>
      <c r="B20" s="40"/>
      <c r="C20" s="42">
        <f t="shared" si="13"/>
        <v>0</v>
      </c>
      <c r="D20" s="40"/>
      <c r="E20" s="40"/>
      <c r="F20" s="40"/>
      <c r="G20" s="43" t="str">
        <f t="shared" si="14"/>
        <v/>
      </c>
      <c r="H20" s="43" t="str">
        <f t="shared" si="15"/>
        <v/>
      </c>
      <c r="I20" s="44" t="str">
        <f t="shared" si="16"/>
        <v/>
      </c>
      <c r="J20" s="45">
        <f t="shared" si="17"/>
        <v>0</v>
      </c>
      <c r="K20" s="41" t="str">
        <f t="shared" si="18"/>
        <v/>
      </c>
      <c r="L20" s="43" t="str">
        <f t="shared" si="19"/>
        <v/>
      </c>
      <c r="M20" s="43" t="str">
        <f t="shared" si="20"/>
        <v/>
      </c>
      <c r="N20" s="44" t="str">
        <f t="shared" si="21"/>
        <v/>
      </c>
      <c r="O20" s="45">
        <f t="shared" si="22"/>
        <v>0</v>
      </c>
      <c r="P20" s="41" t="str">
        <f t="shared" si="23"/>
        <v/>
      </c>
      <c r="Q20" s="43" t="str">
        <f t="shared" si="24"/>
        <v/>
      </c>
      <c r="R20" s="43" t="str">
        <f t="shared" si="25"/>
        <v/>
      </c>
      <c r="S20" s="44" t="str">
        <f t="shared" si="26"/>
        <v/>
      </c>
      <c r="T20" s="45">
        <f t="shared" si="27"/>
        <v>0</v>
      </c>
      <c r="U20" s="41" t="str">
        <f t="shared" si="28"/>
        <v/>
      </c>
      <c r="V20" s="43" t="str">
        <f t="shared" si="29"/>
        <v/>
      </c>
      <c r="W20" s="43" t="str">
        <f t="shared" si="30"/>
        <v/>
      </c>
      <c r="X20" s="44" t="str">
        <f t="shared" si="31"/>
        <v/>
      </c>
      <c r="Y20" s="45">
        <f t="shared" si="32"/>
        <v>0</v>
      </c>
      <c r="Z20" s="41" t="str">
        <f t="shared" si="33"/>
        <v/>
      </c>
      <c r="AA20" s="43" t="str">
        <f t="shared" si="34"/>
        <v/>
      </c>
      <c r="AB20" s="43" t="str">
        <f t="shared" si="35"/>
        <v/>
      </c>
      <c r="AC20" s="44" t="str">
        <f t="shared" si="36"/>
        <v/>
      </c>
      <c r="AD20" s="45">
        <f t="shared" si="37"/>
        <v>0</v>
      </c>
      <c r="AE20" s="41" t="str">
        <f t="shared" si="38"/>
        <v/>
      </c>
      <c r="AF20" s="43" t="str">
        <f t="shared" si="39"/>
        <v/>
      </c>
      <c r="AG20" s="43" t="str">
        <f t="shared" si="40"/>
        <v/>
      </c>
      <c r="AH20" s="44" t="str">
        <f t="shared" si="41"/>
        <v/>
      </c>
      <c r="AI20" s="45">
        <f t="shared" si="42"/>
        <v>0</v>
      </c>
      <c r="AJ20" s="41" t="str">
        <f t="shared" si="43"/>
        <v/>
      </c>
      <c r="AK20" s="43" t="str">
        <f t="shared" si="44"/>
        <v/>
      </c>
      <c r="AL20" s="43" t="str">
        <f t="shared" si="45"/>
        <v/>
      </c>
      <c r="AM20" s="44" t="str">
        <f t="shared" si="46"/>
        <v/>
      </c>
      <c r="AN20" s="45">
        <f t="shared" si="47"/>
        <v>0</v>
      </c>
      <c r="AO20" s="41" t="str">
        <f t="shared" si="48"/>
        <v/>
      </c>
      <c r="AP20" s="43" t="str">
        <f t="shared" si="49"/>
        <v/>
      </c>
      <c r="AQ20" s="43" t="str">
        <f t="shared" si="50"/>
        <v/>
      </c>
      <c r="AR20" s="44" t="str">
        <f t="shared" si="51"/>
        <v/>
      </c>
      <c r="AS20" s="45">
        <f t="shared" si="52"/>
        <v>0</v>
      </c>
      <c r="AT20" s="41" t="str">
        <f t="shared" si="53"/>
        <v/>
      </c>
      <c r="AU20" s="43" t="str">
        <f t="shared" si="54"/>
        <v/>
      </c>
      <c r="AV20" s="43" t="str">
        <f t="shared" si="55"/>
        <v/>
      </c>
      <c r="AW20" s="44" t="str">
        <f t="shared" si="56"/>
        <v/>
      </c>
      <c r="AX20" s="45">
        <f t="shared" si="57"/>
        <v>0</v>
      </c>
      <c r="AY20" s="41" t="str">
        <f t="shared" si="58"/>
        <v/>
      </c>
      <c r="AZ20" s="43" t="str">
        <f t="shared" si="59"/>
        <v/>
      </c>
      <c r="BA20" s="43" t="str">
        <f t="shared" si="60"/>
        <v/>
      </c>
      <c r="BB20" s="44" t="str">
        <f t="shared" si="61"/>
        <v/>
      </c>
      <c r="BC20" s="45">
        <f t="shared" si="62"/>
        <v>0</v>
      </c>
      <c r="BD20" s="41" t="str">
        <f t="shared" si="63"/>
        <v/>
      </c>
      <c r="BE20" s="43" t="str">
        <f t="shared" si="64"/>
        <v/>
      </c>
      <c r="BF20" s="43" t="str">
        <f t="shared" si="65"/>
        <v/>
      </c>
      <c r="BG20" s="44" t="str">
        <f t="shared" si="66"/>
        <v/>
      </c>
      <c r="BH20" s="45">
        <f t="shared" si="67"/>
        <v>0</v>
      </c>
      <c r="BI20" s="41" t="str">
        <f t="shared" si="68"/>
        <v/>
      </c>
      <c r="BJ20" s="43" t="str">
        <f t="shared" si="69"/>
        <v/>
      </c>
      <c r="BK20" s="43" t="str">
        <f t="shared" si="70"/>
        <v/>
      </c>
      <c r="BL20" s="44" t="str">
        <f t="shared" si="71"/>
        <v/>
      </c>
      <c r="BM20" s="45">
        <f t="shared" si="72"/>
        <v>0</v>
      </c>
      <c r="BN20" s="41" t="str">
        <f t="shared" si="73"/>
        <v/>
      </c>
      <c r="BO20" s="40"/>
      <c r="BP20" s="40"/>
      <c r="BQ20" s="40"/>
    </row>
    <row r="21" hidden="1">
      <c r="A21" s="40"/>
      <c r="B21" s="40"/>
      <c r="C21" s="42">
        <f t="shared" si="13"/>
        <v>0</v>
      </c>
      <c r="D21" s="40"/>
      <c r="E21" s="40"/>
      <c r="F21" s="40"/>
      <c r="G21" s="43" t="str">
        <f t="shared" si="14"/>
        <v/>
      </c>
      <c r="H21" s="43" t="str">
        <f t="shared" si="15"/>
        <v/>
      </c>
      <c r="I21" s="44" t="str">
        <f t="shared" si="16"/>
        <v/>
      </c>
      <c r="J21" s="45">
        <f t="shared" si="17"/>
        <v>0</v>
      </c>
      <c r="K21" s="41" t="str">
        <f t="shared" si="18"/>
        <v/>
      </c>
      <c r="L21" s="43" t="str">
        <f t="shared" si="19"/>
        <v/>
      </c>
      <c r="M21" s="43" t="str">
        <f t="shared" si="20"/>
        <v/>
      </c>
      <c r="N21" s="44" t="str">
        <f t="shared" si="21"/>
        <v/>
      </c>
      <c r="O21" s="45">
        <f t="shared" si="22"/>
        <v>0</v>
      </c>
      <c r="P21" s="41" t="str">
        <f t="shared" si="23"/>
        <v/>
      </c>
      <c r="Q21" s="43" t="str">
        <f t="shared" si="24"/>
        <v/>
      </c>
      <c r="R21" s="43" t="str">
        <f t="shared" si="25"/>
        <v/>
      </c>
      <c r="S21" s="44" t="str">
        <f t="shared" si="26"/>
        <v/>
      </c>
      <c r="T21" s="45">
        <f t="shared" si="27"/>
        <v>0</v>
      </c>
      <c r="U21" s="41" t="str">
        <f t="shared" si="28"/>
        <v/>
      </c>
      <c r="V21" s="43" t="str">
        <f t="shared" si="29"/>
        <v/>
      </c>
      <c r="W21" s="43" t="str">
        <f t="shared" si="30"/>
        <v/>
      </c>
      <c r="X21" s="44" t="str">
        <f t="shared" si="31"/>
        <v/>
      </c>
      <c r="Y21" s="45">
        <f t="shared" si="32"/>
        <v>0</v>
      </c>
      <c r="Z21" s="41" t="str">
        <f t="shared" si="33"/>
        <v/>
      </c>
      <c r="AA21" s="43" t="str">
        <f t="shared" si="34"/>
        <v/>
      </c>
      <c r="AB21" s="43" t="str">
        <f t="shared" si="35"/>
        <v/>
      </c>
      <c r="AC21" s="44" t="str">
        <f t="shared" si="36"/>
        <v/>
      </c>
      <c r="AD21" s="45">
        <f t="shared" si="37"/>
        <v>0</v>
      </c>
      <c r="AE21" s="41" t="str">
        <f t="shared" si="38"/>
        <v/>
      </c>
      <c r="AF21" s="43" t="str">
        <f t="shared" si="39"/>
        <v/>
      </c>
      <c r="AG21" s="43" t="str">
        <f t="shared" si="40"/>
        <v/>
      </c>
      <c r="AH21" s="44" t="str">
        <f t="shared" si="41"/>
        <v/>
      </c>
      <c r="AI21" s="45">
        <f t="shared" si="42"/>
        <v>0</v>
      </c>
      <c r="AJ21" s="41" t="str">
        <f t="shared" si="43"/>
        <v/>
      </c>
      <c r="AK21" s="43" t="str">
        <f t="shared" si="44"/>
        <v/>
      </c>
      <c r="AL21" s="43" t="str">
        <f t="shared" si="45"/>
        <v/>
      </c>
      <c r="AM21" s="44" t="str">
        <f t="shared" si="46"/>
        <v/>
      </c>
      <c r="AN21" s="45">
        <f t="shared" si="47"/>
        <v>0</v>
      </c>
      <c r="AO21" s="41" t="str">
        <f t="shared" si="48"/>
        <v/>
      </c>
      <c r="AP21" s="43" t="str">
        <f t="shared" si="49"/>
        <v/>
      </c>
      <c r="AQ21" s="43" t="str">
        <f t="shared" si="50"/>
        <v/>
      </c>
      <c r="AR21" s="44" t="str">
        <f t="shared" si="51"/>
        <v/>
      </c>
      <c r="AS21" s="45">
        <f t="shared" si="52"/>
        <v>0</v>
      </c>
      <c r="AT21" s="41" t="str">
        <f t="shared" si="53"/>
        <v/>
      </c>
      <c r="AU21" s="43" t="str">
        <f t="shared" si="54"/>
        <v/>
      </c>
      <c r="AV21" s="43" t="str">
        <f t="shared" si="55"/>
        <v/>
      </c>
      <c r="AW21" s="44" t="str">
        <f t="shared" si="56"/>
        <v/>
      </c>
      <c r="AX21" s="45">
        <f t="shared" si="57"/>
        <v>0</v>
      </c>
      <c r="AY21" s="41" t="str">
        <f t="shared" si="58"/>
        <v/>
      </c>
      <c r="AZ21" s="43" t="str">
        <f t="shared" si="59"/>
        <v/>
      </c>
      <c r="BA21" s="43" t="str">
        <f t="shared" si="60"/>
        <v/>
      </c>
      <c r="BB21" s="44" t="str">
        <f t="shared" si="61"/>
        <v/>
      </c>
      <c r="BC21" s="45">
        <f t="shared" si="62"/>
        <v>0</v>
      </c>
      <c r="BD21" s="41" t="str">
        <f t="shared" si="63"/>
        <v/>
      </c>
      <c r="BE21" s="43" t="str">
        <f t="shared" si="64"/>
        <v/>
      </c>
      <c r="BF21" s="43" t="str">
        <f t="shared" si="65"/>
        <v/>
      </c>
      <c r="BG21" s="44" t="str">
        <f t="shared" si="66"/>
        <v/>
      </c>
      <c r="BH21" s="45">
        <f t="shared" si="67"/>
        <v>0</v>
      </c>
      <c r="BI21" s="41" t="str">
        <f t="shared" si="68"/>
        <v/>
      </c>
      <c r="BJ21" s="43" t="str">
        <f t="shared" si="69"/>
        <v/>
      </c>
      <c r="BK21" s="43" t="str">
        <f t="shared" si="70"/>
        <v/>
      </c>
      <c r="BL21" s="44" t="str">
        <f t="shared" si="71"/>
        <v/>
      </c>
      <c r="BM21" s="45">
        <f t="shared" si="72"/>
        <v>0</v>
      </c>
      <c r="BN21" s="41" t="str">
        <f t="shared" si="73"/>
        <v/>
      </c>
      <c r="BO21" s="40"/>
      <c r="BP21" s="40"/>
      <c r="BQ21" s="40"/>
    </row>
    <row r="22" hidden="1">
      <c r="A22" s="40"/>
      <c r="B22" s="40"/>
      <c r="C22" s="42">
        <f t="shared" si="13"/>
        <v>0</v>
      </c>
      <c r="D22" s="40"/>
      <c r="E22" s="40"/>
      <c r="F22" s="40"/>
      <c r="G22" s="43" t="str">
        <f t="shared" si="14"/>
        <v/>
      </c>
      <c r="H22" s="43" t="str">
        <f t="shared" si="15"/>
        <v/>
      </c>
      <c r="I22" s="44" t="str">
        <f t="shared" si="16"/>
        <v/>
      </c>
      <c r="J22" s="45">
        <f t="shared" si="17"/>
        <v>0</v>
      </c>
      <c r="K22" s="41" t="str">
        <f t="shared" si="18"/>
        <v/>
      </c>
      <c r="L22" s="43" t="str">
        <f t="shared" si="19"/>
        <v/>
      </c>
      <c r="M22" s="43" t="str">
        <f t="shared" si="20"/>
        <v/>
      </c>
      <c r="N22" s="44" t="str">
        <f t="shared" si="21"/>
        <v/>
      </c>
      <c r="O22" s="45">
        <f t="shared" si="22"/>
        <v>0</v>
      </c>
      <c r="P22" s="41" t="str">
        <f t="shared" si="23"/>
        <v/>
      </c>
      <c r="Q22" s="43" t="str">
        <f t="shared" si="24"/>
        <v/>
      </c>
      <c r="R22" s="43" t="str">
        <f t="shared" si="25"/>
        <v/>
      </c>
      <c r="S22" s="44" t="str">
        <f t="shared" si="26"/>
        <v/>
      </c>
      <c r="T22" s="45">
        <f t="shared" si="27"/>
        <v>0</v>
      </c>
      <c r="U22" s="41" t="str">
        <f t="shared" si="28"/>
        <v/>
      </c>
      <c r="V22" s="43" t="str">
        <f t="shared" si="29"/>
        <v/>
      </c>
      <c r="W22" s="43" t="str">
        <f t="shared" si="30"/>
        <v/>
      </c>
      <c r="X22" s="44" t="str">
        <f t="shared" si="31"/>
        <v/>
      </c>
      <c r="Y22" s="45">
        <f t="shared" si="32"/>
        <v>0</v>
      </c>
      <c r="Z22" s="41" t="str">
        <f t="shared" si="33"/>
        <v/>
      </c>
      <c r="AA22" s="43" t="str">
        <f t="shared" si="34"/>
        <v/>
      </c>
      <c r="AB22" s="43" t="str">
        <f t="shared" si="35"/>
        <v/>
      </c>
      <c r="AC22" s="44" t="str">
        <f t="shared" si="36"/>
        <v/>
      </c>
      <c r="AD22" s="45">
        <f t="shared" si="37"/>
        <v>0</v>
      </c>
      <c r="AE22" s="41" t="str">
        <f t="shared" si="38"/>
        <v/>
      </c>
      <c r="AF22" s="43" t="str">
        <f t="shared" si="39"/>
        <v/>
      </c>
      <c r="AG22" s="43" t="str">
        <f t="shared" si="40"/>
        <v/>
      </c>
      <c r="AH22" s="44" t="str">
        <f t="shared" si="41"/>
        <v/>
      </c>
      <c r="AI22" s="45">
        <f t="shared" si="42"/>
        <v>0</v>
      </c>
      <c r="AJ22" s="41" t="str">
        <f t="shared" si="43"/>
        <v/>
      </c>
      <c r="AK22" s="43" t="str">
        <f t="shared" si="44"/>
        <v/>
      </c>
      <c r="AL22" s="43" t="str">
        <f t="shared" si="45"/>
        <v/>
      </c>
      <c r="AM22" s="44" t="str">
        <f t="shared" si="46"/>
        <v/>
      </c>
      <c r="AN22" s="45">
        <f t="shared" si="47"/>
        <v>0</v>
      </c>
      <c r="AO22" s="41" t="str">
        <f t="shared" si="48"/>
        <v/>
      </c>
      <c r="AP22" s="43" t="str">
        <f t="shared" si="49"/>
        <v/>
      </c>
      <c r="AQ22" s="43" t="str">
        <f t="shared" si="50"/>
        <v/>
      </c>
      <c r="AR22" s="44" t="str">
        <f t="shared" si="51"/>
        <v/>
      </c>
      <c r="AS22" s="45">
        <f t="shared" si="52"/>
        <v>0</v>
      </c>
      <c r="AT22" s="41" t="str">
        <f t="shared" si="53"/>
        <v/>
      </c>
      <c r="AU22" s="43" t="str">
        <f t="shared" si="54"/>
        <v/>
      </c>
      <c r="AV22" s="43" t="str">
        <f t="shared" si="55"/>
        <v/>
      </c>
      <c r="AW22" s="44" t="str">
        <f t="shared" si="56"/>
        <v/>
      </c>
      <c r="AX22" s="45">
        <f t="shared" si="57"/>
        <v>0</v>
      </c>
      <c r="AY22" s="41" t="str">
        <f t="shared" si="58"/>
        <v/>
      </c>
      <c r="AZ22" s="43" t="str">
        <f t="shared" si="59"/>
        <v/>
      </c>
      <c r="BA22" s="43" t="str">
        <f t="shared" si="60"/>
        <v/>
      </c>
      <c r="BB22" s="44" t="str">
        <f t="shared" si="61"/>
        <v/>
      </c>
      <c r="BC22" s="45">
        <f t="shared" si="62"/>
        <v>0</v>
      </c>
      <c r="BD22" s="41" t="str">
        <f t="shared" si="63"/>
        <v/>
      </c>
      <c r="BE22" s="43" t="str">
        <f t="shared" si="64"/>
        <v/>
      </c>
      <c r="BF22" s="43" t="str">
        <f t="shared" si="65"/>
        <v/>
      </c>
      <c r="BG22" s="44" t="str">
        <f t="shared" si="66"/>
        <v/>
      </c>
      <c r="BH22" s="45">
        <f t="shared" si="67"/>
        <v>0</v>
      </c>
      <c r="BI22" s="41" t="str">
        <f t="shared" si="68"/>
        <v/>
      </c>
      <c r="BJ22" s="43" t="str">
        <f t="shared" si="69"/>
        <v/>
      </c>
      <c r="BK22" s="43" t="str">
        <f t="shared" si="70"/>
        <v/>
      </c>
      <c r="BL22" s="44" t="str">
        <f t="shared" si="71"/>
        <v/>
      </c>
      <c r="BM22" s="45">
        <f t="shared" si="72"/>
        <v>0</v>
      </c>
      <c r="BN22" s="41" t="str">
        <f t="shared" si="73"/>
        <v/>
      </c>
      <c r="BO22" s="40"/>
      <c r="BP22" s="40"/>
      <c r="BQ22" s="40"/>
    </row>
    <row r="23" hidden="1">
      <c r="A23" s="40"/>
      <c r="B23" s="40"/>
      <c r="C23" s="42">
        <f t="shared" si="13"/>
        <v>0</v>
      </c>
      <c r="D23" s="40"/>
      <c r="E23" s="40"/>
      <c r="F23" s="40"/>
      <c r="G23" s="43" t="str">
        <f t="shared" si="14"/>
        <v/>
      </c>
      <c r="H23" s="43" t="str">
        <f t="shared" si="15"/>
        <v/>
      </c>
      <c r="I23" s="44" t="str">
        <f t="shared" si="16"/>
        <v/>
      </c>
      <c r="J23" s="45">
        <f t="shared" si="17"/>
        <v>0</v>
      </c>
      <c r="K23" s="41" t="str">
        <f t="shared" si="18"/>
        <v/>
      </c>
      <c r="L23" s="43" t="str">
        <f t="shared" si="19"/>
        <v/>
      </c>
      <c r="M23" s="43" t="str">
        <f t="shared" si="20"/>
        <v/>
      </c>
      <c r="N23" s="44" t="str">
        <f t="shared" si="21"/>
        <v/>
      </c>
      <c r="O23" s="45">
        <f t="shared" si="22"/>
        <v>0</v>
      </c>
      <c r="P23" s="41" t="str">
        <f t="shared" si="23"/>
        <v/>
      </c>
      <c r="Q23" s="43" t="str">
        <f t="shared" si="24"/>
        <v/>
      </c>
      <c r="R23" s="43" t="str">
        <f t="shared" si="25"/>
        <v/>
      </c>
      <c r="S23" s="44" t="str">
        <f t="shared" si="26"/>
        <v/>
      </c>
      <c r="T23" s="45">
        <f t="shared" si="27"/>
        <v>0</v>
      </c>
      <c r="U23" s="41" t="str">
        <f t="shared" si="28"/>
        <v/>
      </c>
      <c r="V23" s="43" t="str">
        <f t="shared" si="29"/>
        <v/>
      </c>
      <c r="W23" s="43" t="str">
        <f t="shared" si="30"/>
        <v/>
      </c>
      <c r="X23" s="44" t="str">
        <f t="shared" si="31"/>
        <v/>
      </c>
      <c r="Y23" s="45">
        <f t="shared" si="32"/>
        <v>0</v>
      </c>
      <c r="Z23" s="41" t="str">
        <f t="shared" si="33"/>
        <v/>
      </c>
      <c r="AA23" s="43" t="str">
        <f t="shared" si="34"/>
        <v/>
      </c>
      <c r="AB23" s="43" t="str">
        <f t="shared" si="35"/>
        <v/>
      </c>
      <c r="AC23" s="44" t="str">
        <f t="shared" si="36"/>
        <v/>
      </c>
      <c r="AD23" s="45">
        <f t="shared" si="37"/>
        <v>0</v>
      </c>
      <c r="AE23" s="41" t="str">
        <f t="shared" si="38"/>
        <v/>
      </c>
      <c r="AF23" s="43" t="str">
        <f t="shared" si="39"/>
        <v/>
      </c>
      <c r="AG23" s="43" t="str">
        <f t="shared" si="40"/>
        <v/>
      </c>
      <c r="AH23" s="44" t="str">
        <f t="shared" si="41"/>
        <v/>
      </c>
      <c r="AI23" s="45">
        <f t="shared" si="42"/>
        <v>0</v>
      </c>
      <c r="AJ23" s="41" t="str">
        <f t="shared" si="43"/>
        <v/>
      </c>
      <c r="AK23" s="43" t="str">
        <f t="shared" si="44"/>
        <v/>
      </c>
      <c r="AL23" s="43" t="str">
        <f t="shared" si="45"/>
        <v/>
      </c>
      <c r="AM23" s="44" t="str">
        <f t="shared" si="46"/>
        <v/>
      </c>
      <c r="AN23" s="45">
        <f t="shared" si="47"/>
        <v>0</v>
      </c>
      <c r="AO23" s="41" t="str">
        <f t="shared" si="48"/>
        <v/>
      </c>
      <c r="AP23" s="43" t="str">
        <f t="shared" si="49"/>
        <v/>
      </c>
      <c r="AQ23" s="43" t="str">
        <f t="shared" si="50"/>
        <v/>
      </c>
      <c r="AR23" s="44" t="str">
        <f t="shared" si="51"/>
        <v/>
      </c>
      <c r="AS23" s="45">
        <f t="shared" si="52"/>
        <v>0</v>
      </c>
      <c r="AT23" s="41" t="str">
        <f t="shared" si="53"/>
        <v/>
      </c>
      <c r="AU23" s="43" t="str">
        <f t="shared" si="54"/>
        <v/>
      </c>
      <c r="AV23" s="43" t="str">
        <f t="shared" si="55"/>
        <v/>
      </c>
      <c r="AW23" s="44" t="str">
        <f t="shared" si="56"/>
        <v/>
      </c>
      <c r="AX23" s="45">
        <f t="shared" si="57"/>
        <v>0</v>
      </c>
      <c r="AY23" s="41" t="str">
        <f t="shared" si="58"/>
        <v/>
      </c>
      <c r="AZ23" s="43" t="str">
        <f t="shared" si="59"/>
        <v/>
      </c>
      <c r="BA23" s="43" t="str">
        <f t="shared" si="60"/>
        <v/>
      </c>
      <c r="BB23" s="44" t="str">
        <f t="shared" si="61"/>
        <v/>
      </c>
      <c r="BC23" s="45">
        <f t="shared" si="62"/>
        <v>0</v>
      </c>
      <c r="BD23" s="41" t="str">
        <f t="shared" si="63"/>
        <v/>
      </c>
      <c r="BE23" s="43" t="str">
        <f t="shared" si="64"/>
        <v/>
      </c>
      <c r="BF23" s="43" t="str">
        <f t="shared" si="65"/>
        <v/>
      </c>
      <c r="BG23" s="44" t="str">
        <f t="shared" si="66"/>
        <v/>
      </c>
      <c r="BH23" s="45">
        <f t="shared" si="67"/>
        <v>0</v>
      </c>
      <c r="BI23" s="41" t="str">
        <f t="shared" si="68"/>
        <v/>
      </c>
      <c r="BJ23" s="43" t="str">
        <f t="shared" si="69"/>
        <v/>
      </c>
      <c r="BK23" s="43" t="str">
        <f t="shared" si="70"/>
        <v/>
      </c>
      <c r="BL23" s="44" t="str">
        <f t="shared" si="71"/>
        <v/>
      </c>
      <c r="BM23" s="45">
        <f t="shared" si="72"/>
        <v>0</v>
      </c>
      <c r="BN23" s="41" t="str">
        <f t="shared" si="73"/>
        <v/>
      </c>
      <c r="BO23" s="40"/>
      <c r="BP23" s="40"/>
      <c r="BQ23" s="40"/>
    </row>
    <row r="24" hidden="1">
      <c r="A24" s="40"/>
      <c r="B24" s="40"/>
      <c r="C24" s="42">
        <f t="shared" si="13"/>
        <v>0</v>
      </c>
      <c r="D24" s="40"/>
      <c r="E24" s="40"/>
      <c r="F24" s="40"/>
      <c r="G24" s="43" t="str">
        <f t="shared" si="14"/>
        <v/>
      </c>
      <c r="H24" s="43" t="str">
        <f t="shared" si="15"/>
        <v/>
      </c>
      <c r="I24" s="44" t="str">
        <f t="shared" si="16"/>
        <v/>
      </c>
      <c r="J24" s="45">
        <f t="shared" si="17"/>
        <v>0</v>
      </c>
      <c r="K24" s="41" t="str">
        <f t="shared" si="18"/>
        <v/>
      </c>
      <c r="L24" s="43" t="str">
        <f t="shared" si="19"/>
        <v/>
      </c>
      <c r="M24" s="43" t="str">
        <f t="shared" si="20"/>
        <v/>
      </c>
      <c r="N24" s="44" t="str">
        <f t="shared" si="21"/>
        <v/>
      </c>
      <c r="O24" s="45">
        <f t="shared" si="22"/>
        <v>0</v>
      </c>
      <c r="P24" s="41" t="str">
        <f t="shared" si="23"/>
        <v/>
      </c>
      <c r="Q24" s="43" t="str">
        <f t="shared" si="24"/>
        <v/>
      </c>
      <c r="R24" s="43" t="str">
        <f t="shared" si="25"/>
        <v/>
      </c>
      <c r="S24" s="44" t="str">
        <f t="shared" si="26"/>
        <v/>
      </c>
      <c r="T24" s="45">
        <f t="shared" si="27"/>
        <v>0</v>
      </c>
      <c r="U24" s="41" t="str">
        <f t="shared" si="28"/>
        <v/>
      </c>
      <c r="V24" s="43" t="str">
        <f t="shared" si="29"/>
        <v/>
      </c>
      <c r="W24" s="43" t="str">
        <f t="shared" si="30"/>
        <v/>
      </c>
      <c r="X24" s="44" t="str">
        <f t="shared" si="31"/>
        <v/>
      </c>
      <c r="Y24" s="45">
        <f t="shared" si="32"/>
        <v>0</v>
      </c>
      <c r="Z24" s="41" t="str">
        <f t="shared" si="33"/>
        <v/>
      </c>
      <c r="AA24" s="43" t="str">
        <f t="shared" si="34"/>
        <v/>
      </c>
      <c r="AB24" s="43" t="str">
        <f t="shared" si="35"/>
        <v/>
      </c>
      <c r="AC24" s="44" t="str">
        <f t="shared" si="36"/>
        <v/>
      </c>
      <c r="AD24" s="45">
        <f t="shared" si="37"/>
        <v>0</v>
      </c>
      <c r="AE24" s="41" t="str">
        <f t="shared" si="38"/>
        <v/>
      </c>
      <c r="AF24" s="43" t="str">
        <f t="shared" si="39"/>
        <v/>
      </c>
      <c r="AG24" s="43" t="str">
        <f t="shared" si="40"/>
        <v/>
      </c>
      <c r="AH24" s="44" t="str">
        <f t="shared" si="41"/>
        <v/>
      </c>
      <c r="AI24" s="45">
        <f t="shared" si="42"/>
        <v>0</v>
      </c>
      <c r="AJ24" s="41" t="str">
        <f t="shared" si="43"/>
        <v/>
      </c>
      <c r="AK24" s="43" t="str">
        <f t="shared" si="44"/>
        <v/>
      </c>
      <c r="AL24" s="43" t="str">
        <f t="shared" si="45"/>
        <v/>
      </c>
      <c r="AM24" s="44" t="str">
        <f t="shared" si="46"/>
        <v/>
      </c>
      <c r="AN24" s="45">
        <f t="shared" si="47"/>
        <v>0</v>
      </c>
      <c r="AO24" s="41" t="str">
        <f t="shared" si="48"/>
        <v/>
      </c>
      <c r="AP24" s="43" t="str">
        <f t="shared" si="49"/>
        <v/>
      </c>
      <c r="AQ24" s="43" t="str">
        <f t="shared" si="50"/>
        <v/>
      </c>
      <c r="AR24" s="44" t="str">
        <f t="shared" si="51"/>
        <v/>
      </c>
      <c r="AS24" s="45">
        <f t="shared" si="52"/>
        <v>0</v>
      </c>
      <c r="AT24" s="41" t="str">
        <f t="shared" si="53"/>
        <v/>
      </c>
      <c r="AU24" s="43" t="str">
        <f t="shared" si="54"/>
        <v/>
      </c>
      <c r="AV24" s="43" t="str">
        <f t="shared" si="55"/>
        <v/>
      </c>
      <c r="AW24" s="44" t="str">
        <f t="shared" si="56"/>
        <v/>
      </c>
      <c r="AX24" s="45">
        <f t="shared" si="57"/>
        <v>0</v>
      </c>
      <c r="AY24" s="41" t="str">
        <f t="shared" si="58"/>
        <v/>
      </c>
      <c r="AZ24" s="43" t="str">
        <f t="shared" si="59"/>
        <v/>
      </c>
      <c r="BA24" s="43" t="str">
        <f t="shared" si="60"/>
        <v/>
      </c>
      <c r="BB24" s="44" t="str">
        <f t="shared" si="61"/>
        <v/>
      </c>
      <c r="BC24" s="45">
        <f t="shared" si="62"/>
        <v>0</v>
      </c>
      <c r="BD24" s="41" t="str">
        <f t="shared" si="63"/>
        <v/>
      </c>
      <c r="BE24" s="43" t="str">
        <f t="shared" si="64"/>
        <v/>
      </c>
      <c r="BF24" s="43" t="str">
        <f t="shared" si="65"/>
        <v/>
      </c>
      <c r="BG24" s="44" t="str">
        <f t="shared" si="66"/>
        <v/>
      </c>
      <c r="BH24" s="45">
        <f t="shared" si="67"/>
        <v>0</v>
      </c>
      <c r="BI24" s="41" t="str">
        <f t="shared" si="68"/>
        <v/>
      </c>
      <c r="BJ24" s="43" t="str">
        <f t="shared" si="69"/>
        <v/>
      </c>
      <c r="BK24" s="43" t="str">
        <f t="shared" si="70"/>
        <v/>
      </c>
      <c r="BL24" s="44" t="str">
        <f t="shared" si="71"/>
        <v/>
      </c>
      <c r="BM24" s="45">
        <f t="shared" si="72"/>
        <v>0</v>
      </c>
      <c r="BN24" s="41" t="str">
        <f t="shared" si="73"/>
        <v/>
      </c>
      <c r="BO24" s="40"/>
      <c r="BP24" s="40"/>
      <c r="BQ24" s="40"/>
    </row>
    <row r="25" hidden="1">
      <c r="A25" s="40"/>
      <c r="B25" s="40"/>
      <c r="C25" s="42">
        <f t="shared" si="13"/>
        <v>0</v>
      </c>
      <c r="D25" s="40"/>
      <c r="E25" s="40"/>
      <c r="F25" s="40"/>
      <c r="G25" s="43" t="str">
        <f t="shared" si="14"/>
        <v/>
      </c>
      <c r="H25" s="43" t="str">
        <f t="shared" si="15"/>
        <v/>
      </c>
      <c r="I25" s="44" t="str">
        <f t="shared" si="16"/>
        <v/>
      </c>
      <c r="J25" s="45">
        <f t="shared" si="17"/>
        <v>0</v>
      </c>
      <c r="K25" s="41" t="str">
        <f t="shared" si="18"/>
        <v/>
      </c>
      <c r="L25" s="43" t="str">
        <f t="shared" si="19"/>
        <v/>
      </c>
      <c r="M25" s="43" t="str">
        <f t="shared" si="20"/>
        <v/>
      </c>
      <c r="N25" s="44" t="str">
        <f t="shared" si="21"/>
        <v/>
      </c>
      <c r="O25" s="45">
        <f t="shared" si="22"/>
        <v>0</v>
      </c>
      <c r="P25" s="41" t="str">
        <f t="shared" si="23"/>
        <v/>
      </c>
      <c r="Q25" s="43" t="str">
        <f t="shared" si="24"/>
        <v/>
      </c>
      <c r="R25" s="43" t="str">
        <f t="shared" si="25"/>
        <v/>
      </c>
      <c r="S25" s="44" t="str">
        <f t="shared" si="26"/>
        <v/>
      </c>
      <c r="T25" s="45">
        <f t="shared" si="27"/>
        <v>0</v>
      </c>
      <c r="U25" s="41" t="str">
        <f t="shared" si="28"/>
        <v/>
      </c>
      <c r="V25" s="43" t="str">
        <f t="shared" si="29"/>
        <v/>
      </c>
      <c r="W25" s="43" t="str">
        <f t="shared" si="30"/>
        <v/>
      </c>
      <c r="X25" s="44" t="str">
        <f t="shared" si="31"/>
        <v/>
      </c>
      <c r="Y25" s="45">
        <f t="shared" si="32"/>
        <v>0</v>
      </c>
      <c r="Z25" s="41" t="str">
        <f t="shared" si="33"/>
        <v/>
      </c>
      <c r="AA25" s="43" t="str">
        <f t="shared" si="34"/>
        <v/>
      </c>
      <c r="AB25" s="43" t="str">
        <f t="shared" si="35"/>
        <v/>
      </c>
      <c r="AC25" s="44" t="str">
        <f t="shared" si="36"/>
        <v/>
      </c>
      <c r="AD25" s="45">
        <f t="shared" si="37"/>
        <v>0</v>
      </c>
      <c r="AE25" s="41" t="str">
        <f t="shared" si="38"/>
        <v/>
      </c>
      <c r="AF25" s="43" t="str">
        <f t="shared" si="39"/>
        <v/>
      </c>
      <c r="AG25" s="43" t="str">
        <f t="shared" si="40"/>
        <v/>
      </c>
      <c r="AH25" s="44" t="str">
        <f t="shared" si="41"/>
        <v/>
      </c>
      <c r="AI25" s="45">
        <f t="shared" si="42"/>
        <v>0</v>
      </c>
      <c r="AJ25" s="41" t="str">
        <f t="shared" si="43"/>
        <v/>
      </c>
      <c r="AK25" s="43" t="str">
        <f t="shared" si="44"/>
        <v/>
      </c>
      <c r="AL25" s="43" t="str">
        <f t="shared" si="45"/>
        <v/>
      </c>
      <c r="AM25" s="44" t="str">
        <f t="shared" si="46"/>
        <v/>
      </c>
      <c r="AN25" s="45">
        <f t="shared" si="47"/>
        <v>0</v>
      </c>
      <c r="AO25" s="41" t="str">
        <f t="shared" si="48"/>
        <v/>
      </c>
      <c r="AP25" s="43" t="str">
        <f t="shared" si="49"/>
        <v/>
      </c>
      <c r="AQ25" s="43" t="str">
        <f t="shared" si="50"/>
        <v/>
      </c>
      <c r="AR25" s="44" t="str">
        <f t="shared" si="51"/>
        <v/>
      </c>
      <c r="AS25" s="45">
        <f t="shared" si="52"/>
        <v>0</v>
      </c>
      <c r="AT25" s="41" t="str">
        <f t="shared" si="53"/>
        <v/>
      </c>
      <c r="AU25" s="43" t="str">
        <f t="shared" si="54"/>
        <v/>
      </c>
      <c r="AV25" s="43" t="str">
        <f t="shared" si="55"/>
        <v/>
      </c>
      <c r="AW25" s="44" t="str">
        <f t="shared" si="56"/>
        <v/>
      </c>
      <c r="AX25" s="45">
        <f t="shared" si="57"/>
        <v>0</v>
      </c>
      <c r="AY25" s="41" t="str">
        <f t="shared" si="58"/>
        <v/>
      </c>
      <c r="AZ25" s="43" t="str">
        <f t="shared" si="59"/>
        <v/>
      </c>
      <c r="BA25" s="43" t="str">
        <f t="shared" si="60"/>
        <v/>
      </c>
      <c r="BB25" s="44" t="str">
        <f t="shared" si="61"/>
        <v/>
      </c>
      <c r="BC25" s="45">
        <f t="shared" si="62"/>
        <v>0</v>
      </c>
      <c r="BD25" s="41" t="str">
        <f t="shared" si="63"/>
        <v/>
      </c>
      <c r="BE25" s="43" t="str">
        <f t="shared" si="64"/>
        <v/>
      </c>
      <c r="BF25" s="43" t="str">
        <f t="shared" si="65"/>
        <v/>
      </c>
      <c r="BG25" s="44" t="str">
        <f t="shared" si="66"/>
        <v/>
      </c>
      <c r="BH25" s="45">
        <f t="shared" si="67"/>
        <v>0</v>
      </c>
      <c r="BI25" s="41" t="str">
        <f t="shared" si="68"/>
        <v/>
      </c>
      <c r="BJ25" s="43" t="str">
        <f t="shared" si="69"/>
        <v/>
      </c>
      <c r="BK25" s="43" t="str">
        <f t="shared" si="70"/>
        <v/>
      </c>
      <c r="BL25" s="44" t="str">
        <f t="shared" si="71"/>
        <v/>
      </c>
      <c r="BM25" s="45">
        <f t="shared" si="72"/>
        <v>0</v>
      </c>
      <c r="BN25" s="41" t="str">
        <f t="shared" si="73"/>
        <v/>
      </c>
      <c r="BO25" s="40"/>
      <c r="BP25" s="40"/>
      <c r="BQ25" s="40"/>
    </row>
    <row r="26" hidden="1">
      <c r="A26" s="40"/>
      <c r="B26" s="40"/>
      <c r="C26" s="42">
        <f t="shared" si="13"/>
        <v>0</v>
      </c>
      <c r="D26" s="40"/>
      <c r="E26" s="40"/>
      <c r="F26" s="40"/>
      <c r="G26" s="43" t="str">
        <f t="shared" si="14"/>
        <v/>
      </c>
      <c r="H26" s="43" t="str">
        <f t="shared" si="15"/>
        <v/>
      </c>
      <c r="I26" s="44" t="str">
        <f t="shared" si="16"/>
        <v/>
      </c>
      <c r="J26" s="45">
        <f t="shared" si="17"/>
        <v>0</v>
      </c>
      <c r="K26" s="41" t="str">
        <f t="shared" si="18"/>
        <v/>
      </c>
      <c r="L26" s="43" t="str">
        <f t="shared" si="19"/>
        <v/>
      </c>
      <c r="M26" s="43" t="str">
        <f t="shared" si="20"/>
        <v/>
      </c>
      <c r="N26" s="44" t="str">
        <f t="shared" si="21"/>
        <v/>
      </c>
      <c r="O26" s="45">
        <f t="shared" si="22"/>
        <v>0</v>
      </c>
      <c r="P26" s="41" t="str">
        <f t="shared" si="23"/>
        <v/>
      </c>
      <c r="Q26" s="43" t="str">
        <f t="shared" si="24"/>
        <v/>
      </c>
      <c r="R26" s="43" t="str">
        <f t="shared" si="25"/>
        <v/>
      </c>
      <c r="S26" s="44" t="str">
        <f t="shared" si="26"/>
        <v/>
      </c>
      <c r="T26" s="45">
        <f t="shared" si="27"/>
        <v>0</v>
      </c>
      <c r="U26" s="41" t="str">
        <f t="shared" si="28"/>
        <v/>
      </c>
      <c r="V26" s="43" t="str">
        <f t="shared" si="29"/>
        <v/>
      </c>
      <c r="W26" s="43" t="str">
        <f t="shared" si="30"/>
        <v/>
      </c>
      <c r="X26" s="44" t="str">
        <f t="shared" si="31"/>
        <v/>
      </c>
      <c r="Y26" s="45">
        <f t="shared" si="32"/>
        <v>0</v>
      </c>
      <c r="Z26" s="41" t="str">
        <f t="shared" si="33"/>
        <v/>
      </c>
      <c r="AA26" s="43" t="str">
        <f t="shared" si="34"/>
        <v/>
      </c>
      <c r="AB26" s="43" t="str">
        <f t="shared" si="35"/>
        <v/>
      </c>
      <c r="AC26" s="44" t="str">
        <f t="shared" si="36"/>
        <v/>
      </c>
      <c r="AD26" s="45">
        <f t="shared" si="37"/>
        <v>0</v>
      </c>
      <c r="AE26" s="41" t="str">
        <f t="shared" si="38"/>
        <v/>
      </c>
      <c r="AF26" s="43" t="str">
        <f t="shared" si="39"/>
        <v/>
      </c>
      <c r="AG26" s="43" t="str">
        <f t="shared" si="40"/>
        <v/>
      </c>
      <c r="AH26" s="44" t="str">
        <f t="shared" si="41"/>
        <v/>
      </c>
      <c r="AI26" s="45">
        <f t="shared" si="42"/>
        <v>0</v>
      </c>
      <c r="AJ26" s="41" t="str">
        <f t="shared" si="43"/>
        <v/>
      </c>
      <c r="AK26" s="43" t="str">
        <f t="shared" si="44"/>
        <v/>
      </c>
      <c r="AL26" s="43" t="str">
        <f t="shared" si="45"/>
        <v/>
      </c>
      <c r="AM26" s="44" t="str">
        <f t="shared" si="46"/>
        <v/>
      </c>
      <c r="AN26" s="45">
        <f t="shared" si="47"/>
        <v>0</v>
      </c>
      <c r="AO26" s="41" t="str">
        <f t="shared" si="48"/>
        <v/>
      </c>
      <c r="AP26" s="43" t="str">
        <f t="shared" si="49"/>
        <v/>
      </c>
      <c r="AQ26" s="43" t="str">
        <f t="shared" si="50"/>
        <v/>
      </c>
      <c r="AR26" s="44" t="str">
        <f t="shared" si="51"/>
        <v/>
      </c>
      <c r="AS26" s="45">
        <f t="shared" si="52"/>
        <v>0</v>
      </c>
      <c r="AT26" s="41" t="str">
        <f t="shared" si="53"/>
        <v/>
      </c>
      <c r="AU26" s="43" t="str">
        <f t="shared" si="54"/>
        <v/>
      </c>
      <c r="AV26" s="43" t="str">
        <f t="shared" si="55"/>
        <v/>
      </c>
      <c r="AW26" s="44" t="str">
        <f t="shared" si="56"/>
        <v/>
      </c>
      <c r="AX26" s="45">
        <f t="shared" si="57"/>
        <v>0</v>
      </c>
      <c r="AY26" s="41" t="str">
        <f t="shared" si="58"/>
        <v/>
      </c>
      <c r="AZ26" s="43" t="str">
        <f t="shared" si="59"/>
        <v/>
      </c>
      <c r="BA26" s="43" t="str">
        <f t="shared" si="60"/>
        <v/>
      </c>
      <c r="BB26" s="44" t="str">
        <f t="shared" si="61"/>
        <v/>
      </c>
      <c r="BC26" s="45">
        <f t="shared" si="62"/>
        <v>0</v>
      </c>
      <c r="BD26" s="41" t="str">
        <f t="shared" si="63"/>
        <v/>
      </c>
      <c r="BE26" s="43" t="str">
        <f t="shared" si="64"/>
        <v/>
      </c>
      <c r="BF26" s="43" t="str">
        <f t="shared" si="65"/>
        <v/>
      </c>
      <c r="BG26" s="44" t="str">
        <f t="shared" si="66"/>
        <v/>
      </c>
      <c r="BH26" s="45">
        <f t="shared" si="67"/>
        <v>0</v>
      </c>
      <c r="BI26" s="41" t="str">
        <f t="shared" si="68"/>
        <v/>
      </c>
      <c r="BJ26" s="43" t="str">
        <f t="shared" si="69"/>
        <v/>
      </c>
      <c r="BK26" s="43" t="str">
        <f t="shared" si="70"/>
        <v/>
      </c>
      <c r="BL26" s="44" t="str">
        <f t="shared" si="71"/>
        <v/>
      </c>
      <c r="BM26" s="45">
        <f t="shared" si="72"/>
        <v>0</v>
      </c>
      <c r="BN26" s="41" t="str">
        <f t="shared" si="73"/>
        <v/>
      </c>
      <c r="BO26" s="40"/>
      <c r="BP26" s="40"/>
      <c r="BQ26" s="40"/>
    </row>
    <row r="27" hidden="1">
      <c r="A27" s="40"/>
      <c r="B27" s="40"/>
      <c r="C27" s="42">
        <f t="shared" si="13"/>
        <v>0</v>
      </c>
      <c r="D27" s="40"/>
      <c r="E27" s="40"/>
      <c r="F27" s="40"/>
      <c r="G27" s="43" t="str">
        <f t="shared" si="14"/>
        <v/>
      </c>
      <c r="H27" s="43" t="str">
        <f t="shared" si="15"/>
        <v/>
      </c>
      <c r="I27" s="44" t="str">
        <f t="shared" si="16"/>
        <v/>
      </c>
      <c r="J27" s="45">
        <f t="shared" si="17"/>
        <v>0</v>
      </c>
      <c r="K27" s="41" t="str">
        <f t="shared" si="18"/>
        <v/>
      </c>
      <c r="L27" s="43" t="str">
        <f t="shared" si="19"/>
        <v/>
      </c>
      <c r="M27" s="43" t="str">
        <f t="shared" si="20"/>
        <v/>
      </c>
      <c r="N27" s="44" t="str">
        <f t="shared" si="21"/>
        <v/>
      </c>
      <c r="O27" s="45">
        <f t="shared" si="22"/>
        <v>0</v>
      </c>
      <c r="P27" s="41" t="str">
        <f t="shared" si="23"/>
        <v/>
      </c>
      <c r="Q27" s="43" t="str">
        <f t="shared" si="24"/>
        <v/>
      </c>
      <c r="R27" s="43" t="str">
        <f t="shared" si="25"/>
        <v/>
      </c>
      <c r="S27" s="44" t="str">
        <f t="shared" si="26"/>
        <v/>
      </c>
      <c r="T27" s="45">
        <f t="shared" si="27"/>
        <v>0</v>
      </c>
      <c r="U27" s="41" t="str">
        <f t="shared" si="28"/>
        <v/>
      </c>
      <c r="V27" s="43" t="str">
        <f t="shared" si="29"/>
        <v/>
      </c>
      <c r="W27" s="43" t="str">
        <f t="shared" si="30"/>
        <v/>
      </c>
      <c r="X27" s="44" t="str">
        <f t="shared" si="31"/>
        <v/>
      </c>
      <c r="Y27" s="45">
        <f t="shared" si="32"/>
        <v>0</v>
      </c>
      <c r="Z27" s="41" t="str">
        <f t="shared" si="33"/>
        <v/>
      </c>
      <c r="AA27" s="43" t="str">
        <f t="shared" si="34"/>
        <v/>
      </c>
      <c r="AB27" s="43" t="str">
        <f t="shared" si="35"/>
        <v/>
      </c>
      <c r="AC27" s="44" t="str">
        <f t="shared" si="36"/>
        <v/>
      </c>
      <c r="AD27" s="45">
        <f t="shared" si="37"/>
        <v>0</v>
      </c>
      <c r="AE27" s="41" t="str">
        <f t="shared" si="38"/>
        <v/>
      </c>
      <c r="AF27" s="43" t="str">
        <f t="shared" si="39"/>
        <v/>
      </c>
      <c r="AG27" s="43" t="str">
        <f t="shared" si="40"/>
        <v/>
      </c>
      <c r="AH27" s="44" t="str">
        <f t="shared" si="41"/>
        <v/>
      </c>
      <c r="AI27" s="45">
        <f t="shared" si="42"/>
        <v>0</v>
      </c>
      <c r="AJ27" s="41" t="str">
        <f t="shared" si="43"/>
        <v/>
      </c>
      <c r="AK27" s="43" t="str">
        <f t="shared" si="44"/>
        <v/>
      </c>
      <c r="AL27" s="43" t="str">
        <f t="shared" si="45"/>
        <v/>
      </c>
      <c r="AM27" s="44" t="str">
        <f t="shared" si="46"/>
        <v/>
      </c>
      <c r="AN27" s="45">
        <f t="shared" si="47"/>
        <v>0</v>
      </c>
      <c r="AO27" s="41" t="str">
        <f t="shared" si="48"/>
        <v/>
      </c>
      <c r="AP27" s="43" t="str">
        <f t="shared" si="49"/>
        <v/>
      </c>
      <c r="AQ27" s="43" t="str">
        <f t="shared" si="50"/>
        <v/>
      </c>
      <c r="AR27" s="44" t="str">
        <f t="shared" si="51"/>
        <v/>
      </c>
      <c r="AS27" s="45">
        <f t="shared" si="52"/>
        <v>0</v>
      </c>
      <c r="AT27" s="41" t="str">
        <f t="shared" si="53"/>
        <v/>
      </c>
      <c r="AU27" s="43" t="str">
        <f t="shared" si="54"/>
        <v/>
      </c>
      <c r="AV27" s="43" t="str">
        <f t="shared" si="55"/>
        <v/>
      </c>
      <c r="AW27" s="44" t="str">
        <f t="shared" si="56"/>
        <v/>
      </c>
      <c r="AX27" s="45">
        <f t="shared" si="57"/>
        <v>0</v>
      </c>
      <c r="AY27" s="41" t="str">
        <f t="shared" si="58"/>
        <v/>
      </c>
      <c r="AZ27" s="43" t="str">
        <f t="shared" si="59"/>
        <v/>
      </c>
      <c r="BA27" s="43" t="str">
        <f t="shared" si="60"/>
        <v/>
      </c>
      <c r="BB27" s="44" t="str">
        <f t="shared" si="61"/>
        <v/>
      </c>
      <c r="BC27" s="45">
        <f t="shared" si="62"/>
        <v>0</v>
      </c>
      <c r="BD27" s="41" t="str">
        <f t="shared" si="63"/>
        <v/>
      </c>
      <c r="BE27" s="43" t="str">
        <f t="shared" si="64"/>
        <v/>
      </c>
      <c r="BF27" s="43" t="str">
        <f t="shared" si="65"/>
        <v/>
      </c>
      <c r="BG27" s="44" t="str">
        <f t="shared" si="66"/>
        <v/>
      </c>
      <c r="BH27" s="45">
        <f t="shared" si="67"/>
        <v>0</v>
      </c>
      <c r="BI27" s="41" t="str">
        <f t="shared" si="68"/>
        <v/>
      </c>
      <c r="BJ27" s="43" t="str">
        <f t="shared" si="69"/>
        <v/>
      </c>
      <c r="BK27" s="43" t="str">
        <f t="shared" si="70"/>
        <v/>
      </c>
      <c r="BL27" s="44" t="str">
        <f t="shared" si="71"/>
        <v/>
      </c>
      <c r="BM27" s="45">
        <f t="shared" si="72"/>
        <v>0</v>
      </c>
      <c r="BN27" s="41" t="str">
        <f t="shared" si="73"/>
        <v/>
      </c>
      <c r="BO27" s="40"/>
      <c r="BP27" s="40"/>
      <c r="BQ27" s="40"/>
    </row>
    <row r="28" hidden="1">
      <c r="A28" s="40"/>
      <c r="B28" s="40"/>
      <c r="C28" s="42">
        <f t="shared" si="13"/>
        <v>0</v>
      </c>
      <c r="D28" s="40"/>
      <c r="E28" s="40"/>
      <c r="F28" s="40"/>
      <c r="G28" s="43" t="str">
        <f t="shared" si="14"/>
        <v/>
      </c>
      <c r="H28" s="43" t="str">
        <f t="shared" si="15"/>
        <v/>
      </c>
      <c r="I28" s="44" t="str">
        <f t="shared" si="16"/>
        <v/>
      </c>
      <c r="J28" s="45">
        <f t="shared" si="17"/>
        <v>0</v>
      </c>
      <c r="K28" s="41" t="str">
        <f t="shared" si="18"/>
        <v/>
      </c>
      <c r="L28" s="43" t="str">
        <f t="shared" si="19"/>
        <v/>
      </c>
      <c r="M28" s="43" t="str">
        <f t="shared" si="20"/>
        <v/>
      </c>
      <c r="N28" s="44" t="str">
        <f t="shared" si="21"/>
        <v/>
      </c>
      <c r="O28" s="45">
        <f t="shared" si="22"/>
        <v>0</v>
      </c>
      <c r="P28" s="41" t="str">
        <f t="shared" si="23"/>
        <v/>
      </c>
      <c r="Q28" s="43" t="str">
        <f t="shared" si="24"/>
        <v/>
      </c>
      <c r="R28" s="43" t="str">
        <f t="shared" si="25"/>
        <v/>
      </c>
      <c r="S28" s="44" t="str">
        <f t="shared" si="26"/>
        <v/>
      </c>
      <c r="T28" s="45">
        <f t="shared" si="27"/>
        <v>0</v>
      </c>
      <c r="U28" s="41" t="str">
        <f t="shared" si="28"/>
        <v/>
      </c>
      <c r="V28" s="43" t="str">
        <f t="shared" si="29"/>
        <v/>
      </c>
      <c r="W28" s="43" t="str">
        <f t="shared" si="30"/>
        <v/>
      </c>
      <c r="X28" s="44" t="str">
        <f t="shared" si="31"/>
        <v/>
      </c>
      <c r="Y28" s="45">
        <f t="shared" si="32"/>
        <v>0</v>
      </c>
      <c r="Z28" s="41" t="str">
        <f t="shared" si="33"/>
        <v/>
      </c>
      <c r="AA28" s="43" t="str">
        <f t="shared" si="34"/>
        <v/>
      </c>
      <c r="AB28" s="43" t="str">
        <f t="shared" si="35"/>
        <v/>
      </c>
      <c r="AC28" s="44" t="str">
        <f t="shared" si="36"/>
        <v/>
      </c>
      <c r="AD28" s="45">
        <f t="shared" si="37"/>
        <v>0</v>
      </c>
      <c r="AE28" s="41" t="str">
        <f t="shared" si="38"/>
        <v/>
      </c>
      <c r="AF28" s="43" t="str">
        <f t="shared" si="39"/>
        <v/>
      </c>
      <c r="AG28" s="43" t="str">
        <f t="shared" si="40"/>
        <v/>
      </c>
      <c r="AH28" s="44" t="str">
        <f t="shared" si="41"/>
        <v/>
      </c>
      <c r="AI28" s="45">
        <f t="shared" si="42"/>
        <v>0</v>
      </c>
      <c r="AJ28" s="41" t="str">
        <f t="shared" si="43"/>
        <v/>
      </c>
      <c r="AK28" s="43" t="str">
        <f t="shared" si="44"/>
        <v/>
      </c>
      <c r="AL28" s="43" t="str">
        <f t="shared" si="45"/>
        <v/>
      </c>
      <c r="AM28" s="44" t="str">
        <f t="shared" si="46"/>
        <v/>
      </c>
      <c r="AN28" s="45">
        <f t="shared" si="47"/>
        <v>0</v>
      </c>
      <c r="AO28" s="41" t="str">
        <f t="shared" si="48"/>
        <v/>
      </c>
      <c r="AP28" s="43" t="str">
        <f t="shared" si="49"/>
        <v/>
      </c>
      <c r="AQ28" s="43" t="str">
        <f t="shared" si="50"/>
        <v/>
      </c>
      <c r="AR28" s="44" t="str">
        <f t="shared" si="51"/>
        <v/>
      </c>
      <c r="AS28" s="45">
        <f t="shared" si="52"/>
        <v>0</v>
      </c>
      <c r="AT28" s="41" t="str">
        <f t="shared" si="53"/>
        <v/>
      </c>
      <c r="AU28" s="43" t="str">
        <f t="shared" si="54"/>
        <v/>
      </c>
      <c r="AV28" s="43" t="str">
        <f t="shared" si="55"/>
        <v/>
      </c>
      <c r="AW28" s="44" t="str">
        <f t="shared" si="56"/>
        <v/>
      </c>
      <c r="AX28" s="45">
        <f t="shared" si="57"/>
        <v>0</v>
      </c>
      <c r="AY28" s="41" t="str">
        <f t="shared" si="58"/>
        <v/>
      </c>
      <c r="AZ28" s="43" t="str">
        <f t="shared" si="59"/>
        <v/>
      </c>
      <c r="BA28" s="43" t="str">
        <f t="shared" si="60"/>
        <v/>
      </c>
      <c r="BB28" s="44" t="str">
        <f t="shared" si="61"/>
        <v/>
      </c>
      <c r="BC28" s="45">
        <f t="shared" si="62"/>
        <v>0</v>
      </c>
      <c r="BD28" s="41" t="str">
        <f t="shared" si="63"/>
        <v/>
      </c>
      <c r="BE28" s="43" t="str">
        <f t="shared" si="64"/>
        <v/>
      </c>
      <c r="BF28" s="43" t="str">
        <f t="shared" si="65"/>
        <v/>
      </c>
      <c r="BG28" s="44" t="str">
        <f t="shared" si="66"/>
        <v/>
      </c>
      <c r="BH28" s="45">
        <f t="shared" si="67"/>
        <v>0</v>
      </c>
      <c r="BI28" s="41" t="str">
        <f t="shared" si="68"/>
        <v/>
      </c>
      <c r="BJ28" s="43" t="str">
        <f t="shared" si="69"/>
        <v/>
      </c>
      <c r="BK28" s="43" t="str">
        <f t="shared" si="70"/>
        <v/>
      </c>
      <c r="BL28" s="44" t="str">
        <f t="shared" si="71"/>
        <v/>
      </c>
      <c r="BM28" s="45">
        <f t="shared" si="72"/>
        <v>0</v>
      </c>
      <c r="BN28" s="41" t="str">
        <f t="shared" si="73"/>
        <v/>
      </c>
      <c r="BO28" s="40"/>
      <c r="BP28" s="40"/>
      <c r="BQ28" s="40"/>
    </row>
    <row r="29" hidden="1">
      <c r="A29" s="40"/>
      <c r="B29" s="40"/>
      <c r="C29" s="42">
        <f t="shared" si="13"/>
        <v>0</v>
      </c>
      <c r="D29" s="40"/>
      <c r="E29" s="40"/>
      <c r="F29" s="40"/>
      <c r="G29" s="43" t="str">
        <f t="shared" si="14"/>
        <v/>
      </c>
      <c r="H29" s="43" t="str">
        <f t="shared" si="15"/>
        <v/>
      </c>
      <c r="I29" s="44" t="str">
        <f t="shared" si="16"/>
        <v/>
      </c>
      <c r="J29" s="45">
        <f t="shared" si="17"/>
        <v>0</v>
      </c>
      <c r="K29" s="41" t="str">
        <f t="shared" si="18"/>
        <v/>
      </c>
      <c r="L29" s="43" t="str">
        <f t="shared" si="19"/>
        <v/>
      </c>
      <c r="M29" s="43" t="str">
        <f t="shared" si="20"/>
        <v/>
      </c>
      <c r="N29" s="44" t="str">
        <f t="shared" si="21"/>
        <v/>
      </c>
      <c r="O29" s="45">
        <f t="shared" si="22"/>
        <v>0</v>
      </c>
      <c r="P29" s="41" t="str">
        <f t="shared" si="23"/>
        <v/>
      </c>
      <c r="Q29" s="43" t="str">
        <f t="shared" si="24"/>
        <v/>
      </c>
      <c r="R29" s="43" t="str">
        <f t="shared" si="25"/>
        <v/>
      </c>
      <c r="S29" s="44" t="str">
        <f t="shared" si="26"/>
        <v/>
      </c>
      <c r="T29" s="45">
        <f t="shared" si="27"/>
        <v>0</v>
      </c>
      <c r="U29" s="41" t="str">
        <f t="shared" si="28"/>
        <v/>
      </c>
      <c r="V29" s="43" t="str">
        <f t="shared" si="29"/>
        <v/>
      </c>
      <c r="W29" s="43" t="str">
        <f t="shared" si="30"/>
        <v/>
      </c>
      <c r="X29" s="44" t="str">
        <f t="shared" si="31"/>
        <v/>
      </c>
      <c r="Y29" s="45">
        <f t="shared" si="32"/>
        <v>0</v>
      </c>
      <c r="Z29" s="41" t="str">
        <f t="shared" si="33"/>
        <v/>
      </c>
      <c r="AA29" s="43" t="str">
        <f t="shared" si="34"/>
        <v/>
      </c>
      <c r="AB29" s="43" t="str">
        <f t="shared" si="35"/>
        <v/>
      </c>
      <c r="AC29" s="44" t="str">
        <f t="shared" si="36"/>
        <v/>
      </c>
      <c r="AD29" s="45">
        <f t="shared" si="37"/>
        <v>0</v>
      </c>
      <c r="AE29" s="41" t="str">
        <f t="shared" si="38"/>
        <v/>
      </c>
      <c r="AF29" s="43" t="str">
        <f t="shared" si="39"/>
        <v/>
      </c>
      <c r="AG29" s="43" t="str">
        <f t="shared" si="40"/>
        <v/>
      </c>
      <c r="AH29" s="44" t="str">
        <f t="shared" si="41"/>
        <v/>
      </c>
      <c r="AI29" s="45">
        <f t="shared" si="42"/>
        <v>0</v>
      </c>
      <c r="AJ29" s="41" t="str">
        <f t="shared" si="43"/>
        <v/>
      </c>
      <c r="AK29" s="43" t="str">
        <f t="shared" si="44"/>
        <v/>
      </c>
      <c r="AL29" s="43" t="str">
        <f t="shared" si="45"/>
        <v/>
      </c>
      <c r="AM29" s="44" t="str">
        <f t="shared" si="46"/>
        <v/>
      </c>
      <c r="AN29" s="45">
        <f t="shared" si="47"/>
        <v>0</v>
      </c>
      <c r="AO29" s="41" t="str">
        <f t="shared" si="48"/>
        <v/>
      </c>
      <c r="AP29" s="43" t="str">
        <f t="shared" si="49"/>
        <v/>
      </c>
      <c r="AQ29" s="43" t="str">
        <f t="shared" si="50"/>
        <v/>
      </c>
      <c r="AR29" s="44" t="str">
        <f t="shared" si="51"/>
        <v/>
      </c>
      <c r="AS29" s="45">
        <f t="shared" si="52"/>
        <v>0</v>
      </c>
      <c r="AT29" s="41" t="str">
        <f t="shared" si="53"/>
        <v/>
      </c>
      <c r="AU29" s="43" t="str">
        <f t="shared" si="54"/>
        <v/>
      </c>
      <c r="AV29" s="43" t="str">
        <f t="shared" si="55"/>
        <v/>
      </c>
      <c r="AW29" s="44" t="str">
        <f t="shared" si="56"/>
        <v/>
      </c>
      <c r="AX29" s="45">
        <f t="shared" si="57"/>
        <v>0</v>
      </c>
      <c r="AY29" s="41" t="str">
        <f t="shared" si="58"/>
        <v/>
      </c>
      <c r="AZ29" s="43" t="str">
        <f t="shared" si="59"/>
        <v/>
      </c>
      <c r="BA29" s="43" t="str">
        <f t="shared" si="60"/>
        <v/>
      </c>
      <c r="BB29" s="44" t="str">
        <f t="shared" si="61"/>
        <v/>
      </c>
      <c r="BC29" s="45">
        <f t="shared" si="62"/>
        <v>0</v>
      </c>
      <c r="BD29" s="41" t="str">
        <f t="shared" si="63"/>
        <v/>
      </c>
      <c r="BE29" s="43" t="str">
        <f t="shared" si="64"/>
        <v/>
      </c>
      <c r="BF29" s="43" t="str">
        <f t="shared" si="65"/>
        <v/>
      </c>
      <c r="BG29" s="44" t="str">
        <f t="shared" si="66"/>
        <v/>
      </c>
      <c r="BH29" s="45">
        <f t="shared" si="67"/>
        <v>0</v>
      </c>
      <c r="BI29" s="41" t="str">
        <f t="shared" si="68"/>
        <v/>
      </c>
      <c r="BJ29" s="43" t="str">
        <f t="shared" si="69"/>
        <v/>
      </c>
      <c r="BK29" s="43" t="str">
        <f t="shared" si="70"/>
        <v/>
      </c>
      <c r="BL29" s="44" t="str">
        <f t="shared" si="71"/>
        <v/>
      </c>
      <c r="BM29" s="45">
        <f t="shared" si="72"/>
        <v>0</v>
      </c>
      <c r="BN29" s="41" t="str">
        <f t="shared" si="73"/>
        <v/>
      </c>
      <c r="BO29" s="40"/>
      <c r="BP29" s="40"/>
      <c r="BQ29" s="40"/>
    </row>
    <row r="30" hidden="1">
      <c r="A30" s="40"/>
      <c r="B30" s="40"/>
      <c r="C30" s="42">
        <f t="shared" si="13"/>
        <v>0</v>
      </c>
      <c r="D30" s="40"/>
      <c r="E30" s="40"/>
      <c r="F30" s="40"/>
      <c r="G30" s="43" t="str">
        <f t="shared" si="14"/>
        <v/>
      </c>
      <c r="H30" s="43" t="str">
        <f t="shared" si="15"/>
        <v/>
      </c>
      <c r="I30" s="44" t="str">
        <f t="shared" si="16"/>
        <v/>
      </c>
      <c r="J30" s="45">
        <f t="shared" si="17"/>
        <v>0</v>
      </c>
      <c r="K30" s="41" t="str">
        <f t="shared" si="18"/>
        <v/>
      </c>
      <c r="L30" s="43" t="str">
        <f t="shared" si="19"/>
        <v/>
      </c>
      <c r="M30" s="43" t="str">
        <f t="shared" si="20"/>
        <v/>
      </c>
      <c r="N30" s="44" t="str">
        <f t="shared" si="21"/>
        <v/>
      </c>
      <c r="O30" s="45">
        <f t="shared" si="22"/>
        <v>0</v>
      </c>
      <c r="P30" s="41" t="str">
        <f t="shared" si="23"/>
        <v/>
      </c>
      <c r="Q30" s="43" t="str">
        <f t="shared" si="24"/>
        <v/>
      </c>
      <c r="R30" s="43" t="str">
        <f t="shared" si="25"/>
        <v/>
      </c>
      <c r="S30" s="44" t="str">
        <f t="shared" si="26"/>
        <v/>
      </c>
      <c r="T30" s="45">
        <f t="shared" si="27"/>
        <v>0</v>
      </c>
      <c r="U30" s="41" t="str">
        <f t="shared" si="28"/>
        <v/>
      </c>
      <c r="V30" s="43" t="str">
        <f t="shared" si="29"/>
        <v/>
      </c>
      <c r="W30" s="43" t="str">
        <f t="shared" si="30"/>
        <v/>
      </c>
      <c r="X30" s="44" t="str">
        <f t="shared" si="31"/>
        <v/>
      </c>
      <c r="Y30" s="45">
        <f t="shared" si="32"/>
        <v>0</v>
      </c>
      <c r="Z30" s="41" t="str">
        <f t="shared" si="33"/>
        <v/>
      </c>
      <c r="AA30" s="43" t="str">
        <f t="shared" si="34"/>
        <v/>
      </c>
      <c r="AB30" s="43" t="str">
        <f t="shared" si="35"/>
        <v/>
      </c>
      <c r="AC30" s="44" t="str">
        <f t="shared" si="36"/>
        <v/>
      </c>
      <c r="AD30" s="45">
        <f t="shared" si="37"/>
        <v>0</v>
      </c>
      <c r="AE30" s="41" t="str">
        <f t="shared" si="38"/>
        <v/>
      </c>
      <c r="AF30" s="43" t="str">
        <f t="shared" si="39"/>
        <v/>
      </c>
      <c r="AG30" s="43" t="str">
        <f t="shared" si="40"/>
        <v/>
      </c>
      <c r="AH30" s="44" t="str">
        <f t="shared" si="41"/>
        <v/>
      </c>
      <c r="AI30" s="45">
        <f t="shared" si="42"/>
        <v>0</v>
      </c>
      <c r="AJ30" s="41" t="str">
        <f t="shared" si="43"/>
        <v/>
      </c>
      <c r="AK30" s="43" t="str">
        <f t="shared" si="44"/>
        <v/>
      </c>
      <c r="AL30" s="43" t="str">
        <f t="shared" si="45"/>
        <v/>
      </c>
      <c r="AM30" s="44" t="str">
        <f t="shared" si="46"/>
        <v/>
      </c>
      <c r="AN30" s="45">
        <f t="shared" si="47"/>
        <v>0</v>
      </c>
      <c r="AO30" s="41" t="str">
        <f t="shared" si="48"/>
        <v/>
      </c>
      <c r="AP30" s="43" t="str">
        <f t="shared" si="49"/>
        <v/>
      </c>
      <c r="AQ30" s="43" t="str">
        <f t="shared" si="50"/>
        <v/>
      </c>
      <c r="AR30" s="44" t="str">
        <f t="shared" si="51"/>
        <v/>
      </c>
      <c r="AS30" s="45">
        <f t="shared" si="52"/>
        <v>0</v>
      </c>
      <c r="AT30" s="41" t="str">
        <f t="shared" si="53"/>
        <v/>
      </c>
      <c r="AU30" s="43" t="str">
        <f t="shared" si="54"/>
        <v/>
      </c>
      <c r="AV30" s="43" t="str">
        <f t="shared" si="55"/>
        <v/>
      </c>
      <c r="AW30" s="44" t="str">
        <f t="shared" si="56"/>
        <v/>
      </c>
      <c r="AX30" s="45">
        <f t="shared" si="57"/>
        <v>0</v>
      </c>
      <c r="AY30" s="41" t="str">
        <f t="shared" si="58"/>
        <v/>
      </c>
      <c r="AZ30" s="43" t="str">
        <f t="shared" si="59"/>
        <v/>
      </c>
      <c r="BA30" s="43" t="str">
        <f t="shared" si="60"/>
        <v/>
      </c>
      <c r="BB30" s="44" t="str">
        <f t="shared" si="61"/>
        <v/>
      </c>
      <c r="BC30" s="45">
        <f t="shared" si="62"/>
        <v>0</v>
      </c>
      <c r="BD30" s="41" t="str">
        <f t="shared" si="63"/>
        <v/>
      </c>
      <c r="BE30" s="43" t="str">
        <f t="shared" si="64"/>
        <v/>
      </c>
      <c r="BF30" s="43" t="str">
        <f t="shared" si="65"/>
        <v/>
      </c>
      <c r="BG30" s="44" t="str">
        <f t="shared" si="66"/>
        <v/>
      </c>
      <c r="BH30" s="45">
        <f t="shared" si="67"/>
        <v>0</v>
      </c>
      <c r="BI30" s="41" t="str">
        <f t="shared" si="68"/>
        <v/>
      </c>
      <c r="BJ30" s="43" t="str">
        <f t="shared" si="69"/>
        <v/>
      </c>
      <c r="BK30" s="43" t="str">
        <f t="shared" si="70"/>
        <v/>
      </c>
      <c r="BL30" s="44" t="str">
        <f t="shared" si="71"/>
        <v/>
      </c>
      <c r="BM30" s="45">
        <f t="shared" si="72"/>
        <v>0</v>
      </c>
      <c r="BN30" s="41" t="str">
        <f t="shared" si="73"/>
        <v/>
      </c>
      <c r="BO30" s="40"/>
      <c r="BP30" s="40"/>
      <c r="BQ30" s="40"/>
    </row>
    <row r="31" hidden="1">
      <c r="A31" s="40"/>
      <c r="B31" s="40"/>
      <c r="C31" s="42">
        <f t="shared" si="13"/>
        <v>0</v>
      </c>
      <c r="D31" s="40"/>
      <c r="E31" s="40"/>
      <c r="F31" s="40"/>
      <c r="G31" s="43" t="str">
        <f t="shared" si="14"/>
        <v/>
      </c>
      <c r="H31" s="43" t="str">
        <f t="shared" si="15"/>
        <v/>
      </c>
      <c r="I31" s="44" t="str">
        <f t="shared" si="16"/>
        <v/>
      </c>
      <c r="J31" s="45">
        <f t="shared" si="17"/>
        <v>0</v>
      </c>
      <c r="K31" s="41" t="str">
        <f t="shared" si="18"/>
        <v/>
      </c>
      <c r="L31" s="43" t="str">
        <f t="shared" si="19"/>
        <v/>
      </c>
      <c r="M31" s="43" t="str">
        <f t="shared" si="20"/>
        <v/>
      </c>
      <c r="N31" s="44" t="str">
        <f t="shared" si="21"/>
        <v/>
      </c>
      <c r="O31" s="45">
        <f t="shared" si="22"/>
        <v>0</v>
      </c>
      <c r="P31" s="41" t="str">
        <f t="shared" si="23"/>
        <v/>
      </c>
      <c r="Q31" s="43" t="str">
        <f t="shared" si="24"/>
        <v/>
      </c>
      <c r="R31" s="43" t="str">
        <f t="shared" si="25"/>
        <v/>
      </c>
      <c r="S31" s="44" t="str">
        <f t="shared" si="26"/>
        <v/>
      </c>
      <c r="T31" s="45">
        <f t="shared" si="27"/>
        <v>0</v>
      </c>
      <c r="U31" s="41" t="str">
        <f t="shared" si="28"/>
        <v/>
      </c>
      <c r="V31" s="43" t="str">
        <f t="shared" si="29"/>
        <v/>
      </c>
      <c r="W31" s="43" t="str">
        <f t="shared" si="30"/>
        <v/>
      </c>
      <c r="X31" s="44" t="str">
        <f t="shared" si="31"/>
        <v/>
      </c>
      <c r="Y31" s="45">
        <f t="shared" si="32"/>
        <v>0</v>
      </c>
      <c r="Z31" s="41" t="str">
        <f t="shared" si="33"/>
        <v/>
      </c>
      <c r="AA31" s="43" t="str">
        <f t="shared" si="34"/>
        <v/>
      </c>
      <c r="AB31" s="43" t="str">
        <f t="shared" si="35"/>
        <v/>
      </c>
      <c r="AC31" s="44" t="str">
        <f t="shared" si="36"/>
        <v/>
      </c>
      <c r="AD31" s="45">
        <f t="shared" si="37"/>
        <v>0</v>
      </c>
      <c r="AE31" s="41" t="str">
        <f t="shared" si="38"/>
        <v/>
      </c>
      <c r="AF31" s="43" t="str">
        <f t="shared" si="39"/>
        <v/>
      </c>
      <c r="AG31" s="43" t="str">
        <f t="shared" si="40"/>
        <v/>
      </c>
      <c r="AH31" s="44" t="str">
        <f t="shared" si="41"/>
        <v/>
      </c>
      <c r="AI31" s="45">
        <f t="shared" si="42"/>
        <v>0</v>
      </c>
      <c r="AJ31" s="41" t="str">
        <f t="shared" si="43"/>
        <v/>
      </c>
      <c r="AK31" s="43" t="str">
        <f t="shared" si="44"/>
        <v/>
      </c>
      <c r="AL31" s="43" t="str">
        <f t="shared" si="45"/>
        <v/>
      </c>
      <c r="AM31" s="44" t="str">
        <f t="shared" si="46"/>
        <v/>
      </c>
      <c r="AN31" s="45">
        <f t="shared" si="47"/>
        <v>0</v>
      </c>
      <c r="AO31" s="41" t="str">
        <f t="shared" si="48"/>
        <v/>
      </c>
      <c r="AP31" s="43" t="str">
        <f t="shared" si="49"/>
        <v/>
      </c>
      <c r="AQ31" s="43" t="str">
        <f t="shared" si="50"/>
        <v/>
      </c>
      <c r="AR31" s="44" t="str">
        <f t="shared" si="51"/>
        <v/>
      </c>
      <c r="AS31" s="45">
        <f t="shared" si="52"/>
        <v>0</v>
      </c>
      <c r="AT31" s="41" t="str">
        <f t="shared" si="53"/>
        <v/>
      </c>
      <c r="AU31" s="43" t="str">
        <f t="shared" si="54"/>
        <v/>
      </c>
      <c r="AV31" s="43" t="str">
        <f t="shared" si="55"/>
        <v/>
      </c>
      <c r="AW31" s="44" t="str">
        <f t="shared" si="56"/>
        <v/>
      </c>
      <c r="AX31" s="45">
        <f t="shared" si="57"/>
        <v>0</v>
      </c>
      <c r="AY31" s="41" t="str">
        <f t="shared" si="58"/>
        <v/>
      </c>
      <c r="AZ31" s="43" t="str">
        <f t="shared" si="59"/>
        <v/>
      </c>
      <c r="BA31" s="43" t="str">
        <f t="shared" si="60"/>
        <v/>
      </c>
      <c r="BB31" s="44" t="str">
        <f t="shared" si="61"/>
        <v/>
      </c>
      <c r="BC31" s="45">
        <f t="shared" si="62"/>
        <v>0</v>
      </c>
      <c r="BD31" s="41" t="str">
        <f t="shared" si="63"/>
        <v/>
      </c>
      <c r="BE31" s="43" t="str">
        <f t="shared" si="64"/>
        <v/>
      </c>
      <c r="BF31" s="43" t="str">
        <f t="shared" si="65"/>
        <v/>
      </c>
      <c r="BG31" s="44" t="str">
        <f t="shared" si="66"/>
        <v/>
      </c>
      <c r="BH31" s="45">
        <f t="shared" si="67"/>
        <v>0</v>
      </c>
      <c r="BI31" s="41" t="str">
        <f t="shared" si="68"/>
        <v/>
      </c>
      <c r="BJ31" s="43" t="str">
        <f t="shared" si="69"/>
        <v/>
      </c>
      <c r="BK31" s="43" t="str">
        <f t="shared" si="70"/>
        <v/>
      </c>
      <c r="BL31" s="44" t="str">
        <f t="shared" si="71"/>
        <v/>
      </c>
      <c r="BM31" s="45">
        <f t="shared" si="72"/>
        <v>0</v>
      </c>
      <c r="BN31" s="41" t="str">
        <f t="shared" si="73"/>
        <v/>
      </c>
      <c r="BO31" s="40"/>
      <c r="BP31" s="40"/>
      <c r="BQ31" s="40"/>
    </row>
    <row r="32" hidden="1">
      <c r="A32" s="40"/>
      <c r="B32" s="40"/>
      <c r="C32" s="40"/>
      <c r="D32" s="40"/>
      <c r="E32" s="40"/>
      <c r="F32" s="40"/>
      <c r="G32" s="40"/>
      <c r="H32" s="40"/>
      <c r="I32" s="40"/>
      <c r="J32" s="50">
        <f>MULTIPLY(SUM(J18:J31),10)</f>
        <v>0</v>
      </c>
      <c r="K32" s="62">
        <f>COUNTIF(K18:K31,"TRUE")</f>
        <v>0</v>
      </c>
      <c r="L32" s="40"/>
      <c r="M32" s="40"/>
      <c r="N32" s="40"/>
      <c r="O32" s="50">
        <f>MULTIPLY(SUM(O18:O31),10)</f>
        <v>0</v>
      </c>
      <c r="P32" s="62">
        <f>COUNTIF(P18:P31,"TRUE")</f>
        <v>0</v>
      </c>
      <c r="Q32" s="40"/>
      <c r="R32" s="40"/>
      <c r="S32" s="40"/>
      <c r="T32" s="50">
        <f>MULTIPLY(SUM(T18:T31),10)</f>
        <v>0</v>
      </c>
      <c r="U32" s="62">
        <f>COUNTIF(U18:U31,"TRUE")</f>
        <v>0</v>
      </c>
      <c r="V32" s="40"/>
      <c r="W32" s="40"/>
      <c r="X32" s="40"/>
      <c r="Y32" s="50">
        <f>MULTIPLY(SUM(Y18:Y31),10)</f>
        <v>0</v>
      </c>
      <c r="Z32" s="62">
        <f>COUNTIF(Z18:Z31,"TRUE")</f>
        <v>0</v>
      </c>
      <c r="AA32" s="40"/>
      <c r="AB32" s="40"/>
      <c r="AC32" s="40"/>
      <c r="AD32" s="50">
        <f>MULTIPLY(SUM(AD18:AD31),10)</f>
        <v>0</v>
      </c>
      <c r="AE32" s="62">
        <f>COUNTIF(AE18:AE31,"TRUE")</f>
        <v>0</v>
      </c>
      <c r="AF32" s="40"/>
      <c r="AG32" s="40"/>
      <c r="AH32" s="40"/>
      <c r="AI32" s="50">
        <f>MULTIPLY(SUM(AI18:AI31),10)</f>
        <v>0</v>
      </c>
      <c r="AJ32" s="62">
        <f>COUNTIF(AJ18:AJ31,"TRUE")</f>
        <v>0</v>
      </c>
      <c r="AK32" s="40"/>
      <c r="AL32" s="40"/>
      <c r="AM32" s="40"/>
      <c r="AN32" s="50">
        <f>MULTIPLY(SUM(AN18:AN31),10)</f>
        <v>0</v>
      </c>
      <c r="AO32" s="62">
        <f>COUNTIF(AO18:AO31,"TRUE")</f>
        <v>0</v>
      </c>
      <c r="AP32" s="40"/>
      <c r="AQ32" s="40"/>
      <c r="AR32" s="40"/>
      <c r="AS32" s="50">
        <f>MULTIPLY(SUM(AS18:AS31),10)</f>
        <v>0</v>
      </c>
      <c r="AT32" s="62">
        <f>COUNTIF(AT18:AT31,"TRUE")</f>
        <v>0</v>
      </c>
      <c r="AU32" s="40"/>
      <c r="AV32" s="40"/>
      <c r="AW32" s="40"/>
      <c r="AX32" s="50">
        <f>MULTIPLY(SUM(AX18:AX31),10)</f>
        <v>0</v>
      </c>
      <c r="AY32" s="62">
        <f>COUNTIF(AY18:AY31,"TRUE")</f>
        <v>0</v>
      </c>
      <c r="AZ32" s="40"/>
      <c r="BA32" s="40"/>
      <c r="BB32" s="40"/>
      <c r="BC32" s="50">
        <f>MULTIPLY(SUM(BC18:BC31),10)</f>
        <v>0</v>
      </c>
      <c r="BD32" s="62">
        <f>COUNTIF(BD18:BD31,"TRUE")</f>
        <v>0</v>
      </c>
      <c r="BE32" s="40"/>
      <c r="BF32" s="40"/>
      <c r="BG32" s="40"/>
      <c r="BH32" s="50">
        <f>MULTIPLY(SUM(BH18:BH31),10)</f>
        <v>0</v>
      </c>
      <c r="BI32" s="62">
        <f>COUNTIF(BI18:BI31,"TRUE")</f>
        <v>0</v>
      </c>
      <c r="BJ32" s="40"/>
      <c r="BK32" s="40"/>
      <c r="BL32" s="40"/>
      <c r="BM32" s="50">
        <f>MULTIPLY(SUM(BM18:BM31),10)</f>
        <v>0</v>
      </c>
      <c r="BN32" s="62">
        <f>COUNTIF(BN18:BN31,"TRUE")</f>
        <v>0</v>
      </c>
      <c r="BO32" s="40"/>
      <c r="BP32" s="40"/>
      <c r="BQ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</row>
    <row r="34">
      <c r="A34" s="83" t="s">
        <v>234</v>
      </c>
      <c r="B34" s="52"/>
      <c r="C34" s="53" t="s">
        <v>6</v>
      </c>
      <c r="D34" s="53" t="s">
        <v>7</v>
      </c>
      <c r="E34" s="53" t="s">
        <v>8</v>
      </c>
      <c r="F34" s="53" t="s">
        <v>9</v>
      </c>
      <c r="G34" s="53" t="s">
        <v>10</v>
      </c>
      <c r="H34" s="53" t="s">
        <v>11</v>
      </c>
      <c r="I34" s="53" t="s">
        <v>12</v>
      </c>
      <c r="J34" s="53" t="s">
        <v>13</v>
      </c>
      <c r="K34" s="53" t="s">
        <v>14</v>
      </c>
      <c r="L34" s="53" t="s">
        <v>15</v>
      </c>
      <c r="M34" s="53" t="s">
        <v>16</v>
      </c>
      <c r="N34" s="54" t="s">
        <v>17</v>
      </c>
      <c r="O34" s="55"/>
      <c r="P34" s="56"/>
      <c r="Q34" s="56"/>
      <c r="R34" s="56"/>
      <c r="S34" s="56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</row>
    <row r="35">
      <c r="A35" s="81" t="s">
        <v>23</v>
      </c>
      <c r="B35" s="57" t="s">
        <v>141</v>
      </c>
      <c r="C35" s="58">
        <f t="array" ref="C35">INDEX(J32,0)</f>
        <v>0</v>
      </c>
      <c r="D35" s="58">
        <f t="array" ref="D35">INDEX(O32,0)</f>
        <v>0</v>
      </c>
      <c r="E35" s="58">
        <f t="array" ref="E35">INDEX(T32,0)</f>
        <v>0</v>
      </c>
      <c r="F35" s="58">
        <f t="array" ref="F35">INDEX(Y32,0)</f>
        <v>0</v>
      </c>
      <c r="G35" s="58">
        <f t="array" ref="G35">INDEX(AD32,0)</f>
        <v>0</v>
      </c>
      <c r="H35" s="58">
        <f t="array" ref="H35">INDEX(AI32,0)</f>
        <v>0</v>
      </c>
      <c r="I35" s="58">
        <f t="array" ref="I35">INDEX(AN32,0)</f>
        <v>0</v>
      </c>
      <c r="J35" s="58">
        <f t="array" ref="J35">INDEX(AS32,0)</f>
        <v>0</v>
      </c>
      <c r="K35" s="58">
        <f t="array" ref="K35">INDEX(AX32,0)</f>
        <v>0</v>
      </c>
      <c r="L35" s="58">
        <f t="array" ref="L35">INDEX(BC32,0)</f>
        <v>0</v>
      </c>
      <c r="M35" s="58">
        <f t="array" ref="M35">INDEX(BH32,0)</f>
        <v>0</v>
      </c>
      <c r="N35" s="60">
        <f t="array" ref="N35">INDEX(BM32,0)</f>
        <v>0</v>
      </c>
      <c r="O35" s="61"/>
      <c r="P35" s="11"/>
      <c r="Q35" s="11"/>
      <c r="R35" s="11"/>
      <c r="S35" s="11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</row>
    <row r="36">
      <c r="A36" s="81" t="s">
        <v>71</v>
      </c>
      <c r="B36" s="63" t="s">
        <v>142</v>
      </c>
      <c r="C36" s="64">
        <f>COUNTIF(K18:K31,true)</f>
        <v>0</v>
      </c>
      <c r="D36" s="64">
        <f>COUNTIF(P18:P31,true)</f>
        <v>0</v>
      </c>
      <c r="E36" s="64">
        <f>COUNTIF(U18:U31,true)</f>
        <v>0</v>
      </c>
      <c r="F36" s="64">
        <f>COUNTIF(Z18:Z31,true)</f>
        <v>0</v>
      </c>
      <c r="G36" s="64">
        <f>COUNTIF(AE18:AE31,true)</f>
        <v>0</v>
      </c>
      <c r="H36" s="64">
        <f>COUNTIF(AJ18:AJ31,true)</f>
        <v>0</v>
      </c>
      <c r="I36" s="64">
        <f>COUNTIF(AO18:AO31,true)</f>
        <v>0</v>
      </c>
      <c r="J36" s="64">
        <f>COUNTIF(AT18:AT31,true)</f>
        <v>0</v>
      </c>
      <c r="K36" s="64">
        <f>COUNTIF(AY18:AY31,true)</f>
        <v>0</v>
      </c>
      <c r="L36" s="64">
        <f>COUNTIF(BD18:BD31,true)</f>
        <v>0</v>
      </c>
      <c r="M36" s="64">
        <f>COUNTIF(BI18:BI31,true)</f>
        <v>0</v>
      </c>
      <c r="N36" s="65">
        <f>COUNTIF(BN18:BN31,true)</f>
        <v>0</v>
      </c>
      <c r="O36" s="66"/>
      <c r="P36" s="67"/>
      <c r="Q36" s="67"/>
      <c r="R36" s="67"/>
      <c r="S36" s="67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81" t="s">
        <v>50</v>
      </c>
      <c r="B37" s="63" t="s">
        <v>143</v>
      </c>
      <c r="C37" s="68">
        <f>COUNTIF(K18:K31,FALSE)</f>
        <v>0</v>
      </c>
      <c r="D37" s="68">
        <f>COUNTIF(P18:P31,FALSE)</f>
        <v>0</v>
      </c>
      <c r="E37" s="68">
        <f>COUNTIF(U18:U31,FALSE)</f>
        <v>0</v>
      </c>
      <c r="F37" s="68">
        <f>COUNTIF(Z18:Z31,FALSE)</f>
        <v>0</v>
      </c>
      <c r="G37" s="68">
        <f>COUNTIF(AE18:AE31,FALSE)</f>
        <v>0</v>
      </c>
      <c r="H37" s="68">
        <f>COUNTIF(AJ18:AJ31,FALSE)</f>
        <v>0</v>
      </c>
      <c r="I37" s="68">
        <f>COUNTIF(AO18:AO31,FALSE)</f>
        <v>0</v>
      </c>
      <c r="J37" s="68">
        <f>COUNTIF(AT18:AT31,FALSE)</f>
        <v>0</v>
      </c>
      <c r="K37" s="68">
        <f>COUNTIF(AY18:AY31,FALSE)</f>
        <v>0</v>
      </c>
      <c r="L37" s="68">
        <f>COUNTIF(BD18:BD31,FALSE)</f>
        <v>0</v>
      </c>
      <c r="M37" s="68">
        <f>COUNTIF(BI18:BI31,FALSE)</f>
        <v>0</v>
      </c>
      <c r="N37" s="69">
        <f>COUNTIF(BN18:BN31,FALSE)</f>
        <v>0</v>
      </c>
      <c r="O37" s="66"/>
      <c r="P37" s="67"/>
      <c r="Q37" s="67"/>
      <c r="R37" s="67"/>
      <c r="S37" s="67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1" t="s">
        <v>85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70" t="s">
        <v>144</v>
      </c>
      <c r="C39" s="71">
        <f>SUM('Week 1'!C38,'Week 2'!C38,'Week 3'!C38,'Week 4'!C38,'Week 5'!C39,'Week 6'!C35,C35)</f>
        <v>325</v>
      </c>
      <c r="D39" s="71">
        <f>SUM('Week 1'!D38,'Week 2'!D38,'Week 3'!D38,'Week 4'!D38,'Week 5'!D39,'Week 6'!D35,D35)</f>
        <v>275</v>
      </c>
      <c r="E39" s="71">
        <f>SUM('Week 1'!E38,'Week 2'!E38,'Week 3'!E38,'Week 4'!E38,'Week 5'!E39,'Week 6'!E35,E35)</f>
        <v>290</v>
      </c>
      <c r="F39" s="71">
        <f>SUM('Week 1'!F38,'Week 2'!F38,'Week 3'!F38,'Week 4'!F38,'Week 5'!F39,'Week 6'!F35,F35)</f>
        <v>375</v>
      </c>
      <c r="G39" s="71">
        <f>SUM('Week 1'!G38,'Week 2'!G38,'Week 3'!G38,'Week 4'!G38,'Week 5'!G39,'Week 6'!G35,G35)</f>
        <v>410</v>
      </c>
      <c r="H39" s="71">
        <f>SUM('Week 1'!H38,'Week 2'!H38,'Week 3'!H38,'Week 4'!H38,'Week 5'!H39,'Week 6'!H35,H35)</f>
        <v>480</v>
      </c>
      <c r="I39" s="71">
        <f>SUM('Week 1'!I38,'Week 2'!I38,'Week 3'!I38,'Week 4'!I38,'Week 5'!I39,'Week 6'!I35,I35)</f>
        <v>320</v>
      </c>
      <c r="J39" s="71">
        <f>SUM('Week 1'!J38,'Week 2'!J38,'Week 3'!J38,'Week 4'!J38,'Week 5'!J39,'Week 6'!J35,J35)</f>
        <v>445</v>
      </c>
      <c r="K39" s="71">
        <f>SUM('Week 1'!K38,'Week 2'!K38,'Week 3'!K38,'Week 4'!K38,'Week 5'!K39,'Week 6'!K35,K35)</f>
        <v>370</v>
      </c>
      <c r="L39" s="71">
        <f>SUM('Week 1'!L38,'Week 2'!L38,'Week 3'!L38,'Week 4'!L38,'Week 5'!L39,'Week 6'!L35,L35)</f>
        <v>280</v>
      </c>
      <c r="M39" s="71">
        <f>SUM('Week 1'!M38,'Week 2'!M38,'Week 3'!M38,'Week 4'!M38,'Week 5'!M39,'Week 6'!M35,M35)</f>
        <v>365</v>
      </c>
      <c r="N39" s="72">
        <f>SUM('Week 1'!N38,'Week 2'!N38,'Week 3'!N38,'Week 4'!N38,'Week 5'!N39,'Week 6'!N35,N35)</f>
        <v>290</v>
      </c>
      <c r="O39" s="61"/>
      <c r="P39" s="11"/>
      <c r="Q39" s="11"/>
      <c r="R39" s="11"/>
      <c r="S39" s="11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57" t="s">
        <v>145</v>
      </c>
      <c r="C40" s="73" t="str">
        <f>CONCATENATE(SUM('Week 1'!C39,'Week 2'!C39,'Week 3'!C39,'Week 4'!C39,'Week 5'!C40,'Week 6'!C36,C36)," - ",SUM('Week 1'!C40,'Week 2'!C40,'Week 3'!C40,'Week 4'!C40,'Week 5'!C41,'Week 6'!C37,C37))</f>
        <v>25 - 21</v>
      </c>
      <c r="D40" s="73" t="str">
        <f>CONCATENATE(SUM('Week 1'!D39,'Week 2'!D39,'Week 3'!D39,'Week 4'!D39,'Week 5'!D40,'Week 6'!D36,D36)," - ",SUM('Week 1'!D40,'Week 2'!D40,'Week 3'!D40,'Week 4'!D40,'Week 5'!D41,'Week 6'!D37,D37))</f>
        <v>24 - 22</v>
      </c>
      <c r="E40" s="73" t="str">
        <f>CONCATENATE(SUM('Week 1'!E39,'Week 2'!E39,'Week 3'!E39,'Week 4'!E39,'Week 5'!E40,'Week 6'!E36,E36)," - ",SUM('Week 1'!E40,'Week 2'!E40,'Week 3'!E40,'Week 4'!E40,'Week 5'!E41,'Week 6'!E37,E37))</f>
        <v>23 - 23</v>
      </c>
      <c r="F40" s="73" t="str">
        <f>CONCATENATE(SUM('Week 1'!F39,'Week 2'!F39,'Week 3'!F39,'Week 4'!F39,'Week 5'!F40,'Week 6'!F36,F36)," - ",SUM('Week 1'!F40,'Week 2'!F40,'Week 3'!F40,'Week 4'!F40,'Week 5'!F41,'Week 6'!F37,F37))</f>
        <v>26 - 20</v>
      </c>
      <c r="G40" s="73" t="str">
        <f>CONCATENATE(SUM('Week 1'!G39,'Week 2'!G39,'Week 3'!G39,'Week 4'!G39,'Week 5'!G40,'Week 6'!G36,G36)," - ",SUM('Week 1'!G40,'Week 2'!G40,'Week 3'!G40,'Week 4'!G40,'Week 5'!G41,'Week 6'!G37,G37))</f>
        <v>30 - 16</v>
      </c>
      <c r="H40" s="73" t="str">
        <f>CONCATENATE(SUM('Week 1'!H39,'Week 2'!H39,'Week 3'!H39,'Week 4'!H39,'Week 5'!H40,'Week 6'!H36,H36)," - ",SUM('Week 1'!H40,'Week 2'!H40,'Week 3'!H40,'Week 4'!H40,'Week 5'!H41,'Week 6'!H37,H37))</f>
        <v>33 - 13</v>
      </c>
      <c r="I40" s="73" t="str">
        <f>CONCATENATE(SUM('Week 1'!I39,'Week 2'!I39,'Week 3'!I39,'Week 4'!I39,'Week 5'!I40,'Week 6'!I36,I36)," - ",SUM('Week 1'!I40,'Week 2'!I40,'Week 3'!I40,'Week 4'!I40,'Week 5'!I41,'Week 6'!I37,I37))</f>
        <v>26 - 20</v>
      </c>
      <c r="J40" s="73" t="str">
        <f>CONCATENATE(SUM('Week 1'!J39,'Week 2'!J39,'Week 3'!J39,'Week 4'!J39,'Week 5'!J40,'Week 6'!J36,J36)," - ",SUM('Week 1'!J40,'Week 2'!J40,'Week 3'!J40,'Week 4'!J40,'Week 5'!J41,'Week 6'!J37,J37))</f>
        <v>27 - 19</v>
      </c>
      <c r="K40" s="73" t="str">
        <f>CONCATENATE(SUM('Week 1'!K39,'Week 2'!K39,'Week 3'!K39,'Week 4'!K39,'Week 5'!K40,'Week 6'!K36,K36)," - ",SUM('Week 1'!K40,'Week 2'!K40,'Week 3'!K40,'Week 4'!K40,'Week 5'!K41,'Week 6'!K37,K37))</f>
        <v>29 - 17</v>
      </c>
      <c r="L40" s="73" t="str">
        <f>CONCATENATE(SUM('Week 1'!L39,'Week 2'!L39,'Week 3'!L39,'Week 4'!L39,'Week 5'!L40,'Week 6'!L36,L36)," - ",SUM('Week 1'!L40,'Week 2'!L40,'Week 3'!L40,'Week 4'!L40,'Week 5'!L41,'Week 6'!L37,L37))</f>
        <v>26 - 20</v>
      </c>
      <c r="M40" s="73" t="str">
        <f>CONCATENATE(SUM('Week 1'!M39,'Week 2'!M39,'Week 3'!M39,'Week 4'!M39,'Week 5'!M40,'Week 6'!M36,M36)," - ",SUM('Week 1'!M40,'Week 2'!M40,'Week 3'!M40,'Week 4'!M40,'Week 5'!M41,'Week 6'!M37,M37))</f>
        <v>24 - 22</v>
      </c>
      <c r="N40" s="74" t="str">
        <f>CONCATENATE(SUM('Week 1'!N39,'Week 2'!N39,'Week 3'!N39,'Week 4'!N39,'Week 5'!N40,'Week 6'!N36,N36)," - ",SUM('Week 1'!N40,'Week 2'!N40,'Week 3'!N40,'Week 4'!N40,'Week 5'!N41,'Week 6'!N37,N37))</f>
        <v>20 - 26</v>
      </c>
      <c r="O40" s="75"/>
      <c r="P40" s="76"/>
      <c r="Q40" s="76"/>
      <c r="R40" s="76"/>
      <c r="S40" s="76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C42" s="29">
        <f t="array" ref="C42:E58">INDEX(H60:J76,0)</f>
        <v>1</v>
      </c>
      <c r="D42" s="29" t="s">
        <v>11</v>
      </c>
      <c r="E42" s="29">
        <v>480.0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C43" s="29">
        <v>2.0</v>
      </c>
      <c r="D43" s="29" t="s">
        <v>13</v>
      </c>
      <c r="E43" s="29">
        <v>445.0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C44" s="29">
        <v>3.0</v>
      </c>
      <c r="D44" s="29" t="s">
        <v>10</v>
      </c>
      <c r="E44" s="29">
        <v>410.0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v>4.0</v>
      </c>
      <c r="D45" s="29" t="s">
        <v>9</v>
      </c>
      <c r="E45" s="29">
        <v>375.0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5.0</v>
      </c>
      <c r="D46" s="29" t="s">
        <v>14</v>
      </c>
      <c r="E46" s="29">
        <v>370.0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6.0</v>
      </c>
      <c r="D47" s="29" t="s">
        <v>16</v>
      </c>
      <c r="E47" s="29">
        <v>365.0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7.0</v>
      </c>
      <c r="D48" s="29" t="s">
        <v>6</v>
      </c>
      <c r="E48" s="29">
        <v>325.0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8.0</v>
      </c>
      <c r="D49" s="29" t="s">
        <v>12</v>
      </c>
      <c r="E49" s="29">
        <v>320.0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9.0</v>
      </c>
      <c r="D50" s="29" t="s">
        <v>8</v>
      </c>
      <c r="E50" s="29">
        <v>290.0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9.0</v>
      </c>
      <c r="D51" s="29" t="s">
        <v>17</v>
      </c>
      <c r="E51" s="29">
        <v>290.0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11.0</v>
      </c>
      <c r="D52" s="29" t="s">
        <v>15</v>
      </c>
      <c r="E52" s="29">
        <v>280.0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12.0</v>
      </c>
      <c r="D53" s="29" t="s">
        <v>7</v>
      </c>
      <c r="E53" s="29">
        <v>275.0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/>
      <c r="D54" s="29"/>
      <c r="E54" s="2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/>
      <c r="D55" s="29"/>
      <c r="E55" s="2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/>
      <c r="D56" s="29"/>
      <c r="E56" s="2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 hidden="1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 hidden="1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 hidden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B60" s="77" t="s">
        <v>6</v>
      </c>
      <c r="C60" s="41">
        <f t="array" ref="C60">INDEX(C39,0)</f>
        <v>325</v>
      </c>
      <c r="D60" s="40"/>
      <c r="G60" s="40"/>
      <c r="H60" s="40">
        <f t="shared" ref="H60:H71" si="74">RANK(J60,$J$60:$J$76,false)</f>
        <v>1</v>
      </c>
      <c r="I60" s="40" t="str">
        <f t="array" ref="I60:J76">SORT(B60:C76,2,false)</f>
        <v>Caleb</v>
      </c>
      <c r="J60" s="40">
        <v>480.0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B61" s="77" t="s">
        <v>7</v>
      </c>
      <c r="C61" s="41">
        <f t="array" ref="C61">INDEX(D39,0)</f>
        <v>275</v>
      </c>
      <c r="D61" s="40"/>
      <c r="G61" s="40"/>
      <c r="H61" s="40">
        <f t="shared" si="74"/>
        <v>2</v>
      </c>
      <c r="I61" s="40" t="s">
        <v>13</v>
      </c>
      <c r="J61" s="40">
        <v>445.0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77" t="s">
        <v>8</v>
      </c>
      <c r="C62" s="41">
        <f t="array" ref="C62">INDEX(E39,0)</f>
        <v>290</v>
      </c>
      <c r="D62" s="40"/>
      <c r="G62" s="40"/>
      <c r="H62" s="40">
        <f t="shared" si="74"/>
        <v>3</v>
      </c>
      <c r="I62" s="40" t="s">
        <v>10</v>
      </c>
      <c r="J62" s="40">
        <v>410.0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9</v>
      </c>
      <c r="C63" s="41">
        <f t="array" ref="C63">INDEX(F39,0)</f>
        <v>375</v>
      </c>
      <c r="D63" s="40"/>
      <c r="G63" s="40"/>
      <c r="H63" s="40">
        <f t="shared" si="74"/>
        <v>4</v>
      </c>
      <c r="I63" s="40" t="s">
        <v>9</v>
      </c>
      <c r="J63" s="40">
        <v>375.0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10</v>
      </c>
      <c r="C64" s="41">
        <f t="array" ref="C64">INDEX(G39,0)</f>
        <v>410</v>
      </c>
      <c r="D64" s="40"/>
      <c r="G64" s="40"/>
      <c r="H64" s="40">
        <f t="shared" si="74"/>
        <v>5</v>
      </c>
      <c r="I64" s="40" t="s">
        <v>14</v>
      </c>
      <c r="J64" s="40">
        <v>370.0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11</v>
      </c>
      <c r="C65" s="41">
        <f t="array" ref="C65">INDEX(H39,0)</f>
        <v>480</v>
      </c>
      <c r="D65" s="40"/>
      <c r="G65" s="40"/>
      <c r="H65" s="40">
        <f t="shared" si="74"/>
        <v>6</v>
      </c>
      <c r="I65" s="40" t="s">
        <v>16</v>
      </c>
      <c r="J65" s="40">
        <v>365.0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12</v>
      </c>
      <c r="C66" s="41">
        <f t="array" ref="C66">INDEX(I39,0)</f>
        <v>320</v>
      </c>
      <c r="D66" s="40"/>
      <c r="G66" s="40"/>
      <c r="H66" s="40">
        <f t="shared" si="74"/>
        <v>7</v>
      </c>
      <c r="I66" s="40" t="s">
        <v>6</v>
      </c>
      <c r="J66" s="40">
        <v>325.0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13</v>
      </c>
      <c r="C67" s="41">
        <f t="array" ref="C67">INDEX(J39,0)</f>
        <v>445</v>
      </c>
      <c r="D67" s="40"/>
      <c r="G67" s="40"/>
      <c r="H67" s="40">
        <f t="shared" si="74"/>
        <v>8</v>
      </c>
      <c r="I67" s="40" t="s">
        <v>12</v>
      </c>
      <c r="J67" s="40">
        <v>320.0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14</v>
      </c>
      <c r="C68" s="41">
        <f t="array" ref="C68">INDEX(K39,0)</f>
        <v>370</v>
      </c>
      <c r="D68" s="40"/>
      <c r="G68" s="40"/>
      <c r="H68" s="40">
        <f t="shared" si="74"/>
        <v>9</v>
      </c>
      <c r="I68" s="40" t="s">
        <v>8</v>
      </c>
      <c r="J68" s="40">
        <v>290.0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15</v>
      </c>
      <c r="C69" s="41">
        <f t="array" ref="C69">INDEX(L39,0)</f>
        <v>280</v>
      </c>
      <c r="D69" s="40"/>
      <c r="G69" s="40"/>
      <c r="H69" s="40">
        <f t="shared" si="74"/>
        <v>9</v>
      </c>
      <c r="I69" s="40" t="s">
        <v>17</v>
      </c>
      <c r="J69" s="40">
        <v>290.0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16</v>
      </c>
      <c r="C70" s="41">
        <f t="array" ref="C70">INDEX(M39,0)</f>
        <v>365</v>
      </c>
      <c r="D70" s="40"/>
      <c r="G70" s="40"/>
      <c r="H70" s="40">
        <f t="shared" si="74"/>
        <v>11</v>
      </c>
      <c r="I70" s="40" t="s">
        <v>15</v>
      </c>
      <c r="J70" s="40">
        <v>280.0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17</v>
      </c>
      <c r="C71" s="41">
        <f t="array" ref="C71">INDEX(N39,0)</f>
        <v>290</v>
      </c>
      <c r="D71" s="40"/>
      <c r="G71" s="40"/>
      <c r="H71" s="40">
        <f t="shared" si="74"/>
        <v>12</v>
      </c>
      <c r="I71" s="40" t="s">
        <v>7</v>
      </c>
      <c r="J71" s="40">
        <v>275.0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/>
      <c r="C72" s="41"/>
      <c r="D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/>
      <c r="C73" s="41"/>
      <c r="D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/>
      <c r="C74" s="41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5">
    <cfRule type="expression" dxfId="0" priority="1">
      <formula>AND($I18=$C18,$C18=0)</formula>
    </cfRule>
  </conditionalFormatting>
  <conditionalFormatting sqref="G2:K15">
    <cfRule type="expression" dxfId="7" priority="2">
      <formula>$I18=$C18</formula>
    </cfRule>
  </conditionalFormatting>
  <conditionalFormatting sqref="L2:L15">
    <cfRule type="expression" dxfId="2" priority="3">
      <formula>AND(C2&lt;&gt;"",C2&lt;&gt;L2)</formula>
    </cfRule>
  </conditionalFormatting>
  <conditionalFormatting sqref="M2:M15">
    <cfRule type="expression" dxfId="2" priority="4">
      <formula>AND(C2&lt;&gt;"",C2&lt;&gt;L2)</formula>
    </cfRule>
  </conditionalFormatting>
  <conditionalFormatting sqref="N2:N15">
    <cfRule type="expression" dxfId="2" priority="5">
      <formula>AND(C2&lt;&gt;"",C2&lt;&gt;L2)</formula>
    </cfRule>
  </conditionalFormatting>
  <conditionalFormatting sqref="O2:O15">
    <cfRule type="expression" dxfId="2" priority="6">
      <formula>AND(C2&lt;&gt;"",C2&lt;&gt;L2)</formula>
    </cfRule>
  </conditionalFormatting>
  <conditionalFormatting sqref="P2:P15">
    <cfRule type="expression" dxfId="2" priority="7">
      <formula>AND(C2&lt;&gt;"",C2&lt;&gt;L2)</formula>
    </cfRule>
  </conditionalFormatting>
  <conditionalFormatting sqref="L2:P15">
    <cfRule type="expression" dxfId="0" priority="8">
      <formula>AND($N18=$C18,$C18=0)</formula>
    </cfRule>
  </conditionalFormatting>
  <conditionalFormatting sqref="L2:P15">
    <cfRule type="expression" dxfId="7" priority="9">
      <formula>$N18=$C18</formula>
    </cfRule>
  </conditionalFormatting>
  <conditionalFormatting sqref="Q2:Q15">
    <cfRule type="expression" dxfId="2" priority="10">
      <formula>AND(C2&lt;&gt;"",C2&lt;&gt;Q2)</formula>
    </cfRule>
  </conditionalFormatting>
  <conditionalFormatting sqref="R2:R15">
    <cfRule type="expression" dxfId="2" priority="11">
      <formula>AND(C2&lt;&gt;"",C2&lt;&gt;Q2)</formula>
    </cfRule>
  </conditionalFormatting>
  <conditionalFormatting sqref="S2:S15">
    <cfRule type="expression" dxfId="2" priority="12">
      <formula>AND(C2&lt;&gt;"",C2&lt;&gt;Q2)</formula>
    </cfRule>
  </conditionalFormatting>
  <conditionalFormatting sqref="T2:T15">
    <cfRule type="expression" dxfId="2" priority="13">
      <formula>AND(C2&lt;&gt;"",C2&lt;&gt;Q2)</formula>
    </cfRule>
  </conditionalFormatting>
  <conditionalFormatting sqref="U2:U15">
    <cfRule type="expression" dxfId="2" priority="14">
      <formula>AND(C2&lt;&gt;"",C2&lt;&gt;Q2)</formula>
    </cfRule>
  </conditionalFormatting>
  <conditionalFormatting sqref="Q2:U15">
    <cfRule type="expression" dxfId="0" priority="15">
      <formula>AND($S18=$C18,$C18=0)</formula>
    </cfRule>
  </conditionalFormatting>
  <conditionalFormatting sqref="Q2:U15">
    <cfRule type="expression" dxfId="7" priority="16">
      <formula>$S18=$C18</formula>
    </cfRule>
  </conditionalFormatting>
  <conditionalFormatting sqref="V2:V15">
    <cfRule type="expression" dxfId="2" priority="17">
      <formula>AND(C2&lt;&gt;"",C2&lt;&gt;V2)</formula>
    </cfRule>
  </conditionalFormatting>
  <conditionalFormatting sqref="W2:W15">
    <cfRule type="expression" dxfId="2" priority="18">
      <formula>AND(C2&lt;&gt;"",C2&lt;&gt;V2)</formula>
    </cfRule>
  </conditionalFormatting>
  <conditionalFormatting sqref="X2:X15">
    <cfRule type="expression" dxfId="2" priority="19">
      <formula>AND(C2&lt;&gt;"",C2&lt;&gt;V2)</formula>
    </cfRule>
  </conditionalFormatting>
  <conditionalFormatting sqref="Y2:Y15">
    <cfRule type="expression" dxfId="2" priority="20">
      <formula>AND(C2&lt;&gt;"",C2&lt;&gt;V2)</formula>
    </cfRule>
  </conditionalFormatting>
  <conditionalFormatting sqref="Z2:Z15">
    <cfRule type="expression" dxfId="2" priority="21">
      <formula>AND(C2&lt;&gt;"",C2&lt;&gt;V2)</formula>
    </cfRule>
  </conditionalFormatting>
  <conditionalFormatting sqref="AA2:AA15">
    <cfRule type="expression" dxfId="2" priority="22">
      <formula>AND(C2&lt;&gt;"",C2&lt;&gt;AA2)</formula>
    </cfRule>
  </conditionalFormatting>
  <conditionalFormatting sqref="AB2:AB15">
    <cfRule type="expression" dxfId="2" priority="23">
      <formula>AND(C2&lt;&gt;"",C2&lt;&gt;AA2)</formula>
    </cfRule>
  </conditionalFormatting>
  <conditionalFormatting sqref="AC2:AC15">
    <cfRule type="expression" dxfId="2" priority="24">
      <formula>AND(C2&lt;&gt;"",C2&lt;&gt;AA2)</formula>
    </cfRule>
  </conditionalFormatting>
  <conditionalFormatting sqref="AD2:AD15">
    <cfRule type="expression" dxfId="2" priority="25">
      <formula>AND(C2&lt;&gt;"",C2&lt;&gt;AA2)</formula>
    </cfRule>
  </conditionalFormatting>
  <conditionalFormatting sqref="AE2:AE15">
    <cfRule type="expression" dxfId="2" priority="26">
      <formula>AND(C2&lt;&gt;"",C2&lt;&gt;AA2)</formula>
    </cfRule>
  </conditionalFormatting>
  <conditionalFormatting sqref="AF2:AF15">
    <cfRule type="expression" dxfId="2" priority="27">
      <formula>AND(C2&lt;&gt;"",C2&lt;&gt;AF2)</formula>
    </cfRule>
  </conditionalFormatting>
  <conditionalFormatting sqref="AG2:AG15">
    <cfRule type="expression" dxfId="2" priority="28">
      <formula>AND(C2&lt;&gt;"",C2&lt;&gt;AF2)</formula>
    </cfRule>
  </conditionalFormatting>
  <conditionalFormatting sqref="AH2:AH15">
    <cfRule type="expression" dxfId="2" priority="29">
      <formula>AND(C2&lt;&gt;"",C2&lt;&gt;AF2)</formula>
    </cfRule>
  </conditionalFormatting>
  <conditionalFormatting sqref="AI2:AI15">
    <cfRule type="expression" dxfId="2" priority="30">
      <formula>AND(C2&lt;&gt;"",C2&lt;&gt;AF2)</formula>
    </cfRule>
  </conditionalFormatting>
  <conditionalFormatting sqref="AJ2:AJ15">
    <cfRule type="expression" dxfId="2" priority="31">
      <formula>AND(C2&lt;&gt;"",C2&lt;&gt;AF2)</formula>
    </cfRule>
  </conditionalFormatting>
  <conditionalFormatting sqref="AK2:AK15">
    <cfRule type="expression" dxfId="2" priority="32">
      <formula>AND(C2&lt;&gt;"",C2&lt;&gt;AK2)</formula>
    </cfRule>
  </conditionalFormatting>
  <conditionalFormatting sqref="AL2:AL15">
    <cfRule type="expression" dxfId="2" priority="33">
      <formula>AND(C2&lt;&gt;"",C2&lt;&gt;AK2)</formula>
    </cfRule>
  </conditionalFormatting>
  <conditionalFormatting sqref="AM2:AM15">
    <cfRule type="expression" dxfId="2" priority="34">
      <formula>AND(C2&lt;&gt;"",C2&lt;&gt;AK2)</formula>
    </cfRule>
  </conditionalFormatting>
  <conditionalFormatting sqref="AN2:AN15">
    <cfRule type="expression" dxfId="2" priority="35">
      <formula>AND(C2&lt;&gt;"",C2&lt;&gt;AK2)</formula>
    </cfRule>
  </conditionalFormatting>
  <conditionalFormatting sqref="AO2:AO15">
    <cfRule type="expression" dxfId="2" priority="36">
      <formula>AND(C2&lt;&gt;"",C2&lt;&gt;AK2)</formula>
    </cfRule>
  </conditionalFormatting>
  <conditionalFormatting sqref="AP2:AP15">
    <cfRule type="expression" dxfId="2" priority="37">
      <formula>AND(C2&lt;&gt;"",C2&lt;&gt;AP2)</formula>
    </cfRule>
  </conditionalFormatting>
  <conditionalFormatting sqref="AQ2:AQ15">
    <cfRule type="expression" dxfId="2" priority="38">
      <formula>AND(C2&lt;&gt;"",C2&lt;&gt;AP2)</formula>
    </cfRule>
  </conditionalFormatting>
  <conditionalFormatting sqref="AR2:AR15">
    <cfRule type="expression" dxfId="2" priority="39">
      <formula>AND(C2&lt;&gt;"",C2&lt;&gt;AP2)</formula>
    </cfRule>
  </conditionalFormatting>
  <conditionalFormatting sqref="AS2:AS15">
    <cfRule type="expression" dxfId="2" priority="40">
      <formula>AND(C2&lt;&gt;"",C2&lt;&gt;AP2)</formula>
    </cfRule>
  </conditionalFormatting>
  <conditionalFormatting sqref="AT2:AT15">
    <cfRule type="expression" dxfId="2" priority="41">
      <formula>AND(C2&lt;&gt;"",C2&lt;&gt;AP2)</formula>
    </cfRule>
  </conditionalFormatting>
  <conditionalFormatting sqref="AU2:AU15">
    <cfRule type="expression" dxfId="2" priority="42">
      <formula>AND(C2&lt;&gt;"",C2&lt;&gt;AU2)</formula>
    </cfRule>
  </conditionalFormatting>
  <conditionalFormatting sqref="AV2:AV15">
    <cfRule type="expression" dxfId="2" priority="43">
      <formula>AND(C2&lt;&gt;"",C2&lt;&gt;AU2)</formula>
    </cfRule>
  </conditionalFormatting>
  <conditionalFormatting sqref="AW2:AW15">
    <cfRule type="expression" dxfId="2" priority="44">
      <formula>AND(C2&lt;&gt;"",C2&lt;&gt;AU2)</formula>
    </cfRule>
  </conditionalFormatting>
  <conditionalFormatting sqref="AX2:AX15">
    <cfRule type="expression" dxfId="2" priority="45">
      <formula>AND(C2&lt;&gt;"",C2&lt;&gt;AU2)</formula>
    </cfRule>
  </conditionalFormatting>
  <conditionalFormatting sqref="AY2:AY15">
    <cfRule type="expression" dxfId="2" priority="46">
      <formula>AND(C2&lt;&gt;"",C2&lt;&gt;AU2)</formula>
    </cfRule>
  </conditionalFormatting>
  <conditionalFormatting sqref="AZ2:AZ15">
    <cfRule type="expression" dxfId="2" priority="47">
      <formula>AND(C2&lt;&gt;"",C2&lt;&gt;AZ2)</formula>
    </cfRule>
  </conditionalFormatting>
  <conditionalFormatting sqref="BA2:BA15">
    <cfRule type="expression" dxfId="2" priority="48">
      <formula>AND(C2&lt;&gt;"",C2&lt;&gt;AZ2)</formula>
    </cfRule>
  </conditionalFormatting>
  <conditionalFormatting sqref="BB2:BB15">
    <cfRule type="expression" dxfId="2" priority="49">
      <formula>AND(C2&lt;&gt;"",C2&lt;&gt;AZ2)</formula>
    </cfRule>
  </conditionalFormatting>
  <conditionalFormatting sqref="BC2:BC15">
    <cfRule type="expression" dxfId="2" priority="50">
      <formula>AND(C2&lt;&gt;"",C2&lt;&gt;AZ2)</formula>
    </cfRule>
  </conditionalFormatting>
  <conditionalFormatting sqref="BD2:BD15">
    <cfRule type="expression" dxfId="2" priority="51">
      <formula>AND(C2&lt;&gt;"",C2&lt;&gt;AZ2)</formula>
    </cfRule>
  </conditionalFormatting>
  <conditionalFormatting sqref="BE2:BE15">
    <cfRule type="expression" dxfId="2" priority="52">
      <formula>AND(C2&lt;&gt;"",C2&lt;&gt;BE2)</formula>
    </cfRule>
  </conditionalFormatting>
  <conditionalFormatting sqref="BF2:BF15">
    <cfRule type="expression" dxfId="2" priority="53">
      <formula>AND(C2&lt;&gt;"",C2&lt;&gt;BE2)</formula>
    </cfRule>
  </conditionalFormatting>
  <conditionalFormatting sqref="BG2:BG15">
    <cfRule type="expression" dxfId="2" priority="54">
      <formula>AND(C2&lt;&gt;"",C2&lt;&gt;BE2)</formula>
    </cfRule>
  </conditionalFormatting>
  <conditionalFormatting sqref="BH2:BH15">
    <cfRule type="expression" dxfId="2" priority="55">
      <formula>AND(C2&lt;&gt;"",C2&lt;&gt;BE2)</formula>
    </cfRule>
  </conditionalFormatting>
  <conditionalFormatting sqref="BI2:BI15">
    <cfRule type="expression" dxfId="2" priority="56">
      <formula>AND(C2&lt;&gt;"",C2&lt;&gt;BE2)</formula>
    </cfRule>
  </conditionalFormatting>
  <conditionalFormatting sqref="BJ2:BJ15">
    <cfRule type="expression" dxfId="2" priority="57">
      <formula>AND(C2&lt;&gt;"",C2&lt;&gt;BJ2)</formula>
    </cfRule>
  </conditionalFormatting>
  <conditionalFormatting sqref="BK2:BK15">
    <cfRule type="expression" dxfId="2" priority="58">
      <formula>AND(C2&lt;&gt;"",C2&lt;&gt;BJ2)</formula>
    </cfRule>
  </conditionalFormatting>
  <conditionalFormatting sqref="BL2:BL15">
    <cfRule type="expression" dxfId="2" priority="59">
      <formula>AND(C2&lt;&gt;"",C2&lt;&gt;BJ2)</formula>
    </cfRule>
  </conditionalFormatting>
  <conditionalFormatting sqref="BM2:BM15">
    <cfRule type="expression" dxfId="2" priority="60">
      <formula>AND(C2&lt;&gt;"",C2&lt;&gt;BJ2)</formula>
    </cfRule>
  </conditionalFormatting>
  <conditionalFormatting sqref="BN2:BN15">
    <cfRule type="expression" dxfId="2" priority="61">
      <formula>AND(C2&lt;&gt;"",C2&lt;&gt;BJ2)</formula>
    </cfRule>
  </conditionalFormatting>
  <conditionalFormatting sqref="G2:G15">
    <cfRule type="expression" dxfId="3" priority="62">
      <formula>G2=C2</formula>
    </cfRule>
  </conditionalFormatting>
  <conditionalFormatting sqref="H2:H15">
    <cfRule type="expression" dxfId="3" priority="63">
      <formula>G2=C2</formula>
    </cfRule>
  </conditionalFormatting>
  <conditionalFormatting sqref="I2:I15">
    <cfRule type="expression" dxfId="3" priority="64">
      <formula>G2=C2</formula>
    </cfRule>
  </conditionalFormatting>
  <conditionalFormatting sqref="J2:J15">
    <cfRule type="expression" dxfId="3" priority="65">
      <formula>G2=C2</formula>
    </cfRule>
  </conditionalFormatting>
  <conditionalFormatting sqref="K2:K15">
    <cfRule type="expression" dxfId="3" priority="66">
      <formula>G2=C2</formula>
    </cfRule>
  </conditionalFormatting>
  <conditionalFormatting sqref="L2:L15">
    <cfRule type="expression" dxfId="3" priority="67">
      <formula>L2=C2</formula>
    </cfRule>
  </conditionalFormatting>
  <conditionalFormatting sqref="M2:M15">
    <cfRule type="expression" dxfId="3" priority="68">
      <formula>L2=C2</formula>
    </cfRule>
  </conditionalFormatting>
  <conditionalFormatting sqref="N2:N15">
    <cfRule type="expression" dxfId="3" priority="69">
      <formula>L2=C2</formula>
    </cfRule>
  </conditionalFormatting>
  <conditionalFormatting sqref="O2:O15">
    <cfRule type="expression" dxfId="3" priority="70">
      <formula>L2=C2</formula>
    </cfRule>
  </conditionalFormatting>
  <conditionalFormatting sqref="P2:P15">
    <cfRule type="expression" dxfId="3" priority="71">
      <formula>L2=C2</formula>
    </cfRule>
  </conditionalFormatting>
  <conditionalFormatting sqref="Q2:Q15">
    <cfRule type="expression" dxfId="3" priority="72">
      <formula>Q2=C2</formula>
    </cfRule>
  </conditionalFormatting>
  <conditionalFormatting sqref="R2:R15">
    <cfRule type="expression" dxfId="3" priority="73">
      <formula>Q2=C2</formula>
    </cfRule>
  </conditionalFormatting>
  <conditionalFormatting sqref="S2:S15">
    <cfRule type="expression" dxfId="3" priority="74">
      <formula>Q2=C2</formula>
    </cfRule>
  </conditionalFormatting>
  <conditionalFormatting sqref="T2:T15">
    <cfRule type="expression" dxfId="3" priority="75">
      <formula>Q2=C2</formula>
    </cfRule>
  </conditionalFormatting>
  <conditionalFormatting sqref="U2:U15">
    <cfRule type="expression" dxfId="3" priority="76">
      <formula>Q2=C2</formula>
    </cfRule>
  </conditionalFormatting>
  <conditionalFormatting sqref="V2:Z15">
    <cfRule type="expression" dxfId="0" priority="77">
      <formula>AND($X18=$C18,$C18=0)</formula>
    </cfRule>
  </conditionalFormatting>
  <conditionalFormatting sqref="V2:Z15">
    <cfRule type="expression" dxfId="7" priority="78">
      <formula>$X18=$C18</formula>
    </cfRule>
  </conditionalFormatting>
  <conditionalFormatting sqref="V2:Z15">
    <cfRule type="expression" dxfId="3" priority="79">
      <formula>$V2=$C2</formula>
    </cfRule>
  </conditionalFormatting>
  <conditionalFormatting sqref="AA2:AE15">
    <cfRule type="expression" dxfId="0" priority="80">
      <formula>AND($AC18=$C18,$C18=0)</formula>
    </cfRule>
  </conditionalFormatting>
  <conditionalFormatting sqref="AA2:AE15">
    <cfRule type="expression" dxfId="7" priority="81">
      <formula>$AC18=$C18</formula>
    </cfRule>
  </conditionalFormatting>
  <conditionalFormatting sqref="AA2:AE15">
    <cfRule type="expression" dxfId="3" priority="82">
      <formula>$AA2=$C2</formula>
    </cfRule>
  </conditionalFormatting>
  <conditionalFormatting sqref="AF2:AJ15">
    <cfRule type="expression" dxfId="0" priority="83">
      <formula>AND($AH18=$C18,$C18=0)</formula>
    </cfRule>
  </conditionalFormatting>
  <conditionalFormatting sqref="AF2:AJ15">
    <cfRule type="expression" dxfId="7" priority="84">
      <formula>$AH18=$C18</formula>
    </cfRule>
  </conditionalFormatting>
  <conditionalFormatting sqref="AF2:AJ15">
    <cfRule type="expression" dxfId="3" priority="85">
      <formula>$AF2=$C2</formula>
    </cfRule>
  </conditionalFormatting>
  <conditionalFormatting sqref="AK2:AO15">
    <cfRule type="expression" dxfId="0" priority="86">
      <formula>AND($AM18=$C18,$C18=0)</formula>
    </cfRule>
  </conditionalFormatting>
  <conditionalFormatting sqref="AK2:AO15">
    <cfRule type="expression" dxfId="7" priority="87">
      <formula>$AM18=$C18</formula>
    </cfRule>
  </conditionalFormatting>
  <conditionalFormatting sqref="AK2:AO15">
    <cfRule type="expression" dxfId="3" priority="88">
      <formula>$AK2=$C2</formula>
    </cfRule>
  </conditionalFormatting>
  <conditionalFormatting sqref="AP2:AT15">
    <cfRule type="expression" dxfId="0" priority="89">
      <formula>AND($AR18=$C18,$C18=0)</formula>
    </cfRule>
  </conditionalFormatting>
  <conditionalFormatting sqref="AP2:AT15">
    <cfRule type="expression" dxfId="7" priority="90">
      <formula>$AR18=$C18</formula>
    </cfRule>
  </conditionalFormatting>
  <conditionalFormatting sqref="AP2:AT15">
    <cfRule type="expression" dxfId="3" priority="91">
      <formula>$AP2=$C2</formula>
    </cfRule>
  </conditionalFormatting>
  <conditionalFormatting sqref="AU2:AY15">
    <cfRule type="expression" dxfId="0" priority="92">
      <formula>AND($AW18=$C18,$C18=0)</formula>
    </cfRule>
  </conditionalFormatting>
  <conditionalFormatting sqref="AU2:AY15">
    <cfRule type="expression" dxfId="7" priority="93">
      <formula>$AW18=$C18</formula>
    </cfRule>
  </conditionalFormatting>
  <conditionalFormatting sqref="AU2:AY15">
    <cfRule type="expression" dxfId="3" priority="94">
      <formula>$AU2=$C2</formula>
    </cfRule>
  </conditionalFormatting>
  <conditionalFormatting sqref="AZ2:BD15">
    <cfRule type="expression" dxfId="0" priority="95">
      <formula>AND($BB18=$C18,$C18=0)</formula>
    </cfRule>
  </conditionalFormatting>
  <conditionalFormatting sqref="AZ2:BD15">
    <cfRule type="expression" dxfId="7" priority="96">
      <formula>$BB18=$C18</formula>
    </cfRule>
  </conditionalFormatting>
  <conditionalFormatting sqref="AZ2:BD15">
    <cfRule type="expression" dxfId="3" priority="97">
      <formula>$AZ2=$C2</formula>
    </cfRule>
  </conditionalFormatting>
  <conditionalFormatting sqref="BE2:BI15">
    <cfRule type="expression" dxfId="0" priority="98">
      <formula>AND($BG18=$C18,$C18=0)</formula>
    </cfRule>
  </conditionalFormatting>
  <conditionalFormatting sqref="BE2:BI15">
    <cfRule type="expression" dxfId="7" priority="99">
      <formula>$BG18=$C18</formula>
    </cfRule>
  </conditionalFormatting>
  <conditionalFormatting sqref="BE2:BI15">
    <cfRule type="expression" dxfId="3" priority="100">
      <formula>$BE2=$C2</formula>
    </cfRule>
  </conditionalFormatting>
  <conditionalFormatting sqref="BJ2:BN15">
    <cfRule type="expression" dxfId="0" priority="101">
      <formula>AND($BL18=$C18,$C18=0)</formula>
    </cfRule>
  </conditionalFormatting>
  <conditionalFormatting sqref="BJ2:BN15">
    <cfRule type="expression" dxfId="7" priority="102">
      <formula>$BL18=$C18</formula>
    </cfRule>
  </conditionalFormatting>
  <conditionalFormatting sqref="BJ2:BN15">
    <cfRule type="expression" dxfId="3" priority="103">
      <formula>$BJ2=$C2</formula>
    </cfRule>
  </conditionalFormatting>
  <conditionalFormatting sqref="G2:K15">
    <cfRule type="expression" dxfId="2" priority="104">
      <formula>AND($C2&lt;&gt;"",$G2&lt;&gt;$C2)</formula>
    </cfRule>
  </conditionalFormatting>
  <conditionalFormatting sqref="C42:C58">
    <cfRule type="cellIs" dxfId="4" priority="105" operator="equal">
      <formula>1</formula>
    </cfRule>
  </conditionalFormatting>
  <conditionalFormatting sqref="C42:C58">
    <cfRule type="cellIs" dxfId="5" priority="106" operator="equal">
      <formula>2</formula>
    </cfRule>
  </conditionalFormatting>
  <conditionalFormatting sqref="C42:C58">
    <cfRule type="cellIs" dxfId="6" priority="107" operator="equal">
      <formula>3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155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156</v>
      </c>
      <c r="B2" s="17" t="s">
        <v>157</v>
      </c>
      <c r="C2" s="18" t="str">
        <f>IFERROR(__xludf.DUMMYFUNCTION("IMPORTRANGE(""https://docs.google.com/spreadsheets/d/1v9a6MxzpyXdVbef97sptWrOJUpuAu6ldKC6wbegqpyg/edit?gid=1939819738#gid=1939819738"",""Week 8!C3:F16"")"),"")</f>
        <v/>
      </c>
      <c r="D2" s="11" t="str">
        <f>IFERROR(__xludf.DUMMYFUNCTION("""COMPUTED_VALUE"""),"")</f>
        <v/>
      </c>
      <c r="E2" s="19"/>
      <c r="F2" s="20"/>
      <c r="G2" s="19" t="s">
        <v>26</v>
      </c>
      <c r="H2" s="11" t="str">
        <f t="shared" ref="H2:H15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17.0</v>
      </c>
      <c r="J2" s="19">
        <v>20.0</v>
      </c>
      <c r="K2" s="20" t="b">
        <v>0</v>
      </c>
      <c r="L2" s="24" t="s">
        <v>41</v>
      </c>
      <c r="M2" s="26" t="str">
        <f t="shared" ref="M2:M15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17.0</v>
      </c>
      <c r="O2" s="24">
        <v>14.0</v>
      </c>
      <c r="P2" s="24" t="b">
        <v>0</v>
      </c>
      <c r="Q2" s="27" t="s">
        <v>41</v>
      </c>
      <c r="R2" s="11" t="str">
        <f t="shared" ref="R2:R15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27.0</v>
      </c>
      <c r="T2" s="19">
        <v>24.0</v>
      </c>
      <c r="U2" s="20" t="b">
        <v>0</v>
      </c>
      <c r="V2" s="19" t="s">
        <v>26</v>
      </c>
      <c r="W2" s="11" t="str">
        <f t="shared" ref="W2:W15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14.0</v>
      </c>
      <c r="Y2" s="19">
        <v>17.0</v>
      </c>
      <c r="Z2" s="20" t="b">
        <v>0</v>
      </c>
      <c r="AA2" s="27" t="s">
        <v>26</v>
      </c>
      <c r="AB2" s="11" t="str">
        <f t="shared" ref="AB2:AB15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26</v>
      </c>
      <c r="AG2" s="11" t="str">
        <f t="shared" ref="AG2:AG15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17.0</v>
      </c>
      <c r="AI2" s="19">
        <v>21.0</v>
      </c>
      <c r="AJ2" s="20" t="b">
        <v>0</v>
      </c>
      <c r="AK2" s="19" t="s">
        <v>26</v>
      </c>
      <c r="AL2" s="11" t="str">
        <f t="shared" ref="AL2:AL15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14.0</v>
      </c>
      <c r="AN2" s="19">
        <v>17.0</v>
      </c>
      <c r="AO2" s="20" t="b">
        <v>0</v>
      </c>
      <c r="AP2" s="27" t="s">
        <v>26</v>
      </c>
      <c r="AQ2" s="11" t="str">
        <f t="shared" ref="AQ2:AQ15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17.0</v>
      </c>
      <c r="AS2" s="19">
        <v>27.0</v>
      </c>
      <c r="AT2" s="20" t="b">
        <v>0</v>
      </c>
      <c r="AU2" s="27" t="s">
        <v>26</v>
      </c>
      <c r="AV2" s="11" t="str">
        <f t="shared" ref="AV2:AV15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10.0</v>
      </c>
      <c r="AX2" s="19">
        <v>14.0</v>
      </c>
      <c r="AY2" s="20" t="b">
        <v>0</v>
      </c>
      <c r="AZ2" s="27" t="s">
        <v>26</v>
      </c>
      <c r="BA2" s="11" t="str">
        <f t="shared" ref="BA2:BA15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41</v>
      </c>
      <c r="BF2" s="11" t="str">
        <f t="shared" ref="BF2:BF15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14.0</v>
      </c>
      <c r="BH2" s="19">
        <v>10.0</v>
      </c>
      <c r="BI2" s="20" t="b">
        <v>0</v>
      </c>
      <c r="BJ2" s="27" t="s">
        <v>26</v>
      </c>
      <c r="BK2" s="11" t="str">
        <f t="shared" ref="BK2:BK15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21.0</v>
      </c>
      <c r="BM2" s="19">
        <v>28.0</v>
      </c>
      <c r="BN2" s="20" t="b">
        <v>0</v>
      </c>
      <c r="BO2" s="19"/>
      <c r="BP2" s="19"/>
      <c r="BQ2" s="19"/>
    </row>
    <row r="3">
      <c r="A3" s="16" t="s">
        <v>192</v>
      </c>
      <c r="B3" s="17" t="s">
        <v>193</v>
      </c>
      <c r="C3" s="18"/>
      <c r="D3" s="11" t="str">
        <f>IFERROR(__xludf.DUMMYFUNCTION("""COMPUTED_VALUE"""),"")</f>
        <v/>
      </c>
      <c r="E3" s="17"/>
      <c r="F3" s="31"/>
      <c r="G3" s="19" t="s">
        <v>46</v>
      </c>
      <c r="H3" s="11" t="str">
        <f t="shared" si="1"/>
        <v/>
      </c>
      <c r="I3" s="19">
        <v>20.0</v>
      </c>
      <c r="J3" s="19">
        <v>23.0</v>
      </c>
      <c r="K3" s="20" t="b">
        <v>0</v>
      </c>
      <c r="L3" s="19" t="s">
        <v>46</v>
      </c>
      <c r="M3" s="11" t="str">
        <f t="shared" si="2"/>
        <v/>
      </c>
      <c r="N3" s="19">
        <v>20.0</v>
      </c>
      <c r="O3" s="19">
        <v>23.0</v>
      </c>
      <c r="P3" s="19" t="b">
        <v>0</v>
      </c>
      <c r="Q3" s="27" t="s">
        <v>46</v>
      </c>
      <c r="R3" s="11" t="str">
        <f t="shared" si="3"/>
        <v/>
      </c>
      <c r="S3" s="19">
        <v>20.0</v>
      </c>
      <c r="T3" s="19">
        <v>23.0</v>
      </c>
      <c r="U3" s="20" t="b">
        <v>0</v>
      </c>
      <c r="V3" s="19" t="s">
        <v>46</v>
      </c>
      <c r="W3" s="11" t="str">
        <f t="shared" si="4"/>
        <v/>
      </c>
      <c r="X3" s="19">
        <v>21.0</v>
      </c>
      <c r="Y3" s="19">
        <v>24.0</v>
      </c>
      <c r="Z3" s="20" t="b">
        <v>0</v>
      </c>
      <c r="AA3" s="27" t="s">
        <v>46</v>
      </c>
      <c r="AB3" s="11" t="str">
        <f t="shared" si="5"/>
        <v/>
      </c>
      <c r="AC3" s="19">
        <v>17.0</v>
      </c>
      <c r="AD3" s="19">
        <v>24.0</v>
      </c>
      <c r="AE3" s="19" t="b">
        <v>0</v>
      </c>
      <c r="AF3" s="27" t="s">
        <v>46</v>
      </c>
      <c r="AG3" s="11" t="str">
        <f t="shared" si="6"/>
        <v/>
      </c>
      <c r="AH3" s="19">
        <v>21.0</v>
      </c>
      <c r="AI3" s="19">
        <v>31.0</v>
      </c>
      <c r="AJ3" s="20" t="b">
        <v>0</v>
      </c>
      <c r="AK3" s="19" t="s">
        <v>46</v>
      </c>
      <c r="AL3" s="11" t="str">
        <f t="shared" si="7"/>
        <v/>
      </c>
      <c r="AM3" s="19">
        <v>21.0</v>
      </c>
      <c r="AN3" s="19">
        <v>28.0</v>
      </c>
      <c r="AO3" s="20" t="b">
        <v>0</v>
      </c>
      <c r="AP3" s="27" t="s">
        <v>46</v>
      </c>
      <c r="AQ3" s="11" t="str">
        <f t="shared" si="8"/>
        <v/>
      </c>
      <c r="AR3" s="19">
        <v>20.0</v>
      </c>
      <c r="AS3" s="19">
        <v>28.0</v>
      </c>
      <c r="AT3" s="20" t="b">
        <v>0</v>
      </c>
      <c r="AU3" s="27" t="s">
        <v>46</v>
      </c>
      <c r="AV3" s="11" t="str">
        <f t="shared" si="9"/>
        <v/>
      </c>
      <c r="AW3" s="19">
        <v>24.0</v>
      </c>
      <c r="AX3" s="19">
        <v>27.0</v>
      </c>
      <c r="AY3" s="20" t="b">
        <v>0</v>
      </c>
      <c r="AZ3" s="27" t="s">
        <v>46</v>
      </c>
      <c r="BA3" s="11" t="str">
        <f t="shared" si="10"/>
        <v/>
      </c>
      <c r="BB3" s="19">
        <v>20.0</v>
      </c>
      <c r="BC3" s="19">
        <v>23.0</v>
      </c>
      <c r="BD3" s="20" t="b">
        <v>0</v>
      </c>
      <c r="BE3" s="27" t="s">
        <v>55</v>
      </c>
      <c r="BF3" s="11" t="str">
        <f t="shared" si="11"/>
        <v/>
      </c>
      <c r="BG3" s="19">
        <v>17.0</v>
      </c>
      <c r="BH3" s="19">
        <v>14.0</v>
      </c>
      <c r="BI3" s="20" t="b">
        <v>0</v>
      </c>
      <c r="BJ3" s="27" t="s">
        <v>55</v>
      </c>
      <c r="BK3" s="11" t="str">
        <f t="shared" si="12"/>
        <v/>
      </c>
      <c r="BL3" s="19">
        <v>28.0</v>
      </c>
      <c r="BM3" s="19">
        <v>21.0</v>
      </c>
      <c r="BN3" s="20" t="b">
        <v>0</v>
      </c>
      <c r="BO3" s="17"/>
      <c r="BP3" s="17"/>
      <c r="BQ3" s="17"/>
    </row>
    <row r="4">
      <c r="A4" s="16" t="s">
        <v>192</v>
      </c>
      <c r="B4" s="30" t="s">
        <v>196</v>
      </c>
      <c r="C4" s="18"/>
      <c r="D4" s="11" t="str">
        <f>IFERROR(__xludf.DUMMYFUNCTION("""COMPUTED_VALUE"""),"")</f>
        <v/>
      </c>
      <c r="E4" s="19"/>
      <c r="F4" s="20"/>
      <c r="G4" s="19" t="s">
        <v>48</v>
      </c>
      <c r="H4" s="11" t="str">
        <f t="shared" si="1"/>
        <v/>
      </c>
      <c r="I4" s="19">
        <v>14.0</v>
      </c>
      <c r="J4" s="19">
        <v>17.0</v>
      </c>
      <c r="K4" s="20" t="b">
        <v>0</v>
      </c>
      <c r="L4" s="19" t="s">
        <v>29</v>
      </c>
      <c r="M4" s="11" t="str">
        <f t="shared" si="2"/>
        <v/>
      </c>
      <c r="N4" s="19">
        <v>14.0</v>
      </c>
      <c r="O4" s="19">
        <v>10.0</v>
      </c>
      <c r="P4" s="19" t="b">
        <v>0</v>
      </c>
      <c r="Q4" s="27" t="s">
        <v>29</v>
      </c>
      <c r="R4" s="11" t="str">
        <f t="shared" si="3"/>
        <v/>
      </c>
      <c r="S4" s="19">
        <v>23.0</v>
      </c>
      <c r="T4" s="19">
        <v>20.0</v>
      </c>
      <c r="U4" s="20" t="b">
        <v>0</v>
      </c>
      <c r="V4" s="19" t="s">
        <v>48</v>
      </c>
      <c r="W4" s="11" t="str">
        <f t="shared" si="4"/>
        <v/>
      </c>
      <c r="X4" s="19">
        <v>7.0</v>
      </c>
      <c r="Y4" s="19">
        <v>10.0</v>
      </c>
      <c r="Z4" s="20" t="b">
        <v>0</v>
      </c>
      <c r="AA4" s="27" t="s">
        <v>48</v>
      </c>
      <c r="AB4" s="11" t="str">
        <f t="shared" si="5"/>
        <v/>
      </c>
      <c r="AC4" s="19">
        <v>17.0</v>
      </c>
      <c r="AD4" s="19">
        <v>24.0</v>
      </c>
      <c r="AE4" s="19" t="b">
        <v>0</v>
      </c>
      <c r="AF4" s="27" t="s">
        <v>29</v>
      </c>
      <c r="AG4" s="11" t="str">
        <f t="shared" si="6"/>
        <v/>
      </c>
      <c r="AH4" s="19">
        <v>14.0</v>
      </c>
      <c r="AI4" s="19">
        <v>10.0</v>
      </c>
      <c r="AJ4" s="20" t="b">
        <v>0</v>
      </c>
      <c r="AK4" s="19" t="s">
        <v>48</v>
      </c>
      <c r="AL4" s="11" t="str">
        <f t="shared" si="7"/>
        <v/>
      </c>
      <c r="AM4" s="19">
        <v>21.0</v>
      </c>
      <c r="AN4" s="19">
        <v>24.0</v>
      </c>
      <c r="AO4" s="20" t="b">
        <v>0</v>
      </c>
      <c r="AP4" s="27" t="s">
        <v>48</v>
      </c>
      <c r="AQ4" s="11" t="str">
        <f t="shared" si="8"/>
        <v/>
      </c>
      <c r="AR4" s="19">
        <v>20.0</v>
      </c>
      <c r="AS4" s="19">
        <v>24.0</v>
      </c>
      <c r="AT4" s="20" t="b">
        <v>0</v>
      </c>
      <c r="AU4" s="27" t="s">
        <v>48</v>
      </c>
      <c r="AV4" s="11" t="str">
        <f t="shared" si="9"/>
        <v/>
      </c>
      <c r="AW4" s="19">
        <v>21.0</v>
      </c>
      <c r="AX4" s="19">
        <v>24.0</v>
      </c>
      <c r="AY4" s="20" t="b">
        <v>0</v>
      </c>
      <c r="AZ4" s="27" t="s">
        <v>48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29</v>
      </c>
      <c r="BF4" s="11" t="str">
        <f t="shared" si="11"/>
        <v/>
      </c>
      <c r="BG4" s="19">
        <v>27.0</v>
      </c>
      <c r="BH4" s="19">
        <v>24.0</v>
      </c>
      <c r="BI4" s="20" t="b">
        <v>0</v>
      </c>
      <c r="BJ4" s="27" t="s">
        <v>29</v>
      </c>
      <c r="BK4" s="11" t="str">
        <f t="shared" si="12"/>
        <v/>
      </c>
      <c r="BL4" s="19">
        <v>10.0</v>
      </c>
      <c r="BM4" s="19">
        <v>7.0</v>
      </c>
      <c r="BN4" s="20" t="b">
        <v>0</v>
      </c>
      <c r="BO4" s="17"/>
      <c r="BP4" s="17"/>
      <c r="BQ4" s="17"/>
    </row>
    <row r="5">
      <c r="A5" s="16" t="s">
        <v>192</v>
      </c>
      <c r="B5" s="30" t="s">
        <v>200</v>
      </c>
      <c r="C5" s="18"/>
      <c r="D5" s="11" t="str">
        <f>IFERROR(__xludf.DUMMYFUNCTION("""COMPUTED_VALUE"""),"")</f>
        <v/>
      </c>
      <c r="E5" s="19"/>
      <c r="F5" s="20"/>
      <c r="G5" s="19" t="s">
        <v>27</v>
      </c>
      <c r="H5" s="11" t="str">
        <f t="shared" si="1"/>
        <v/>
      </c>
      <c r="I5" s="19">
        <v>21.0</v>
      </c>
      <c r="J5" s="19">
        <v>28.0</v>
      </c>
      <c r="K5" s="20" t="b">
        <v>0</v>
      </c>
      <c r="L5" s="19" t="s">
        <v>51</v>
      </c>
      <c r="M5" s="11" t="str">
        <f t="shared" si="2"/>
        <v/>
      </c>
      <c r="N5" s="19">
        <v>20.0</v>
      </c>
      <c r="O5" s="19">
        <v>17.0</v>
      </c>
      <c r="P5" s="19" t="b">
        <v>1</v>
      </c>
      <c r="Q5" s="27" t="s">
        <v>51</v>
      </c>
      <c r="R5" s="11" t="str">
        <f t="shared" si="3"/>
        <v/>
      </c>
      <c r="S5" s="19">
        <v>17.0</v>
      </c>
      <c r="T5" s="19">
        <v>14.0</v>
      </c>
      <c r="U5" s="20" t="b">
        <v>0</v>
      </c>
      <c r="V5" s="19" t="s">
        <v>27</v>
      </c>
      <c r="W5" s="11" t="str">
        <f t="shared" si="4"/>
        <v/>
      </c>
      <c r="X5" s="19">
        <v>24.0</v>
      </c>
      <c r="Y5" s="19">
        <v>27.0</v>
      </c>
      <c r="Z5" s="20" t="b">
        <v>0</v>
      </c>
      <c r="AA5" s="27" t="s">
        <v>27</v>
      </c>
      <c r="AB5" s="11" t="str">
        <f t="shared" si="5"/>
        <v/>
      </c>
      <c r="AC5" s="19">
        <v>17.0</v>
      </c>
      <c r="AD5" s="19">
        <v>24.0</v>
      </c>
      <c r="AE5" s="19" t="b">
        <v>0</v>
      </c>
      <c r="AF5" s="27" t="s">
        <v>27</v>
      </c>
      <c r="AG5" s="11" t="str">
        <f t="shared" si="6"/>
        <v/>
      </c>
      <c r="AH5" s="19">
        <v>14.0</v>
      </c>
      <c r="AI5" s="19">
        <v>17.0</v>
      </c>
      <c r="AJ5" s="20" t="b">
        <v>0</v>
      </c>
      <c r="AK5" s="19" t="s">
        <v>27</v>
      </c>
      <c r="AL5" s="11" t="str">
        <f t="shared" si="7"/>
        <v/>
      </c>
      <c r="AM5" s="19">
        <v>17.0</v>
      </c>
      <c r="AN5" s="19">
        <v>21.0</v>
      </c>
      <c r="AO5" s="20" t="b">
        <v>0</v>
      </c>
      <c r="AP5" s="27" t="s">
        <v>27</v>
      </c>
      <c r="AQ5" s="11" t="str">
        <f t="shared" si="8"/>
        <v/>
      </c>
      <c r="AR5" s="19">
        <v>24.0</v>
      </c>
      <c r="AS5" s="19">
        <v>31.0</v>
      </c>
      <c r="AT5" s="20" t="b">
        <v>0</v>
      </c>
      <c r="AU5" s="27" t="s">
        <v>51</v>
      </c>
      <c r="AV5" s="11" t="str">
        <f t="shared" si="9"/>
        <v/>
      </c>
      <c r="AW5" s="19">
        <v>24.0</v>
      </c>
      <c r="AX5" s="19">
        <v>21.0</v>
      </c>
      <c r="AY5" s="20" t="b">
        <v>1</v>
      </c>
      <c r="AZ5" s="27" t="s">
        <v>27</v>
      </c>
      <c r="BA5" s="11" t="str">
        <f t="shared" si="10"/>
        <v/>
      </c>
      <c r="BB5" s="19">
        <v>20.0</v>
      </c>
      <c r="BC5" s="19">
        <v>23.0</v>
      </c>
      <c r="BD5" s="20" t="b">
        <v>0</v>
      </c>
      <c r="BE5" s="27" t="s">
        <v>51</v>
      </c>
      <c r="BF5" s="11" t="str">
        <f t="shared" si="11"/>
        <v/>
      </c>
      <c r="BG5" s="19">
        <v>31.0</v>
      </c>
      <c r="BH5" s="19">
        <v>24.0</v>
      </c>
      <c r="BI5" s="20" t="b">
        <v>0</v>
      </c>
      <c r="BJ5" s="27" t="s">
        <v>27</v>
      </c>
      <c r="BK5" s="11" t="str">
        <f t="shared" si="12"/>
        <v/>
      </c>
      <c r="BL5" s="19">
        <v>7.0</v>
      </c>
      <c r="BM5" s="19">
        <v>10.0</v>
      </c>
      <c r="BN5" s="20" t="b">
        <v>1</v>
      </c>
      <c r="BO5" s="17"/>
      <c r="BP5" s="17"/>
      <c r="BQ5" s="17"/>
    </row>
    <row r="6">
      <c r="A6" s="16" t="s">
        <v>192</v>
      </c>
      <c r="B6" s="17" t="s">
        <v>204</v>
      </c>
      <c r="C6" s="18"/>
      <c r="D6" s="11" t="str">
        <f>IFERROR(__xludf.DUMMYFUNCTION("""COMPUTED_VALUE"""),"")</f>
        <v/>
      </c>
      <c r="E6" s="19"/>
      <c r="F6" s="20"/>
      <c r="G6" s="19" t="s">
        <v>23</v>
      </c>
      <c r="H6" s="11" t="str">
        <f t="shared" si="1"/>
        <v/>
      </c>
      <c r="I6" s="19">
        <v>24.0</v>
      </c>
      <c r="J6" s="19">
        <v>31.0</v>
      </c>
      <c r="K6" s="20" t="b">
        <v>0</v>
      </c>
      <c r="L6" s="19" t="s">
        <v>23</v>
      </c>
      <c r="M6" s="11" t="str">
        <f t="shared" si="2"/>
        <v/>
      </c>
      <c r="N6" s="19">
        <v>7.0</v>
      </c>
      <c r="O6" s="19">
        <v>10.0</v>
      </c>
      <c r="P6" s="19" t="b">
        <v>0</v>
      </c>
      <c r="Q6" s="27" t="s">
        <v>23</v>
      </c>
      <c r="R6" s="11" t="str">
        <f t="shared" si="3"/>
        <v/>
      </c>
      <c r="S6" s="19">
        <v>10.0</v>
      </c>
      <c r="T6" s="19">
        <v>14.0</v>
      </c>
      <c r="U6" s="20" t="b">
        <v>0</v>
      </c>
      <c r="V6" s="19" t="s">
        <v>23</v>
      </c>
      <c r="W6" s="11" t="str">
        <f t="shared" si="4"/>
        <v/>
      </c>
      <c r="X6" s="19">
        <v>21.0</v>
      </c>
      <c r="Y6" s="19">
        <v>24.0</v>
      </c>
      <c r="Z6" s="20" t="b">
        <v>0</v>
      </c>
      <c r="AA6" s="27" t="s">
        <v>23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61</v>
      </c>
      <c r="AG6" s="11" t="str">
        <f t="shared" si="6"/>
        <v/>
      </c>
      <c r="AH6" s="19">
        <v>28.0</v>
      </c>
      <c r="AI6" s="19">
        <v>21.0</v>
      </c>
      <c r="AJ6" s="20" t="b">
        <v>0</v>
      </c>
      <c r="AK6" s="19" t="s">
        <v>23</v>
      </c>
      <c r="AL6" s="11" t="str">
        <f t="shared" si="7"/>
        <v/>
      </c>
      <c r="AM6" s="19">
        <v>21.0</v>
      </c>
      <c r="AN6" s="19">
        <v>24.0</v>
      </c>
      <c r="AO6" s="20" t="b">
        <v>0</v>
      </c>
      <c r="AP6" s="27" t="s">
        <v>61</v>
      </c>
      <c r="AQ6" s="11" t="str">
        <f t="shared" si="8"/>
        <v/>
      </c>
      <c r="AR6" s="19">
        <v>27.0</v>
      </c>
      <c r="AS6" s="19">
        <v>24.0</v>
      </c>
      <c r="AT6" s="20" t="b">
        <v>0</v>
      </c>
      <c r="AU6" s="27" t="s">
        <v>61</v>
      </c>
      <c r="AV6" s="11" t="str">
        <f t="shared" si="9"/>
        <v/>
      </c>
      <c r="AW6" s="19">
        <v>28.0</v>
      </c>
      <c r="AX6" s="19">
        <v>21.0</v>
      </c>
      <c r="AY6" s="20" t="b">
        <v>0</v>
      </c>
      <c r="AZ6" s="27" t="s">
        <v>23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23</v>
      </c>
      <c r="BF6" s="11" t="str">
        <f t="shared" si="11"/>
        <v/>
      </c>
      <c r="BG6" s="19">
        <v>20.0</v>
      </c>
      <c r="BH6" s="19">
        <v>23.0</v>
      </c>
      <c r="BI6" s="20" t="b">
        <v>0</v>
      </c>
      <c r="BJ6" s="27" t="s">
        <v>61</v>
      </c>
      <c r="BK6" s="11" t="str">
        <f t="shared" si="12"/>
        <v/>
      </c>
      <c r="BL6" s="19">
        <v>20.0</v>
      </c>
      <c r="BM6" s="19">
        <v>17.0</v>
      </c>
      <c r="BN6" s="20" t="b">
        <v>0</v>
      </c>
      <c r="BO6" s="17"/>
      <c r="BP6" s="17"/>
      <c r="BQ6" s="17"/>
    </row>
    <row r="7">
      <c r="A7" s="16" t="s">
        <v>192</v>
      </c>
      <c r="B7" s="30" t="s">
        <v>207</v>
      </c>
      <c r="C7" s="18"/>
      <c r="D7" s="11" t="str">
        <f>IFERROR(__xludf.DUMMYFUNCTION("""COMPUTED_VALUE"""),"")</f>
        <v/>
      </c>
      <c r="E7" s="19"/>
      <c r="F7" s="20"/>
      <c r="G7" s="19" t="s">
        <v>71</v>
      </c>
      <c r="H7" s="11" t="str">
        <f t="shared" si="1"/>
        <v/>
      </c>
      <c r="I7" s="19">
        <v>14.0</v>
      </c>
      <c r="J7" s="19">
        <v>20.0</v>
      </c>
      <c r="K7" s="20" t="b">
        <v>0</v>
      </c>
      <c r="L7" s="19" t="s">
        <v>71</v>
      </c>
      <c r="M7" s="11" t="str">
        <f t="shared" si="2"/>
        <v/>
      </c>
      <c r="N7" s="19">
        <v>17.0</v>
      </c>
      <c r="O7" s="19">
        <v>20.0</v>
      </c>
      <c r="P7" s="19" t="b">
        <v>0</v>
      </c>
      <c r="Q7" s="27" t="s">
        <v>71</v>
      </c>
      <c r="R7" s="11" t="str">
        <f t="shared" si="3"/>
        <v/>
      </c>
      <c r="S7" s="19">
        <v>21.0</v>
      </c>
      <c r="T7" s="19">
        <v>24.0</v>
      </c>
      <c r="U7" s="20" t="b">
        <v>0</v>
      </c>
      <c r="V7" s="19" t="s">
        <v>71</v>
      </c>
      <c r="W7" s="11" t="str">
        <f t="shared" si="4"/>
        <v/>
      </c>
      <c r="X7" s="19">
        <v>17.0</v>
      </c>
      <c r="Y7" s="19">
        <v>21.0</v>
      </c>
      <c r="Z7" s="20" t="b">
        <v>1</v>
      </c>
      <c r="AA7" s="27" t="s">
        <v>76</v>
      </c>
      <c r="AB7" s="11" t="str">
        <f t="shared" si="5"/>
        <v/>
      </c>
      <c r="AC7" s="19">
        <v>24.0</v>
      </c>
      <c r="AD7" s="19">
        <v>17.0</v>
      </c>
      <c r="AE7" s="19" t="b">
        <v>0</v>
      </c>
      <c r="AF7" s="27" t="s">
        <v>76</v>
      </c>
      <c r="AG7" s="11" t="str">
        <f t="shared" si="6"/>
        <v/>
      </c>
      <c r="AH7" s="19">
        <v>28.0</v>
      </c>
      <c r="AI7" s="19">
        <v>21.0</v>
      </c>
      <c r="AJ7" s="20" t="b">
        <v>0</v>
      </c>
      <c r="AK7" s="19" t="s">
        <v>76</v>
      </c>
      <c r="AL7" s="11" t="str">
        <f t="shared" si="7"/>
        <v/>
      </c>
      <c r="AM7" s="19">
        <v>17.0</v>
      </c>
      <c r="AN7" s="19">
        <v>14.0</v>
      </c>
      <c r="AO7" s="20" t="b">
        <v>0</v>
      </c>
      <c r="AP7" s="27" t="s">
        <v>71</v>
      </c>
      <c r="AQ7" s="11" t="str">
        <f t="shared" si="8"/>
        <v/>
      </c>
      <c r="AR7" s="19">
        <v>20.0</v>
      </c>
      <c r="AS7" s="19">
        <v>27.0</v>
      </c>
      <c r="AT7" s="20" t="b">
        <v>0</v>
      </c>
      <c r="AU7" s="27" t="s">
        <v>76</v>
      </c>
      <c r="AV7" s="11" t="str">
        <f t="shared" si="9"/>
        <v/>
      </c>
      <c r="AW7" s="19">
        <v>31.0</v>
      </c>
      <c r="AX7" s="19">
        <v>24.0</v>
      </c>
      <c r="AY7" s="20" t="b">
        <v>0</v>
      </c>
      <c r="AZ7" s="27" t="s">
        <v>71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71</v>
      </c>
      <c r="BF7" s="11" t="str">
        <f t="shared" si="11"/>
        <v/>
      </c>
      <c r="BG7" s="19">
        <v>20.0</v>
      </c>
      <c r="BH7" s="19">
        <v>23.0</v>
      </c>
      <c r="BI7" s="20" t="b">
        <v>0</v>
      </c>
      <c r="BJ7" s="27" t="s">
        <v>71</v>
      </c>
      <c r="BK7" s="11" t="str">
        <f t="shared" si="12"/>
        <v/>
      </c>
      <c r="BL7" s="19">
        <v>24.0</v>
      </c>
      <c r="BM7" s="19">
        <v>31.0</v>
      </c>
      <c r="BN7" s="20" t="b">
        <v>0</v>
      </c>
      <c r="BO7" s="17"/>
      <c r="BP7" s="17"/>
      <c r="BQ7" s="17"/>
    </row>
    <row r="8">
      <c r="A8" s="16" t="s">
        <v>192</v>
      </c>
      <c r="B8" s="30" t="s">
        <v>211</v>
      </c>
      <c r="C8" s="18"/>
      <c r="D8" s="11" t="str">
        <f>IFERROR(__xludf.DUMMYFUNCTION("""COMPUTED_VALUE"""),"")</f>
        <v/>
      </c>
      <c r="E8" s="19"/>
      <c r="F8" s="20"/>
      <c r="G8" s="19" t="s">
        <v>33</v>
      </c>
      <c r="H8" s="11" t="str">
        <f t="shared" si="1"/>
        <v/>
      </c>
      <c r="I8" s="19">
        <v>13.0</v>
      </c>
      <c r="J8" s="19">
        <v>20.0</v>
      </c>
      <c r="K8" s="20" t="b">
        <v>0</v>
      </c>
      <c r="L8" s="19" t="s">
        <v>33</v>
      </c>
      <c r="M8" s="11" t="str">
        <f t="shared" si="2"/>
        <v/>
      </c>
      <c r="N8" s="19">
        <v>24.0</v>
      </c>
      <c r="O8" s="19">
        <v>31.0</v>
      </c>
      <c r="P8" s="19" t="b">
        <v>0</v>
      </c>
      <c r="Q8" s="27" t="s">
        <v>33</v>
      </c>
      <c r="R8" s="11" t="str">
        <f t="shared" si="3"/>
        <v/>
      </c>
      <c r="S8" s="19">
        <v>7.0</v>
      </c>
      <c r="T8" s="19">
        <v>10.0</v>
      </c>
      <c r="U8" s="20" t="b">
        <v>0</v>
      </c>
      <c r="V8" s="19" t="s">
        <v>33</v>
      </c>
      <c r="W8" s="11" t="str">
        <f t="shared" si="4"/>
        <v/>
      </c>
      <c r="X8" s="19">
        <v>21.0</v>
      </c>
      <c r="Y8" s="19">
        <v>27.0</v>
      </c>
      <c r="Z8" s="20" t="b">
        <v>0</v>
      </c>
      <c r="AA8" s="27" t="s">
        <v>33</v>
      </c>
      <c r="AB8" s="11" t="str">
        <f t="shared" si="5"/>
        <v/>
      </c>
      <c r="AC8" s="19">
        <v>17.0</v>
      </c>
      <c r="AD8" s="19">
        <v>24.0</v>
      </c>
      <c r="AE8" s="19" t="b">
        <v>0</v>
      </c>
      <c r="AF8" s="27" t="s">
        <v>33</v>
      </c>
      <c r="AG8" s="11" t="str">
        <f t="shared" si="6"/>
        <v/>
      </c>
      <c r="AH8" s="19">
        <v>21.0</v>
      </c>
      <c r="AI8" s="19">
        <v>24.0</v>
      </c>
      <c r="AJ8" s="20" t="b">
        <v>0</v>
      </c>
      <c r="AK8" s="19" t="s">
        <v>33</v>
      </c>
      <c r="AL8" s="11" t="str">
        <f t="shared" si="7"/>
        <v/>
      </c>
      <c r="AM8" s="19">
        <v>21.0</v>
      </c>
      <c r="AN8" s="19">
        <v>28.0</v>
      </c>
      <c r="AO8" s="20" t="b">
        <v>0</v>
      </c>
      <c r="AP8" s="27" t="s">
        <v>33</v>
      </c>
      <c r="AQ8" s="11" t="str">
        <f t="shared" si="8"/>
        <v/>
      </c>
      <c r="AR8" s="19">
        <v>13.0</v>
      </c>
      <c r="AS8" s="19">
        <v>23.0</v>
      </c>
      <c r="AT8" s="20" t="b">
        <v>0</v>
      </c>
      <c r="AU8" s="27" t="s">
        <v>33</v>
      </c>
      <c r="AV8" s="11" t="str">
        <f t="shared" si="9"/>
        <v/>
      </c>
      <c r="AW8" s="19">
        <v>17.0</v>
      </c>
      <c r="AX8" s="19">
        <v>20.0</v>
      </c>
      <c r="AY8" s="20" t="b">
        <v>0</v>
      </c>
      <c r="AZ8" s="27" t="s">
        <v>33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33</v>
      </c>
      <c r="BF8" s="11" t="str">
        <f t="shared" si="11"/>
        <v/>
      </c>
      <c r="BG8" s="19">
        <v>21.0</v>
      </c>
      <c r="BH8" s="19">
        <v>24.0</v>
      </c>
      <c r="BI8" s="20" t="b">
        <v>0</v>
      </c>
      <c r="BJ8" s="27" t="s">
        <v>34</v>
      </c>
      <c r="BK8" s="11" t="str">
        <f t="shared" si="12"/>
        <v/>
      </c>
      <c r="BL8" s="19">
        <v>23.0</v>
      </c>
      <c r="BM8" s="19">
        <v>20.0</v>
      </c>
      <c r="BN8" s="20" t="b">
        <v>0</v>
      </c>
      <c r="BO8" s="19"/>
      <c r="BP8" s="19"/>
      <c r="BQ8" s="19"/>
    </row>
    <row r="9">
      <c r="A9" s="16" t="s">
        <v>192</v>
      </c>
      <c r="B9" s="17" t="s">
        <v>216</v>
      </c>
      <c r="C9" s="18"/>
      <c r="D9" s="11" t="str">
        <f>IFERROR(__xludf.DUMMYFUNCTION("""COMPUTED_VALUE"""),"")</f>
        <v/>
      </c>
      <c r="E9" s="19"/>
      <c r="F9" s="20"/>
      <c r="G9" s="19" t="s">
        <v>79</v>
      </c>
      <c r="H9" s="11" t="str">
        <f t="shared" si="1"/>
        <v/>
      </c>
      <c r="I9" s="19">
        <v>23.0</v>
      </c>
      <c r="J9" s="19">
        <v>20.0</v>
      </c>
      <c r="K9" s="20" t="b">
        <v>0</v>
      </c>
      <c r="L9" s="19" t="s">
        <v>58</v>
      </c>
      <c r="M9" s="11" t="str">
        <f t="shared" si="2"/>
        <v/>
      </c>
      <c r="N9" s="19">
        <v>21.0</v>
      </c>
      <c r="O9" s="19">
        <v>24.0</v>
      </c>
      <c r="P9" s="19" t="b">
        <v>0</v>
      </c>
      <c r="Q9" s="27" t="s">
        <v>79</v>
      </c>
      <c r="R9" s="11" t="str">
        <f t="shared" si="3"/>
        <v/>
      </c>
      <c r="S9" s="19">
        <v>28.0</v>
      </c>
      <c r="T9" s="19">
        <v>21.0</v>
      </c>
      <c r="U9" s="20" t="b">
        <v>0</v>
      </c>
      <c r="V9" s="19" t="s">
        <v>79</v>
      </c>
      <c r="W9" s="11" t="str">
        <f t="shared" si="4"/>
        <v/>
      </c>
      <c r="X9" s="19">
        <v>23.0</v>
      </c>
      <c r="Y9" s="19">
        <v>20.0</v>
      </c>
      <c r="Z9" s="20" t="b">
        <v>0</v>
      </c>
      <c r="AA9" s="27" t="s">
        <v>79</v>
      </c>
      <c r="AB9" s="11" t="str">
        <f t="shared" si="5"/>
        <v/>
      </c>
      <c r="AC9" s="19">
        <v>24.0</v>
      </c>
      <c r="AD9" s="19">
        <v>17.0</v>
      </c>
      <c r="AE9" s="19" t="b">
        <v>0</v>
      </c>
      <c r="AF9" s="27" t="s">
        <v>79</v>
      </c>
      <c r="AG9" s="11" t="str">
        <f t="shared" si="6"/>
        <v/>
      </c>
      <c r="AH9" s="19">
        <v>27.0</v>
      </c>
      <c r="AI9" s="19">
        <v>24.0</v>
      </c>
      <c r="AJ9" s="20" t="b">
        <v>0</v>
      </c>
      <c r="AK9" s="19" t="s">
        <v>79</v>
      </c>
      <c r="AL9" s="11" t="str">
        <f t="shared" si="7"/>
        <v/>
      </c>
      <c r="AM9" s="19">
        <v>27.0</v>
      </c>
      <c r="AN9" s="19">
        <v>24.0</v>
      </c>
      <c r="AO9" s="20" t="b">
        <v>0</v>
      </c>
      <c r="AP9" s="27" t="s">
        <v>79</v>
      </c>
      <c r="AQ9" s="11" t="str">
        <f t="shared" si="8"/>
        <v/>
      </c>
      <c r="AR9" s="19">
        <v>20.0</v>
      </c>
      <c r="AS9" s="19">
        <v>17.0</v>
      </c>
      <c r="AT9" s="20" t="b">
        <v>0</v>
      </c>
      <c r="AU9" s="27" t="s">
        <v>79</v>
      </c>
      <c r="AV9" s="11" t="str">
        <f t="shared" si="9"/>
        <v/>
      </c>
      <c r="AW9" s="19">
        <v>21.0</v>
      </c>
      <c r="AX9" s="19">
        <v>14.0</v>
      </c>
      <c r="AY9" s="20" t="b">
        <v>0</v>
      </c>
      <c r="AZ9" s="27" t="s">
        <v>79</v>
      </c>
      <c r="BA9" s="11" t="str">
        <f t="shared" si="10"/>
        <v/>
      </c>
      <c r="BB9" s="19">
        <v>23.0</v>
      </c>
      <c r="BC9" s="19">
        <v>20.0</v>
      </c>
      <c r="BD9" s="20" t="b">
        <v>0</v>
      </c>
      <c r="BE9" s="27" t="s">
        <v>79</v>
      </c>
      <c r="BF9" s="11" t="str">
        <f t="shared" si="11"/>
        <v/>
      </c>
      <c r="BG9" s="19">
        <v>17.0</v>
      </c>
      <c r="BH9" s="19">
        <v>14.0</v>
      </c>
      <c r="BI9" s="20" t="b">
        <v>0</v>
      </c>
      <c r="BJ9" s="27" t="s">
        <v>79</v>
      </c>
      <c r="BK9" s="11" t="str">
        <f t="shared" si="12"/>
        <v/>
      </c>
      <c r="BL9" s="19">
        <v>28.0</v>
      </c>
      <c r="BM9" s="19">
        <v>21.0</v>
      </c>
      <c r="BN9" s="20" t="b">
        <v>0</v>
      </c>
      <c r="BO9" s="17"/>
      <c r="BP9" s="17"/>
      <c r="BQ9" s="17"/>
    </row>
    <row r="10">
      <c r="A10" s="16" t="s">
        <v>192</v>
      </c>
      <c r="B10" s="17" t="s">
        <v>219</v>
      </c>
      <c r="C10" s="18"/>
      <c r="D10" s="11" t="str">
        <f>IFERROR(__xludf.DUMMYFUNCTION("""COMPUTED_VALUE"""),"")</f>
        <v/>
      </c>
      <c r="E10" s="19"/>
      <c r="F10" s="20"/>
      <c r="G10" s="19" t="s">
        <v>93</v>
      </c>
      <c r="H10" s="11" t="str">
        <f t="shared" si="1"/>
        <v/>
      </c>
      <c r="I10" s="19">
        <v>20.0</v>
      </c>
      <c r="J10" s="19">
        <v>17.0</v>
      </c>
      <c r="K10" s="20" t="b">
        <v>0</v>
      </c>
      <c r="L10" s="19" t="s">
        <v>93</v>
      </c>
      <c r="M10" s="11" t="str">
        <f t="shared" si="2"/>
        <v/>
      </c>
      <c r="N10" s="19">
        <v>27.0</v>
      </c>
      <c r="O10" s="19">
        <v>24.0</v>
      </c>
      <c r="P10" s="19" t="b">
        <v>0</v>
      </c>
      <c r="Q10" s="27" t="s">
        <v>93</v>
      </c>
      <c r="R10" s="11" t="str">
        <f t="shared" si="3"/>
        <v/>
      </c>
      <c r="S10" s="19">
        <v>17.0</v>
      </c>
      <c r="T10" s="19">
        <v>14.0</v>
      </c>
      <c r="U10" s="20" t="b">
        <v>0</v>
      </c>
      <c r="V10" s="19" t="s">
        <v>84</v>
      </c>
      <c r="W10" s="11" t="str">
        <f t="shared" si="4"/>
        <v/>
      </c>
      <c r="X10" s="19">
        <v>17.0</v>
      </c>
      <c r="Y10" s="19">
        <v>21.0</v>
      </c>
      <c r="Z10" s="20" t="b">
        <v>0</v>
      </c>
      <c r="AA10" s="27" t="s">
        <v>84</v>
      </c>
      <c r="AB10" s="11" t="str">
        <f t="shared" si="5"/>
        <v/>
      </c>
      <c r="AC10" s="19">
        <v>17.0</v>
      </c>
      <c r="AD10" s="19">
        <v>24.0</v>
      </c>
      <c r="AE10" s="19" t="b">
        <v>0</v>
      </c>
      <c r="AF10" s="27" t="s">
        <v>93</v>
      </c>
      <c r="AG10" s="11" t="str">
        <f t="shared" si="6"/>
        <v/>
      </c>
      <c r="AH10" s="19">
        <v>28.0</v>
      </c>
      <c r="AI10" s="19">
        <v>21.0</v>
      </c>
      <c r="AJ10" s="20" t="b">
        <v>0</v>
      </c>
      <c r="AK10" s="19" t="s">
        <v>84</v>
      </c>
      <c r="AL10" s="11" t="str">
        <f t="shared" si="7"/>
        <v/>
      </c>
      <c r="AM10" s="19">
        <v>17.0</v>
      </c>
      <c r="AN10" s="19">
        <v>30.0</v>
      </c>
      <c r="AO10" s="20" t="b">
        <v>1</v>
      </c>
      <c r="AP10" s="27" t="s">
        <v>84</v>
      </c>
      <c r="AQ10" s="11" t="str">
        <f t="shared" si="8"/>
        <v/>
      </c>
      <c r="AR10" s="19">
        <v>14.0</v>
      </c>
      <c r="AS10" s="19">
        <v>31.0</v>
      </c>
      <c r="AT10" s="20" t="b">
        <v>1</v>
      </c>
      <c r="AU10" s="27" t="s">
        <v>84</v>
      </c>
      <c r="AV10" s="11" t="str">
        <f t="shared" si="9"/>
        <v/>
      </c>
      <c r="AW10" s="19">
        <v>24.0</v>
      </c>
      <c r="AX10" s="19">
        <v>31.0</v>
      </c>
      <c r="AY10" s="20" t="b">
        <v>0</v>
      </c>
      <c r="AZ10" s="27" t="s">
        <v>84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84</v>
      </c>
      <c r="BF10" s="11" t="str">
        <f t="shared" si="11"/>
        <v/>
      </c>
      <c r="BG10" s="19">
        <v>17.0</v>
      </c>
      <c r="BH10" s="19">
        <v>21.0</v>
      </c>
      <c r="BI10" s="20" t="b">
        <v>0</v>
      </c>
      <c r="BJ10" s="27" t="s">
        <v>84</v>
      </c>
      <c r="BK10" s="11" t="str">
        <f t="shared" si="12"/>
        <v/>
      </c>
      <c r="BL10" s="19">
        <v>7.0</v>
      </c>
      <c r="BM10" s="19">
        <v>10.0</v>
      </c>
      <c r="BN10" s="20" t="b">
        <v>0</v>
      </c>
      <c r="BO10" s="17"/>
      <c r="BP10" s="17"/>
      <c r="BQ10" s="17"/>
    </row>
    <row r="11">
      <c r="A11" s="16" t="s">
        <v>221</v>
      </c>
      <c r="B11" s="17" t="s">
        <v>222</v>
      </c>
      <c r="C11" s="18"/>
      <c r="D11" s="11" t="str">
        <f>IFERROR(__xludf.DUMMYFUNCTION("""COMPUTED_VALUE"""),"")</f>
        <v/>
      </c>
      <c r="E11" s="19"/>
      <c r="F11" s="20"/>
      <c r="G11" s="19" t="s">
        <v>39</v>
      </c>
      <c r="H11" s="11" t="str">
        <f t="shared" si="1"/>
        <v/>
      </c>
      <c r="I11" s="19">
        <v>14.0</v>
      </c>
      <c r="J11" s="19">
        <v>20.0</v>
      </c>
      <c r="K11" s="20" t="b">
        <v>0</v>
      </c>
      <c r="L11" s="19" t="s">
        <v>50</v>
      </c>
      <c r="M11" s="11" t="str">
        <f t="shared" si="2"/>
        <v/>
      </c>
      <c r="N11" s="19">
        <v>10.0</v>
      </c>
      <c r="O11" s="19">
        <v>7.0</v>
      </c>
      <c r="P11" s="19" t="b">
        <v>0</v>
      </c>
      <c r="Q11" s="27" t="s">
        <v>50</v>
      </c>
      <c r="R11" s="11" t="str">
        <f t="shared" si="3"/>
        <v/>
      </c>
      <c r="S11" s="19">
        <v>14.0</v>
      </c>
      <c r="T11" s="19">
        <v>10.0</v>
      </c>
      <c r="U11" s="20" t="b">
        <v>0</v>
      </c>
      <c r="V11" s="19" t="s">
        <v>50</v>
      </c>
      <c r="W11" s="11" t="str">
        <f t="shared" si="4"/>
        <v/>
      </c>
      <c r="X11" s="19">
        <v>31.0</v>
      </c>
      <c r="Y11" s="19">
        <v>24.0</v>
      </c>
      <c r="Z11" s="20" t="b">
        <v>0</v>
      </c>
      <c r="AA11" s="27" t="s">
        <v>39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50</v>
      </c>
      <c r="AG11" s="11" t="str">
        <f t="shared" si="6"/>
        <v/>
      </c>
      <c r="AH11" s="19">
        <v>10.0</v>
      </c>
      <c r="AI11" s="19">
        <v>7.0</v>
      </c>
      <c r="AJ11" s="20" t="b">
        <v>0</v>
      </c>
      <c r="AK11" s="19" t="s">
        <v>39</v>
      </c>
      <c r="AL11" s="11" t="str">
        <f t="shared" si="7"/>
        <v/>
      </c>
      <c r="AM11" s="19">
        <v>10.0</v>
      </c>
      <c r="AN11" s="19">
        <v>14.0</v>
      </c>
      <c r="AO11" s="20" t="b">
        <v>0</v>
      </c>
      <c r="AP11" s="27" t="s">
        <v>39</v>
      </c>
      <c r="AQ11" s="11" t="str">
        <f t="shared" si="8"/>
        <v/>
      </c>
      <c r="AR11" s="19">
        <v>24.0</v>
      </c>
      <c r="AS11" s="19">
        <v>28.0</v>
      </c>
      <c r="AT11" s="20" t="b">
        <v>0</v>
      </c>
      <c r="AU11" s="27" t="s">
        <v>39</v>
      </c>
      <c r="AV11" s="11" t="str">
        <f t="shared" si="9"/>
        <v/>
      </c>
      <c r="AW11" s="19">
        <v>14.0</v>
      </c>
      <c r="AX11" s="19">
        <v>17.0</v>
      </c>
      <c r="AY11" s="20" t="b">
        <v>0</v>
      </c>
      <c r="AZ11" s="27" t="s">
        <v>39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39</v>
      </c>
      <c r="BF11" s="11" t="str">
        <f t="shared" si="11"/>
        <v/>
      </c>
      <c r="BG11" s="19">
        <v>7.0</v>
      </c>
      <c r="BH11" s="19">
        <v>10.0</v>
      </c>
      <c r="BI11" s="20" t="b">
        <v>0</v>
      </c>
      <c r="BJ11" s="27" t="s">
        <v>50</v>
      </c>
      <c r="BK11" s="11" t="str">
        <f t="shared" si="12"/>
        <v/>
      </c>
      <c r="BL11" s="19">
        <v>24.0</v>
      </c>
      <c r="BM11" s="19">
        <v>21.0</v>
      </c>
      <c r="BN11" s="20" t="b">
        <v>0</v>
      </c>
      <c r="BO11" s="19"/>
      <c r="BP11" s="19"/>
      <c r="BQ11" s="19"/>
    </row>
    <row r="12">
      <c r="A12" s="16" t="s">
        <v>225</v>
      </c>
      <c r="B12" s="30" t="s">
        <v>226</v>
      </c>
      <c r="C12" s="18"/>
      <c r="D12" s="11" t="str">
        <f>IFERROR(__xludf.DUMMYFUNCTION("""COMPUTED_VALUE"""),"")</f>
        <v/>
      </c>
      <c r="E12" s="19"/>
      <c r="F12" s="20"/>
      <c r="G12" s="19" t="s">
        <v>28</v>
      </c>
      <c r="H12" s="11" t="str">
        <f t="shared" si="1"/>
        <v/>
      </c>
      <c r="I12" s="19">
        <v>17.0</v>
      </c>
      <c r="J12" s="19">
        <v>14.0</v>
      </c>
      <c r="K12" s="20" t="b">
        <v>1</v>
      </c>
      <c r="L12" s="19" t="s">
        <v>28</v>
      </c>
      <c r="M12" s="11" t="str">
        <f t="shared" si="2"/>
        <v/>
      </c>
      <c r="N12" s="19">
        <v>23.0</v>
      </c>
      <c r="O12" s="19">
        <v>20.0</v>
      </c>
      <c r="P12" s="19" t="b">
        <v>0</v>
      </c>
      <c r="Q12" s="27" t="s">
        <v>28</v>
      </c>
      <c r="R12" s="11" t="str">
        <f t="shared" si="3"/>
        <v/>
      </c>
      <c r="S12" s="19">
        <v>10.0</v>
      </c>
      <c r="T12" s="19">
        <v>7.0</v>
      </c>
      <c r="U12" s="20" t="b">
        <v>1</v>
      </c>
      <c r="V12" s="19" t="s">
        <v>28</v>
      </c>
      <c r="W12" s="11" t="str">
        <f t="shared" si="4"/>
        <v/>
      </c>
      <c r="X12" s="19">
        <v>21.0</v>
      </c>
      <c r="Y12" s="19">
        <v>10.0</v>
      </c>
      <c r="Z12" s="20" t="b">
        <v>0</v>
      </c>
      <c r="AA12" s="27" t="s">
        <v>28</v>
      </c>
      <c r="AB12" s="11" t="str">
        <f t="shared" si="5"/>
        <v/>
      </c>
      <c r="AC12" s="19">
        <v>24.0</v>
      </c>
      <c r="AD12" s="19">
        <v>17.0</v>
      </c>
      <c r="AE12" s="19" t="b">
        <v>0</v>
      </c>
      <c r="AF12" s="27" t="s">
        <v>28</v>
      </c>
      <c r="AG12" s="11" t="str">
        <f t="shared" si="6"/>
        <v/>
      </c>
      <c r="AH12" s="19">
        <v>14.0</v>
      </c>
      <c r="AI12" s="19">
        <v>10.0</v>
      </c>
      <c r="AJ12" s="20" t="b">
        <v>0</v>
      </c>
      <c r="AK12" s="19" t="s">
        <v>28</v>
      </c>
      <c r="AL12" s="11" t="str">
        <f t="shared" si="7"/>
        <v/>
      </c>
      <c r="AM12" s="19">
        <v>28.0</v>
      </c>
      <c r="AN12" s="19">
        <v>21.0</v>
      </c>
      <c r="AO12" s="20" t="b">
        <v>0</v>
      </c>
      <c r="AP12" s="27" t="s">
        <v>87</v>
      </c>
      <c r="AQ12" s="11" t="str">
        <f t="shared" si="8"/>
        <v/>
      </c>
      <c r="AR12" s="19">
        <v>17.0</v>
      </c>
      <c r="AS12" s="19">
        <v>23.0</v>
      </c>
      <c r="AT12" s="20" t="b">
        <v>0</v>
      </c>
      <c r="AU12" s="27" t="s">
        <v>87</v>
      </c>
      <c r="AV12" s="11" t="str">
        <f t="shared" si="9"/>
        <v/>
      </c>
      <c r="AW12" s="19">
        <v>14.0</v>
      </c>
      <c r="AX12" s="19">
        <v>17.0</v>
      </c>
      <c r="AY12" s="20" t="b">
        <v>0</v>
      </c>
      <c r="AZ12" s="27" t="s">
        <v>28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28</v>
      </c>
      <c r="BF12" s="11" t="str">
        <f t="shared" si="11"/>
        <v/>
      </c>
      <c r="BG12" s="19">
        <v>21.0</v>
      </c>
      <c r="BH12" s="19">
        <v>17.0</v>
      </c>
      <c r="BI12" s="20" t="b">
        <v>0</v>
      </c>
      <c r="BJ12" s="27" t="s">
        <v>87</v>
      </c>
      <c r="BK12" s="11" t="str">
        <f t="shared" si="12"/>
        <v/>
      </c>
      <c r="BL12" s="19">
        <v>17.0</v>
      </c>
      <c r="BM12" s="19">
        <v>21.0</v>
      </c>
      <c r="BN12" s="20" t="b">
        <v>0</v>
      </c>
      <c r="BO12" s="17"/>
      <c r="BP12" s="17"/>
      <c r="BQ12" s="17"/>
    </row>
    <row r="13">
      <c r="A13" s="16" t="s">
        <v>225</v>
      </c>
      <c r="B13" s="30" t="s">
        <v>229</v>
      </c>
      <c r="C13" s="18"/>
      <c r="D13" s="11" t="str">
        <f>IFERROR(__xludf.DUMMYFUNCTION("""COMPUTED_VALUE"""),"")</f>
        <v/>
      </c>
      <c r="E13" s="19"/>
      <c r="F13" s="20"/>
      <c r="G13" s="19" t="s">
        <v>74</v>
      </c>
      <c r="H13" s="11" t="str">
        <f t="shared" si="1"/>
        <v/>
      </c>
      <c r="I13" s="19">
        <v>20.0</v>
      </c>
      <c r="J13" s="19">
        <v>23.0</v>
      </c>
      <c r="K13" s="20" t="b">
        <v>0</v>
      </c>
      <c r="L13" s="19" t="s">
        <v>88</v>
      </c>
      <c r="M13" s="11" t="str">
        <f t="shared" si="2"/>
        <v/>
      </c>
      <c r="N13" s="19">
        <v>20.0</v>
      </c>
      <c r="O13" s="19">
        <v>17.0</v>
      </c>
      <c r="P13" s="19" t="b">
        <v>0</v>
      </c>
      <c r="Q13" s="27" t="s">
        <v>74</v>
      </c>
      <c r="R13" s="11" t="str">
        <f t="shared" si="3"/>
        <v/>
      </c>
      <c r="S13" s="19">
        <v>17.0</v>
      </c>
      <c r="T13" s="19">
        <v>20.0</v>
      </c>
      <c r="U13" s="20" t="b">
        <v>0</v>
      </c>
      <c r="V13" s="19" t="s">
        <v>74</v>
      </c>
      <c r="W13" s="11" t="str">
        <f t="shared" si="4"/>
        <v/>
      </c>
      <c r="X13" s="19">
        <v>21.0</v>
      </c>
      <c r="Y13" s="19">
        <v>24.0</v>
      </c>
      <c r="Z13" s="20" t="b">
        <v>0</v>
      </c>
      <c r="AA13" s="27" t="s">
        <v>74</v>
      </c>
      <c r="AB13" s="11" t="str">
        <f t="shared" si="5"/>
        <v/>
      </c>
      <c r="AC13" s="19">
        <v>17.0</v>
      </c>
      <c r="AD13" s="19">
        <v>24.0</v>
      </c>
      <c r="AE13" s="19" t="b">
        <v>1</v>
      </c>
      <c r="AF13" s="27" t="s">
        <v>74</v>
      </c>
      <c r="AG13" s="11" t="str">
        <f t="shared" si="6"/>
        <v/>
      </c>
      <c r="AH13" s="19">
        <v>17.0</v>
      </c>
      <c r="AI13" s="19">
        <v>28.0</v>
      </c>
      <c r="AJ13" s="20" t="b">
        <v>0</v>
      </c>
      <c r="AK13" s="19" t="s">
        <v>74</v>
      </c>
      <c r="AL13" s="11" t="str">
        <f t="shared" si="7"/>
        <v/>
      </c>
      <c r="AM13" s="19">
        <v>7.0</v>
      </c>
      <c r="AN13" s="19">
        <v>10.0</v>
      </c>
      <c r="AO13" s="20" t="b">
        <v>0</v>
      </c>
      <c r="AP13" s="27" t="s">
        <v>88</v>
      </c>
      <c r="AQ13" s="11" t="str">
        <f t="shared" si="8"/>
        <v/>
      </c>
      <c r="AR13" s="19">
        <v>24.0</v>
      </c>
      <c r="AS13" s="19">
        <v>21.0</v>
      </c>
      <c r="AT13" s="20" t="b">
        <v>0</v>
      </c>
      <c r="AU13" s="27" t="s">
        <v>88</v>
      </c>
      <c r="AV13" s="11" t="str">
        <f t="shared" si="9"/>
        <v/>
      </c>
      <c r="AW13" s="19">
        <v>28.0</v>
      </c>
      <c r="AX13" s="19">
        <v>21.0</v>
      </c>
      <c r="AY13" s="20" t="b">
        <v>0</v>
      </c>
      <c r="AZ13" s="27" t="s">
        <v>74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88</v>
      </c>
      <c r="BF13" s="11" t="str">
        <f t="shared" si="11"/>
        <v/>
      </c>
      <c r="BG13" s="19">
        <v>23.0</v>
      </c>
      <c r="BH13" s="19">
        <v>20.0</v>
      </c>
      <c r="BI13" s="20" t="b">
        <v>0</v>
      </c>
      <c r="BJ13" s="27" t="s">
        <v>74</v>
      </c>
      <c r="BK13" s="11" t="str">
        <f t="shared" si="12"/>
        <v/>
      </c>
      <c r="BL13" s="19">
        <v>17.0</v>
      </c>
      <c r="BM13" s="19">
        <v>21.0</v>
      </c>
      <c r="BN13" s="20" t="b">
        <v>0</v>
      </c>
      <c r="BO13" s="17"/>
      <c r="BP13" s="17"/>
      <c r="BQ13" s="17"/>
    </row>
    <row r="14">
      <c r="A14" s="16" t="s">
        <v>230</v>
      </c>
      <c r="B14" s="30" t="s">
        <v>231</v>
      </c>
      <c r="C14" s="18"/>
      <c r="D14" s="11" t="str">
        <f>IFERROR(__xludf.DUMMYFUNCTION("""COMPUTED_VALUE"""),"")</f>
        <v/>
      </c>
      <c r="E14" s="19"/>
      <c r="F14" s="20"/>
      <c r="G14" s="19" t="s">
        <v>54</v>
      </c>
      <c r="H14" s="11" t="str">
        <f t="shared" si="1"/>
        <v/>
      </c>
      <c r="I14" s="19">
        <v>23.0</v>
      </c>
      <c r="J14" s="19">
        <v>20.0</v>
      </c>
      <c r="K14" s="20" t="b">
        <v>0</v>
      </c>
      <c r="L14" s="19" t="s">
        <v>85</v>
      </c>
      <c r="M14" s="11" t="str">
        <f t="shared" si="2"/>
        <v/>
      </c>
      <c r="N14" s="19">
        <v>17.0</v>
      </c>
      <c r="O14" s="19">
        <v>20.0</v>
      </c>
      <c r="P14" s="19" t="b">
        <v>0</v>
      </c>
      <c r="Q14" s="27" t="s">
        <v>54</v>
      </c>
      <c r="R14" s="11" t="str">
        <f t="shared" si="3"/>
        <v/>
      </c>
      <c r="S14" s="19">
        <v>14.0</v>
      </c>
      <c r="T14" s="19">
        <v>10.0</v>
      </c>
      <c r="U14" s="20" t="b">
        <v>0</v>
      </c>
      <c r="V14" s="19" t="s">
        <v>54</v>
      </c>
      <c r="W14" s="11" t="str">
        <f t="shared" si="4"/>
        <v/>
      </c>
      <c r="X14" s="19">
        <v>20.0</v>
      </c>
      <c r="Y14" s="19">
        <v>17.0</v>
      </c>
      <c r="Z14" s="20" t="b">
        <v>0</v>
      </c>
      <c r="AA14" s="27" t="s">
        <v>85</v>
      </c>
      <c r="AB14" s="11" t="str">
        <f t="shared" si="5"/>
        <v/>
      </c>
      <c r="AC14" s="19">
        <v>17.0</v>
      </c>
      <c r="AD14" s="19">
        <v>24.0</v>
      </c>
      <c r="AE14" s="19" t="b">
        <v>0</v>
      </c>
      <c r="AF14" s="27" t="s">
        <v>85</v>
      </c>
      <c r="AG14" s="11" t="str">
        <f t="shared" si="6"/>
        <v/>
      </c>
      <c r="AH14" s="19">
        <v>21.0</v>
      </c>
      <c r="AI14" s="19">
        <v>28.0</v>
      </c>
      <c r="AJ14" s="20" t="b">
        <v>0</v>
      </c>
      <c r="AK14" s="19" t="s">
        <v>85</v>
      </c>
      <c r="AL14" s="11" t="str">
        <f t="shared" si="7"/>
        <v/>
      </c>
      <c r="AM14" s="19">
        <v>21.0</v>
      </c>
      <c r="AN14" s="19">
        <v>24.0</v>
      </c>
      <c r="AO14" s="20" t="b">
        <v>0</v>
      </c>
      <c r="AP14" s="27" t="s">
        <v>54</v>
      </c>
      <c r="AQ14" s="11" t="str">
        <f t="shared" si="8"/>
        <v/>
      </c>
      <c r="AR14" s="19">
        <v>27.0</v>
      </c>
      <c r="AS14" s="19">
        <v>21.0</v>
      </c>
      <c r="AT14" s="20" t="b">
        <v>0</v>
      </c>
      <c r="AU14" s="27" t="s">
        <v>85</v>
      </c>
      <c r="AV14" s="11" t="str">
        <f t="shared" si="9"/>
        <v/>
      </c>
      <c r="AW14" s="19">
        <v>7.0</v>
      </c>
      <c r="AX14" s="19">
        <v>10.0</v>
      </c>
      <c r="AY14" s="20" t="b">
        <v>0</v>
      </c>
      <c r="AZ14" s="27" t="s">
        <v>54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54</v>
      </c>
      <c r="BF14" s="11" t="str">
        <f t="shared" si="11"/>
        <v/>
      </c>
      <c r="BG14" s="19">
        <v>31.0</v>
      </c>
      <c r="BH14" s="19">
        <v>24.0</v>
      </c>
      <c r="BI14" s="20" t="b">
        <v>0</v>
      </c>
      <c r="BJ14" s="27" t="s">
        <v>54</v>
      </c>
      <c r="BK14" s="11" t="str">
        <f t="shared" si="12"/>
        <v/>
      </c>
      <c r="BL14" s="19">
        <v>31.0</v>
      </c>
      <c r="BM14" s="19">
        <v>24.0</v>
      </c>
      <c r="BN14" s="20" t="b">
        <v>0</v>
      </c>
      <c r="BO14" s="17"/>
      <c r="BP14" s="17"/>
      <c r="BQ14" s="17"/>
    </row>
    <row r="15">
      <c r="A15" s="32" t="s">
        <v>232</v>
      </c>
      <c r="B15" s="80" t="s">
        <v>233</v>
      </c>
      <c r="C15" s="34"/>
      <c r="D15" s="35" t="str">
        <f>IFERROR(__xludf.DUMMYFUNCTION("""COMPUTED_VALUE"""),"")</f>
        <v/>
      </c>
      <c r="E15" s="36"/>
      <c r="F15" s="36"/>
      <c r="G15" s="38" t="s">
        <v>24</v>
      </c>
      <c r="H15" s="35" t="str">
        <f t="shared" si="1"/>
        <v/>
      </c>
      <c r="I15" s="36">
        <v>14.0</v>
      </c>
      <c r="J15" s="36">
        <v>17.0</v>
      </c>
      <c r="K15" s="37" t="b">
        <v>0</v>
      </c>
      <c r="L15" s="36" t="s">
        <v>24</v>
      </c>
      <c r="M15" s="35" t="str">
        <f t="shared" si="2"/>
        <v/>
      </c>
      <c r="N15" s="36">
        <v>20.0</v>
      </c>
      <c r="O15" s="36">
        <v>23.0</v>
      </c>
      <c r="P15" s="36" t="b">
        <v>0</v>
      </c>
      <c r="Q15" s="38" t="s">
        <v>24</v>
      </c>
      <c r="R15" s="35" t="str">
        <f t="shared" si="3"/>
        <v/>
      </c>
      <c r="S15" s="36">
        <v>24.0</v>
      </c>
      <c r="T15" s="36">
        <v>31.0</v>
      </c>
      <c r="U15" s="37" t="b">
        <v>0</v>
      </c>
      <c r="V15" s="36" t="s">
        <v>24</v>
      </c>
      <c r="W15" s="35" t="str">
        <f t="shared" si="4"/>
        <v/>
      </c>
      <c r="X15" s="36">
        <v>21.0</v>
      </c>
      <c r="Y15" s="36">
        <v>28.0</v>
      </c>
      <c r="Z15" s="36" t="b">
        <v>0</v>
      </c>
      <c r="AA15" s="38" t="s">
        <v>24</v>
      </c>
      <c r="AB15" s="35" t="str">
        <f t="shared" si="5"/>
        <v/>
      </c>
      <c r="AC15" s="36">
        <v>17.0</v>
      </c>
      <c r="AD15" s="36">
        <v>24.0</v>
      </c>
      <c r="AE15" s="37" t="b">
        <v>0</v>
      </c>
      <c r="AF15" s="36" t="s">
        <v>24</v>
      </c>
      <c r="AG15" s="35" t="str">
        <f t="shared" si="6"/>
        <v/>
      </c>
      <c r="AH15" s="36">
        <v>24.0</v>
      </c>
      <c r="AI15" s="36">
        <v>27.0</v>
      </c>
      <c r="AJ15" s="36" t="b">
        <v>1</v>
      </c>
      <c r="AK15" s="38" t="s">
        <v>24</v>
      </c>
      <c r="AL15" s="35" t="str">
        <f t="shared" si="7"/>
        <v/>
      </c>
      <c r="AM15" s="36">
        <v>20.0</v>
      </c>
      <c r="AN15" s="36">
        <v>23.0</v>
      </c>
      <c r="AO15" s="37" t="b">
        <v>0</v>
      </c>
      <c r="AP15" s="38" t="s">
        <v>24</v>
      </c>
      <c r="AQ15" s="35" t="str">
        <f t="shared" si="8"/>
        <v/>
      </c>
      <c r="AR15" s="36">
        <v>20.0</v>
      </c>
      <c r="AS15" s="36">
        <v>24.0</v>
      </c>
      <c r="AT15" s="37" t="b">
        <v>0</v>
      </c>
      <c r="AU15" s="36" t="s">
        <v>24</v>
      </c>
      <c r="AV15" s="35" t="str">
        <f t="shared" si="9"/>
        <v/>
      </c>
      <c r="AW15" s="36">
        <v>21.0</v>
      </c>
      <c r="AX15" s="36">
        <v>24.0</v>
      </c>
      <c r="AY15" s="36" t="b">
        <v>0</v>
      </c>
      <c r="AZ15" s="38" t="s">
        <v>24</v>
      </c>
      <c r="BA15" s="35" t="str">
        <f t="shared" si="10"/>
        <v/>
      </c>
      <c r="BB15" s="36">
        <v>20.0</v>
      </c>
      <c r="BC15" s="36">
        <v>23.0</v>
      </c>
      <c r="BD15" s="37" t="b">
        <v>1</v>
      </c>
      <c r="BE15" s="36" t="s">
        <v>24</v>
      </c>
      <c r="BF15" s="35" t="str">
        <f t="shared" si="11"/>
        <v/>
      </c>
      <c r="BG15" s="36">
        <v>10.0</v>
      </c>
      <c r="BH15" s="36">
        <v>14.0</v>
      </c>
      <c r="BI15" s="36" t="b">
        <v>1</v>
      </c>
      <c r="BJ15" s="38" t="s">
        <v>44</v>
      </c>
      <c r="BK15" s="35" t="str">
        <f t="shared" si="12"/>
        <v/>
      </c>
      <c r="BL15" s="36">
        <v>17.0</v>
      </c>
      <c r="BM15" s="36">
        <v>14.0</v>
      </c>
      <c r="BN15" s="37" t="b">
        <v>0</v>
      </c>
      <c r="BO15" s="17"/>
      <c r="BP15" s="17"/>
      <c r="BQ15" s="17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</row>
    <row r="17" hidden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</row>
    <row r="18" hidden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</row>
    <row r="20" hidden="1">
      <c r="A20" s="41"/>
      <c r="B20" s="41"/>
      <c r="C20" s="46">
        <f t="shared" ref="C20:C33" si="13">MIN(I20,N20,S20,X20,AC20,AH20,AM20,AR20,AW20,BB20,BG20,BL20)</f>
        <v>0</v>
      </c>
      <c r="D20" s="41"/>
      <c r="E20" s="41"/>
      <c r="F20" s="41"/>
      <c r="G20" s="43" t="str">
        <f t="shared" ref="G20:G33" si="14">IF(G2=C2,ABS(I2-E2),"")</f>
        <v/>
      </c>
      <c r="H20" s="43" t="str">
        <f t="shared" ref="H20:H33" si="15">IF(G2=C2,ABS(J2-F2),"")</f>
        <v/>
      </c>
      <c r="I20" s="44" t="str">
        <f t="shared" ref="I20:I33" si="16">IF(G2=C2,SUM(G20,H20),"")</f>
        <v/>
      </c>
      <c r="J20" s="45">
        <f t="shared" ref="J20:J33" si="17">SUM(IF(AND(G2=$C2,I20=$C20,$C20=0,K2=TRUE,I20&lt;$N20,I20&lt;$S20,I20&lt;$X20,I20&lt;$AC20,I20&lt;$AH20,I20&lt;$AM20,I20&lt;$AR20,I20&lt;$AW20,I20&lt;$BB20,I20&lt;$BG20,I20&lt;$BL20),15,
IF(AND(G2=$C2,I20=$C20,$C20=0,K2=TRUE,OR(I20=$N20,I20=$S20,I20=$X20,I20=$AC20,I20=$AH20,I20=$AM20,I20=$AR20,I20=$AW20,I20=$BB20,I20=$BG20,I20=$BL20)),7.5,
IF(AND(G2=$C2,I20=$C20,$C20=0,I20&lt;$N20,I20&lt;$S20,I20&lt;$X20,I20&lt;$AC20,I20&lt;$AH20,I20&lt;$AM20,I20&lt;$AR20,I20&lt;$AW20,I20&lt;$BB20,I20&lt;$BG20,I20&lt;$BL20),5,
IF(AND(G2=$C2,I20=$C20,K2=TRUE,I20&lt;$N20,I20&lt;$S20,I20&lt;$X20,I20&lt;$AC20,I20&lt;$AH20,I20&lt;$AM20,I20&lt;$AR20,I20&lt;$AW20,I20&lt;$BB20,I20&lt;$BG20,I20&lt;$BL20),3,
IF(AND(G2=$C2,I20=$C20,$C20=0,OR(I20=$N20,I20=$S20,I20=$X20,I20=$AC20,I20=$AH20,I20=$AM20,I20=$AR20,I20=$AW20,I20=$BB20,I20=$BG20,I20=$BL20)),2.5,
IF(AND(G2=$C2,I20=$C20,K2=TRUE,OR(I20=$N20,I20=$S20,I20=$X20,I20=$AC20,I20=$AH20,I20=$AM20,I20=$AR20,I20=$AW20,I20=$BB20,I20=$BG20,I20=$BL20)),1.5,
IF(AND(G2=$C2,I20=$C20,I20&lt;$N20,I20&lt;$S20,I20&lt;$X20,I20&lt;$AC20,I20&lt;$AH20,I20&lt;$AM20,I20&lt;$AR20,I20&lt;$AW20,I20&lt;$BB20,I20&lt;$BG20,I20&lt;$BL20),1,
IF(AND(G2=$C2,I20=$C20,OR(I20=$N20,I20=$S20,I20=$X20,I20=$AC20,I20=$AH20,I20=$AM20,I20=$AR20,I20=$AW20,I20=$BB20,I20=$BG20,I20=$BL20)),0.5,
0)))))))),
IF(AND(K20=TRUE,K2=TRUE),3,
IF(AND(K20=TRUE,K2=FALSE),1,
IF(K20="",0)))
)</f>
        <v>0</v>
      </c>
      <c r="K20" s="41" t="str">
        <f t="shared" ref="K20:K33" si="18">IF($C2="","",
IF(G2=$C2,TRUE,FALSE))</f>
        <v/>
      </c>
      <c r="L20" s="43" t="str">
        <f t="shared" ref="L20:L33" si="19">IF(L2=C2,ABS(N2-E2),"")</f>
        <v/>
      </c>
      <c r="M20" s="43" t="str">
        <f t="shared" ref="M20:M33" si="20">IF(L2=C2,ABS(O2-F2),"")</f>
        <v/>
      </c>
      <c r="N20" s="44" t="str">
        <f t="shared" ref="N20:N33" si="21">IF(L2=C2,SUM(L20,M20),"")</f>
        <v/>
      </c>
      <c r="O20" s="45">
        <f t="shared" ref="O20:O33" si="22">SUM(IF(AND(L2=$C2,N20=$C20,$C20=0,P2=TRUE,N20&lt;$I20,N20&lt;$S20,N20&lt;$X20,N20&lt;$AC20,N20&lt;$AH20,N20&lt;$AM20,N20&lt;$AR20,N20&lt;$AW20,N20&lt;$BB20,N20&lt;$BG20,N20&lt;$BL20),15,
IF(AND(L2=$C2,N20=$C20,$C20=0,P2=TRUE,OR(N20=$I20,N20=$S20,N20=$X20,N20=$AC20,N20=$AH20,N20=$AM20,N20=$AR20,N20=$AW20,N20=$BB20,N20=$BG20,N20=$BL20)),7.5,
IF(AND(L2=$C2,N20=$C20,$C20=0,N20&lt;$I20,N20&lt;$S20,N20&lt;$X20,N20&lt;$AC20,N20&lt;$AH20,N20&lt;$AM20,N20&lt;$AR20,N20&lt;$AW20,N20&lt;$BB20,N20&lt;$BG20,N20&lt;$BL20),5,
IF(AND(L2=$C2,N20=$C20,P2=TRUE,N20&lt;$I20,N20&lt;$S20,N20&lt;$X20,N20&lt;$AC20,N20&lt;$AH20,N20&lt;$AM20,N20&lt;$AR20,N20&lt;$AW20,N20&lt;$BB20,N20&lt;$BG20,N20&lt;$BL20),3,
IF(AND(L2=$C2,N20=$C20,$C20=0,OR(N20=$I20,N20=$S20,N20=$X20,N20=$AC20,N20=$AH20,N20=$AM20,N20=$AR20,N20=$AW20,N20=$BB20,N20=$BG20,N20=$BL20)),2.5,
IF(AND(L2=$C2,N20=$C20,P2=TRUE,OR(N20=$I20,N20=$S20,N20=$X20,N20=$AC20,N20=$AH20,N20=$AM20,N20=$AR20,N20=$AW20,N20=$BB20,N20=$BG20,N20=$BL20)),1.5,
IF(AND(L2=$C2,N20=$C20,N20&lt;$I20,N20&lt;$S20,N20&lt;$X20,N20&lt;$AC20,N20&lt;$AH20,N20&lt;$AM20,N20&lt;$AR20,N20&lt;$AW20,N20&lt;$BB20,N20&lt;$BG20,N20&lt;$BL20),1,
IF(AND(L2=$C2,N20=$C20,OR(N20=$I20,N20=$S20,N20=$X20,N20=$AC20,N20=$AH20,N20=$AM20,N20=$AR20,N20=$AW20,N20=$BB20,N20=$BG20,N20=$BL20)),0.5,
0)))))))),
IF(AND(P20=TRUE,P2=TRUE),3,
IF(AND(P20=TRUE,P2=FALSE),1,
IF(P20="",0)))
)</f>
        <v>0</v>
      </c>
      <c r="P20" s="41" t="str">
        <f t="shared" ref="P20:P33" si="23">IF($C2="","",
IF(L2=$C2,TRUE,FALSE))</f>
        <v/>
      </c>
      <c r="Q20" s="43" t="str">
        <f t="shared" ref="Q20:Q33" si="24">IF(Q2=C2,ABS(S2-E2),"")</f>
        <v/>
      </c>
      <c r="R20" s="43" t="str">
        <f t="shared" ref="R20:R33" si="25">IF(Q2=C2,ABS(T2-F2),"")</f>
        <v/>
      </c>
      <c r="S20" s="44" t="str">
        <f t="shared" ref="S20:S33" si="26">IF(Q2=C2,SUM(Q20,R20),"")</f>
        <v/>
      </c>
      <c r="T20" s="45">
        <f t="shared" ref="T20:T33" si="27">SUM(IF(AND(Q2=$C2,S20=$C20,$C20=0,U2=TRUE,S20&lt;$I20,S20&lt;$N20,S20&lt;$X20,S20&lt;$AC20,S20&lt;$AH20,S20&lt;$AM20,S20&lt;$AR20,S20&lt;$AW20,S20&lt;$BB20,S20&lt;$BG20,S20&lt;$BL20),15,
IF(AND(Q2=$C2,S20=$C20,$C20=0,U2=TRUE,OR(S20=$I20,S20=$N20,S20=$X20,S20=$AC20,S20=$AH20,S20=$AM20,S20=$AR20,S20=$AW20,S20=$BB20,S20=$BG20,S20=$BL20)),7.5,
IF(AND(Q2=$C2,S20=$C20,$C20=0,S20&lt;$I20,S20&lt;$N20,S20&lt;$X20,S20&lt;$AC20,S20&lt;$AH20,S20&lt;$AM20,S20&lt;$AR20,S20&lt;$AW20,S20&lt;$BB20,S20&lt;$BG20,S20&lt;$BL20),5,
IF(AND(Q2=$C2,S20=$C20,U2=TRUE,S20&lt;$I20,S20&lt;$N20,S20&lt;$X20,S20&lt;$AC20,S20&lt;$AH20,S20&lt;$AM20,S20&lt;$AR20,S20&lt;$AW20,S20&lt;$BB20,S20&lt;$BG20,S20&lt;$BL20),3,
IF(AND(Q2=$C2,S20=$C20,$C20=0,OR(S20=$I20,S20=$N20,S20=$X20,S20=$AC20,S20=$AH20,S20=$AM20,S20=$AR20,S20=$AW20,S20=$BB20,S20=$BG20,S20=$BL20)),2.5,
IF(AND(Q2=$C2,S20=$C20,U2=TRUE,OR(S20=$I20,S20=$N20,S20=$X20,S20=$AC20,S20=$AH20,S20=$AM20,S20=$AR20,S20=$AW20,S20=$BB20,S20=$BG20,S20=$BL20)),1.5,
IF(AND(Q2=$C2,S20=$C20,S20&lt;$I20,S20&lt;$N20,S20&lt;$X20,S20&lt;$AC20,S20&lt;$AH20,S20&lt;$AM20,S20&lt;$AR20,S20&lt;$AW20,S20&lt;$BB20,S20&lt;$BG20,S20&lt;$BL20),1,
IF(AND(Q2=$C2,S20=$C20,OR(S20=$I20,S20=$N20,S20=$X20,S20=$AC20,S20=$AH20,S20=$AM20,S20=$AR20,S20=$AW20,S20=$BB20,S20=$BG20,S20=$BL20)),0.5,
0)))))))),
IF(AND(U20=TRUE,U2=TRUE),3,
IF(AND(U20=TRUE,U2=FALSE),1,
IF(U20="",0)))
)</f>
        <v>0</v>
      </c>
      <c r="U20" s="41" t="str">
        <f t="shared" ref="U20:U33" si="28">IF($C2="","",
IF(Q2=$C2,TRUE,FALSE))</f>
        <v/>
      </c>
      <c r="V20" s="43" t="str">
        <f t="shared" ref="V20:V33" si="29">IF(V2=C2,ABS(X2-E2),"")</f>
        <v/>
      </c>
      <c r="W20" s="43" t="str">
        <f t="shared" ref="W20:W33" si="30">IF(V2=C2,ABS(Y2-F2),"")</f>
        <v/>
      </c>
      <c r="X20" s="44" t="str">
        <f t="shared" ref="X20:X33" si="31">IF(V2=C2,SUM(V20,W20),"")</f>
        <v/>
      </c>
      <c r="Y20" s="45">
        <f t="shared" ref="Y20:Y33" si="32">SUM(IF(AND(V2=$C2,X20=$C20,$C20=0,Z2=TRUE,X20&lt;$I20,X20&lt;$N20,X20&lt;$S20,X20&lt;$AC20,X20&lt;$AH20,X20&lt;$AM20,X20&lt;$AR20,X20&lt;$AW20,X20&lt;$BB20,X20&lt;$BG20,X20&lt;$BL20),15,
IF(AND(V2=$C2,X20=$C20,$C20=0,Z2=TRUE,OR(X20=$I20,X20=$N20,X20=$S20,X20=$AC20,X20=$AH20,X20=$AM20,X20=$AR20,X20=$AW20,X20=$BB20,X20=$BG20,X20=$BL20)),7.5,
IF(AND(V2=$C2,X20=$C20,$C20=0,X20&lt;$I20,X20&lt;$N20,X20&lt;$S20,X20&lt;$AC20,X20&lt;$AH20,X20&lt;$AM20,X20&lt;$AR20,X20&lt;$AW20,X20&lt;$BB20,X20&lt;$BG20,X20&lt;$BL20),5,
IF(AND(V2=$C2,X20=$C20,Z2=TRUE,X20&lt;$I20,X20&lt;$N20,X20&lt;$S20,X20&lt;$AC20,X20&lt;$AH20,X20&lt;$AM20,X20&lt;$AR20,X20&lt;$AW20,X20&lt;$BB20,X20&lt;$BG20,X20&lt;$BL20),3,
IF(AND(V2=$C2,X20=$C20,$C20=0,OR(X20=$I20,X20=$N20,X20=$S20,X20=$AC20,X20=$AH20,X20=$AM20,X20=$AR20,X20=$AW20,X20=$BB20,X20=$BG20,X20=$BL20)),2.5,
IF(AND(V2=$C2,X20=$C20,Z2=TRUE,OR(X20=$I20,X20=$N20,X20=$S20,X20=$AC20,X20=$AH20,X20=$AM20,X20=$AR20,X20=$AW20,X20=$BB20,X20=$BG20,X20=$BL20)),1.5,
IF(AND(V2=$C2,X20=$C20,X20&lt;$I20,X20&lt;$N20,X20&lt;$S20,X20&lt;$AC20,X20&lt;$AH20,X20&lt;$AM20,X20&lt;$AR20,X20&lt;$AW20,X20&lt;$BB20,X20&lt;$BG20,X20&lt;$BL20),1,
IF(AND(V2=$C2,X20=$C20,OR(X20=$I20,X20=$N20,X20=$S20,X20=$AC20,X20=$AH20,X20=$AM20,X20=$AR20,X20=$AW20,X20=$BB20,X20=$BG20,X20=$BL20)),0.5,
0)))))))),
IF(AND(Z20=TRUE,Z2=TRUE),3,
IF(AND(Z20=TRUE,Z2=FALSE),1,
IF(Z20="",0)))
)</f>
        <v>0</v>
      </c>
      <c r="Z20" s="41" t="str">
        <f t="shared" ref="Z20:Z33" si="33">IF($C2="","",
IF(V2=$C2,TRUE,FALSE))</f>
        <v/>
      </c>
      <c r="AA20" s="43" t="str">
        <f t="shared" ref="AA20:AA33" si="34">IF(AA2=C2,ABS(AC2-E2),"")</f>
        <v/>
      </c>
      <c r="AB20" s="43" t="str">
        <f t="shared" ref="AB20:AB33" si="35">IF(AA2=C2,ABS(AD2-F2),"")</f>
        <v/>
      </c>
      <c r="AC20" s="44" t="str">
        <f t="shared" ref="AC20:AC33" si="36">IF(AA2=C2,SUM(AA20,AB20),"")</f>
        <v/>
      </c>
      <c r="AD20" s="45">
        <f t="shared" ref="AD20:AD33" si="37">SUM(IF(AND(AA2=$C2,AC20=$C20,$C20=0,AE2=TRUE,AC20&lt;$I20,AC20&lt;$N20,AC20&lt;$S20,AC20&lt;$X20,AC20&lt;$AH20,AC20&lt;$AM20,AC20&lt;$AR20,AC20&lt;$AW20,AC20&lt;$BB20,AC20&lt;$BG20,AC20&lt;$BL20),15,
IF(AND(AA2=$C2,AC20=$C20,$C20=0,AE2=TRUE,OR(AC20=$I20,AC20=$N20,AC20=$S20,AC20=$X20,AC20=$AH20,AC20=$AM20,AC20=$AR20,AC20=$AW20,AC20=$BB20,AC20=$BG20,AC20=$BL20)),7.5,
IF(AND(AA2=$C2,AC20=$C20,$C20=0,AC20&lt;$I20,AC20&lt;$N20,AC20&lt;$S20,AC20&lt;$X20,AC20&lt;$AH20,AC20&lt;$AM20,AC20&lt;$AR20,AC20&lt;$AW20,AC20&lt;$BB20,AC20&lt;$BG20,AC20&lt;$BL20),5,
IF(AND(AA2=$C2,AC20=$C20,AE2=TRUE,AC20&lt;$I20,AC20&lt;$N20,AC20&lt;$S20,AC20&lt;$X20,AC20&lt;$AH20,AC20&lt;$AM20,AC20&lt;$AR20,AC20&lt;$AW20,AC20&lt;$BB20,AC20&lt;$BG20,AC20&lt;$BL20),3,
IF(AND(AA2=$C2,AC20=$C20,$C20=0,OR(AC20=$I20,AC20=$N20,AC20=$S20,AC20=$X20,AC20=$AH20,AC20=$AM20,AC20=$AR20,AC20=$AW20,AC20=$BB20,AC20=$BG20,AC20=$BL20)),2.5,
IF(AND(AA2=$C2,AC20=$C20,AE2=TRUE,OR(AC20=$I20,AC20=$N20,AC20=$S20,AC20=$X20,AC20=$AH20,AC20=$AM20,AC20=$AR20,AC20=$AW20,AC20=$BB20,AC20=$BG20,AC20=$BL20)),1.5,
IF(AND(AA2=$C2,AC20=$C20,AC20&lt;$I20,AC20&lt;$N20,AC20&lt;$S20,AC20&lt;$X20,AC20&lt;$AH20,AC20&lt;$AM20,AC20&lt;$AR20,AC20&lt;$AW20,AC20&lt;$BB20,AC20&lt;$BG20,AC20&lt;$BL20),1,
IF(AND(AA2=$C2,AC20=$C20,OR(AC20=$I20,AC20=$N20,AC20=$S20,AC20=$X20,AC20=$AH20,AC20=$AM20,AC20=$AR20,AC20=$AW20,AC20=$BB20,AC20=$BG20,AC20=$BL20)),0.5,
0)))))))),
IF(AND(AE20=TRUE,AE2=TRUE),3,
IF(AND(AE20=TRUE,AE2=FALSE),1,
IF(AE20="",0)))
)</f>
        <v>0</v>
      </c>
      <c r="AE20" s="41" t="str">
        <f t="shared" ref="AE20:AE33" si="38">IF($C2="","",
IF(AA2=$C2,TRUE,FALSE))</f>
        <v/>
      </c>
      <c r="AF20" s="43" t="str">
        <f t="shared" ref="AF20:AF33" si="39">IF(AF2=C2,ABS(AH2-E2),"")</f>
        <v/>
      </c>
      <c r="AG20" s="43" t="str">
        <f t="shared" ref="AG20:AG33" si="40">IF(AF2=C2,ABS(AI2-F2),"")</f>
        <v/>
      </c>
      <c r="AH20" s="44" t="str">
        <f t="shared" ref="AH20:AH33" si="41">IF(AF2=C2,SUM(AF20,AG20),"")</f>
        <v/>
      </c>
      <c r="AI20" s="45">
        <f t="shared" ref="AI20:AI33" si="42">SUM(IF(AND(AF2=$C2,AH20=$C20,$C20=0,AJ2=TRUE,AH20&lt;$I20,AH20&lt;$N20,AH20&lt;$S20,AH20&lt;$X20,AH20&lt;$AC20,AH20&lt;$AM20,AH20&lt;$AR20,AH20&lt;$AW20,AH20&lt;$BB20,AH20&lt;$BG20,AH20&lt;$BL20),15,
IF(AND(AF2=$C2,AH20=$C20,$C20=0,AJ2=TRUE,OR(AH20=$I20,AH20=$N20,AH20=$S20,AH20=$X20,AH20=$AC20,AH20=$AM20,AH20=$AR20,AH20=$AW20,AH20=$BB20,AH20=$BG20,AH20=$BL20)),7.5,
IF(AND(AF2=$C2,AH20=$C20,$C20=0,AH20&lt;$I20,AH20&lt;$N20,AH20&lt;$S20,AH20&lt;$X20,AH20&lt;$AC20,AH20&lt;$AM20,AH20&lt;$AR20,AH20&lt;$AW20,AH20&lt;$BB20,AH20&lt;$BG20,AH20&lt;$BL20),5,
IF(AND(AF2=$C2,AH20=$C20,AJ2=TRUE,AH20&lt;$I20,AH20&lt;$N20,AH20&lt;$S20,AH20&lt;$X20,AH20&lt;$AC20,AH20&lt;$AM20,AH20&lt;$AR20,AH20&lt;$AW20,AH20&lt;$BB20,AH20&lt;$BG20,AH20&lt;$BL20),3,
IF(AND(AF2=$C2,AH20=$C20,$C20=0,OR(AH20=$I20,AH20=$N20,AH20=$S20,AH20=$X20,AH20=$AC20,AH20=$AM20,AH20=$AR20,AH20=$AW20,AH20=$BB20,AH20=$BG20,AH20=$BL20)),2.5,
IF(AND(AF2=$C2,AH20=$C20,AJ2=TRUE,OR(AH20=$I20,AH20=$N20,AH20=$S20,AH20=$X20,AH20=$AC20,AH20=$AM20,AH20=$AR20,AH20=$AW20,AH20=$BB20,AH20=$BG20,AH20=$BL20)),1.5,
IF(AND(AF2=$C2,AH20=$C20,AH20&lt;$I20,AH20&lt;$N20,AH20&lt;$S20,AH20&lt;$X20,AH20&lt;$AC20,AH20&lt;$AM20,AH20&lt;$AR20,AH20&lt;$AW20,AH20&lt;$BB20,AH20&lt;$BG20,AH20&lt;$BL20),1,
IF(AND(AF2=$C2,AH20=$C20,OR(AH20=$I20,AH20=$N20,AH20=$S20,AH20=$X20,AH20=$AC20,AH20=$AM20,AH20=$AR20,AH20=$AW20,AH20=$BB20,AH20=$BG20,AH20=$BL20)),0.5,
0)))))))),
IF(AND(AJ20=TRUE,AJ2=TRUE),3,
IF(AND(AJ20=TRUE,AJ2=FALSE),1,
IF(AJ20="",0)))
)</f>
        <v>0</v>
      </c>
      <c r="AJ20" s="41" t="str">
        <f t="shared" ref="AJ20:AJ33" si="43">IF($C2="","",
IF(AF2=$C2,TRUE,FALSE))</f>
        <v/>
      </c>
      <c r="AK20" s="43" t="str">
        <f t="shared" ref="AK20:AK33" si="44">IF(AK2=C2,ABS(AM2-E2),"")</f>
        <v/>
      </c>
      <c r="AL20" s="43" t="str">
        <f t="shared" ref="AL20:AL33" si="45">IF(AK2=C2,ABS(AN2-F2),"")</f>
        <v/>
      </c>
      <c r="AM20" s="44" t="str">
        <f t="shared" ref="AM20:AM33" si="46">IF(AK2=C2,SUM(AK20,AL20),"")</f>
        <v/>
      </c>
      <c r="AN20" s="45">
        <f t="shared" ref="AN20:AN33" si="47">SUM(IF(AND(AK2=$C2,AM20=$C20,$C20=0,AO2=TRUE,AM20&lt;$I20,AM20&lt;$N20,AM20&lt;$S20,AM20&lt;$X20,AM20&lt;$AC20,AM20&lt;$AH20,AM20&lt;$AR20,AM20&lt;$AW20,AM20&lt;$BB20,AM20&lt;$BG20,AM20&lt;$BL20),15,
IF(AND(AK2=$C2,AM20=$C20,$C20=0,AO2=TRUE,OR(AM20=$I20,AM20=$N20,AM20=$S20,AM20=$X20,AM20=$AC20,AM20=$AH20,AM20=$AR20,AM20=$AW20,AM20=$BB20,AM20=$BG20,AM20=$BL20)),7.5,
IF(AND(AK2=$C2,AM20=$C20,$C20=0,AM20&lt;$I20,AM20&lt;$N20,AM20&lt;$S20,AM20&lt;$X20,AM20&lt;$AC20,AM20&lt;$AH20,AM20&lt;$AR20,AM20&lt;$AW20,AM20&lt;$BB20,AM20&lt;$BG20,AM20&lt;$BL20),5,
IF(AND(AK2=$C2,AM20=$C20,AO2=TRUE,AM20&lt;$I20,AM20&lt;$N20,AM20&lt;$S20,AM20&lt;$X20,AM20&lt;$AC20,AM20&lt;$AH20,AM20&lt;$AR20,AM20&lt;$AW20,AM20&lt;$BB20,AM20&lt;$BG20,AM20&lt;$BL20),3,
IF(AND(AK2=$C2,AM20=$C20,$C20=0,OR(AM20=$I20,AM20=$N20,AM20=$S20,AM20=$X20,AM20=$AC20,AM20=$AH20,AM20=$AR20,AM20=$AW20,AM20=$BB20,AM20=$BG20,AM20=$BL20)),2.5,
IF(AND(AK2=$C2,AM20=$C20,AO2=TRUE,OR(AM20=$I20,AM20=$N20,AM20=$S20,AM20=$X20,AM20=$AC20,AM20=$AH20,AM20=$AR20,AM20=$AW20,AM20=$BB20,AM20=$BG20,AM20=$BL20)),1.5,
IF(AND(AK2=$C2,AM20=$C20,AM20&lt;$I20,AM20&lt;$N20,AM20&lt;$S20,AM20&lt;$X20,AM20&lt;$AC20,AM20&lt;$AH20,AM20&lt;$AR20,AM20&lt;$AW20,AM20&lt;$BB20,AM20&lt;$BG20,AM20&lt;$BL20),1,
IF(AND(AK2=$C2,AM20=$C20,OR(AM20=$I20,AM20=$N20,AM20=$S20,AM20=$X20,AM20=$AC20,AM20=$AH20,AM20=$AR20,AM20=$AW20,AM20=$BB20,AM20=$BG20,AM20=$BL20)),0.5,
0)))))))),
IF(AND(AO20=TRUE,AO2=TRUE),3,
IF(AND(AO20=TRUE,AO2=FALSE),1,
IF(AO20="",0)))
)</f>
        <v>0</v>
      </c>
      <c r="AO20" s="41" t="str">
        <f t="shared" ref="AO20:AO33" si="48">IF($C2="","",
IF(AK2=$C2,TRUE,FALSE))</f>
        <v/>
      </c>
      <c r="AP20" s="43" t="str">
        <f t="shared" ref="AP20:AP33" si="49">IF(AP2=C2,ABS(AR2-E2),"")</f>
        <v/>
      </c>
      <c r="AQ20" s="43" t="str">
        <f t="shared" ref="AQ20:AQ33" si="50">IF(AP2=C2,ABS(AS2-F2),"")</f>
        <v/>
      </c>
      <c r="AR20" s="44" t="str">
        <f t="shared" ref="AR20:AR33" si="51">IF(AP2=C2,SUM(AP20,AQ20),"")</f>
        <v/>
      </c>
      <c r="AS20" s="45">
        <f t="shared" ref="AS20:AS33" si="52">SUM(IF(AND(AP2=$C2,AR20=$C20,$C20=0,AT2=TRUE,AR20&lt;$I20,AR20&lt;$N20,AR20&lt;$S20,AR20&lt;$X20,AR20&lt;$AC20,AR20&lt;$AH20,AR20&lt;$AM20,AR20&lt;$AW20,AR20&lt;$BB20,AR20&lt;$BG20,AR20&lt;$BL20),15,
IF(AND(AP2=$C2,AR20=$C20,$C20=0,AT2=TRUE,OR(AR20=$I20,AR20=$N20,AR20=$S20,AR20=$X20,AR20=$AC20,AR20=$AH20,AR20=$AM20,AR20=$AW20,AR20=$BB20,AR20=$BG20,AR20=$BL20)),7.5,
IF(AND(AP2=$C2,AR20=$C20,$C20=0,AR20&lt;$I20,AR20&lt;$N20,AR20&lt;$S20,AR20&lt;$X20,AR20&lt;$AC20,AR20&lt;$AH20,AR20&lt;$AM20,AR20&lt;$AW20,AR20&lt;$BB20,AR20&lt;$BG20,AR20&lt;$BL20),5,
IF(AND(AP2=$C2,AR20=$C20,AT2=TRUE,AR20&lt;$I20,AR20&lt;$N20,AR20&lt;$S20,AR20&lt;$X20,AR20&lt;$AC20,AR20&lt;$AH20,AR20&lt;$AM20,AR20&lt;$AW20,AR20&lt;$BB20,AR20&lt;$BG20,AR20&lt;$BL20),3,
IF(AND(AP2=$C2,AR20=$C20,$C20=0,OR(AR20=$I20,AR20=$N20,AR20=$S20,AR20=$X20,AR20=$AC20,AR20=$AH20,AR20=$AM20,AR20=$AW20,AR20=$BB20,AR20=$BG20,AR20=$BL20)),2.5,
IF(AND(AP2=$C2,AR20=$C20,AT2=TRUE,OR(AR20=$I20,AR20=$N20,AR20=$S20,AR20=$X20,AR20=$AC20,AR20=$AH20,AR20=$AM20,AR20=$AW20,AR20=$BB20,AR20=$BG20,AR20=$BL20)),1.5,
IF(AND(AP2=$C2,AR20=$C20,AR20&lt;$I20,AR20&lt;$N20,AR20&lt;$S20,AR20&lt;$X20,AR20&lt;$AC20,AR20&lt;$AH20,AR20&lt;$AM20,AR20&lt;$AW20,AR20&lt;$BB20,AR20&lt;$BG20,AR20&lt;$BL20),1,
IF(AND(AP2=$C2,AR20=$C20,OR(AR20=$I20,AR20=$N20,AR20=$S20,AR20=$X20,AR20=$AC20,AR20=$AH20,AR20=$AM20,AR20=$AW20,AR20=$BB20,AR20=$BG20,AR20=$BL20)),0.5,
0)))))))),
IF(AND(AT20=TRUE,AT2=TRUE),3,
IF(AND(AT20=TRUE,AT2=FALSE),1,
IF(AT20="",0)))
)</f>
        <v>0</v>
      </c>
      <c r="AT20" s="41" t="str">
        <f t="shared" ref="AT20:AT33" si="53">IF($C2="","",
IF(AP2=$C2,TRUE,FALSE))</f>
        <v/>
      </c>
      <c r="AU20" s="43" t="str">
        <f t="shared" ref="AU20:AU33" si="54">IF(AU2=C2,ABS(AW2-E2),"")</f>
        <v/>
      </c>
      <c r="AV20" s="43" t="str">
        <f t="shared" ref="AV20:AV33" si="55">IF(AU2=C2,ABS(AX2-F2),"")</f>
        <v/>
      </c>
      <c r="AW20" s="44" t="str">
        <f t="shared" ref="AW20:AW33" si="56">IF(AU2=C2,SUM(AU20,AV20),"")</f>
        <v/>
      </c>
      <c r="AX20" s="45">
        <f t="shared" ref="AX20:AX33" si="57">SUM(IF(AND(AU2=$C2,AW20=$C20,$C20=0,AY2=TRUE,AW20&lt;$I20,AW20&lt;$N20,AW20&lt;$S20,AW20&lt;$X20,AW20&lt;$AC20,AW20&lt;$AH20,AW20&lt;$AM20,AW20&lt;$AR20,AW20&lt;$BB20,AW20&lt;$BG20,AW20&lt;$BL20),15,
IF(AND(AU2=$C2,AW20=$C20,$C20=0,AY2=TRUE,OR(AW20=$I20,AW20=$N20,AW20=$S20,AW20=$X20,AW20=$AC20,AW20=$AH20,AW20=$AM20,AW20=$AR20,AW20=$BB20,AW20=$BG20,AW20=$BL20)),7.5,
IF(AND(AU2=$C2,AW20=$C20,$C20=0,AW20&lt;$I20,AW20&lt;$N20,AW20&lt;$S20,AW20&lt;$X20,AW20&lt;$AC20,AW20&lt;$AH20,AW20&lt;$AM20,AW20&lt;$AR20,AW20&lt;$BB20,AW20&lt;$BG20,AW20&lt;$BL20),5,
IF(AND(AU2=$C2,AW20=$C20,AY2=TRUE,AW20&lt;$I20,AW20&lt;$N20,AW20&lt;$S20,AW20&lt;$X20,AW20&lt;$AC20,AW20&lt;$AH20,AW20&lt;$AM20,AW20&lt;$AR20,AW20&lt;$BB20,AW20&lt;$BG20,AW20&lt;$BL20),3,
IF(AND(AU2=$C2,AW20=$C20,$C20=0,OR(AW20=$I20,AW20=$N20,AW20=$S20,AW20=$X20,AW20=$AC20,AW20=$AH20,AW20=$AM20,AW20=$AR20,AW20=$BB20,AW20=$BG20,AW20=$BL20)),2.5,
IF(AND(AU2=$C2,AW20=$C20,AY2=TRUE,OR(AW20=$I20,AW20=$N20,AW20=$S20,AW20=$X20,AW20=$AC20,AW20=$AH20,AW20=$AM20,AW20=$AR20,AW20=$BB20,AW20=$BG20,AW20=$BL20)),1.5,
IF(AND(AU2=$C2,AW20=$C20,AW20&lt;$I20,AW20&lt;$N20,AW20&lt;$S20,AW20&lt;$X20,AW20&lt;$AC20,AW20&lt;$AH20,AW20&lt;$AM20,AW20&lt;$AR20,AW20&lt;$BB20,AW20&lt;$BG20,AW20&lt;$BL20),1,
IF(AND(AU2=$C2,AW20=$C20,OR(AW20=$I20,AW20=$N20,AW20=$S20,AW20=$X20,AW20=$AC20,AW20=$AH20,AW20=$AM20,AW20=$AR20,AW20=$BB20,AW20=$BG20,AW20=$BL20)),0.5,
0)))))))),
IF(AND(AY20=TRUE,AY2=TRUE),3,
IF(AND(AY20=TRUE,AY2=FALSE),1,
IF(AY20="",0)))
)</f>
        <v>0</v>
      </c>
      <c r="AY20" s="41" t="str">
        <f t="shared" ref="AY20:AY33" si="58">IF($C2="","",
IF(AU2=$C2,TRUE,FALSE))</f>
        <v/>
      </c>
      <c r="AZ20" s="43" t="str">
        <f t="shared" ref="AZ20:AZ33" si="59">IF(AZ2=C2,ABS(BB2-E2),"")</f>
        <v/>
      </c>
      <c r="BA20" s="43" t="str">
        <f t="shared" ref="BA20:BA33" si="60">IF(AZ2=C2,ABS(BC2-F2),"")</f>
        <v/>
      </c>
      <c r="BB20" s="44" t="str">
        <f t="shared" ref="BB20:BB33" si="61">IF(AZ2=C2,SUM(AZ20,BA20),"")</f>
        <v/>
      </c>
      <c r="BC20" s="45">
        <f t="shared" ref="BC20:BC33" si="62">SUM(IF(AND(AZ2=$C2,BB20=$C20,$C20=0,BD2=TRUE,BB20&lt;$I20,BB20&lt;$N20,BB20&lt;$S20,BB20&lt;$X20,BB20&lt;$AC20,BB20&lt;$AH20,BB20&lt;$AM20,BB20&lt;$AR20,BB20&lt;$AW20,BB20&lt;$BG20,BB20&lt;$BL20),15,
IF(AND(AZ2=$C2,BB20=$C20,$C20=0,BD2=TRUE,OR(BB20=$I20,BB20=$N20,BB20=$S20,BB20=$X20,BB20=$AC20,BB20=$AH20,BB20=$AM20,BB20=$AR20,BB20=$AW20,BB20=$BG20,BB20=$BL20)),7.5,
IF(AND(AZ2=$C2,BB20=$C20,$C20=0,BB20&lt;$I20,BB20&lt;$N20,BB20&lt;$S20,BB20&lt;$X20,BB20&lt;$AC20,BB20&lt;$AH20,BB20&lt;$AM20,BB20&lt;$AR20,BB20&lt;$AW20,BB20&lt;$BG20,BB20&lt;$BL20),5,
IF(AND(AZ2=$C2,BB20=$C20,BD2=TRUE,BB20&lt;$I20,BB20&lt;$N20,BB20&lt;$S20,BB20&lt;$X20,BB20&lt;$AC20,BB20&lt;$AH20,BB20&lt;$AM20,BB20&lt;$AR20,BB20&lt;$AW20,BB20&lt;$BG20,BB20&lt;$BL20),3,
IF(AND(AZ2=$C2,BB20=$C20,$C20=0,OR(BB20=$I20,BB20=$N20,BB20=$S20,BB20=$X20,BB20=$AC20,BB20=$AH20,BB20=$AM20,BB20=$AR20,BB20=$AW20,BB20=$BG20,BB20=$BL20)),2.5,
IF(AND(AZ2=$C2,BB20=$C20,BD2=TRUE,OR(BB20=$I20,BB20=$N20,BB20=$S20,BB20=$X20,BB20=$AC20,BB20=$AH20,BB20=$AM20,BB20=$AR20,BB20=$AW20,BB20=$BG20,BB20=$BL20)),1.5,
IF(AND(AZ2=$C2,BB20=$C20,BB20&lt;$I20,BB20&lt;$N20,BB20&lt;$S20,BB20&lt;$X20,BB20&lt;$AC20,BB20&lt;$AH20,BB20&lt;$AM20,BB20&lt;$AR20,BB20&lt;$AW20,BB20&lt;$BG20,BB20&lt;$BL20),1,
IF(AND(AZ2=$C2,BB20=$C20,OR(BB20=$I20,BB20=$N20,BB20=$S20,BB20=$X20,BB20=$AC20,BB20=$AH20,BB20=$AM20,BB20=$AR20,BB20=$AW20,BB20=$BG20,BB20=$BL20)),0.5,
0)))))))),
IF(AND(BD20=TRUE,BD2=TRUE),3,
IF(AND(BD20=TRUE,BD2=FALSE),1,
IF(BD20="",0)))
)</f>
        <v>0</v>
      </c>
      <c r="BD20" s="41" t="str">
        <f t="shared" ref="BD20:BD33" si="63">IF($C2="","",
IF(AZ2=$C2,TRUE,FALSE))</f>
        <v/>
      </c>
      <c r="BE20" s="43" t="str">
        <f t="shared" ref="BE20:BE33" si="64">IF(BE2=C2,ABS(BG2-E2),"")</f>
        <v/>
      </c>
      <c r="BF20" s="43" t="str">
        <f t="shared" ref="BF20:BF33" si="65">IF(BE2=C2,ABS(BH2-F2),"")</f>
        <v/>
      </c>
      <c r="BG20" s="44" t="str">
        <f t="shared" ref="BG20:BG33" si="66">IF(BE2=C2,SUM(BE20,BF20),"")</f>
        <v/>
      </c>
      <c r="BH20" s="45">
        <f t="shared" ref="BH20:BH33" si="67">SUM(IF(AND(BE2=$C2,BG20=$C20,$C20=0,BI2=TRUE,BG20&lt;$I20,BG20&lt;$N20,BG20&lt;$S20,BG20&lt;$X20,BG20&lt;$AC20,BG20&lt;$AH20,BG20&lt;$AM20,BG20&lt;$AR20,BG20&lt;$AW20,BG20&lt;$BB20,BG20&lt;$BL20),15,
IF(AND(BE2=$C2,BG20=$C20,$C20=0,BI2=TRUE,OR(BG20=$I20,BG20=$N20,BG20=$S20,BG20=$X20,BG20=$AC20,BG20=$AH20,BG20=$AM20,BG20=$AR20,BG20=$AW20,BG20=$BB20,BG20=$BL20)),7.5,
IF(AND(BE2=$C2,BG20=$C20,$C20=0,BG20&lt;$I20,BG20&lt;$N20,BG20&lt;$S20,BG20&lt;$X20,BG20&lt;$AC20,BG20&lt;$AH20,BG20&lt;$AM20,BG20&lt;$AR20,BG20&lt;$AW20,BG20&lt;$BB20,BG20&lt;$BL20),5,
IF(AND(BE2=$C2,BG20=$C20,BI2=TRUE,BG20&lt;$I20,BG20&lt;$N20,BG20&lt;$S20,BG20&lt;$X20,BG20&lt;$AC20,BG20&lt;$AH20,BG20&lt;$AM20,BG20&lt;$AR20,BG20&lt;$AW20,BG20&lt;$BB20,BG20&lt;$BL20),3,
IF(AND(BE2=$C2,BG20=$C20,$C20=0,OR(BG20=$I20,BG20=$N20,BG20=$S20,BG20=$X20,BG20=$AC20,BG20=$AH20,BG20=$AM20,BG20=$AR20,BG20=$AW20,BG20=$BB20,BG20=$BL20)),2.5,
IF(AND(BE2=$C2,BG20=$C20,BI2=TRUE,OR(BG20=$I20,BG20=$N20,BG20=$S20,BG20=$X20,BG20=$AC20,BG20=$AH20,BG20=$AM20,BG20=$AR20,BG20=$AW20,BG20=$BB20,BG20=$BL20)),1.5,
IF(AND(BE2=$C2,BG20=$C20,BG20&lt;$I20,BG20&lt;$N20,BG20&lt;$S20,BG20&lt;$X20,BG20&lt;$AC20,BG20&lt;$AH20,BG20&lt;$AM20,BG20&lt;$AR20,BG20&lt;$AW20,BG20&lt;$BB20,BG20&lt;$BL20),1,
IF(AND(BE2=$C2,BG20=$C20,OR(BG20=$I20,BG20=$N20,BG20=$S20,BG20=$X20,BG20=$AC20,BG20=$AH20,BG20=$AM20,BG20=$AR20,BG20=$AW20,BG20=$BB20,BG20=$BL20)),0.5,
0)))))))),
IF(AND(BI20=TRUE,BI2=TRUE),3,
IF(AND(BI20=TRUE,BI2=FALSE),1,
IF(BI20="",0)))
)</f>
        <v>0</v>
      </c>
      <c r="BI20" s="41" t="str">
        <f t="shared" ref="BI20:BI33" si="68">IF($C2="","",
IF(BE2=$C2,TRUE,FALSE))</f>
        <v/>
      </c>
      <c r="BJ20" s="43" t="str">
        <f t="shared" ref="BJ20:BJ33" si="69">IF(BJ2=C2,ABS(BL2-E2),"")</f>
        <v/>
      </c>
      <c r="BK20" s="43" t="str">
        <f t="shared" ref="BK20:BK33" si="70">IF(BJ2=C2,ABS(BM2-F2),"")</f>
        <v/>
      </c>
      <c r="BL20" s="44" t="str">
        <f t="shared" ref="BL20:BL33" si="71">IF(BJ2=C2,SUM(BJ20,BK20),"")</f>
        <v/>
      </c>
      <c r="BM20" s="45">
        <f t="shared" ref="BM20:BM33" si="72">SUM(IF(AND(BJ2=$C2,BL20=$C20,$C20=0,BN2=TRUE,BL20&lt;$I20,BL20&lt;$N20,BL20&lt;$S20,BL20&lt;$X20,BL20&lt;$AC20,BL20&lt;$AH20,BL20&lt;$AM20,BL20&lt;$AR20,BL20&lt;$AW20,BL20&lt;$BB20,BL20&lt;$BG20),15,
IF(AND(BJ2=$C2,BL20=$C20,$C20=0,BN2=TRUE,OR(BL20=$I20,BL20=$N20,BL20=$S20,BL20=$X20,BL20=$AC20,BL20=$AH20,BL20=$AM20,BL20=$AR20,BL20=$AW20,BL20=$BB20,BL20=$BG20)),7.5,
IF(AND(BJ2=$C2,BL20=$C20,$C20=0,BL20&lt;$I20,BL20&lt;$N20,BL20&lt;$S20,BL20&lt;$X20,BL20&lt;$AC20,BL20&lt;$AH20,BL20&lt;$AM20,BL20&lt;$AR20,BL20&lt;$AW20,BL20&lt;$BB20,BL20&lt;$BG20),5,
IF(AND(BJ2=$C2,BL20=$C20,BN2=TRUE,BL20&lt;$I20,BL20&lt;$N20,BL20&lt;$S20,BL20&lt;$X20,BL20&lt;$AC20,BL20&lt;$AH20,BL20&lt;$AM20,BL20&lt;$AR20,BL20&lt;$AW20,BL20&lt;$BB20,BL20&lt;$BG20),3,
IF(AND(BJ2=$C2,BL20=$C20,$C20=0,OR(BL20=$I20,BL20=$N20,BL20=$S20,BL20=$X20,BL20=$AC20,BL20=$AH20,BL20=$AM20,BL20=$AR20,BL20=$AW20,BL20=$BB20,BL20=$BG20)),2.5,
IF(AND(BJ2=$C2,BL20=$C20,BN2=TRUE,OR(BL20=$I20,BL20=$N20,BL20=$S20,BL20=$X20,BL20=$AC20,BL20=$AH20,BL20=$AM20,BL20=$AR20,BL20=$AW20,BL20=$BB20,BL20=$BG20)),1.5,
IF(AND(BJ2=$C2,BL20=$C20,BL20&lt;$I20,BL20&lt;$N20,BL20&lt;$S20,BL20&lt;$X20,BL20&lt;$AC20,BL20&lt;$AH20,BL20&lt;$AM20,BL20&lt;$AR20,BL20&lt;$AW20,BL20&lt;$BB20,BL20&lt;$BG20),1,
IF(AND(BJ2=$C2,BL20=$C20,OR(BL20=$I20,BL20=$N20,BL20=$S20,BL20=$X20,BL20=$AC20,BL20=$AH20,BL20=$AM20,BL20=$AR20,BL20=$AW20,BL20=$BB20,BL20=$BG20)),0.5,
0)))))))),
IF(AND(BN20=TRUE,BN2=TRUE),3,
IF(AND(BN20=TRUE,BN2=FALSE),1,
IF(BN20="",0)))
)</f>
        <v>0</v>
      </c>
      <c r="BN20" s="41" t="str">
        <f t="shared" ref="BN20:BN33" si="73">IF($C2="","",
IF(BJ2=$C2,TRUE,FALSE))</f>
        <v/>
      </c>
      <c r="BO20" s="41"/>
      <c r="BP20" s="41"/>
      <c r="BQ20" s="41"/>
    </row>
    <row r="21" hidden="1">
      <c r="A21" s="40"/>
      <c r="B21" s="40"/>
      <c r="C21" s="46">
        <f t="shared" si="13"/>
        <v>0</v>
      </c>
      <c r="D21" s="40"/>
      <c r="E21" s="40"/>
      <c r="F21" s="40"/>
      <c r="G21" s="43" t="str">
        <f t="shared" si="14"/>
        <v/>
      </c>
      <c r="H21" s="43" t="str">
        <f t="shared" si="15"/>
        <v/>
      </c>
      <c r="I21" s="44" t="str">
        <f t="shared" si="16"/>
        <v/>
      </c>
      <c r="J21" s="45">
        <f t="shared" si="17"/>
        <v>0</v>
      </c>
      <c r="K21" s="41" t="str">
        <f t="shared" si="18"/>
        <v/>
      </c>
      <c r="L21" s="43" t="str">
        <f t="shared" si="19"/>
        <v/>
      </c>
      <c r="M21" s="43" t="str">
        <f t="shared" si="20"/>
        <v/>
      </c>
      <c r="N21" s="44" t="str">
        <f t="shared" si="21"/>
        <v/>
      </c>
      <c r="O21" s="45">
        <f t="shared" si="22"/>
        <v>0</v>
      </c>
      <c r="P21" s="41" t="str">
        <f t="shared" si="23"/>
        <v/>
      </c>
      <c r="Q21" s="43" t="str">
        <f t="shared" si="24"/>
        <v/>
      </c>
      <c r="R21" s="43" t="str">
        <f t="shared" si="25"/>
        <v/>
      </c>
      <c r="S21" s="44" t="str">
        <f t="shared" si="26"/>
        <v/>
      </c>
      <c r="T21" s="45">
        <f t="shared" si="27"/>
        <v>0</v>
      </c>
      <c r="U21" s="41" t="str">
        <f t="shared" si="28"/>
        <v/>
      </c>
      <c r="V21" s="43" t="str">
        <f t="shared" si="29"/>
        <v/>
      </c>
      <c r="W21" s="43" t="str">
        <f t="shared" si="30"/>
        <v/>
      </c>
      <c r="X21" s="44" t="str">
        <f t="shared" si="31"/>
        <v/>
      </c>
      <c r="Y21" s="45">
        <f t="shared" si="32"/>
        <v>0</v>
      </c>
      <c r="Z21" s="41" t="str">
        <f t="shared" si="33"/>
        <v/>
      </c>
      <c r="AA21" s="43" t="str">
        <f t="shared" si="34"/>
        <v/>
      </c>
      <c r="AB21" s="43" t="str">
        <f t="shared" si="35"/>
        <v/>
      </c>
      <c r="AC21" s="44" t="str">
        <f t="shared" si="36"/>
        <v/>
      </c>
      <c r="AD21" s="45">
        <f t="shared" si="37"/>
        <v>0</v>
      </c>
      <c r="AE21" s="41" t="str">
        <f t="shared" si="38"/>
        <v/>
      </c>
      <c r="AF21" s="43" t="str">
        <f t="shared" si="39"/>
        <v/>
      </c>
      <c r="AG21" s="43" t="str">
        <f t="shared" si="40"/>
        <v/>
      </c>
      <c r="AH21" s="44" t="str">
        <f t="shared" si="41"/>
        <v/>
      </c>
      <c r="AI21" s="45">
        <f t="shared" si="42"/>
        <v>0</v>
      </c>
      <c r="AJ21" s="41" t="str">
        <f t="shared" si="43"/>
        <v/>
      </c>
      <c r="AK21" s="43" t="str">
        <f t="shared" si="44"/>
        <v/>
      </c>
      <c r="AL21" s="43" t="str">
        <f t="shared" si="45"/>
        <v/>
      </c>
      <c r="AM21" s="44" t="str">
        <f t="shared" si="46"/>
        <v/>
      </c>
      <c r="AN21" s="45">
        <f t="shared" si="47"/>
        <v>0</v>
      </c>
      <c r="AO21" s="41" t="str">
        <f t="shared" si="48"/>
        <v/>
      </c>
      <c r="AP21" s="43" t="str">
        <f t="shared" si="49"/>
        <v/>
      </c>
      <c r="AQ21" s="43" t="str">
        <f t="shared" si="50"/>
        <v/>
      </c>
      <c r="AR21" s="44" t="str">
        <f t="shared" si="51"/>
        <v/>
      </c>
      <c r="AS21" s="45">
        <f t="shared" si="52"/>
        <v>0</v>
      </c>
      <c r="AT21" s="41" t="str">
        <f t="shared" si="53"/>
        <v/>
      </c>
      <c r="AU21" s="43" t="str">
        <f t="shared" si="54"/>
        <v/>
      </c>
      <c r="AV21" s="43" t="str">
        <f t="shared" si="55"/>
        <v/>
      </c>
      <c r="AW21" s="44" t="str">
        <f t="shared" si="56"/>
        <v/>
      </c>
      <c r="AX21" s="45">
        <f t="shared" si="57"/>
        <v>0</v>
      </c>
      <c r="AY21" s="41" t="str">
        <f t="shared" si="58"/>
        <v/>
      </c>
      <c r="AZ21" s="43" t="str">
        <f t="shared" si="59"/>
        <v/>
      </c>
      <c r="BA21" s="43" t="str">
        <f t="shared" si="60"/>
        <v/>
      </c>
      <c r="BB21" s="44" t="str">
        <f t="shared" si="61"/>
        <v/>
      </c>
      <c r="BC21" s="45">
        <f t="shared" si="62"/>
        <v>0</v>
      </c>
      <c r="BD21" s="41" t="str">
        <f t="shared" si="63"/>
        <v/>
      </c>
      <c r="BE21" s="43" t="str">
        <f t="shared" si="64"/>
        <v/>
      </c>
      <c r="BF21" s="43" t="str">
        <f t="shared" si="65"/>
        <v/>
      </c>
      <c r="BG21" s="44" t="str">
        <f t="shared" si="66"/>
        <v/>
      </c>
      <c r="BH21" s="45">
        <f t="shared" si="67"/>
        <v>0</v>
      </c>
      <c r="BI21" s="41" t="str">
        <f t="shared" si="68"/>
        <v/>
      </c>
      <c r="BJ21" s="43" t="str">
        <f t="shared" si="69"/>
        <v/>
      </c>
      <c r="BK21" s="43" t="str">
        <f t="shared" si="70"/>
        <v/>
      </c>
      <c r="BL21" s="44" t="str">
        <f t="shared" si="71"/>
        <v/>
      </c>
      <c r="BM21" s="45">
        <f t="shared" si="72"/>
        <v>0</v>
      </c>
      <c r="BN21" s="41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0"/>
      <c r="E22" s="40"/>
      <c r="F22" s="40"/>
      <c r="G22" s="43" t="str">
        <f t="shared" si="14"/>
        <v/>
      </c>
      <c r="H22" s="43" t="str">
        <f t="shared" si="15"/>
        <v/>
      </c>
      <c r="I22" s="44" t="str">
        <f t="shared" si="16"/>
        <v/>
      </c>
      <c r="J22" s="45">
        <f t="shared" si="17"/>
        <v>0</v>
      </c>
      <c r="K22" s="41" t="str">
        <f t="shared" si="18"/>
        <v/>
      </c>
      <c r="L22" s="43" t="str">
        <f t="shared" si="19"/>
        <v/>
      </c>
      <c r="M22" s="43" t="str">
        <f t="shared" si="20"/>
        <v/>
      </c>
      <c r="N22" s="44" t="str">
        <f t="shared" si="21"/>
        <v/>
      </c>
      <c r="O22" s="45">
        <f t="shared" si="22"/>
        <v>0</v>
      </c>
      <c r="P22" s="41" t="str">
        <f t="shared" si="23"/>
        <v/>
      </c>
      <c r="Q22" s="43" t="str">
        <f t="shared" si="24"/>
        <v/>
      </c>
      <c r="R22" s="43" t="str">
        <f t="shared" si="25"/>
        <v/>
      </c>
      <c r="S22" s="44" t="str">
        <f t="shared" si="26"/>
        <v/>
      </c>
      <c r="T22" s="45">
        <f t="shared" si="27"/>
        <v>0</v>
      </c>
      <c r="U22" s="41" t="str">
        <f t="shared" si="28"/>
        <v/>
      </c>
      <c r="V22" s="43" t="str">
        <f t="shared" si="29"/>
        <v/>
      </c>
      <c r="W22" s="43" t="str">
        <f t="shared" si="30"/>
        <v/>
      </c>
      <c r="X22" s="44" t="str">
        <f t="shared" si="31"/>
        <v/>
      </c>
      <c r="Y22" s="45">
        <f t="shared" si="32"/>
        <v>0</v>
      </c>
      <c r="Z22" s="41" t="str">
        <f t="shared" si="33"/>
        <v/>
      </c>
      <c r="AA22" s="43" t="str">
        <f t="shared" si="34"/>
        <v/>
      </c>
      <c r="AB22" s="43" t="str">
        <f t="shared" si="35"/>
        <v/>
      </c>
      <c r="AC22" s="44" t="str">
        <f t="shared" si="36"/>
        <v/>
      </c>
      <c r="AD22" s="45">
        <f t="shared" si="37"/>
        <v>0</v>
      </c>
      <c r="AE22" s="41" t="str">
        <f t="shared" si="38"/>
        <v/>
      </c>
      <c r="AF22" s="43" t="str">
        <f t="shared" si="39"/>
        <v/>
      </c>
      <c r="AG22" s="43" t="str">
        <f t="shared" si="40"/>
        <v/>
      </c>
      <c r="AH22" s="44" t="str">
        <f t="shared" si="41"/>
        <v/>
      </c>
      <c r="AI22" s="45">
        <f t="shared" si="42"/>
        <v>0</v>
      </c>
      <c r="AJ22" s="41" t="str">
        <f t="shared" si="43"/>
        <v/>
      </c>
      <c r="AK22" s="43" t="str">
        <f t="shared" si="44"/>
        <v/>
      </c>
      <c r="AL22" s="43" t="str">
        <f t="shared" si="45"/>
        <v/>
      </c>
      <c r="AM22" s="44" t="str">
        <f t="shared" si="46"/>
        <v/>
      </c>
      <c r="AN22" s="45">
        <f t="shared" si="47"/>
        <v>0</v>
      </c>
      <c r="AO22" s="41" t="str">
        <f t="shared" si="48"/>
        <v/>
      </c>
      <c r="AP22" s="43" t="str">
        <f t="shared" si="49"/>
        <v/>
      </c>
      <c r="AQ22" s="43" t="str">
        <f t="shared" si="50"/>
        <v/>
      </c>
      <c r="AR22" s="44" t="str">
        <f t="shared" si="51"/>
        <v/>
      </c>
      <c r="AS22" s="45">
        <f t="shared" si="52"/>
        <v>0</v>
      </c>
      <c r="AT22" s="41" t="str">
        <f t="shared" si="53"/>
        <v/>
      </c>
      <c r="AU22" s="43" t="str">
        <f t="shared" si="54"/>
        <v/>
      </c>
      <c r="AV22" s="43" t="str">
        <f t="shared" si="55"/>
        <v/>
      </c>
      <c r="AW22" s="44" t="str">
        <f t="shared" si="56"/>
        <v/>
      </c>
      <c r="AX22" s="45">
        <f t="shared" si="57"/>
        <v>0</v>
      </c>
      <c r="AY22" s="41" t="str">
        <f t="shared" si="58"/>
        <v/>
      </c>
      <c r="AZ22" s="43" t="str">
        <f t="shared" si="59"/>
        <v/>
      </c>
      <c r="BA22" s="43" t="str">
        <f t="shared" si="60"/>
        <v/>
      </c>
      <c r="BB22" s="44" t="str">
        <f t="shared" si="61"/>
        <v/>
      </c>
      <c r="BC22" s="45">
        <f t="shared" si="62"/>
        <v>0</v>
      </c>
      <c r="BD22" s="41" t="str">
        <f t="shared" si="63"/>
        <v/>
      </c>
      <c r="BE22" s="43" t="str">
        <f t="shared" si="64"/>
        <v/>
      </c>
      <c r="BF22" s="43" t="str">
        <f t="shared" si="65"/>
        <v/>
      </c>
      <c r="BG22" s="44" t="str">
        <f t="shared" si="66"/>
        <v/>
      </c>
      <c r="BH22" s="45">
        <f t="shared" si="67"/>
        <v>0</v>
      </c>
      <c r="BI22" s="41" t="str">
        <f t="shared" si="68"/>
        <v/>
      </c>
      <c r="BJ22" s="43" t="str">
        <f t="shared" si="69"/>
        <v/>
      </c>
      <c r="BK22" s="43" t="str">
        <f t="shared" si="70"/>
        <v/>
      </c>
      <c r="BL22" s="44" t="str">
        <f t="shared" si="71"/>
        <v/>
      </c>
      <c r="BM22" s="45">
        <f t="shared" si="72"/>
        <v>0</v>
      </c>
      <c r="BN22" s="41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0"/>
      <c r="E23" s="40"/>
      <c r="F23" s="40"/>
      <c r="G23" s="43" t="str">
        <f t="shared" si="14"/>
        <v/>
      </c>
      <c r="H23" s="43" t="str">
        <f t="shared" si="15"/>
        <v/>
      </c>
      <c r="I23" s="44" t="str">
        <f t="shared" si="16"/>
        <v/>
      </c>
      <c r="J23" s="45">
        <f t="shared" si="17"/>
        <v>0</v>
      </c>
      <c r="K23" s="41" t="str">
        <f t="shared" si="18"/>
        <v/>
      </c>
      <c r="L23" s="43" t="str">
        <f t="shared" si="19"/>
        <v/>
      </c>
      <c r="M23" s="43" t="str">
        <f t="shared" si="20"/>
        <v/>
      </c>
      <c r="N23" s="44" t="str">
        <f t="shared" si="21"/>
        <v/>
      </c>
      <c r="O23" s="45">
        <f t="shared" si="22"/>
        <v>0</v>
      </c>
      <c r="P23" s="41" t="str">
        <f t="shared" si="23"/>
        <v/>
      </c>
      <c r="Q23" s="43" t="str">
        <f t="shared" si="24"/>
        <v/>
      </c>
      <c r="R23" s="43" t="str">
        <f t="shared" si="25"/>
        <v/>
      </c>
      <c r="S23" s="44" t="str">
        <f t="shared" si="26"/>
        <v/>
      </c>
      <c r="T23" s="45">
        <f t="shared" si="27"/>
        <v>0</v>
      </c>
      <c r="U23" s="41" t="str">
        <f t="shared" si="28"/>
        <v/>
      </c>
      <c r="V23" s="43" t="str">
        <f t="shared" si="29"/>
        <v/>
      </c>
      <c r="W23" s="43" t="str">
        <f t="shared" si="30"/>
        <v/>
      </c>
      <c r="X23" s="44" t="str">
        <f t="shared" si="31"/>
        <v/>
      </c>
      <c r="Y23" s="45">
        <f t="shared" si="32"/>
        <v>0</v>
      </c>
      <c r="Z23" s="41" t="str">
        <f t="shared" si="33"/>
        <v/>
      </c>
      <c r="AA23" s="43" t="str">
        <f t="shared" si="34"/>
        <v/>
      </c>
      <c r="AB23" s="43" t="str">
        <f t="shared" si="35"/>
        <v/>
      </c>
      <c r="AC23" s="44" t="str">
        <f t="shared" si="36"/>
        <v/>
      </c>
      <c r="AD23" s="45">
        <f t="shared" si="37"/>
        <v>0</v>
      </c>
      <c r="AE23" s="41" t="str">
        <f t="shared" si="38"/>
        <v/>
      </c>
      <c r="AF23" s="43" t="str">
        <f t="shared" si="39"/>
        <v/>
      </c>
      <c r="AG23" s="43" t="str">
        <f t="shared" si="40"/>
        <v/>
      </c>
      <c r="AH23" s="44" t="str">
        <f t="shared" si="41"/>
        <v/>
      </c>
      <c r="AI23" s="45">
        <f t="shared" si="42"/>
        <v>0</v>
      </c>
      <c r="AJ23" s="41" t="str">
        <f t="shared" si="43"/>
        <v/>
      </c>
      <c r="AK23" s="43" t="str">
        <f t="shared" si="44"/>
        <v/>
      </c>
      <c r="AL23" s="43" t="str">
        <f t="shared" si="45"/>
        <v/>
      </c>
      <c r="AM23" s="44" t="str">
        <f t="shared" si="46"/>
        <v/>
      </c>
      <c r="AN23" s="45">
        <f t="shared" si="47"/>
        <v>0</v>
      </c>
      <c r="AO23" s="41" t="str">
        <f t="shared" si="48"/>
        <v/>
      </c>
      <c r="AP23" s="43" t="str">
        <f t="shared" si="49"/>
        <v/>
      </c>
      <c r="AQ23" s="43" t="str">
        <f t="shared" si="50"/>
        <v/>
      </c>
      <c r="AR23" s="44" t="str">
        <f t="shared" si="51"/>
        <v/>
      </c>
      <c r="AS23" s="45">
        <f t="shared" si="52"/>
        <v>0</v>
      </c>
      <c r="AT23" s="41" t="str">
        <f t="shared" si="53"/>
        <v/>
      </c>
      <c r="AU23" s="43" t="str">
        <f t="shared" si="54"/>
        <v/>
      </c>
      <c r="AV23" s="43" t="str">
        <f t="shared" si="55"/>
        <v/>
      </c>
      <c r="AW23" s="44" t="str">
        <f t="shared" si="56"/>
        <v/>
      </c>
      <c r="AX23" s="45">
        <f t="shared" si="57"/>
        <v>0</v>
      </c>
      <c r="AY23" s="41" t="str">
        <f t="shared" si="58"/>
        <v/>
      </c>
      <c r="AZ23" s="43" t="str">
        <f t="shared" si="59"/>
        <v/>
      </c>
      <c r="BA23" s="43" t="str">
        <f t="shared" si="60"/>
        <v/>
      </c>
      <c r="BB23" s="44" t="str">
        <f t="shared" si="61"/>
        <v/>
      </c>
      <c r="BC23" s="45">
        <f t="shared" si="62"/>
        <v>0</v>
      </c>
      <c r="BD23" s="41" t="str">
        <f t="shared" si="63"/>
        <v/>
      </c>
      <c r="BE23" s="43" t="str">
        <f t="shared" si="64"/>
        <v/>
      </c>
      <c r="BF23" s="43" t="str">
        <f t="shared" si="65"/>
        <v/>
      </c>
      <c r="BG23" s="44" t="str">
        <f t="shared" si="66"/>
        <v/>
      </c>
      <c r="BH23" s="45">
        <f t="shared" si="67"/>
        <v>0</v>
      </c>
      <c r="BI23" s="41" t="str">
        <f t="shared" si="68"/>
        <v/>
      </c>
      <c r="BJ23" s="43" t="str">
        <f t="shared" si="69"/>
        <v/>
      </c>
      <c r="BK23" s="43" t="str">
        <f t="shared" si="70"/>
        <v/>
      </c>
      <c r="BL23" s="44" t="str">
        <f t="shared" si="71"/>
        <v/>
      </c>
      <c r="BM23" s="45">
        <f t="shared" si="72"/>
        <v>0</v>
      </c>
      <c r="BN23" s="41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0"/>
      <c r="E24" s="40"/>
      <c r="F24" s="40"/>
      <c r="G24" s="43" t="str">
        <f t="shared" si="14"/>
        <v/>
      </c>
      <c r="H24" s="43" t="str">
        <f t="shared" si="15"/>
        <v/>
      </c>
      <c r="I24" s="44" t="str">
        <f t="shared" si="16"/>
        <v/>
      </c>
      <c r="J24" s="45">
        <f t="shared" si="17"/>
        <v>0</v>
      </c>
      <c r="K24" s="41" t="str">
        <f t="shared" si="18"/>
        <v/>
      </c>
      <c r="L24" s="43" t="str">
        <f t="shared" si="19"/>
        <v/>
      </c>
      <c r="M24" s="43" t="str">
        <f t="shared" si="20"/>
        <v/>
      </c>
      <c r="N24" s="44" t="str">
        <f t="shared" si="21"/>
        <v/>
      </c>
      <c r="O24" s="45">
        <f t="shared" si="22"/>
        <v>0</v>
      </c>
      <c r="P24" s="41" t="str">
        <f t="shared" si="23"/>
        <v/>
      </c>
      <c r="Q24" s="43" t="str">
        <f t="shared" si="24"/>
        <v/>
      </c>
      <c r="R24" s="43" t="str">
        <f t="shared" si="25"/>
        <v/>
      </c>
      <c r="S24" s="44" t="str">
        <f t="shared" si="26"/>
        <v/>
      </c>
      <c r="T24" s="45">
        <f t="shared" si="27"/>
        <v>0</v>
      </c>
      <c r="U24" s="41" t="str">
        <f t="shared" si="28"/>
        <v/>
      </c>
      <c r="V24" s="43" t="str">
        <f t="shared" si="29"/>
        <v/>
      </c>
      <c r="W24" s="43" t="str">
        <f t="shared" si="30"/>
        <v/>
      </c>
      <c r="X24" s="44" t="str">
        <f t="shared" si="31"/>
        <v/>
      </c>
      <c r="Y24" s="45">
        <f t="shared" si="32"/>
        <v>0</v>
      </c>
      <c r="Z24" s="41" t="str">
        <f t="shared" si="33"/>
        <v/>
      </c>
      <c r="AA24" s="43" t="str">
        <f t="shared" si="34"/>
        <v/>
      </c>
      <c r="AB24" s="43" t="str">
        <f t="shared" si="35"/>
        <v/>
      </c>
      <c r="AC24" s="44" t="str">
        <f t="shared" si="36"/>
        <v/>
      </c>
      <c r="AD24" s="45">
        <f t="shared" si="37"/>
        <v>0</v>
      </c>
      <c r="AE24" s="41" t="str">
        <f t="shared" si="38"/>
        <v/>
      </c>
      <c r="AF24" s="43" t="str">
        <f t="shared" si="39"/>
        <v/>
      </c>
      <c r="AG24" s="43" t="str">
        <f t="shared" si="40"/>
        <v/>
      </c>
      <c r="AH24" s="44" t="str">
        <f t="shared" si="41"/>
        <v/>
      </c>
      <c r="AI24" s="45">
        <f t="shared" si="42"/>
        <v>0</v>
      </c>
      <c r="AJ24" s="41" t="str">
        <f t="shared" si="43"/>
        <v/>
      </c>
      <c r="AK24" s="43" t="str">
        <f t="shared" si="44"/>
        <v/>
      </c>
      <c r="AL24" s="43" t="str">
        <f t="shared" si="45"/>
        <v/>
      </c>
      <c r="AM24" s="44" t="str">
        <f t="shared" si="46"/>
        <v/>
      </c>
      <c r="AN24" s="45">
        <f t="shared" si="47"/>
        <v>0</v>
      </c>
      <c r="AO24" s="41" t="str">
        <f t="shared" si="48"/>
        <v/>
      </c>
      <c r="AP24" s="43" t="str">
        <f t="shared" si="49"/>
        <v/>
      </c>
      <c r="AQ24" s="43" t="str">
        <f t="shared" si="50"/>
        <v/>
      </c>
      <c r="AR24" s="44" t="str">
        <f t="shared" si="51"/>
        <v/>
      </c>
      <c r="AS24" s="45">
        <f t="shared" si="52"/>
        <v>0</v>
      </c>
      <c r="AT24" s="41" t="str">
        <f t="shared" si="53"/>
        <v/>
      </c>
      <c r="AU24" s="43" t="str">
        <f t="shared" si="54"/>
        <v/>
      </c>
      <c r="AV24" s="43" t="str">
        <f t="shared" si="55"/>
        <v/>
      </c>
      <c r="AW24" s="44" t="str">
        <f t="shared" si="56"/>
        <v/>
      </c>
      <c r="AX24" s="45">
        <f t="shared" si="57"/>
        <v>0</v>
      </c>
      <c r="AY24" s="41" t="str">
        <f t="shared" si="58"/>
        <v/>
      </c>
      <c r="AZ24" s="43" t="str">
        <f t="shared" si="59"/>
        <v/>
      </c>
      <c r="BA24" s="43" t="str">
        <f t="shared" si="60"/>
        <v/>
      </c>
      <c r="BB24" s="44" t="str">
        <f t="shared" si="61"/>
        <v/>
      </c>
      <c r="BC24" s="45">
        <f t="shared" si="62"/>
        <v>0</v>
      </c>
      <c r="BD24" s="41" t="str">
        <f t="shared" si="63"/>
        <v/>
      </c>
      <c r="BE24" s="43" t="str">
        <f t="shared" si="64"/>
        <v/>
      </c>
      <c r="BF24" s="43" t="str">
        <f t="shared" si="65"/>
        <v/>
      </c>
      <c r="BG24" s="44" t="str">
        <f t="shared" si="66"/>
        <v/>
      </c>
      <c r="BH24" s="45">
        <f t="shared" si="67"/>
        <v>0</v>
      </c>
      <c r="BI24" s="41" t="str">
        <f t="shared" si="68"/>
        <v/>
      </c>
      <c r="BJ24" s="43" t="str">
        <f t="shared" si="69"/>
        <v/>
      </c>
      <c r="BK24" s="43" t="str">
        <f t="shared" si="70"/>
        <v/>
      </c>
      <c r="BL24" s="44" t="str">
        <f t="shared" si="71"/>
        <v/>
      </c>
      <c r="BM24" s="45">
        <f t="shared" si="72"/>
        <v>0</v>
      </c>
      <c r="BN24" s="41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0"/>
      <c r="E25" s="40"/>
      <c r="F25" s="40"/>
      <c r="G25" s="43" t="str">
        <f t="shared" si="14"/>
        <v/>
      </c>
      <c r="H25" s="43" t="str">
        <f t="shared" si="15"/>
        <v/>
      </c>
      <c r="I25" s="44" t="str">
        <f t="shared" si="16"/>
        <v/>
      </c>
      <c r="J25" s="45">
        <f t="shared" si="17"/>
        <v>0</v>
      </c>
      <c r="K25" s="41" t="str">
        <f t="shared" si="18"/>
        <v/>
      </c>
      <c r="L25" s="43" t="str">
        <f t="shared" si="19"/>
        <v/>
      </c>
      <c r="M25" s="43" t="str">
        <f t="shared" si="20"/>
        <v/>
      </c>
      <c r="N25" s="44" t="str">
        <f t="shared" si="21"/>
        <v/>
      </c>
      <c r="O25" s="45">
        <f t="shared" si="22"/>
        <v>0</v>
      </c>
      <c r="P25" s="41" t="str">
        <f t="shared" si="23"/>
        <v/>
      </c>
      <c r="Q25" s="43" t="str">
        <f t="shared" si="24"/>
        <v/>
      </c>
      <c r="R25" s="43" t="str">
        <f t="shared" si="25"/>
        <v/>
      </c>
      <c r="S25" s="44" t="str">
        <f t="shared" si="26"/>
        <v/>
      </c>
      <c r="T25" s="45">
        <f t="shared" si="27"/>
        <v>0</v>
      </c>
      <c r="U25" s="41" t="str">
        <f t="shared" si="28"/>
        <v/>
      </c>
      <c r="V25" s="43" t="str">
        <f t="shared" si="29"/>
        <v/>
      </c>
      <c r="W25" s="43" t="str">
        <f t="shared" si="30"/>
        <v/>
      </c>
      <c r="X25" s="44" t="str">
        <f t="shared" si="31"/>
        <v/>
      </c>
      <c r="Y25" s="45">
        <f t="shared" si="32"/>
        <v>0</v>
      </c>
      <c r="Z25" s="41" t="str">
        <f t="shared" si="33"/>
        <v/>
      </c>
      <c r="AA25" s="43" t="str">
        <f t="shared" si="34"/>
        <v/>
      </c>
      <c r="AB25" s="43" t="str">
        <f t="shared" si="35"/>
        <v/>
      </c>
      <c r="AC25" s="44" t="str">
        <f t="shared" si="36"/>
        <v/>
      </c>
      <c r="AD25" s="45">
        <f t="shared" si="37"/>
        <v>0</v>
      </c>
      <c r="AE25" s="41" t="str">
        <f t="shared" si="38"/>
        <v/>
      </c>
      <c r="AF25" s="43" t="str">
        <f t="shared" si="39"/>
        <v/>
      </c>
      <c r="AG25" s="43" t="str">
        <f t="shared" si="40"/>
        <v/>
      </c>
      <c r="AH25" s="44" t="str">
        <f t="shared" si="41"/>
        <v/>
      </c>
      <c r="AI25" s="45">
        <f t="shared" si="42"/>
        <v>0</v>
      </c>
      <c r="AJ25" s="41" t="str">
        <f t="shared" si="43"/>
        <v/>
      </c>
      <c r="AK25" s="43" t="str">
        <f t="shared" si="44"/>
        <v/>
      </c>
      <c r="AL25" s="43" t="str">
        <f t="shared" si="45"/>
        <v/>
      </c>
      <c r="AM25" s="44" t="str">
        <f t="shared" si="46"/>
        <v/>
      </c>
      <c r="AN25" s="45">
        <f t="shared" si="47"/>
        <v>0</v>
      </c>
      <c r="AO25" s="41" t="str">
        <f t="shared" si="48"/>
        <v/>
      </c>
      <c r="AP25" s="43" t="str">
        <f t="shared" si="49"/>
        <v/>
      </c>
      <c r="AQ25" s="43" t="str">
        <f t="shared" si="50"/>
        <v/>
      </c>
      <c r="AR25" s="44" t="str">
        <f t="shared" si="51"/>
        <v/>
      </c>
      <c r="AS25" s="45">
        <f t="shared" si="52"/>
        <v>0</v>
      </c>
      <c r="AT25" s="41" t="str">
        <f t="shared" si="53"/>
        <v/>
      </c>
      <c r="AU25" s="43" t="str">
        <f t="shared" si="54"/>
        <v/>
      </c>
      <c r="AV25" s="43" t="str">
        <f t="shared" si="55"/>
        <v/>
      </c>
      <c r="AW25" s="44" t="str">
        <f t="shared" si="56"/>
        <v/>
      </c>
      <c r="AX25" s="45">
        <f t="shared" si="57"/>
        <v>0</v>
      </c>
      <c r="AY25" s="41" t="str">
        <f t="shared" si="58"/>
        <v/>
      </c>
      <c r="AZ25" s="43" t="str">
        <f t="shared" si="59"/>
        <v/>
      </c>
      <c r="BA25" s="43" t="str">
        <f t="shared" si="60"/>
        <v/>
      </c>
      <c r="BB25" s="44" t="str">
        <f t="shared" si="61"/>
        <v/>
      </c>
      <c r="BC25" s="45">
        <f t="shared" si="62"/>
        <v>0</v>
      </c>
      <c r="BD25" s="41" t="str">
        <f t="shared" si="63"/>
        <v/>
      </c>
      <c r="BE25" s="43" t="str">
        <f t="shared" si="64"/>
        <v/>
      </c>
      <c r="BF25" s="43" t="str">
        <f t="shared" si="65"/>
        <v/>
      </c>
      <c r="BG25" s="44" t="str">
        <f t="shared" si="66"/>
        <v/>
      </c>
      <c r="BH25" s="45">
        <f t="shared" si="67"/>
        <v>0</v>
      </c>
      <c r="BI25" s="41" t="str">
        <f t="shared" si="68"/>
        <v/>
      </c>
      <c r="BJ25" s="43" t="str">
        <f t="shared" si="69"/>
        <v/>
      </c>
      <c r="BK25" s="43" t="str">
        <f t="shared" si="70"/>
        <v/>
      </c>
      <c r="BL25" s="44" t="str">
        <f t="shared" si="71"/>
        <v/>
      </c>
      <c r="BM25" s="45">
        <f t="shared" si="72"/>
        <v>0</v>
      </c>
      <c r="BN25" s="41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0"/>
      <c r="E26" s="40"/>
      <c r="F26" s="40"/>
      <c r="G26" s="43" t="str">
        <f t="shared" si="14"/>
        <v/>
      </c>
      <c r="H26" s="43" t="str">
        <f t="shared" si="15"/>
        <v/>
      </c>
      <c r="I26" s="44" t="str">
        <f t="shared" si="16"/>
        <v/>
      </c>
      <c r="J26" s="45">
        <f t="shared" si="17"/>
        <v>0</v>
      </c>
      <c r="K26" s="41" t="str">
        <f t="shared" si="18"/>
        <v/>
      </c>
      <c r="L26" s="43" t="str">
        <f t="shared" si="19"/>
        <v/>
      </c>
      <c r="M26" s="43" t="str">
        <f t="shared" si="20"/>
        <v/>
      </c>
      <c r="N26" s="44" t="str">
        <f t="shared" si="21"/>
        <v/>
      </c>
      <c r="O26" s="45">
        <f t="shared" si="22"/>
        <v>0</v>
      </c>
      <c r="P26" s="41" t="str">
        <f t="shared" si="23"/>
        <v/>
      </c>
      <c r="Q26" s="43" t="str">
        <f t="shared" si="24"/>
        <v/>
      </c>
      <c r="R26" s="43" t="str">
        <f t="shared" si="25"/>
        <v/>
      </c>
      <c r="S26" s="44" t="str">
        <f t="shared" si="26"/>
        <v/>
      </c>
      <c r="T26" s="45">
        <f t="shared" si="27"/>
        <v>0</v>
      </c>
      <c r="U26" s="41" t="str">
        <f t="shared" si="28"/>
        <v/>
      </c>
      <c r="V26" s="43" t="str">
        <f t="shared" si="29"/>
        <v/>
      </c>
      <c r="W26" s="43" t="str">
        <f t="shared" si="30"/>
        <v/>
      </c>
      <c r="X26" s="44" t="str">
        <f t="shared" si="31"/>
        <v/>
      </c>
      <c r="Y26" s="45">
        <f t="shared" si="32"/>
        <v>0</v>
      </c>
      <c r="Z26" s="41" t="str">
        <f t="shared" si="33"/>
        <v/>
      </c>
      <c r="AA26" s="43" t="str">
        <f t="shared" si="34"/>
        <v/>
      </c>
      <c r="AB26" s="43" t="str">
        <f t="shared" si="35"/>
        <v/>
      </c>
      <c r="AC26" s="44" t="str">
        <f t="shared" si="36"/>
        <v/>
      </c>
      <c r="AD26" s="45">
        <f t="shared" si="37"/>
        <v>0</v>
      </c>
      <c r="AE26" s="41" t="str">
        <f t="shared" si="38"/>
        <v/>
      </c>
      <c r="AF26" s="43" t="str">
        <f t="shared" si="39"/>
        <v/>
      </c>
      <c r="AG26" s="43" t="str">
        <f t="shared" si="40"/>
        <v/>
      </c>
      <c r="AH26" s="44" t="str">
        <f t="shared" si="41"/>
        <v/>
      </c>
      <c r="AI26" s="45">
        <f t="shared" si="42"/>
        <v>0</v>
      </c>
      <c r="AJ26" s="41" t="str">
        <f t="shared" si="43"/>
        <v/>
      </c>
      <c r="AK26" s="43" t="str">
        <f t="shared" si="44"/>
        <v/>
      </c>
      <c r="AL26" s="43" t="str">
        <f t="shared" si="45"/>
        <v/>
      </c>
      <c r="AM26" s="44" t="str">
        <f t="shared" si="46"/>
        <v/>
      </c>
      <c r="AN26" s="45">
        <f t="shared" si="47"/>
        <v>0</v>
      </c>
      <c r="AO26" s="41" t="str">
        <f t="shared" si="48"/>
        <v/>
      </c>
      <c r="AP26" s="43" t="str">
        <f t="shared" si="49"/>
        <v/>
      </c>
      <c r="AQ26" s="43" t="str">
        <f t="shared" si="50"/>
        <v/>
      </c>
      <c r="AR26" s="44" t="str">
        <f t="shared" si="51"/>
        <v/>
      </c>
      <c r="AS26" s="45">
        <f t="shared" si="52"/>
        <v>0</v>
      </c>
      <c r="AT26" s="41" t="str">
        <f t="shared" si="53"/>
        <v/>
      </c>
      <c r="AU26" s="43" t="str">
        <f t="shared" si="54"/>
        <v/>
      </c>
      <c r="AV26" s="43" t="str">
        <f t="shared" si="55"/>
        <v/>
      </c>
      <c r="AW26" s="44" t="str">
        <f t="shared" si="56"/>
        <v/>
      </c>
      <c r="AX26" s="45">
        <f t="shared" si="57"/>
        <v>0</v>
      </c>
      <c r="AY26" s="41" t="str">
        <f t="shared" si="58"/>
        <v/>
      </c>
      <c r="AZ26" s="43" t="str">
        <f t="shared" si="59"/>
        <v/>
      </c>
      <c r="BA26" s="43" t="str">
        <f t="shared" si="60"/>
        <v/>
      </c>
      <c r="BB26" s="44" t="str">
        <f t="shared" si="61"/>
        <v/>
      </c>
      <c r="BC26" s="45">
        <f t="shared" si="62"/>
        <v>0</v>
      </c>
      <c r="BD26" s="41" t="str">
        <f t="shared" si="63"/>
        <v/>
      </c>
      <c r="BE26" s="43" t="str">
        <f t="shared" si="64"/>
        <v/>
      </c>
      <c r="BF26" s="43" t="str">
        <f t="shared" si="65"/>
        <v/>
      </c>
      <c r="BG26" s="44" t="str">
        <f t="shared" si="66"/>
        <v/>
      </c>
      <c r="BH26" s="45">
        <f t="shared" si="67"/>
        <v>0</v>
      </c>
      <c r="BI26" s="41" t="str">
        <f t="shared" si="68"/>
        <v/>
      </c>
      <c r="BJ26" s="43" t="str">
        <f t="shared" si="69"/>
        <v/>
      </c>
      <c r="BK26" s="43" t="str">
        <f t="shared" si="70"/>
        <v/>
      </c>
      <c r="BL26" s="44" t="str">
        <f t="shared" si="71"/>
        <v/>
      </c>
      <c r="BM26" s="45">
        <f t="shared" si="72"/>
        <v>0</v>
      </c>
      <c r="BN26" s="41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0"/>
      <c r="E27" s="40"/>
      <c r="F27" s="40"/>
      <c r="G27" s="43" t="str">
        <f t="shared" si="14"/>
        <v/>
      </c>
      <c r="H27" s="43" t="str">
        <f t="shared" si="15"/>
        <v/>
      </c>
      <c r="I27" s="44" t="str">
        <f t="shared" si="16"/>
        <v/>
      </c>
      <c r="J27" s="45">
        <f t="shared" si="17"/>
        <v>0</v>
      </c>
      <c r="K27" s="41" t="str">
        <f t="shared" si="18"/>
        <v/>
      </c>
      <c r="L27" s="43" t="str">
        <f t="shared" si="19"/>
        <v/>
      </c>
      <c r="M27" s="43" t="str">
        <f t="shared" si="20"/>
        <v/>
      </c>
      <c r="N27" s="44" t="str">
        <f t="shared" si="21"/>
        <v/>
      </c>
      <c r="O27" s="45">
        <f t="shared" si="22"/>
        <v>0</v>
      </c>
      <c r="P27" s="41" t="str">
        <f t="shared" si="23"/>
        <v/>
      </c>
      <c r="Q27" s="43" t="str">
        <f t="shared" si="24"/>
        <v/>
      </c>
      <c r="R27" s="43" t="str">
        <f t="shared" si="25"/>
        <v/>
      </c>
      <c r="S27" s="44" t="str">
        <f t="shared" si="26"/>
        <v/>
      </c>
      <c r="T27" s="45">
        <f t="shared" si="27"/>
        <v>0</v>
      </c>
      <c r="U27" s="41" t="str">
        <f t="shared" si="28"/>
        <v/>
      </c>
      <c r="V27" s="43" t="str">
        <f t="shared" si="29"/>
        <v/>
      </c>
      <c r="W27" s="43" t="str">
        <f t="shared" si="30"/>
        <v/>
      </c>
      <c r="X27" s="44" t="str">
        <f t="shared" si="31"/>
        <v/>
      </c>
      <c r="Y27" s="45">
        <f t="shared" si="32"/>
        <v>0</v>
      </c>
      <c r="Z27" s="41" t="str">
        <f t="shared" si="33"/>
        <v/>
      </c>
      <c r="AA27" s="43" t="str">
        <f t="shared" si="34"/>
        <v/>
      </c>
      <c r="AB27" s="43" t="str">
        <f t="shared" si="35"/>
        <v/>
      </c>
      <c r="AC27" s="44" t="str">
        <f t="shared" si="36"/>
        <v/>
      </c>
      <c r="AD27" s="45">
        <f t="shared" si="37"/>
        <v>0</v>
      </c>
      <c r="AE27" s="41" t="str">
        <f t="shared" si="38"/>
        <v/>
      </c>
      <c r="AF27" s="43" t="str">
        <f t="shared" si="39"/>
        <v/>
      </c>
      <c r="AG27" s="43" t="str">
        <f t="shared" si="40"/>
        <v/>
      </c>
      <c r="AH27" s="44" t="str">
        <f t="shared" si="41"/>
        <v/>
      </c>
      <c r="AI27" s="45">
        <f t="shared" si="42"/>
        <v>0</v>
      </c>
      <c r="AJ27" s="41" t="str">
        <f t="shared" si="43"/>
        <v/>
      </c>
      <c r="AK27" s="43" t="str">
        <f t="shared" si="44"/>
        <v/>
      </c>
      <c r="AL27" s="43" t="str">
        <f t="shared" si="45"/>
        <v/>
      </c>
      <c r="AM27" s="44" t="str">
        <f t="shared" si="46"/>
        <v/>
      </c>
      <c r="AN27" s="45">
        <f t="shared" si="47"/>
        <v>0</v>
      </c>
      <c r="AO27" s="41" t="str">
        <f t="shared" si="48"/>
        <v/>
      </c>
      <c r="AP27" s="43" t="str">
        <f t="shared" si="49"/>
        <v/>
      </c>
      <c r="AQ27" s="43" t="str">
        <f t="shared" si="50"/>
        <v/>
      </c>
      <c r="AR27" s="44" t="str">
        <f t="shared" si="51"/>
        <v/>
      </c>
      <c r="AS27" s="45">
        <f t="shared" si="52"/>
        <v>0</v>
      </c>
      <c r="AT27" s="41" t="str">
        <f t="shared" si="53"/>
        <v/>
      </c>
      <c r="AU27" s="43" t="str">
        <f t="shared" si="54"/>
        <v/>
      </c>
      <c r="AV27" s="43" t="str">
        <f t="shared" si="55"/>
        <v/>
      </c>
      <c r="AW27" s="44" t="str">
        <f t="shared" si="56"/>
        <v/>
      </c>
      <c r="AX27" s="45">
        <f t="shared" si="57"/>
        <v>0</v>
      </c>
      <c r="AY27" s="41" t="str">
        <f t="shared" si="58"/>
        <v/>
      </c>
      <c r="AZ27" s="43" t="str">
        <f t="shared" si="59"/>
        <v/>
      </c>
      <c r="BA27" s="43" t="str">
        <f t="shared" si="60"/>
        <v/>
      </c>
      <c r="BB27" s="44" t="str">
        <f t="shared" si="61"/>
        <v/>
      </c>
      <c r="BC27" s="45">
        <f t="shared" si="62"/>
        <v>0</v>
      </c>
      <c r="BD27" s="41" t="str">
        <f t="shared" si="63"/>
        <v/>
      </c>
      <c r="BE27" s="43" t="str">
        <f t="shared" si="64"/>
        <v/>
      </c>
      <c r="BF27" s="43" t="str">
        <f t="shared" si="65"/>
        <v/>
      </c>
      <c r="BG27" s="44" t="str">
        <f t="shared" si="66"/>
        <v/>
      </c>
      <c r="BH27" s="45">
        <f t="shared" si="67"/>
        <v>0</v>
      </c>
      <c r="BI27" s="41" t="str">
        <f t="shared" si="68"/>
        <v/>
      </c>
      <c r="BJ27" s="43" t="str">
        <f t="shared" si="69"/>
        <v/>
      </c>
      <c r="BK27" s="43" t="str">
        <f t="shared" si="70"/>
        <v/>
      </c>
      <c r="BL27" s="44" t="str">
        <f t="shared" si="71"/>
        <v/>
      </c>
      <c r="BM27" s="45">
        <f t="shared" si="72"/>
        <v>0</v>
      </c>
      <c r="BN27" s="41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0"/>
      <c r="E28" s="40"/>
      <c r="F28" s="40"/>
      <c r="G28" s="43" t="str">
        <f t="shared" si="14"/>
        <v/>
      </c>
      <c r="H28" s="43" t="str">
        <f t="shared" si="15"/>
        <v/>
      </c>
      <c r="I28" s="44" t="str">
        <f t="shared" si="16"/>
        <v/>
      </c>
      <c r="J28" s="45">
        <f t="shared" si="17"/>
        <v>0</v>
      </c>
      <c r="K28" s="41" t="str">
        <f t="shared" si="18"/>
        <v/>
      </c>
      <c r="L28" s="43" t="str">
        <f t="shared" si="19"/>
        <v/>
      </c>
      <c r="M28" s="43" t="str">
        <f t="shared" si="20"/>
        <v/>
      </c>
      <c r="N28" s="44" t="str">
        <f t="shared" si="21"/>
        <v/>
      </c>
      <c r="O28" s="45">
        <f t="shared" si="22"/>
        <v>0</v>
      </c>
      <c r="P28" s="41" t="str">
        <f t="shared" si="23"/>
        <v/>
      </c>
      <c r="Q28" s="43" t="str">
        <f t="shared" si="24"/>
        <v/>
      </c>
      <c r="R28" s="43" t="str">
        <f t="shared" si="25"/>
        <v/>
      </c>
      <c r="S28" s="44" t="str">
        <f t="shared" si="26"/>
        <v/>
      </c>
      <c r="T28" s="45">
        <f t="shared" si="27"/>
        <v>0</v>
      </c>
      <c r="U28" s="41" t="str">
        <f t="shared" si="28"/>
        <v/>
      </c>
      <c r="V28" s="43" t="str">
        <f t="shared" si="29"/>
        <v/>
      </c>
      <c r="W28" s="43" t="str">
        <f t="shared" si="30"/>
        <v/>
      </c>
      <c r="X28" s="44" t="str">
        <f t="shared" si="31"/>
        <v/>
      </c>
      <c r="Y28" s="45">
        <f t="shared" si="32"/>
        <v>0</v>
      </c>
      <c r="Z28" s="41" t="str">
        <f t="shared" si="33"/>
        <v/>
      </c>
      <c r="AA28" s="43" t="str">
        <f t="shared" si="34"/>
        <v/>
      </c>
      <c r="AB28" s="43" t="str">
        <f t="shared" si="35"/>
        <v/>
      </c>
      <c r="AC28" s="44" t="str">
        <f t="shared" si="36"/>
        <v/>
      </c>
      <c r="AD28" s="45">
        <f t="shared" si="37"/>
        <v>0</v>
      </c>
      <c r="AE28" s="41" t="str">
        <f t="shared" si="38"/>
        <v/>
      </c>
      <c r="AF28" s="43" t="str">
        <f t="shared" si="39"/>
        <v/>
      </c>
      <c r="AG28" s="43" t="str">
        <f t="shared" si="40"/>
        <v/>
      </c>
      <c r="AH28" s="44" t="str">
        <f t="shared" si="41"/>
        <v/>
      </c>
      <c r="AI28" s="45">
        <f t="shared" si="42"/>
        <v>0</v>
      </c>
      <c r="AJ28" s="41" t="str">
        <f t="shared" si="43"/>
        <v/>
      </c>
      <c r="AK28" s="43" t="str">
        <f t="shared" si="44"/>
        <v/>
      </c>
      <c r="AL28" s="43" t="str">
        <f t="shared" si="45"/>
        <v/>
      </c>
      <c r="AM28" s="44" t="str">
        <f t="shared" si="46"/>
        <v/>
      </c>
      <c r="AN28" s="45">
        <f t="shared" si="47"/>
        <v>0</v>
      </c>
      <c r="AO28" s="41" t="str">
        <f t="shared" si="48"/>
        <v/>
      </c>
      <c r="AP28" s="43" t="str">
        <f t="shared" si="49"/>
        <v/>
      </c>
      <c r="AQ28" s="43" t="str">
        <f t="shared" si="50"/>
        <v/>
      </c>
      <c r="AR28" s="44" t="str">
        <f t="shared" si="51"/>
        <v/>
      </c>
      <c r="AS28" s="45">
        <f t="shared" si="52"/>
        <v>0</v>
      </c>
      <c r="AT28" s="41" t="str">
        <f t="shared" si="53"/>
        <v/>
      </c>
      <c r="AU28" s="43" t="str">
        <f t="shared" si="54"/>
        <v/>
      </c>
      <c r="AV28" s="43" t="str">
        <f t="shared" si="55"/>
        <v/>
      </c>
      <c r="AW28" s="44" t="str">
        <f t="shared" si="56"/>
        <v/>
      </c>
      <c r="AX28" s="45">
        <f t="shared" si="57"/>
        <v>0</v>
      </c>
      <c r="AY28" s="41" t="str">
        <f t="shared" si="58"/>
        <v/>
      </c>
      <c r="AZ28" s="43" t="str">
        <f t="shared" si="59"/>
        <v/>
      </c>
      <c r="BA28" s="43" t="str">
        <f t="shared" si="60"/>
        <v/>
      </c>
      <c r="BB28" s="44" t="str">
        <f t="shared" si="61"/>
        <v/>
      </c>
      <c r="BC28" s="45">
        <f t="shared" si="62"/>
        <v>0</v>
      </c>
      <c r="BD28" s="41" t="str">
        <f t="shared" si="63"/>
        <v/>
      </c>
      <c r="BE28" s="43" t="str">
        <f t="shared" si="64"/>
        <v/>
      </c>
      <c r="BF28" s="43" t="str">
        <f t="shared" si="65"/>
        <v/>
      </c>
      <c r="BG28" s="44" t="str">
        <f t="shared" si="66"/>
        <v/>
      </c>
      <c r="BH28" s="45">
        <f t="shared" si="67"/>
        <v>0</v>
      </c>
      <c r="BI28" s="41" t="str">
        <f t="shared" si="68"/>
        <v/>
      </c>
      <c r="BJ28" s="43" t="str">
        <f t="shared" si="69"/>
        <v/>
      </c>
      <c r="BK28" s="43" t="str">
        <f t="shared" si="70"/>
        <v/>
      </c>
      <c r="BL28" s="44" t="str">
        <f t="shared" si="71"/>
        <v/>
      </c>
      <c r="BM28" s="45">
        <f t="shared" si="72"/>
        <v>0</v>
      </c>
      <c r="BN28" s="41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0"/>
      <c r="E29" s="40"/>
      <c r="F29" s="40"/>
      <c r="G29" s="43" t="str">
        <f t="shared" si="14"/>
        <v/>
      </c>
      <c r="H29" s="43" t="str">
        <f t="shared" si="15"/>
        <v/>
      </c>
      <c r="I29" s="44" t="str">
        <f t="shared" si="16"/>
        <v/>
      </c>
      <c r="J29" s="45">
        <f t="shared" si="17"/>
        <v>0</v>
      </c>
      <c r="K29" s="41" t="str">
        <f t="shared" si="18"/>
        <v/>
      </c>
      <c r="L29" s="43" t="str">
        <f t="shared" si="19"/>
        <v/>
      </c>
      <c r="M29" s="43" t="str">
        <f t="shared" si="20"/>
        <v/>
      </c>
      <c r="N29" s="44" t="str">
        <f t="shared" si="21"/>
        <v/>
      </c>
      <c r="O29" s="45">
        <f t="shared" si="22"/>
        <v>0</v>
      </c>
      <c r="P29" s="41" t="str">
        <f t="shared" si="23"/>
        <v/>
      </c>
      <c r="Q29" s="43" t="str">
        <f t="shared" si="24"/>
        <v/>
      </c>
      <c r="R29" s="43" t="str">
        <f t="shared" si="25"/>
        <v/>
      </c>
      <c r="S29" s="44" t="str">
        <f t="shared" si="26"/>
        <v/>
      </c>
      <c r="T29" s="45">
        <f t="shared" si="27"/>
        <v>0</v>
      </c>
      <c r="U29" s="41" t="str">
        <f t="shared" si="28"/>
        <v/>
      </c>
      <c r="V29" s="43" t="str">
        <f t="shared" si="29"/>
        <v/>
      </c>
      <c r="W29" s="43" t="str">
        <f t="shared" si="30"/>
        <v/>
      </c>
      <c r="X29" s="44" t="str">
        <f t="shared" si="31"/>
        <v/>
      </c>
      <c r="Y29" s="45">
        <f t="shared" si="32"/>
        <v>0</v>
      </c>
      <c r="Z29" s="41" t="str">
        <f t="shared" si="33"/>
        <v/>
      </c>
      <c r="AA29" s="43" t="str">
        <f t="shared" si="34"/>
        <v/>
      </c>
      <c r="AB29" s="43" t="str">
        <f t="shared" si="35"/>
        <v/>
      </c>
      <c r="AC29" s="44" t="str">
        <f t="shared" si="36"/>
        <v/>
      </c>
      <c r="AD29" s="45">
        <f t="shared" si="37"/>
        <v>0</v>
      </c>
      <c r="AE29" s="41" t="str">
        <f t="shared" si="38"/>
        <v/>
      </c>
      <c r="AF29" s="43" t="str">
        <f t="shared" si="39"/>
        <v/>
      </c>
      <c r="AG29" s="43" t="str">
        <f t="shared" si="40"/>
        <v/>
      </c>
      <c r="AH29" s="44" t="str">
        <f t="shared" si="41"/>
        <v/>
      </c>
      <c r="AI29" s="45">
        <f t="shared" si="42"/>
        <v>0</v>
      </c>
      <c r="AJ29" s="41" t="str">
        <f t="shared" si="43"/>
        <v/>
      </c>
      <c r="AK29" s="43" t="str">
        <f t="shared" si="44"/>
        <v/>
      </c>
      <c r="AL29" s="43" t="str">
        <f t="shared" si="45"/>
        <v/>
      </c>
      <c r="AM29" s="44" t="str">
        <f t="shared" si="46"/>
        <v/>
      </c>
      <c r="AN29" s="45">
        <f t="shared" si="47"/>
        <v>0</v>
      </c>
      <c r="AO29" s="41" t="str">
        <f t="shared" si="48"/>
        <v/>
      </c>
      <c r="AP29" s="43" t="str">
        <f t="shared" si="49"/>
        <v/>
      </c>
      <c r="AQ29" s="43" t="str">
        <f t="shared" si="50"/>
        <v/>
      </c>
      <c r="AR29" s="44" t="str">
        <f t="shared" si="51"/>
        <v/>
      </c>
      <c r="AS29" s="45">
        <f t="shared" si="52"/>
        <v>0</v>
      </c>
      <c r="AT29" s="41" t="str">
        <f t="shared" si="53"/>
        <v/>
      </c>
      <c r="AU29" s="43" t="str">
        <f t="shared" si="54"/>
        <v/>
      </c>
      <c r="AV29" s="43" t="str">
        <f t="shared" si="55"/>
        <v/>
      </c>
      <c r="AW29" s="44" t="str">
        <f t="shared" si="56"/>
        <v/>
      </c>
      <c r="AX29" s="45">
        <f t="shared" si="57"/>
        <v>0</v>
      </c>
      <c r="AY29" s="41" t="str">
        <f t="shared" si="58"/>
        <v/>
      </c>
      <c r="AZ29" s="43" t="str">
        <f t="shared" si="59"/>
        <v/>
      </c>
      <c r="BA29" s="43" t="str">
        <f t="shared" si="60"/>
        <v/>
      </c>
      <c r="BB29" s="44" t="str">
        <f t="shared" si="61"/>
        <v/>
      </c>
      <c r="BC29" s="45">
        <f t="shared" si="62"/>
        <v>0</v>
      </c>
      <c r="BD29" s="41" t="str">
        <f t="shared" si="63"/>
        <v/>
      </c>
      <c r="BE29" s="43" t="str">
        <f t="shared" si="64"/>
        <v/>
      </c>
      <c r="BF29" s="43" t="str">
        <f t="shared" si="65"/>
        <v/>
      </c>
      <c r="BG29" s="44" t="str">
        <f t="shared" si="66"/>
        <v/>
      </c>
      <c r="BH29" s="45">
        <f t="shared" si="67"/>
        <v>0</v>
      </c>
      <c r="BI29" s="41" t="str">
        <f t="shared" si="68"/>
        <v/>
      </c>
      <c r="BJ29" s="43" t="str">
        <f t="shared" si="69"/>
        <v/>
      </c>
      <c r="BK29" s="43" t="str">
        <f t="shared" si="70"/>
        <v/>
      </c>
      <c r="BL29" s="44" t="str">
        <f t="shared" si="71"/>
        <v/>
      </c>
      <c r="BM29" s="45">
        <f t="shared" si="72"/>
        <v>0</v>
      </c>
      <c r="BN29" s="41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0"/>
      <c r="E30" s="40"/>
      <c r="F30" s="40"/>
      <c r="G30" s="43" t="str">
        <f t="shared" si="14"/>
        <v/>
      </c>
      <c r="H30" s="43" t="str">
        <f t="shared" si="15"/>
        <v/>
      </c>
      <c r="I30" s="44" t="str">
        <f t="shared" si="16"/>
        <v/>
      </c>
      <c r="J30" s="45">
        <f t="shared" si="17"/>
        <v>0</v>
      </c>
      <c r="K30" s="41" t="str">
        <f t="shared" si="18"/>
        <v/>
      </c>
      <c r="L30" s="43" t="str">
        <f t="shared" si="19"/>
        <v/>
      </c>
      <c r="M30" s="43" t="str">
        <f t="shared" si="20"/>
        <v/>
      </c>
      <c r="N30" s="44" t="str">
        <f t="shared" si="21"/>
        <v/>
      </c>
      <c r="O30" s="45">
        <f t="shared" si="22"/>
        <v>0</v>
      </c>
      <c r="P30" s="41" t="str">
        <f t="shared" si="23"/>
        <v/>
      </c>
      <c r="Q30" s="43" t="str">
        <f t="shared" si="24"/>
        <v/>
      </c>
      <c r="R30" s="43" t="str">
        <f t="shared" si="25"/>
        <v/>
      </c>
      <c r="S30" s="44" t="str">
        <f t="shared" si="26"/>
        <v/>
      </c>
      <c r="T30" s="45">
        <f t="shared" si="27"/>
        <v>0</v>
      </c>
      <c r="U30" s="41" t="str">
        <f t="shared" si="28"/>
        <v/>
      </c>
      <c r="V30" s="43" t="str">
        <f t="shared" si="29"/>
        <v/>
      </c>
      <c r="W30" s="43" t="str">
        <f t="shared" si="30"/>
        <v/>
      </c>
      <c r="X30" s="44" t="str">
        <f t="shared" si="31"/>
        <v/>
      </c>
      <c r="Y30" s="45">
        <f t="shared" si="32"/>
        <v>0</v>
      </c>
      <c r="Z30" s="41" t="str">
        <f t="shared" si="33"/>
        <v/>
      </c>
      <c r="AA30" s="43" t="str">
        <f t="shared" si="34"/>
        <v/>
      </c>
      <c r="AB30" s="43" t="str">
        <f t="shared" si="35"/>
        <v/>
      </c>
      <c r="AC30" s="44" t="str">
        <f t="shared" si="36"/>
        <v/>
      </c>
      <c r="AD30" s="45">
        <f t="shared" si="37"/>
        <v>0</v>
      </c>
      <c r="AE30" s="41" t="str">
        <f t="shared" si="38"/>
        <v/>
      </c>
      <c r="AF30" s="43" t="str">
        <f t="shared" si="39"/>
        <v/>
      </c>
      <c r="AG30" s="43" t="str">
        <f t="shared" si="40"/>
        <v/>
      </c>
      <c r="AH30" s="44" t="str">
        <f t="shared" si="41"/>
        <v/>
      </c>
      <c r="AI30" s="45">
        <f t="shared" si="42"/>
        <v>0</v>
      </c>
      <c r="AJ30" s="41" t="str">
        <f t="shared" si="43"/>
        <v/>
      </c>
      <c r="AK30" s="43" t="str">
        <f t="shared" si="44"/>
        <v/>
      </c>
      <c r="AL30" s="43" t="str">
        <f t="shared" si="45"/>
        <v/>
      </c>
      <c r="AM30" s="44" t="str">
        <f t="shared" si="46"/>
        <v/>
      </c>
      <c r="AN30" s="45">
        <f t="shared" si="47"/>
        <v>0</v>
      </c>
      <c r="AO30" s="41" t="str">
        <f t="shared" si="48"/>
        <v/>
      </c>
      <c r="AP30" s="43" t="str">
        <f t="shared" si="49"/>
        <v/>
      </c>
      <c r="AQ30" s="43" t="str">
        <f t="shared" si="50"/>
        <v/>
      </c>
      <c r="AR30" s="44" t="str">
        <f t="shared" si="51"/>
        <v/>
      </c>
      <c r="AS30" s="45">
        <f t="shared" si="52"/>
        <v>0</v>
      </c>
      <c r="AT30" s="41" t="str">
        <f t="shared" si="53"/>
        <v/>
      </c>
      <c r="AU30" s="43" t="str">
        <f t="shared" si="54"/>
        <v/>
      </c>
      <c r="AV30" s="43" t="str">
        <f t="shared" si="55"/>
        <v/>
      </c>
      <c r="AW30" s="44" t="str">
        <f t="shared" si="56"/>
        <v/>
      </c>
      <c r="AX30" s="45">
        <f t="shared" si="57"/>
        <v>0</v>
      </c>
      <c r="AY30" s="41" t="str">
        <f t="shared" si="58"/>
        <v/>
      </c>
      <c r="AZ30" s="43" t="str">
        <f t="shared" si="59"/>
        <v/>
      </c>
      <c r="BA30" s="43" t="str">
        <f t="shared" si="60"/>
        <v/>
      </c>
      <c r="BB30" s="44" t="str">
        <f t="shared" si="61"/>
        <v/>
      </c>
      <c r="BC30" s="45">
        <f t="shared" si="62"/>
        <v>0</v>
      </c>
      <c r="BD30" s="41" t="str">
        <f t="shared" si="63"/>
        <v/>
      </c>
      <c r="BE30" s="43" t="str">
        <f t="shared" si="64"/>
        <v/>
      </c>
      <c r="BF30" s="43" t="str">
        <f t="shared" si="65"/>
        <v/>
      </c>
      <c r="BG30" s="44" t="str">
        <f t="shared" si="66"/>
        <v/>
      </c>
      <c r="BH30" s="45">
        <f t="shared" si="67"/>
        <v>0</v>
      </c>
      <c r="BI30" s="41" t="str">
        <f t="shared" si="68"/>
        <v/>
      </c>
      <c r="BJ30" s="43" t="str">
        <f t="shared" si="69"/>
        <v/>
      </c>
      <c r="BK30" s="43" t="str">
        <f t="shared" si="70"/>
        <v/>
      </c>
      <c r="BL30" s="44" t="str">
        <f t="shared" si="71"/>
        <v/>
      </c>
      <c r="BM30" s="45">
        <f t="shared" si="72"/>
        <v>0</v>
      </c>
      <c r="BN30" s="41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0"/>
      <c r="E31" s="40"/>
      <c r="F31" s="40"/>
      <c r="G31" s="43" t="str">
        <f t="shared" si="14"/>
        <v/>
      </c>
      <c r="H31" s="43" t="str">
        <f t="shared" si="15"/>
        <v/>
      </c>
      <c r="I31" s="44" t="str">
        <f t="shared" si="16"/>
        <v/>
      </c>
      <c r="J31" s="45">
        <f t="shared" si="17"/>
        <v>0</v>
      </c>
      <c r="K31" s="41" t="str">
        <f t="shared" si="18"/>
        <v/>
      </c>
      <c r="L31" s="43" t="str">
        <f t="shared" si="19"/>
        <v/>
      </c>
      <c r="M31" s="43" t="str">
        <f t="shared" si="20"/>
        <v/>
      </c>
      <c r="N31" s="44" t="str">
        <f t="shared" si="21"/>
        <v/>
      </c>
      <c r="O31" s="45">
        <f t="shared" si="22"/>
        <v>0</v>
      </c>
      <c r="P31" s="41" t="str">
        <f t="shared" si="23"/>
        <v/>
      </c>
      <c r="Q31" s="43" t="str">
        <f t="shared" si="24"/>
        <v/>
      </c>
      <c r="R31" s="43" t="str">
        <f t="shared" si="25"/>
        <v/>
      </c>
      <c r="S31" s="44" t="str">
        <f t="shared" si="26"/>
        <v/>
      </c>
      <c r="T31" s="45">
        <f t="shared" si="27"/>
        <v>0</v>
      </c>
      <c r="U31" s="41" t="str">
        <f t="shared" si="28"/>
        <v/>
      </c>
      <c r="V31" s="43" t="str">
        <f t="shared" si="29"/>
        <v/>
      </c>
      <c r="W31" s="43" t="str">
        <f t="shared" si="30"/>
        <v/>
      </c>
      <c r="X31" s="44" t="str">
        <f t="shared" si="31"/>
        <v/>
      </c>
      <c r="Y31" s="45">
        <f t="shared" si="32"/>
        <v>0</v>
      </c>
      <c r="Z31" s="41" t="str">
        <f t="shared" si="33"/>
        <v/>
      </c>
      <c r="AA31" s="43" t="str">
        <f t="shared" si="34"/>
        <v/>
      </c>
      <c r="AB31" s="43" t="str">
        <f t="shared" si="35"/>
        <v/>
      </c>
      <c r="AC31" s="44" t="str">
        <f t="shared" si="36"/>
        <v/>
      </c>
      <c r="AD31" s="45">
        <f t="shared" si="37"/>
        <v>0</v>
      </c>
      <c r="AE31" s="41" t="str">
        <f t="shared" si="38"/>
        <v/>
      </c>
      <c r="AF31" s="43" t="str">
        <f t="shared" si="39"/>
        <v/>
      </c>
      <c r="AG31" s="43" t="str">
        <f t="shared" si="40"/>
        <v/>
      </c>
      <c r="AH31" s="44" t="str">
        <f t="shared" si="41"/>
        <v/>
      </c>
      <c r="AI31" s="45">
        <f t="shared" si="42"/>
        <v>0</v>
      </c>
      <c r="AJ31" s="41" t="str">
        <f t="shared" si="43"/>
        <v/>
      </c>
      <c r="AK31" s="43" t="str">
        <f t="shared" si="44"/>
        <v/>
      </c>
      <c r="AL31" s="43" t="str">
        <f t="shared" si="45"/>
        <v/>
      </c>
      <c r="AM31" s="44" t="str">
        <f t="shared" si="46"/>
        <v/>
      </c>
      <c r="AN31" s="45">
        <f t="shared" si="47"/>
        <v>0</v>
      </c>
      <c r="AO31" s="41" t="str">
        <f t="shared" si="48"/>
        <v/>
      </c>
      <c r="AP31" s="43" t="str">
        <f t="shared" si="49"/>
        <v/>
      </c>
      <c r="AQ31" s="43" t="str">
        <f t="shared" si="50"/>
        <v/>
      </c>
      <c r="AR31" s="44" t="str">
        <f t="shared" si="51"/>
        <v/>
      </c>
      <c r="AS31" s="45">
        <f t="shared" si="52"/>
        <v>0</v>
      </c>
      <c r="AT31" s="41" t="str">
        <f t="shared" si="53"/>
        <v/>
      </c>
      <c r="AU31" s="43" t="str">
        <f t="shared" si="54"/>
        <v/>
      </c>
      <c r="AV31" s="43" t="str">
        <f t="shared" si="55"/>
        <v/>
      </c>
      <c r="AW31" s="44" t="str">
        <f t="shared" si="56"/>
        <v/>
      </c>
      <c r="AX31" s="45">
        <f t="shared" si="57"/>
        <v>0</v>
      </c>
      <c r="AY31" s="41" t="str">
        <f t="shared" si="58"/>
        <v/>
      </c>
      <c r="AZ31" s="43" t="str">
        <f t="shared" si="59"/>
        <v/>
      </c>
      <c r="BA31" s="43" t="str">
        <f t="shared" si="60"/>
        <v/>
      </c>
      <c r="BB31" s="44" t="str">
        <f t="shared" si="61"/>
        <v/>
      </c>
      <c r="BC31" s="45">
        <f t="shared" si="62"/>
        <v>0</v>
      </c>
      <c r="BD31" s="41" t="str">
        <f t="shared" si="63"/>
        <v/>
      </c>
      <c r="BE31" s="43" t="str">
        <f t="shared" si="64"/>
        <v/>
      </c>
      <c r="BF31" s="43" t="str">
        <f t="shared" si="65"/>
        <v/>
      </c>
      <c r="BG31" s="44" t="str">
        <f t="shared" si="66"/>
        <v/>
      </c>
      <c r="BH31" s="45">
        <f t="shared" si="67"/>
        <v>0</v>
      </c>
      <c r="BI31" s="41" t="str">
        <f t="shared" si="68"/>
        <v/>
      </c>
      <c r="BJ31" s="43" t="str">
        <f t="shared" si="69"/>
        <v/>
      </c>
      <c r="BK31" s="43" t="str">
        <f t="shared" si="70"/>
        <v/>
      </c>
      <c r="BL31" s="44" t="str">
        <f t="shared" si="71"/>
        <v/>
      </c>
      <c r="BM31" s="45">
        <f t="shared" si="72"/>
        <v>0</v>
      </c>
      <c r="BN31" s="41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0"/>
      <c r="E32" s="40"/>
      <c r="F32" s="40"/>
      <c r="G32" s="43" t="str">
        <f t="shared" si="14"/>
        <v/>
      </c>
      <c r="H32" s="43" t="str">
        <f t="shared" si="15"/>
        <v/>
      </c>
      <c r="I32" s="44" t="str">
        <f t="shared" si="16"/>
        <v/>
      </c>
      <c r="J32" s="45">
        <f t="shared" si="17"/>
        <v>0</v>
      </c>
      <c r="K32" s="41" t="str">
        <f t="shared" si="18"/>
        <v/>
      </c>
      <c r="L32" s="43" t="str">
        <f t="shared" si="19"/>
        <v/>
      </c>
      <c r="M32" s="43" t="str">
        <f t="shared" si="20"/>
        <v/>
      </c>
      <c r="N32" s="44" t="str">
        <f t="shared" si="21"/>
        <v/>
      </c>
      <c r="O32" s="45">
        <f t="shared" si="22"/>
        <v>0</v>
      </c>
      <c r="P32" s="41" t="str">
        <f t="shared" si="23"/>
        <v/>
      </c>
      <c r="Q32" s="43" t="str">
        <f t="shared" si="24"/>
        <v/>
      </c>
      <c r="R32" s="43" t="str">
        <f t="shared" si="25"/>
        <v/>
      </c>
      <c r="S32" s="44" t="str">
        <f t="shared" si="26"/>
        <v/>
      </c>
      <c r="T32" s="45">
        <f t="shared" si="27"/>
        <v>0</v>
      </c>
      <c r="U32" s="41" t="str">
        <f t="shared" si="28"/>
        <v/>
      </c>
      <c r="V32" s="43" t="str">
        <f t="shared" si="29"/>
        <v/>
      </c>
      <c r="W32" s="43" t="str">
        <f t="shared" si="30"/>
        <v/>
      </c>
      <c r="X32" s="44" t="str">
        <f t="shared" si="31"/>
        <v/>
      </c>
      <c r="Y32" s="45">
        <f t="shared" si="32"/>
        <v>0</v>
      </c>
      <c r="Z32" s="41" t="str">
        <f t="shared" si="33"/>
        <v/>
      </c>
      <c r="AA32" s="43" t="str">
        <f t="shared" si="34"/>
        <v/>
      </c>
      <c r="AB32" s="43" t="str">
        <f t="shared" si="35"/>
        <v/>
      </c>
      <c r="AC32" s="44" t="str">
        <f t="shared" si="36"/>
        <v/>
      </c>
      <c r="AD32" s="45">
        <f t="shared" si="37"/>
        <v>0</v>
      </c>
      <c r="AE32" s="41" t="str">
        <f t="shared" si="38"/>
        <v/>
      </c>
      <c r="AF32" s="43" t="str">
        <f t="shared" si="39"/>
        <v/>
      </c>
      <c r="AG32" s="43" t="str">
        <f t="shared" si="40"/>
        <v/>
      </c>
      <c r="AH32" s="44" t="str">
        <f t="shared" si="41"/>
        <v/>
      </c>
      <c r="AI32" s="45">
        <f t="shared" si="42"/>
        <v>0</v>
      </c>
      <c r="AJ32" s="41" t="str">
        <f t="shared" si="43"/>
        <v/>
      </c>
      <c r="AK32" s="43" t="str">
        <f t="shared" si="44"/>
        <v/>
      </c>
      <c r="AL32" s="43" t="str">
        <f t="shared" si="45"/>
        <v/>
      </c>
      <c r="AM32" s="44" t="str">
        <f t="shared" si="46"/>
        <v/>
      </c>
      <c r="AN32" s="45">
        <f t="shared" si="47"/>
        <v>0</v>
      </c>
      <c r="AO32" s="41" t="str">
        <f t="shared" si="48"/>
        <v/>
      </c>
      <c r="AP32" s="43" t="str">
        <f t="shared" si="49"/>
        <v/>
      </c>
      <c r="AQ32" s="43" t="str">
        <f t="shared" si="50"/>
        <v/>
      </c>
      <c r="AR32" s="44" t="str">
        <f t="shared" si="51"/>
        <v/>
      </c>
      <c r="AS32" s="45">
        <f t="shared" si="52"/>
        <v>0</v>
      </c>
      <c r="AT32" s="41" t="str">
        <f t="shared" si="53"/>
        <v/>
      </c>
      <c r="AU32" s="43" t="str">
        <f t="shared" si="54"/>
        <v/>
      </c>
      <c r="AV32" s="43" t="str">
        <f t="shared" si="55"/>
        <v/>
      </c>
      <c r="AW32" s="44" t="str">
        <f t="shared" si="56"/>
        <v/>
      </c>
      <c r="AX32" s="45">
        <f t="shared" si="57"/>
        <v>0</v>
      </c>
      <c r="AY32" s="41" t="str">
        <f t="shared" si="58"/>
        <v/>
      </c>
      <c r="AZ32" s="43" t="str">
        <f t="shared" si="59"/>
        <v/>
      </c>
      <c r="BA32" s="43" t="str">
        <f t="shared" si="60"/>
        <v/>
      </c>
      <c r="BB32" s="44" t="str">
        <f t="shared" si="61"/>
        <v/>
      </c>
      <c r="BC32" s="45">
        <f t="shared" si="62"/>
        <v>0</v>
      </c>
      <c r="BD32" s="41" t="str">
        <f t="shared" si="63"/>
        <v/>
      </c>
      <c r="BE32" s="43" t="str">
        <f t="shared" si="64"/>
        <v/>
      </c>
      <c r="BF32" s="43" t="str">
        <f t="shared" si="65"/>
        <v/>
      </c>
      <c r="BG32" s="44" t="str">
        <f t="shared" si="66"/>
        <v/>
      </c>
      <c r="BH32" s="45">
        <f t="shared" si="67"/>
        <v>0</v>
      </c>
      <c r="BI32" s="41" t="str">
        <f t="shared" si="68"/>
        <v/>
      </c>
      <c r="BJ32" s="43" t="str">
        <f t="shared" si="69"/>
        <v/>
      </c>
      <c r="BK32" s="43" t="str">
        <f t="shared" si="70"/>
        <v/>
      </c>
      <c r="BL32" s="44" t="str">
        <f t="shared" si="71"/>
        <v/>
      </c>
      <c r="BM32" s="45">
        <f t="shared" si="72"/>
        <v>0</v>
      </c>
      <c r="BN32" s="41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0"/>
      <c r="E33" s="40"/>
      <c r="F33" s="40"/>
      <c r="G33" s="43" t="str">
        <f t="shared" si="14"/>
        <v/>
      </c>
      <c r="H33" s="43" t="str">
        <f t="shared" si="15"/>
        <v/>
      </c>
      <c r="I33" s="44" t="str">
        <f t="shared" si="16"/>
        <v/>
      </c>
      <c r="J33" s="45">
        <f t="shared" si="17"/>
        <v>0</v>
      </c>
      <c r="K33" s="41" t="str">
        <f t="shared" si="18"/>
        <v/>
      </c>
      <c r="L33" s="43" t="str">
        <f t="shared" si="19"/>
        <v/>
      </c>
      <c r="M33" s="43" t="str">
        <f t="shared" si="20"/>
        <v/>
      </c>
      <c r="N33" s="44" t="str">
        <f t="shared" si="21"/>
        <v/>
      </c>
      <c r="O33" s="45">
        <f t="shared" si="22"/>
        <v>0</v>
      </c>
      <c r="P33" s="41" t="str">
        <f t="shared" si="23"/>
        <v/>
      </c>
      <c r="Q33" s="43" t="str">
        <f t="shared" si="24"/>
        <v/>
      </c>
      <c r="R33" s="43" t="str">
        <f t="shared" si="25"/>
        <v/>
      </c>
      <c r="S33" s="44" t="str">
        <f t="shared" si="26"/>
        <v/>
      </c>
      <c r="T33" s="45">
        <f t="shared" si="27"/>
        <v>0</v>
      </c>
      <c r="U33" s="41" t="str">
        <f t="shared" si="28"/>
        <v/>
      </c>
      <c r="V33" s="43" t="str">
        <f t="shared" si="29"/>
        <v/>
      </c>
      <c r="W33" s="43" t="str">
        <f t="shared" si="30"/>
        <v/>
      </c>
      <c r="X33" s="44" t="str">
        <f t="shared" si="31"/>
        <v/>
      </c>
      <c r="Y33" s="45">
        <f t="shared" si="32"/>
        <v>0</v>
      </c>
      <c r="Z33" s="41" t="str">
        <f t="shared" si="33"/>
        <v/>
      </c>
      <c r="AA33" s="43" t="str">
        <f t="shared" si="34"/>
        <v/>
      </c>
      <c r="AB33" s="43" t="str">
        <f t="shared" si="35"/>
        <v/>
      </c>
      <c r="AC33" s="44" t="str">
        <f t="shared" si="36"/>
        <v/>
      </c>
      <c r="AD33" s="45">
        <f t="shared" si="37"/>
        <v>0</v>
      </c>
      <c r="AE33" s="41" t="str">
        <f t="shared" si="38"/>
        <v/>
      </c>
      <c r="AF33" s="43" t="str">
        <f t="shared" si="39"/>
        <v/>
      </c>
      <c r="AG33" s="43" t="str">
        <f t="shared" si="40"/>
        <v/>
      </c>
      <c r="AH33" s="44" t="str">
        <f t="shared" si="41"/>
        <v/>
      </c>
      <c r="AI33" s="45">
        <f t="shared" si="42"/>
        <v>0</v>
      </c>
      <c r="AJ33" s="41" t="str">
        <f t="shared" si="43"/>
        <v/>
      </c>
      <c r="AK33" s="43" t="str">
        <f t="shared" si="44"/>
        <v/>
      </c>
      <c r="AL33" s="43" t="str">
        <f t="shared" si="45"/>
        <v/>
      </c>
      <c r="AM33" s="44" t="str">
        <f t="shared" si="46"/>
        <v/>
      </c>
      <c r="AN33" s="45">
        <f t="shared" si="47"/>
        <v>0</v>
      </c>
      <c r="AO33" s="41" t="str">
        <f t="shared" si="48"/>
        <v/>
      </c>
      <c r="AP33" s="43" t="str">
        <f t="shared" si="49"/>
        <v/>
      </c>
      <c r="AQ33" s="43" t="str">
        <f t="shared" si="50"/>
        <v/>
      </c>
      <c r="AR33" s="44" t="str">
        <f t="shared" si="51"/>
        <v/>
      </c>
      <c r="AS33" s="45">
        <f t="shared" si="52"/>
        <v>0</v>
      </c>
      <c r="AT33" s="41" t="str">
        <f t="shared" si="53"/>
        <v/>
      </c>
      <c r="AU33" s="43" t="str">
        <f t="shared" si="54"/>
        <v/>
      </c>
      <c r="AV33" s="43" t="str">
        <f t="shared" si="55"/>
        <v/>
      </c>
      <c r="AW33" s="44" t="str">
        <f t="shared" si="56"/>
        <v/>
      </c>
      <c r="AX33" s="45">
        <f t="shared" si="57"/>
        <v>0</v>
      </c>
      <c r="AY33" s="41" t="str">
        <f t="shared" si="58"/>
        <v/>
      </c>
      <c r="AZ33" s="43" t="str">
        <f t="shared" si="59"/>
        <v/>
      </c>
      <c r="BA33" s="43" t="str">
        <f t="shared" si="60"/>
        <v/>
      </c>
      <c r="BB33" s="44" t="str">
        <f t="shared" si="61"/>
        <v/>
      </c>
      <c r="BC33" s="45">
        <f t="shared" si="62"/>
        <v>0</v>
      </c>
      <c r="BD33" s="41" t="str">
        <f t="shared" si="63"/>
        <v/>
      </c>
      <c r="BE33" s="43" t="str">
        <f t="shared" si="64"/>
        <v/>
      </c>
      <c r="BF33" s="43" t="str">
        <f t="shared" si="65"/>
        <v/>
      </c>
      <c r="BG33" s="44" t="str">
        <f t="shared" si="66"/>
        <v/>
      </c>
      <c r="BH33" s="45">
        <f t="shared" si="67"/>
        <v>0</v>
      </c>
      <c r="BI33" s="41" t="str">
        <f t="shared" si="68"/>
        <v/>
      </c>
      <c r="BJ33" s="43" t="str">
        <f t="shared" si="69"/>
        <v/>
      </c>
      <c r="BK33" s="43" t="str">
        <f t="shared" si="70"/>
        <v/>
      </c>
      <c r="BL33" s="44" t="str">
        <f t="shared" si="71"/>
        <v/>
      </c>
      <c r="BM33" s="45">
        <f t="shared" si="72"/>
        <v>0</v>
      </c>
      <c r="BN33" s="41" t="str">
        <f t="shared" si="73"/>
        <v/>
      </c>
      <c r="BO33" s="40"/>
      <c r="BP33" s="40"/>
      <c r="BQ33" s="40"/>
    </row>
    <row r="34" hidden="1">
      <c r="A34" s="40"/>
      <c r="B34" s="40"/>
      <c r="C34" s="40"/>
      <c r="D34" s="40"/>
      <c r="E34" s="40"/>
      <c r="F34" s="40"/>
      <c r="G34" s="40"/>
      <c r="H34" s="40"/>
      <c r="I34" s="40"/>
      <c r="J34" s="50">
        <f>MULTIPLY(SUM(J20:J33),10)</f>
        <v>0</v>
      </c>
      <c r="K34" s="51">
        <f>COUNTIF(K20:K33,"TRUE")</f>
        <v>0</v>
      </c>
      <c r="L34" s="40"/>
      <c r="M34" s="40"/>
      <c r="N34" s="40"/>
      <c r="O34" s="50">
        <f>MULTIPLY(SUM(O20:O33),10)</f>
        <v>0</v>
      </c>
      <c r="P34" s="51">
        <f>COUNTIF(P20:P33,"TRUE")</f>
        <v>0</v>
      </c>
      <c r="Q34" s="40"/>
      <c r="R34" s="40"/>
      <c r="S34" s="40"/>
      <c r="T34" s="50">
        <f>MULTIPLY(SUM(T20:T33),10)</f>
        <v>0</v>
      </c>
      <c r="U34" s="51">
        <f>COUNTIF(U20:U33,"TRUE")</f>
        <v>0</v>
      </c>
      <c r="V34" s="40"/>
      <c r="W34" s="40"/>
      <c r="X34" s="40"/>
      <c r="Y34" s="50">
        <f>MULTIPLY(SUM(Y20:Y33),10)</f>
        <v>0</v>
      </c>
      <c r="Z34" s="51">
        <f>COUNTIF(Z20:Z33,"TRUE")</f>
        <v>0</v>
      </c>
      <c r="AA34" s="40"/>
      <c r="AB34" s="40"/>
      <c r="AC34" s="40"/>
      <c r="AD34" s="50">
        <f>MULTIPLY(SUM(AD20:AD33),10)</f>
        <v>0</v>
      </c>
      <c r="AE34" s="51">
        <f>COUNTIF(AE20:AE33,"TRUE")</f>
        <v>0</v>
      </c>
      <c r="AF34" s="40"/>
      <c r="AG34" s="40"/>
      <c r="AH34" s="40"/>
      <c r="AI34" s="50">
        <f>MULTIPLY(SUM(AI20:AI33),10)</f>
        <v>0</v>
      </c>
      <c r="AJ34" s="51">
        <f>COUNTIF(AJ20:AJ33,"TRUE")</f>
        <v>0</v>
      </c>
      <c r="AK34" s="40"/>
      <c r="AL34" s="40"/>
      <c r="AM34" s="40"/>
      <c r="AN34" s="50">
        <f>MULTIPLY(SUM(AN20:AN33),10)</f>
        <v>0</v>
      </c>
      <c r="AO34" s="51">
        <f>COUNTIF(AO20:AO33,"TRUE")</f>
        <v>0</v>
      </c>
      <c r="AP34" s="40"/>
      <c r="AQ34" s="40"/>
      <c r="AR34" s="40"/>
      <c r="AS34" s="50">
        <f>MULTIPLY(SUM(AS20:AS33),10)</f>
        <v>0</v>
      </c>
      <c r="AT34" s="51">
        <f>COUNTIF(AT20:AT33,"TRUE")</f>
        <v>0</v>
      </c>
      <c r="AU34" s="40"/>
      <c r="AV34" s="40"/>
      <c r="AW34" s="40"/>
      <c r="AX34" s="50">
        <f>MULTIPLY(SUM(AX20:AX33),10)</f>
        <v>0</v>
      </c>
      <c r="AY34" s="51">
        <f>COUNTIF(AY20:AY33,"TRUE")</f>
        <v>0</v>
      </c>
      <c r="AZ34" s="40"/>
      <c r="BA34" s="40"/>
      <c r="BB34" s="40"/>
      <c r="BC34" s="50">
        <f>MULTIPLY(SUM(BC20:BC33),10)</f>
        <v>0</v>
      </c>
      <c r="BD34" s="51">
        <f>COUNTIF(BD20:BD33,"TRUE")</f>
        <v>0</v>
      </c>
      <c r="BE34" s="40"/>
      <c r="BF34" s="40"/>
      <c r="BG34" s="40"/>
      <c r="BH34" s="50">
        <f>MULTIPLY(SUM(BH20:BH33),10)</f>
        <v>0</v>
      </c>
      <c r="BI34" s="51">
        <f>COUNTIF(BI20:BI33,"TRUE")</f>
        <v>0</v>
      </c>
      <c r="BJ34" s="40"/>
      <c r="BK34" s="40"/>
      <c r="BL34" s="40"/>
      <c r="BM34" s="50">
        <f>MULTIPLY(SUM(BM20:BM33),10)</f>
        <v>0</v>
      </c>
      <c r="BN34" s="51">
        <f>COUNTIF(BN20:BN33,"TRUE")</f>
        <v>0</v>
      </c>
      <c r="BO34" s="40"/>
      <c r="BP34" s="40"/>
      <c r="BQ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</row>
    <row r="36">
      <c r="A36" s="78" t="s">
        <v>234</v>
      </c>
      <c r="B36" s="52"/>
      <c r="C36" s="53" t="s">
        <v>6</v>
      </c>
      <c r="D36" s="53" t="s">
        <v>7</v>
      </c>
      <c r="E36" s="53" t="s">
        <v>8</v>
      </c>
      <c r="F36" s="53" t="s">
        <v>9</v>
      </c>
      <c r="G36" s="53" t="s">
        <v>10</v>
      </c>
      <c r="H36" s="53" t="s">
        <v>11</v>
      </c>
      <c r="I36" s="53" t="s">
        <v>12</v>
      </c>
      <c r="J36" s="53" t="s">
        <v>13</v>
      </c>
      <c r="K36" s="53" t="s">
        <v>14</v>
      </c>
      <c r="L36" s="53" t="s">
        <v>15</v>
      </c>
      <c r="M36" s="53" t="s">
        <v>16</v>
      </c>
      <c r="N36" s="54" t="s">
        <v>17</v>
      </c>
      <c r="O36" s="55"/>
      <c r="P36" s="56"/>
      <c r="Q36" s="56"/>
      <c r="R36" s="56"/>
      <c r="S36" s="56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81" t="s">
        <v>69</v>
      </c>
      <c r="B37" s="57" t="s">
        <v>141</v>
      </c>
      <c r="C37" s="58">
        <f t="array" ref="C37">INDEX(J34,0)</f>
        <v>0</v>
      </c>
      <c r="D37" s="58">
        <f t="array" ref="D37">INDEX(O34,0)</f>
        <v>0</v>
      </c>
      <c r="E37" s="58">
        <f t="array" ref="E37">INDEX(T34,0)</f>
        <v>0</v>
      </c>
      <c r="F37" s="58">
        <f t="array" ref="F37">INDEX(Y34,0)</f>
        <v>0</v>
      </c>
      <c r="G37" s="58">
        <f t="array" ref="G37">INDEX(AD34,0)</f>
        <v>0</v>
      </c>
      <c r="H37" s="58">
        <f t="array" ref="H37">INDEX(AI34,0)</f>
        <v>0</v>
      </c>
      <c r="I37" s="58">
        <f t="array" ref="I37">INDEX(AN34,0)</f>
        <v>0</v>
      </c>
      <c r="J37" s="58">
        <f t="array" ref="J37">INDEX(AS34,0)</f>
        <v>0</v>
      </c>
      <c r="K37" s="58">
        <f t="array" ref="K37">INDEX(AX34,0)</f>
        <v>0</v>
      </c>
      <c r="L37" s="58">
        <f t="array" ref="L37">INDEX(BC34,0)</f>
        <v>0</v>
      </c>
      <c r="M37" s="58">
        <f t="array" ref="M37">INDEX(BH34,0)</f>
        <v>0</v>
      </c>
      <c r="N37" s="60">
        <f t="array" ref="N37">INDEX(BM34,0)</f>
        <v>0</v>
      </c>
      <c r="O37" s="61"/>
      <c r="P37" s="11"/>
      <c r="Q37" s="11"/>
      <c r="R37" s="11"/>
      <c r="S37" s="11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1" t="s">
        <v>126</v>
      </c>
      <c r="B38" s="63" t="s">
        <v>142</v>
      </c>
      <c r="C38" s="64">
        <f>COUNTIF(K20:K32,true)</f>
        <v>0</v>
      </c>
      <c r="D38" s="64">
        <f>COUNTIF(P20:P32,true)</f>
        <v>0</v>
      </c>
      <c r="E38" s="64">
        <f>COUNTIF(U20:U32,true)</f>
        <v>0</v>
      </c>
      <c r="F38" s="64">
        <f>COUNTIF(Z20:Z32,true)</f>
        <v>0</v>
      </c>
      <c r="G38" s="64">
        <f>COUNTIF(AE20:AE32,true)</f>
        <v>0</v>
      </c>
      <c r="H38" s="64">
        <f>COUNTIF(AJ20:AJ32,true)</f>
        <v>0</v>
      </c>
      <c r="I38" s="64">
        <f>COUNTIF(AO20:AO32,true)</f>
        <v>0</v>
      </c>
      <c r="J38" s="64">
        <f>COUNTIF(AT20:AT32,true)</f>
        <v>0</v>
      </c>
      <c r="K38" s="64">
        <f>COUNTIF(AY20:AY32,true)</f>
        <v>0</v>
      </c>
      <c r="L38" s="64">
        <f>COUNTIF(BD20:BD32,true)</f>
        <v>0</v>
      </c>
      <c r="M38" s="64">
        <f>COUNTIF(BI20:BI32,true)</f>
        <v>0</v>
      </c>
      <c r="N38" s="65">
        <f>COUNTIF(BN20:BN32,true)</f>
        <v>0</v>
      </c>
      <c r="O38" s="66"/>
      <c r="P38" s="67"/>
      <c r="Q38" s="67"/>
      <c r="R38" s="67"/>
      <c r="S38" s="67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81" t="s">
        <v>92</v>
      </c>
      <c r="B39" s="63" t="s">
        <v>143</v>
      </c>
      <c r="C39" s="68">
        <f>COUNTIF(K20:K32,FALSE)</f>
        <v>0</v>
      </c>
      <c r="D39" s="68">
        <f>COUNTIF(P20:P32,FALSE)</f>
        <v>0</v>
      </c>
      <c r="E39" s="68">
        <f>COUNTIF(U20:U32,FALSE)</f>
        <v>0</v>
      </c>
      <c r="F39" s="68">
        <f>COUNTIF(Z20:Z32,FALSE)</f>
        <v>0</v>
      </c>
      <c r="G39" s="68">
        <f>COUNTIF(AE20:AE32,FALSE)</f>
        <v>0</v>
      </c>
      <c r="H39" s="68">
        <f>COUNTIF(AJ20:AJ32,FALSE)</f>
        <v>0</v>
      </c>
      <c r="I39" s="68">
        <f>COUNTIF(AO20:AO32,FALSE)</f>
        <v>0</v>
      </c>
      <c r="J39" s="68">
        <f>COUNTIF(AT20:AT32,FALSE)</f>
        <v>0</v>
      </c>
      <c r="K39" s="68">
        <f>COUNTIF(AY20:AY32,FALSE)</f>
        <v>0</v>
      </c>
      <c r="L39" s="68">
        <f>COUNTIF(BD20:BD32,FALSE)</f>
        <v>0</v>
      </c>
      <c r="M39" s="68">
        <f>COUNTIF(BI20:BI32,FALSE)</f>
        <v>0</v>
      </c>
      <c r="N39" s="69">
        <f>COUNTIF(BN20:BN32,FALSE)</f>
        <v>0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81" t="s">
        <v>40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82"/>
      <c r="B41" s="70" t="s">
        <v>144</v>
      </c>
      <c r="C41" s="71">
        <f>SUM('Week 1'!C38,'Week 2'!C38,'Week 3'!C38,'Week 4'!C38,'Week 5'!C39,'Week 6'!C35,'Week 7'!C35,C37)</f>
        <v>325</v>
      </c>
      <c r="D41" s="71">
        <f>SUM('Week 1'!D38,'Week 2'!D38,'Week 3'!D38,'Week 4'!D38,'Week 5'!D39,'Week 6'!D35,'Week 7'!D35,D37)</f>
        <v>275</v>
      </c>
      <c r="E41" s="71">
        <f>SUM('Week 1'!E38,'Week 2'!E38,'Week 3'!E38,'Week 4'!E38,'Week 5'!E39,'Week 6'!E35,'Week 7'!E35,E37)</f>
        <v>290</v>
      </c>
      <c r="F41" s="71">
        <f>SUM('Week 1'!F38,'Week 2'!F38,'Week 3'!F38,'Week 4'!F38,'Week 5'!F39,'Week 6'!F35,'Week 7'!F35,F37)</f>
        <v>375</v>
      </c>
      <c r="G41" s="71">
        <f>SUM('Week 1'!G38,'Week 2'!G38,'Week 3'!G38,'Week 4'!G38,'Week 5'!G39,'Week 6'!G35,'Week 7'!G35,G37)</f>
        <v>410</v>
      </c>
      <c r="H41" s="71">
        <f>SUM('Week 1'!H38,'Week 2'!H38,'Week 3'!H38,'Week 4'!H38,'Week 5'!H39,'Week 6'!H35,'Week 7'!H35,H37)</f>
        <v>480</v>
      </c>
      <c r="I41" s="71">
        <f>SUM('Week 1'!I38,'Week 2'!I38,'Week 3'!I38,'Week 4'!I38,'Week 5'!I39,'Week 6'!I35,'Week 7'!I35,I37)</f>
        <v>320</v>
      </c>
      <c r="J41" s="71">
        <f>SUM('Week 1'!J38,'Week 2'!J38,'Week 3'!J38,'Week 4'!J38,'Week 5'!J39,'Week 6'!J35,'Week 7'!J35,J37)</f>
        <v>445</v>
      </c>
      <c r="K41" s="71">
        <f>SUM('Week 1'!K38,'Week 2'!K38,'Week 3'!K38,'Week 4'!K38,'Week 5'!K39,'Week 6'!K35,'Week 7'!K35,K37)</f>
        <v>370</v>
      </c>
      <c r="L41" s="71">
        <f>SUM('Week 1'!L38,'Week 2'!L38,'Week 3'!L38,'Week 4'!L38,'Week 5'!L39,'Week 6'!L35,'Week 7'!L35,L37)</f>
        <v>280</v>
      </c>
      <c r="M41" s="71">
        <f>SUM('Week 1'!M38,'Week 2'!M38,'Week 3'!M38,'Week 4'!M38,'Week 5'!M39,'Week 6'!M35,'Week 7'!M35,M37)</f>
        <v>365</v>
      </c>
      <c r="N41" s="72">
        <f>SUM('Week 1'!N38,'Week 2'!N38,'Week 3'!N38,'Week 4'!N38,'Week 5'!N39,'Week 6'!N35,'Week 7'!N35,N37)</f>
        <v>290</v>
      </c>
      <c r="O41" s="61"/>
      <c r="P41" s="11"/>
      <c r="Q41" s="11"/>
      <c r="R41" s="11"/>
      <c r="S41" s="11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82"/>
      <c r="B42" s="57" t="s">
        <v>145</v>
      </c>
      <c r="C42" s="73" t="str">
        <f>CONCATENATE(SUM('Week 1'!C39,'Week 2'!C39,'Week 3'!C39,'Week 4'!C39,'Week 5'!C40,'Week 6'!C36,'Week 7'!C36,C38)," - ",SUM('Week 1'!C40,'Week 2'!C40,'Week 3'!C40,'Week 4'!C40,'Week 5'!C41,'Week 6'!C37,'Week 7'!C37,C39))</f>
        <v>25 - 21</v>
      </c>
      <c r="D42" s="73" t="str">
        <f>CONCATENATE(SUM('Week 1'!D39,'Week 2'!D39,'Week 3'!D39,'Week 4'!D39,'Week 5'!D40,'Week 6'!D36,'Week 7'!D36,D38)," - ",SUM('Week 1'!D40,'Week 2'!D40,'Week 3'!D40,'Week 4'!D40,'Week 5'!D41,'Week 6'!D37,'Week 7'!D37,D39))</f>
        <v>24 - 22</v>
      </c>
      <c r="E42" s="73" t="str">
        <f>CONCATENATE(SUM('Week 1'!E39,'Week 2'!E39,'Week 3'!E39,'Week 4'!E39,'Week 5'!E40,'Week 6'!E36,'Week 7'!E36,E38)," - ",SUM('Week 1'!E40,'Week 2'!E40,'Week 3'!E40,'Week 4'!E40,'Week 5'!E41,'Week 6'!E37,'Week 7'!E37,E39))</f>
        <v>23 - 23</v>
      </c>
      <c r="F42" s="73" t="str">
        <f>CONCATENATE(SUM('Week 1'!F39,'Week 2'!F39,'Week 3'!F39,'Week 4'!F39,'Week 5'!F40,'Week 6'!F36,'Week 7'!F36,F38)," - ",SUM('Week 1'!F40,'Week 2'!F40,'Week 3'!F40,'Week 4'!F40,'Week 5'!F41,'Week 6'!F37,'Week 7'!F37,F39))</f>
        <v>26 - 20</v>
      </c>
      <c r="G42" s="73" t="str">
        <f>CONCATENATE(SUM('Week 1'!G39,'Week 2'!G39,'Week 3'!G39,'Week 4'!G39,'Week 5'!G40,'Week 6'!G36,'Week 7'!G36,G38)," - ",SUM('Week 1'!G40,'Week 2'!G40,'Week 3'!G40,'Week 4'!G40,'Week 5'!G41,'Week 6'!G37,'Week 7'!G37,G39))</f>
        <v>30 - 16</v>
      </c>
      <c r="H42" s="73" t="str">
        <f>CONCATENATE(SUM('Week 1'!H39,'Week 2'!H39,'Week 3'!H39,'Week 4'!H39,'Week 5'!H40,'Week 6'!H36,'Week 7'!H36,H38)," - ",SUM('Week 1'!H40,'Week 2'!H40,'Week 3'!H40,'Week 4'!H40,'Week 5'!H41,'Week 6'!H37,'Week 7'!H37,H39))</f>
        <v>33 - 13</v>
      </c>
      <c r="I42" s="73" t="str">
        <f>CONCATENATE(SUM('Week 1'!I39,'Week 2'!I39,'Week 3'!I39,'Week 4'!I39,'Week 5'!I40,'Week 6'!I36,'Week 7'!I36,I38)," - ",SUM('Week 1'!I40,'Week 2'!I40,'Week 3'!I40,'Week 4'!I40,'Week 5'!I41,'Week 6'!I37,'Week 7'!I37,I39))</f>
        <v>26 - 20</v>
      </c>
      <c r="J42" s="73" t="str">
        <f>CONCATENATE(SUM('Week 1'!J39,'Week 2'!J39,'Week 3'!J39,'Week 4'!J39,'Week 5'!J40,'Week 6'!J36,'Week 7'!J36,J38)," - ",SUM('Week 1'!J40,'Week 2'!J40,'Week 3'!J40,'Week 4'!J40,'Week 5'!J41,'Week 6'!J37,'Week 7'!J37,J39))</f>
        <v>27 - 19</v>
      </c>
      <c r="K42" s="73" t="str">
        <f>CONCATENATE(SUM('Week 1'!K39,'Week 2'!K39,'Week 3'!K39,'Week 4'!K39,'Week 5'!K40,'Week 6'!K36,'Week 7'!K36,K38)," - ",SUM('Week 1'!K40,'Week 2'!K40,'Week 3'!K40,'Week 4'!K40,'Week 5'!K41,'Week 6'!K37,'Week 7'!K37,K39))</f>
        <v>29 - 17</v>
      </c>
      <c r="L42" s="73" t="str">
        <f>CONCATENATE(SUM('Week 1'!L39,'Week 2'!L39,'Week 3'!L39,'Week 4'!L39,'Week 5'!L40,'Week 6'!L36,'Week 7'!L36,L38)," - ",SUM('Week 1'!L40,'Week 2'!L40,'Week 3'!L40,'Week 4'!L40,'Week 5'!L41,'Week 6'!L37,'Week 7'!L37,L39))</f>
        <v>26 - 20</v>
      </c>
      <c r="M42" s="73" t="str">
        <f>CONCATENATE(SUM('Week 1'!M39,'Week 2'!M39,'Week 3'!M39,'Week 4'!M39,'Week 5'!M40,'Week 6'!M36,'Week 7'!M36,M38)," - ",SUM('Week 1'!M40,'Week 2'!M40,'Week 3'!M40,'Week 4'!M40,'Week 5'!M41,'Week 6'!M37,'Week 7'!M37,M39))</f>
        <v>24 - 22</v>
      </c>
      <c r="N42" s="74" t="str">
        <f>CONCATENATE(SUM('Week 1'!N39,'Week 2'!N39,'Week 3'!N39,'Week 4'!N39,'Week 5'!N40,'Week 6'!N36,'Week 7'!N36,N38)," - ",SUM('Week 1'!N40,'Week 2'!N40,'Week 3'!N40,'Week 4'!N40,'Week 5'!N41,'Week 6'!N37,'Week 7'!N37,N39))</f>
        <v>20 - 26</v>
      </c>
      <c r="O42" s="75"/>
      <c r="P42" s="76"/>
      <c r="Q42" s="76"/>
      <c r="R42" s="76"/>
      <c r="S42" s="76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C44" s="29">
        <f t="array" ref="C44:E60">INDEX(H62:J78,0)</f>
        <v>1</v>
      </c>
      <c r="D44" s="29" t="s">
        <v>11</v>
      </c>
      <c r="E44" s="29">
        <v>480.0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v>2.0</v>
      </c>
      <c r="D45" s="29" t="s">
        <v>13</v>
      </c>
      <c r="E45" s="29">
        <v>445.0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3.0</v>
      </c>
      <c r="D46" s="29" t="s">
        <v>10</v>
      </c>
      <c r="E46" s="29">
        <v>410.0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4.0</v>
      </c>
      <c r="D47" s="29" t="s">
        <v>9</v>
      </c>
      <c r="E47" s="29">
        <v>375.0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5.0</v>
      </c>
      <c r="D48" s="29" t="s">
        <v>14</v>
      </c>
      <c r="E48" s="29">
        <v>370.0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6.0</v>
      </c>
      <c r="D49" s="29" t="s">
        <v>16</v>
      </c>
      <c r="E49" s="29">
        <v>365.0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7.0</v>
      </c>
      <c r="D50" s="29" t="s">
        <v>6</v>
      </c>
      <c r="E50" s="29">
        <v>325.0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8.0</v>
      </c>
      <c r="D51" s="29" t="s">
        <v>12</v>
      </c>
      <c r="E51" s="29">
        <v>320.0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9.0</v>
      </c>
      <c r="D52" s="29" t="s">
        <v>8</v>
      </c>
      <c r="E52" s="29">
        <v>290.0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17</v>
      </c>
      <c r="E53" s="29">
        <v>290.0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11.0</v>
      </c>
      <c r="D54" s="29" t="s">
        <v>15</v>
      </c>
      <c r="E54" s="29">
        <v>280.0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12.0</v>
      </c>
      <c r="D55" s="29" t="s">
        <v>7</v>
      </c>
      <c r="E55" s="29">
        <v>275.0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/>
      <c r="D56" s="29"/>
      <c r="E56" s="2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 hidden="1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77" t="s">
        <v>6</v>
      </c>
      <c r="C62" s="41">
        <f t="array" ref="C62">INDEX(C41,0)</f>
        <v>325</v>
      </c>
      <c r="D62" s="40"/>
      <c r="G62" s="40"/>
      <c r="H62" s="40">
        <f t="shared" ref="H62:H73" si="74">RANK(J62,$J$62:$J$78,false)</f>
        <v>1</v>
      </c>
      <c r="I62" s="40" t="str">
        <f t="array" ref="I62:J78">SORT(B62:C78,2,false)</f>
        <v>Caleb</v>
      </c>
      <c r="J62" s="40">
        <v>480.0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7</v>
      </c>
      <c r="C63" s="41">
        <f t="array" ref="C63">INDEX(D41,0)</f>
        <v>275</v>
      </c>
      <c r="D63" s="40"/>
      <c r="G63" s="40"/>
      <c r="H63" s="40">
        <f t="shared" si="74"/>
        <v>2</v>
      </c>
      <c r="I63" s="40" t="s">
        <v>13</v>
      </c>
      <c r="J63" s="40">
        <v>445.0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8</v>
      </c>
      <c r="C64" s="41">
        <f t="array" ref="C64">INDEX(E41,0)</f>
        <v>290</v>
      </c>
      <c r="D64" s="40"/>
      <c r="G64" s="40"/>
      <c r="H64" s="40">
        <f t="shared" si="74"/>
        <v>3</v>
      </c>
      <c r="I64" s="40" t="s">
        <v>10</v>
      </c>
      <c r="J64" s="40">
        <v>410.0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9</v>
      </c>
      <c r="C65" s="41">
        <f t="array" ref="C65">INDEX(F41,0)</f>
        <v>375</v>
      </c>
      <c r="D65" s="40"/>
      <c r="G65" s="40"/>
      <c r="H65" s="40">
        <f t="shared" si="74"/>
        <v>4</v>
      </c>
      <c r="I65" s="40" t="s">
        <v>9</v>
      </c>
      <c r="J65" s="40">
        <v>375.0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10</v>
      </c>
      <c r="C66" s="41">
        <f t="array" ref="C66">INDEX(G41,0)</f>
        <v>410</v>
      </c>
      <c r="D66" s="40"/>
      <c r="G66" s="40"/>
      <c r="H66" s="40">
        <f t="shared" si="74"/>
        <v>5</v>
      </c>
      <c r="I66" s="40" t="s">
        <v>14</v>
      </c>
      <c r="J66" s="40">
        <v>370.0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11</v>
      </c>
      <c r="C67" s="41">
        <f t="array" ref="C67">INDEX(H41,0)</f>
        <v>480</v>
      </c>
      <c r="D67" s="40"/>
      <c r="G67" s="40"/>
      <c r="H67" s="40">
        <f t="shared" si="74"/>
        <v>6</v>
      </c>
      <c r="I67" s="40" t="s">
        <v>16</v>
      </c>
      <c r="J67" s="40">
        <v>365.0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12</v>
      </c>
      <c r="C68" s="41">
        <f t="array" ref="C68">INDEX(I41,0)</f>
        <v>320</v>
      </c>
      <c r="D68" s="40"/>
      <c r="G68" s="40"/>
      <c r="H68" s="40">
        <f t="shared" si="74"/>
        <v>7</v>
      </c>
      <c r="I68" s="40" t="s">
        <v>6</v>
      </c>
      <c r="J68" s="40">
        <v>325.0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13</v>
      </c>
      <c r="C69" s="41">
        <f t="array" ref="C69">INDEX(J41,0)</f>
        <v>445</v>
      </c>
      <c r="D69" s="40"/>
      <c r="G69" s="40"/>
      <c r="H69" s="40">
        <f t="shared" si="74"/>
        <v>8</v>
      </c>
      <c r="I69" s="40" t="s">
        <v>12</v>
      </c>
      <c r="J69" s="40">
        <v>320.0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14</v>
      </c>
      <c r="C70" s="41">
        <f t="array" ref="C70">INDEX(K41,0)</f>
        <v>370</v>
      </c>
      <c r="D70" s="40"/>
      <c r="G70" s="40"/>
      <c r="H70" s="40">
        <f t="shared" si="74"/>
        <v>9</v>
      </c>
      <c r="I70" s="40" t="s">
        <v>8</v>
      </c>
      <c r="J70" s="40">
        <v>290.0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15</v>
      </c>
      <c r="C71" s="41">
        <f t="array" ref="C71">INDEX(L41,0)</f>
        <v>280</v>
      </c>
      <c r="D71" s="40"/>
      <c r="G71" s="40"/>
      <c r="H71" s="40">
        <f t="shared" si="74"/>
        <v>9</v>
      </c>
      <c r="I71" s="40" t="s">
        <v>17</v>
      </c>
      <c r="J71" s="40">
        <v>290.0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16</v>
      </c>
      <c r="C72" s="41">
        <f t="array" ref="C72">INDEX(M41,0)</f>
        <v>365</v>
      </c>
      <c r="D72" s="40"/>
      <c r="G72" s="40"/>
      <c r="H72" s="40">
        <f t="shared" si="74"/>
        <v>11</v>
      </c>
      <c r="I72" s="40" t="s">
        <v>15</v>
      </c>
      <c r="J72" s="40">
        <v>280.0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17</v>
      </c>
      <c r="C73" s="41">
        <f t="array" ref="C73">INDEX(N41,0)</f>
        <v>290</v>
      </c>
      <c r="D73" s="40"/>
      <c r="G73" s="40"/>
      <c r="H73" s="40">
        <f t="shared" si="74"/>
        <v>12</v>
      </c>
      <c r="I73" s="40" t="s">
        <v>7</v>
      </c>
      <c r="J73" s="40">
        <v>275.0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/>
      <c r="C74" s="41"/>
      <c r="D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 t="str">
        <f t="array" ref="C78">INDEX(S41,0)</f>
        <v/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5">
    <cfRule type="expression" dxfId="0" priority="1">
      <formula>AND($I20=$C20,$C20=0)</formula>
    </cfRule>
  </conditionalFormatting>
  <conditionalFormatting sqref="G2:K15">
    <cfRule type="expression" dxfId="7" priority="2">
      <formula>$I20=$C20</formula>
    </cfRule>
  </conditionalFormatting>
  <conditionalFormatting sqref="L2:L15">
    <cfRule type="expression" dxfId="2" priority="3">
      <formula>AND(C2&lt;&gt;"",C2&lt;&gt;L2)</formula>
    </cfRule>
  </conditionalFormatting>
  <conditionalFormatting sqref="M2:M15">
    <cfRule type="expression" dxfId="2" priority="4">
      <formula>AND(C2&lt;&gt;"",C2&lt;&gt;L2)</formula>
    </cfRule>
  </conditionalFormatting>
  <conditionalFormatting sqref="N2:N15">
    <cfRule type="expression" dxfId="2" priority="5">
      <formula>AND(C2&lt;&gt;"",C2&lt;&gt;L2)</formula>
    </cfRule>
  </conditionalFormatting>
  <conditionalFormatting sqref="O2:O15">
    <cfRule type="expression" dxfId="2" priority="6">
      <formula>AND(C2&lt;&gt;"",C2&lt;&gt;L2)</formula>
    </cfRule>
  </conditionalFormatting>
  <conditionalFormatting sqref="P2:P15">
    <cfRule type="expression" dxfId="2" priority="7">
      <formula>AND(C2&lt;&gt;"",C2&lt;&gt;L2)</formula>
    </cfRule>
  </conditionalFormatting>
  <conditionalFormatting sqref="L2:P15">
    <cfRule type="expression" dxfId="0" priority="8">
      <formula>AND($N20=$C20,$C20=0)</formula>
    </cfRule>
  </conditionalFormatting>
  <conditionalFormatting sqref="L2:P15">
    <cfRule type="expression" dxfId="7" priority="9">
      <formula>$N20=$C20</formula>
    </cfRule>
  </conditionalFormatting>
  <conditionalFormatting sqref="Q2:Q15">
    <cfRule type="expression" dxfId="2" priority="10">
      <formula>AND(C2&lt;&gt;"",C2&lt;&gt;Q2)</formula>
    </cfRule>
  </conditionalFormatting>
  <conditionalFormatting sqref="R2:R15">
    <cfRule type="expression" dxfId="2" priority="11">
      <formula>AND(C2&lt;&gt;"",C2&lt;&gt;Q2)</formula>
    </cfRule>
  </conditionalFormatting>
  <conditionalFormatting sqref="S2:S15">
    <cfRule type="expression" dxfId="2" priority="12">
      <formula>AND(C2&lt;&gt;"",C2&lt;&gt;Q2)</formula>
    </cfRule>
  </conditionalFormatting>
  <conditionalFormatting sqref="T2:T15">
    <cfRule type="expression" dxfId="2" priority="13">
      <formula>AND(C2&lt;&gt;"",C2&lt;&gt;Q2)</formula>
    </cfRule>
  </conditionalFormatting>
  <conditionalFormatting sqref="U2:U15">
    <cfRule type="expression" dxfId="2" priority="14">
      <formula>AND(C2&lt;&gt;"",C2&lt;&gt;Q2)</formula>
    </cfRule>
  </conditionalFormatting>
  <conditionalFormatting sqref="Q2:U15">
    <cfRule type="expression" dxfId="0" priority="15">
      <formula>AND($S20=$C20,$C20=0)</formula>
    </cfRule>
  </conditionalFormatting>
  <conditionalFormatting sqref="Q2:U15">
    <cfRule type="expression" dxfId="7" priority="16">
      <formula>$S20=$C20</formula>
    </cfRule>
  </conditionalFormatting>
  <conditionalFormatting sqref="V2:V15">
    <cfRule type="expression" dxfId="2" priority="17">
      <formula>AND(C2&lt;&gt;"",C2&lt;&gt;V2)</formula>
    </cfRule>
  </conditionalFormatting>
  <conditionalFormatting sqref="W2:W15">
    <cfRule type="expression" dxfId="2" priority="18">
      <formula>AND(C2&lt;&gt;"",C2&lt;&gt;V2)</formula>
    </cfRule>
  </conditionalFormatting>
  <conditionalFormatting sqref="X2:X15">
    <cfRule type="expression" dxfId="2" priority="19">
      <formula>AND(C2&lt;&gt;"",C2&lt;&gt;V2)</formula>
    </cfRule>
  </conditionalFormatting>
  <conditionalFormatting sqref="Y2:Y15">
    <cfRule type="expression" dxfId="2" priority="20">
      <formula>AND(C2&lt;&gt;"",C2&lt;&gt;V2)</formula>
    </cfRule>
  </conditionalFormatting>
  <conditionalFormatting sqref="Z2:Z15">
    <cfRule type="expression" dxfId="2" priority="21">
      <formula>AND(C2&lt;&gt;"",C2&lt;&gt;V2)</formula>
    </cfRule>
  </conditionalFormatting>
  <conditionalFormatting sqref="AA2:AA15">
    <cfRule type="expression" dxfId="2" priority="22">
      <formula>AND(C2&lt;&gt;"",C2&lt;&gt;AA2)</formula>
    </cfRule>
  </conditionalFormatting>
  <conditionalFormatting sqref="AB2:AB15">
    <cfRule type="expression" dxfId="2" priority="23">
      <formula>AND(C2&lt;&gt;"",C2&lt;&gt;AA2)</formula>
    </cfRule>
  </conditionalFormatting>
  <conditionalFormatting sqref="AC2:AC15">
    <cfRule type="expression" dxfId="2" priority="24">
      <formula>AND(C2&lt;&gt;"",C2&lt;&gt;AA2)</formula>
    </cfRule>
  </conditionalFormatting>
  <conditionalFormatting sqref="AD2:AD15">
    <cfRule type="expression" dxfId="2" priority="25">
      <formula>AND(C2&lt;&gt;"",C2&lt;&gt;AA2)</formula>
    </cfRule>
  </conditionalFormatting>
  <conditionalFormatting sqref="AE2:AE15">
    <cfRule type="expression" dxfId="2" priority="26">
      <formula>AND(C2&lt;&gt;"",C2&lt;&gt;AA2)</formula>
    </cfRule>
  </conditionalFormatting>
  <conditionalFormatting sqref="AF2:AF15">
    <cfRule type="expression" dxfId="2" priority="27">
      <formula>AND(C2&lt;&gt;"",C2&lt;&gt;AF2)</formula>
    </cfRule>
  </conditionalFormatting>
  <conditionalFormatting sqref="AG2:AG15">
    <cfRule type="expression" dxfId="2" priority="28">
      <formula>AND(C2&lt;&gt;"",C2&lt;&gt;AF2)</formula>
    </cfRule>
  </conditionalFormatting>
  <conditionalFormatting sqref="AH2:AH15">
    <cfRule type="expression" dxfId="2" priority="29">
      <formula>AND(C2&lt;&gt;"",C2&lt;&gt;AF2)</formula>
    </cfRule>
  </conditionalFormatting>
  <conditionalFormatting sqref="AI2:AI15">
    <cfRule type="expression" dxfId="2" priority="30">
      <formula>AND(C2&lt;&gt;"",C2&lt;&gt;AF2)</formula>
    </cfRule>
  </conditionalFormatting>
  <conditionalFormatting sqref="AJ2:AJ15">
    <cfRule type="expression" dxfId="2" priority="31">
      <formula>AND(C2&lt;&gt;"",C2&lt;&gt;AF2)</formula>
    </cfRule>
  </conditionalFormatting>
  <conditionalFormatting sqref="AK2:AK15">
    <cfRule type="expression" dxfId="2" priority="32">
      <formula>AND(C2&lt;&gt;"",C2&lt;&gt;AK2)</formula>
    </cfRule>
  </conditionalFormatting>
  <conditionalFormatting sqref="AL2:AL15">
    <cfRule type="expression" dxfId="2" priority="33">
      <formula>AND(C2&lt;&gt;"",C2&lt;&gt;AK2)</formula>
    </cfRule>
  </conditionalFormatting>
  <conditionalFormatting sqref="AM2:AM15">
    <cfRule type="expression" dxfId="2" priority="34">
      <formula>AND(C2&lt;&gt;"",C2&lt;&gt;AK2)</formula>
    </cfRule>
  </conditionalFormatting>
  <conditionalFormatting sqref="AN2:AN15">
    <cfRule type="expression" dxfId="2" priority="35">
      <formula>AND(C2&lt;&gt;"",C2&lt;&gt;AK2)</formula>
    </cfRule>
  </conditionalFormatting>
  <conditionalFormatting sqref="AO2:AO15">
    <cfRule type="expression" dxfId="2" priority="36">
      <formula>AND(C2&lt;&gt;"",C2&lt;&gt;AK2)</formula>
    </cfRule>
  </conditionalFormatting>
  <conditionalFormatting sqref="AP2:AP15">
    <cfRule type="expression" dxfId="2" priority="37">
      <formula>AND(C2&lt;&gt;"",C2&lt;&gt;AP2)</formula>
    </cfRule>
  </conditionalFormatting>
  <conditionalFormatting sqref="AQ2:AQ15">
    <cfRule type="expression" dxfId="2" priority="38">
      <formula>AND(C2&lt;&gt;"",C2&lt;&gt;AP2)</formula>
    </cfRule>
  </conditionalFormatting>
  <conditionalFormatting sqref="AR2:AR15">
    <cfRule type="expression" dxfId="2" priority="39">
      <formula>AND(C2&lt;&gt;"",C2&lt;&gt;AP2)</formula>
    </cfRule>
  </conditionalFormatting>
  <conditionalFormatting sqref="AS2:AS15">
    <cfRule type="expression" dxfId="2" priority="40">
      <formula>AND(C2&lt;&gt;"",C2&lt;&gt;AP2)</formula>
    </cfRule>
  </conditionalFormatting>
  <conditionalFormatting sqref="AT2:AT15">
    <cfRule type="expression" dxfId="2" priority="41">
      <formula>AND(C2&lt;&gt;"",C2&lt;&gt;AP2)</formula>
    </cfRule>
  </conditionalFormatting>
  <conditionalFormatting sqref="AU2:AU15">
    <cfRule type="expression" dxfId="2" priority="42">
      <formula>AND(C2&lt;&gt;"",C2&lt;&gt;AU2)</formula>
    </cfRule>
  </conditionalFormatting>
  <conditionalFormatting sqref="AV2:AV15">
    <cfRule type="expression" dxfId="2" priority="43">
      <formula>AND(C2&lt;&gt;"",C2&lt;&gt;AU2)</formula>
    </cfRule>
  </conditionalFormatting>
  <conditionalFormatting sqref="AW2:AW15">
    <cfRule type="expression" dxfId="2" priority="44">
      <formula>AND(C2&lt;&gt;"",C2&lt;&gt;AU2)</formula>
    </cfRule>
  </conditionalFormatting>
  <conditionalFormatting sqref="AX2:AX15">
    <cfRule type="expression" dxfId="2" priority="45">
      <formula>AND(C2&lt;&gt;"",C2&lt;&gt;AU2)</formula>
    </cfRule>
  </conditionalFormatting>
  <conditionalFormatting sqref="AY2:AY15">
    <cfRule type="expression" dxfId="2" priority="46">
      <formula>AND(C2&lt;&gt;"",C2&lt;&gt;AU2)</formula>
    </cfRule>
  </conditionalFormatting>
  <conditionalFormatting sqref="AZ2:AZ15">
    <cfRule type="expression" dxfId="2" priority="47">
      <formula>AND(C2&lt;&gt;"",C2&lt;&gt;AZ2)</formula>
    </cfRule>
  </conditionalFormatting>
  <conditionalFormatting sqref="BA2:BA15">
    <cfRule type="expression" dxfId="2" priority="48">
      <formula>AND(C2&lt;&gt;"",C2&lt;&gt;AZ2)</formula>
    </cfRule>
  </conditionalFormatting>
  <conditionalFormatting sqref="BB2:BB15">
    <cfRule type="expression" dxfId="2" priority="49">
      <formula>AND(C2&lt;&gt;"",C2&lt;&gt;AZ2)</formula>
    </cfRule>
  </conditionalFormatting>
  <conditionalFormatting sqref="BC2:BC15">
    <cfRule type="expression" dxfId="2" priority="50">
      <formula>AND(C2&lt;&gt;"",C2&lt;&gt;AZ2)</formula>
    </cfRule>
  </conditionalFormatting>
  <conditionalFormatting sqref="BD2:BD15">
    <cfRule type="expression" dxfId="2" priority="51">
      <formula>AND(C2&lt;&gt;"",C2&lt;&gt;AZ2)</formula>
    </cfRule>
  </conditionalFormatting>
  <conditionalFormatting sqref="BE2:BE15">
    <cfRule type="expression" dxfId="2" priority="52">
      <formula>AND(C2&lt;&gt;"",C2&lt;&gt;BE2)</formula>
    </cfRule>
  </conditionalFormatting>
  <conditionalFormatting sqref="BF2:BF15">
    <cfRule type="expression" dxfId="2" priority="53">
      <formula>AND(C2&lt;&gt;"",C2&lt;&gt;BE2)</formula>
    </cfRule>
  </conditionalFormatting>
  <conditionalFormatting sqref="BG2:BG15">
    <cfRule type="expression" dxfId="2" priority="54">
      <formula>AND(C2&lt;&gt;"",C2&lt;&gt;BE2)</formula>
    </cfRule>
  </conditionalFormatting>
  <conditionalFormatting sqref="BH2:BH15">
    <cfRule type="expression" dxfId="2" priority="55">
      <formula>AND(C2&lt;&gt;"",C2&lt;&gt;BE2)</formula>
    </cfRule>
  </conditionalFormatting>
  <conditionalFormatting sqref="BI2:BI15">
    <cfRule type="expression" dxfId="2" priority="56">
      <formula>AND(C2&lt;&gt;"",C2&lt;&gt;BE2)</formula>
    </cfRule>
  </conditionalFormatting>
  <conditionalFormatting sqref="BJ2:BJ15">
    <cfRule type="expression" dxfId="2" priority="57">
      <formula>AND(C2&lt;&gt;"",C2&lt;&gt;BJ2)</formula>
    </cfRule>
  </conditionalFormatting>
  <conditionalFormatting sqref="BK2:BK15">
    <cfRule type="expression" dxfId="2" priority="58">
      <formula>AND(C2&lt;&gt;"",C2&lt;&gt;BJ2)</formula>
    </cfRule>
  </conditionalFormatting>
  <conditionalFormatting sqref="BL2:BL15">
    <cfRule type="expression" dxfId="2" priority="59">
      <formula>AND(C2&lt;&gt;"",C2&lt;&gt;BJ2)</formula>
    </cfRule>
  </conditionalFormatting>
  <conditionalFormatting sqref="BM2:BM15">
    <cfRule type="expression" dxfId="2" priority="60">
      <formula>AND(C2&lt;&gt;"",C2&lt;&gt;BJ2)</formula>
    </cfRule>
  </conditionalFormatting>
  <conditionalFormatting sqref="BN2:BN15">
    <cfRule type="expression" dxfId="2" priority="61">
      <formula>AND(C2&lt;&gt;"",C2&lt;&gt;BJ2)</formula>
    </cfRule>
  </conditionalFormatting>
  <conditionalFormatting sqref="G2:G15">
    <cfRule type="expression" dxfId="3" priority="62">
      <formula>G2=C2</formula>
    </cfRule>
  </conditionalFormatting>
  <conditionalFormatting sqref="H2:H15">
    <cfRule type="expression" dxfId="3" priority="63">
      <formula>G2=C2</formula>
    </cfRule>
  </conditionalFormatting>
  <conditionalFormatting sqref="I2:I15">
    <cfRule type="expression" dxfId="3" priority="64">
      <formula>G2=C2</formula>
    </cfRule>
  </conditionalFormatting>
  <conditionalFormatting sqref="J2:J15">
    <cfRule type="expression" dxfId="3" priority="65">
      <formula>G2=C2</formula>
    </cfRule>
  </conditionalFormatting>
  <conditionalFormatting sqref="K2:K15">
    <cfRule type="expression" dxfId="3" priority="66">
      <formula>G2=C2</formula>
    </cfRule>
  </conditionalFormatting>
  <conditionalFormatting sqref="L2:L15">
    <cfRule type="expression" dxfId="3" priority="67">
      <formula>L2=C2</formula>
    </cfRule>
  </conditionalFormatting>
  <conditionalFormatting sqref="M2:M15">
    <cfRule type="expression" dxfId="3" priority="68">
      <formula>L2=C2</formula>
    </cfRule>
  </conditionalFormatting>
  <conditionalFormatting sqref="N2:N15">
    <cfRule type="expression" dxfId="3" priority="69">
      <formula>L2=C2</formula>
    </cfRule>
  </conditionalFormatting>
  <conditionalFormatting sqref="O2:O15">
    <cfRule type="expression" dxfId="3" priority="70">
      <formula>L2=C2</formula>
    </cfRule>
  </conditionalFormatting>
  <conditionalFormatting sqref="P2:P15">
    <cfRule type="expression" dxfId="3" priority="71">
      <formula>L2=C2</formula>
    </cfRule>
  </conditionalFormatting>
  <conditionalFormatting sqref="Q2:Q15">
    <cfRule type="expression" dxfId="3" priority="72">
      <formula>Q2=C2</formula>
    </cfRule>
  </conditionalFormatting>
  <conditionalFormatting sqref="R2:R15">
    <cfRule type="expression" dxfId="3" priority="73">
      <formula>Q2=C2</formula>
    </cfRule>
  </conditionalFormatting>
  <conditionalFormatting sqref="S2:S15">
    <cfRule type="expression" dxfId="3" priority="74">
      <formula>Q2=C2</formula>
    </cfRule>
  </conditionalFormatting>
  <conditionalFormatting sqref="T2:T15">
    <cfRule type="expression" dxfId="3" priority="75">
      <formula>Q2=C2</formula>
    </cfRule>
  </conditionalFormatting>
  <conditionalFormatting sqref="U2:U15">
    <cfRule type="expression" dxfId="3" priority="76">
      <formula>Q2=C2</formula>
    </cfRule>
  </conditionalFormatting>
  <conditionalFormatting sqref="V2:Z15">
    <cfRule type="expression" dxfId="0" priority="77">
      <formula>AND($X20=$C20,$C20=0)</formula>
    </cfRule>
  </conditionalFormatting>
  <conditionalFormatting sqref="V2:Z15">
    <cfRule type="expression" dxfId="7" priority="78">
      <formula>$X20=$C20</formula>
    </cfRule>
  </conditionalFormatting>
  <conditionalFormatting sqref="V2:Z15">
    <cfRule type="expression" dxfId="3" priority="79">
      <formula>$V2=$C2</formula>
    </cfRule>
  </conditionalFormatting>
  <conditionalFormatting sqref="AA2:AE15">
    <cfRule type="expression" dxfId="0" priority="80">
      <formula>AND($AC20=$C20,$C20=0)</formula>
    </cfRule>
  </conditionalFormatting>
  <conditionalFormatting sqref="AA2:AE15">
    <cfRule type="expression" dxfId="7" priority="81">
      <formula>$AC20=$C20</formula>
    </cfRule>
  </conditionalFormatting>
  <conditionalFormatting sqref="AA2:AE15">
    <cfRule type="expression" dxfId="3" priority="82">
      <formula>$AA2=$C2</formula>
    </cfRule>
  </conditionalFormatting>
  <conditionalFormatting sqref="AF2:AJ15">
    <cfRule type="expression" dxfId="0" priority="83">
      <formula>AND($AH20=$C20,$C20=0)</formula>
    </cfRule>
  </conditionalFormatting>
  <conditionalFormatting sqref="AF2:AJ15">
    <cfRule type="expression" dxfId="7" priority="84">
      <formula>$AH20=$C20</formula>
    </cfRule>
  </conditionalFormatting>
  <conditionalFormatting sqref="AF2:AJ15">
    <cfRule type="expression" dxfId="3" priority="85">
      <formula>$AF2=$C2</formula>
    </cfRule>
  </conditionalFormatting>
  <conditionalFormatting sqref="AK2:AO15">
    <cfRule type="expression" dxfId="0" priority="86">
      <formula>AND($AM20=$C20,$C20=0)</formula>
    </cfRule>
  </conditionalFormatting>
  <conditionalFormatting sqref="AK2:AO15">
    <cfRule type="expression" dxfId="7" priority="87">
      <formula>$AM20=$C20</formula>
    </cfRule>
  </conditionalFormatting>
  <conditionalFormatting sqref="AK2:AO15">
    <cfRule type="expression" dxfId="3" priority="88">
      <formula>$AK2=$C2</formula>
    </cfRule>
  </conditionalFormatting>
  <conditionalFormatting sqref="AP2:AT15">
    <cfRule type="expression" dxfId="0" priority="89">
      <formula>AND($AR20=$C20,$C20=0)</formula>
    </cfRule>
  </conditionalFormatting>
  <conditionalFormatting sqref="AP2:AT15">
    <cfRule type="expression" dxfId="7" priority="90">
      <formula>$AR20=$C20</formula>
    </cfRule>
  </conditionalFormatting>
  <conditionalFormatting sqref="AP2:AT15">
    <cfRule type="expression" dxfId="3" priority="91">
      <formula>$AP2=$C2</formula>
    </cfRule>
  </conditionalFormatting>
  <conditionalFormatting sqref="AU2:AY15">
    <cfRule type="expression" dxfId="0" priority="92">
      <formula>AND($AW20=$C20,$C20=0)</formula>
    </cfRule>
  </conditionalFormatting>
  <conditionalFormatting sqref="AU2:AY15">
    <cfRule type="expression" dxfId="7" priority="93">
      <formula>$AW20=$C20</formula>
    </cfRule>
  </conditionalFormatting>
  <conditionalFormatting sqref="AU2:AY15">
    <cfRule type="expression" dxfId="3" priority="94">
      <formula>$AU2=$C2</formula>
    </cfRule>
  </conditionalFormatting>
  <conditionalFormatting sqref="AZ2:BD15">
    <cfRule type="expression" dxfId="0" priority="95">
      <formula>AND($BB20=$C20,$C20=0)</formula>
    </cfRule>
  </conditionalFormatting>
  <conditionalFormatting sqref="AZ2:BD15">
    <cfRule type="expression" dxfId="7" priority="96">
      <formula>$BB20=$C20</formula>
    </cfRule>
  </conditionalFormatting>
  <conditionalFormatting sqref="AZ2:BD15">
    <cfRule type="expression" dxfId="3" priority="97">
      <formula>$AZ2=$C2</formula>
    </cfRule>
  </conditionalFormatting>
  <conditionalFormatting sqref="BE2:BI15">
    <cfRule type="expression" dxfId="0" priority="98">
      <formula>AND($BG20=$C20,$C20=0)</formula>
    </cfRule>
  </conditionalFormatting>
  <conditionalFormatting sqref="BE2:BI15">
    <cfRule type="expression" dxfId="7" priority="99">
      <formula>$BG20=$C20</formula>
    </cfRule>
  </conditionalFormatting>
  <conditionalFormatting sqref="BE2:BI15">
    <cfRule type="expression" dxfId="3" priority="100">
      <formula>$BE2=$C2</formula>
    </cfRule>
  </conditionalFormatting>
  <conditionalFormatting sqref="BJ2:BN15">
    <cfRule type="expression" dxfId="0" priority="101">
      <formula>AND($BL20=$C20,$C20=0)</formula>
    </cfRule>
  </conditionalFormatting>
  <conditionalFormatting sqref="BJ2:BN15">
    <cfRule type="expression" dxfId="7" priority="102">
      <formula>$BL20=$C20</formula>
    </cfRule>
  </conditionalFormatting>
  <conditionalFormatting sqref="BJ2:BN15">
    <cfRule type="expression" dxfId="3" priority="103">
      <formula>$BJ2=$C2</formula>
    </cfRule>
  </conditionalFormatting>
  <conditionalFormatting sqref="G2:K15">
    <cfRule type="expression" dxfId="2" priority="104">
      <formula>AND($C2&lt;&gt;"",$G2&lt;&gt;$C2)</formula>
    </cfRule>
  </conditionalFormatting>
  <conditionalFormatting sqref="C44:C60">
    <cfRule type="cellIs" dxfId="4" priority="105" operator="equal">
      <formula>1</formula>
    </cfRule>
  </conditionalFormatting>
  <conditionalFormatting sqref="C44:C60">
    <cfRule type="cellIs" dxfId="5" priority="106" operator="equal">
      <formula>2</formula>
    </cfRule>
  </conditionalFormatting>
  <conditionalFormatting sqref="C44:C60">
    <cfRule type="cellIs" dxfId="6" priority="107" operator="equal">
      <formula>3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235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236</v>
      </c>
      <c r="B2" s="17" t="s">
        <v>237</v>
      </c>
      <c r="C2" s="18" t="str">
        <f>IFERROR(__xludf.DUMMYFUNCTION("IMPORTRANGE(""https://docs.google.com/spreadsheets/d/1v9a6MxzpyXdVbef97sptWrOJUpuAu6ldKC6wbegqpyg/edit?gid=189100189#gid=189100189"",""Week 9!C3:F17"")"),"")</f>
        <v/>
      </c>
      <c r="D2" s="11" t="str">
        <f>IFERROR(__xludf.DUMMYFUNCTION("""COMPUTED_VALUE"""),"")</f>
        <v/>
      </c>
      <c r="E2" s="19"/>
      <c r="F2" s="20"/>
      <c r="G2" s="19" t="s">
        <v>61</v>
      </c>
      <c r="H2" s="11" t="str">
        <f t="shared" ref="H2:H16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10.0</v>
      </c>
      <c r="J2" s="19">
        <v>14.0</v>
      </c>
      <c r="K2" s="20" t="b">
        <v>0</v>
      </c>
      <c r="L2" s="24" t="s">
        <v>71</v>
      </c>
      <c r="M2" s="26" t="str">
        <f t="shared" ref="M2:M16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14.0</v>
      </c>
      <c r="O2" s="24">
        <v>10.0</v>
      </c>
      <c r="P2" s="24" t="b">
        <v>0</v>
      </c>
      <c r="Q2" s="27" t="s">
        <v>61</v>
      </c>
      <c r="R2" s="11" t="str">
        <f t="shared" ref="R2:R16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20.0</v>
      </c>
      <c r="T2" s="19">
        <v>23.0</v>
      </c>
      <c r="U2" s="20" t="b">
        <v>0</v>
      </c>
      <c r="V2" s="19" t="s">
        <v>71</v>
      </c>
      <c r="W2" s="11" t="str">
        <f t="shared" ref="W2:W16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24.0</v>
      </c>
      <c r="Y2" s="19">
        <v>21.0</v>
      </c>
      <c r="Z2" s="20" t="b">
        <v>0</v>
      </c>
      <c r="AA2" s="27" t="s">
        <v>61</v>
      </c>
      <c r="AB2" s="11" t="str">
        <f t="shared" ref="AB2:AB16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61</v>
      </c>
      <c r="AG2" s="11" t="str">
        <f t="shared" ref="AG2:AG16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14.0</v>
      </c>
      <c r="AI2" s="19">
        <v>27.0</v>
      </c>
      <c r="AJ2" s="20" t="b">
        <v>0</v>
      </c>
      <c r="AK2" s="19" t="s">
        <v>61</v>
      </c>
      <c r="AL2" s="11" t="str">
        <f t="shared" ref="AL2:AL16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7.0</v>
      </c>
      <c r="AN2" s="19">
        <v>10.0</v>
      </c>
      <c r="AO2" s="20" t="b">
        <v>0</v>
      </c>
      <c r="AP2" s="27" t="s">
        <v>61</v>
      </c>
      <c r="AQ2" s="11" t="str">
        <f t="shared" ref="AQ2:AQ16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14.0</v>
      </c>
      <c r="AS2" s="19">
        <v>30.0</v>
      </c>
      <c r="AT2" s="20" t="b">
        <v>0</v>
      </c>
      <c r="AU2" s="27" t="s">
        <v>61</v>
      </c>
      <c r="AV2" s="11" t="str">
        <f t="shared" ref="AV2:AV16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17.0</v>
      </c>
      <c r="AX2" s="19">
        <v>21.0</v>
      </c>
      <c r="AY2" s="20" t="b">
        <v>0</v>
      </c>
      <c r="AZ2" s="27" t="s">
        <v>61</v>
      </c>
      <c r="BA2" s="11" t="str">
        <f t="shared" ref="BA2:BA16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61</v>
      </c>
      <c r="BF2" s="11" t="str">
        <f t="shared" ref="BF2:BF16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17.0</v>
      </c>
      <c r="BH2" s="19">
        <v>21.0</v>
      </c>
      <c r="BI2" s="20" t="b">
        <v>0</v>
      </c>
      <c r="BJ2" s="27" t="s">
        <v>61</v>
      </c>
      <c r="BK2" s="11" t="str">
        <f t="shared" ref="BK2:BK16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14.0</v>
      </c>
      <c r="BM2" s="19">
        <v>17.0</v>
      </c>
      <c r="BN2" s="20" t="b">
        <v>0</v>
      </c>
      <c r="BO2" s="19"/>
      <c r="BP2" s="19"/>
      <c r="BQ2" s="19"/>
    </row>
    <row r="3">
      <c r="A3" s="16" t="s">
        <v>244</v>
      </c>
      <c r="B3" s="17" t="s">
        <v>245</v>
      </c>
      <c r="C3" s="18"/>
      <c r="D3" s="11" t="str">
        <f>IFERROR(__xludf.DUMMYFUNCTION("""COMPUTED_VALUE"""),"")</f>
        <v/>
      </c>
      <c r="E3" s="17"/>
      <c r="F3" s="31"/>
      <c r="G3" s="19" t="s">
        <v>29</v>
      </c>
      <c r="H3" s="11" t="str">
        <f t="shared" si="1"/>
        <v/>
      </c>
      <c r="I3" s="19">
        <v>21.0</v>
      </c>
      <c r="J3" s="19">
        <v>28.0</v>
      </c>
      <c r="K3" s="20" t="b">
        <v>0</v>
      </c>
      <c r="L3" s="19" t="s">
        <v>46</v>
      </c>
      <c r="M3" s="11" t="str">
        <f t="shared" si="2"/>
        <v/>
      </c>
      <c r="N3" s="19">
        <v>24.0</v>
      </c>
      <c r="O3" s="19">
        <v>21.0</v>
      </c>
      <c r="P3" s="19" t="b">
        <v>0</v>
      </c>
      <c r="Q3" s="27" t="s">
        <v>29</v>
      </c>
      <c r="R3" s="11" t="str">
        <f t="shared" si="3"/>
        <v/>
      </c>
      <c r="S3" s="19">
        <v>24.0</v>
      </c>
      <c r="T3" s="19">
        <v>31.0</v>
      </c>
      <c r="U3" s="20" t="b">
        <v>0</v>
      </c>
      <c r="V3" s="19" t="s">
        <v>29</v>
      </c>
      <c r="W3" s="11" t="str">
        <f t="shared" si="4"/>
        <v/>
      </c>
      <c r="X3" s="19">
        <v>10.0</v>
      </c>
      <c r="Y3" s="19">
        <v>14.0</v>
      </c>
      <c r="Z3" s="20" t="b">
        <v>0</v>
      </c>
      <c r="AA3" s="27" t="s">
        <v>46</v>
      </c>
      <c r="AB3" s="11" t="str">
        <f t="shared" si="5"/>
        <v/>
      </c>
      <c r="AC3" s="19">
        <v>24.0</v>
      </c>
      <c r="AD3" s="19">
        <v>17.0</v>
      </c>
      <c r="AE3" s="19" t="b">
        <v>0</v>
      </c>
      <c r="AF3" s="27" t="s">
        <v>46</v>
      </c>
      <c r="AG3" s="11" t="str">
        <f t="shared" si="6"/>
        <v/>
      </c>
      <c r="AH3" s="19">
        <v>28.0</v>
      </c>
      <c r="AI3" s="19">
        <v>22.0</v>
      </c>
      <c r="AJ3" s="20" t="b">
        <v>0</v>
      </c>
      <c r="AK3" s="19" t="s">
        <v>29</v>
      </c>
      <c r="AL3" s="11" t="str">
        <f t="shared" si="7"/>
        <v/>
      </c>
      <c r="AM3" s="19">
        <v>24.0</v>
      </c>
      <c r="AN3" s="19">
        <v>27.0</v>
      </c>
      <c r="AO3" s="20" t="b">
        <v>0</v>
      </c>
      <c r="AP3" s="27" t="s">
        <v>46</v>
      </c>
      <c r="AQ3" s="11" t="str">
        <f t="shared" si="8"/>
        <v/>
      </c>
      <c r="AR3" s="19">
        <v>27.0</v>
      </c>
      <c r="AS3" s="19">
        <v>20.0</v>
      </c>
      <c r="AT3" s="20" t="b">
        <v>0</v>
      </c>
      <c r="AU3" s="27" t="s">
        <v>29</v>
      </c>
      <c r="AV3" s="11" t="str">
        <f t="shared" si="9"/>
        <v/>
      </c>
      <c r="AW3" s="19">
        <v>24.0</v>
      </c>
      <c r="AX3" s="19">
        <v>27.0</v>
      </c>
      <c r="AY3" s="20" t="b">
        <v>0</v>
      </c>
      <c r="AZ3" s="27" t="s">
        <v>46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29</v>
      </c>
      <c r="BF3" s="11" t="str">
        <f t="shared" si="11"/>
        <v/>
      </c>
      <c r="BG3" s="19">
        <v>24.0</v>
      </c>
      <c r="BH3" s="19">
        <v>31.0</v>
      </c>
      <c r="BI3" s="20" t="b">
        <v>0</v>
      </c>
      <c r="BJ3" s="27" t="s">
        <v>46</v>
      </c>
      <c r="BK3" s="11" t="str">
        <f t="shared" si="12"/>
        <v/>
      </c>
      <c r="BL3" s="19">
        <v>23.0</v>
      </c>
      <c r="BM3" s="19">
        <v>20.0</v>
      </c>
      <c r="BN3" s="20" t="b">
        <v>0</v>
      </c>
      <c r="BO3" s="17"/>
      <c r="BP3" s="17"/>
      <c r="BQ3" s="17"/>
    </row>
    <row r="4">
      <c r="A4" s="16" t="s">
        <v>246</v>
      </c>
      <c r="B4" s="17" t="s">
        <v>247</v>
      </c>
      <c r="C4" s="18"/>
      <c r="D4" s="11" t="str">
        <f>IFERROR(__xludf.DUMMYFUNCTION("""COMPUTED_VALUE"""),"")</f>
        <v/>
      </c>
      <c r="E4" s="19"/>
      <c r="F4" s="20"/>
      <c r="G4" s="19" t="s">
        <v>39</v>
      </c>
      <c r="H4" s="11" t="str">
        <f t="shared" si="1"/>
        <v/>
      </c>
      <c r="I4" s="19">
        <v>14.0</v>
      </c>
      <c r="J4" s="19">
        <v>10.0</v>
      </c>
      <c r="K4" s="20" t="b">
        <v>1</v>
      </c>
      <c r="L4" s="19" t="s">
        <v>39</v>
      </c>
      <c r="M4" s="11" t="str">
        <f t="shared" si="2"/>
        <v/>
      </c>
      <c r="N4" s="19">
        <v>21.0</v>
      </c>
      <c r="O4" s="19">
        <v>17.0</v>
      </c>
      <c r="P4" s="19" t="b">
        <v>0</v>
      </c>
      <c r="Q4" s="27" t="s">
        <v>39</v>
      </c>
      <c r="R4" s="11" t="str">
        <f t="shared" si="3"/>
        <v/>
      </c>
      <c r="S4" s="19">
        <v>28.0</v>
      </c>
      <c r="T4" s="19">
        <v>21.0</v>
      </c>
      <c r="U4" s="20" t="b">
        <v>0</v>
      </c>
      <c r="V4" s="19" t="s">
        <v>39</v>
      </c>
      <c r="W4" s="11" t="str">
        <f t="shared" si="4"/>
        <v/>
      </c>
      <c r="X4" s="19">
        <v>14.0</v>
      </c>
      <c r="Y4" s="19">
        <v>10.0</v>
      </c>
      <c r="Z4" s="20" t="b">
        <v>0</v>
      </c>
      <c r="AA4" s="27" t="s">
        <v>39</v>
      </c>
      <c r="AB4" s="11" t="str">
        <f t="shared" si="5"/>
        <v/>
      </c>
      <c r="AC4" s="19">
        <v>24.0</v>
      </c>
      <c r="AD4" s="19">
        <v>17.0</v>
      </c>
      <c r="AE4" s="19" t="b">
        <v>0</v>
      </c>
      <c r="AF4" s="27" t="s">
        <v>39</v>
      </c>
      <c r="AG4" s="11" t="str">
        <f t="shared" si="6"/>
        <v/>
      </c>
      <c r="AH4" s="19">
        <v>24.0</v>
      </c>
      <c r="AI4" s="19">
        <v>21.0</v>
      </c>
      <c r="AJ4" s="20" t="b">
        <v>0</v>
      </c>
      <c r="AK4" s="19" t="s">
        <v>39</v>
      </c>
      <c r="AL4" s="11" t="str">
        <f t="shared" si="7"/>
        <v/>
      </c>
      <c r="AM4" s="19">
        <v>21.0</v>
      </c>
      <c r="AN4" s="19">
        <v>17.0</v>
      </c>
      <c r="AO4" s="20" t="b">
        <v>0</v>
      </c>
      <c r="AP4" s="27" t="s">
        <v>39</v>
      </c>
      <c r="AQ4" s="11" t="str">
        <f t="shared" si="8"/>
        <v/>
      </c>
      <c r="AR4" s="19">
        <v>24.0</v>
      </c>
      <c r="AS4" s="19">
        <v>20.0</v>
      </c>
      <c r="AT4" s="20" t="b">
        <v>0</v>
      </c>
      <c r="AU4" s="27" t="s">
        <v>39</v>
      </c>
      <c r="AV4" s="11" t="str">
        <f t="shared" si="9"/>
        <v/>
      </c>
      <c r="AW4" s="19">
        <v>31.0</v>
      </c>
      <c r="AX4" s="19">
        <v>24.0</v>
      </c>
      <c r="AY4" s="20" t="b">
        <v>0</v>
      </c>
      <c r="AZ4" s="27" t="s">
        <v>39</v>
      </c>
      <c r="BA4" s="11" t="str">
        <f t="shared" si="10"/>
        <v/>
      </c>
      <c r="BB4" s="19">
        <v>23.0</v>
      </c>
      <c r="BC4" s="19">
        <v>20.0</v>
      </c>
      <c r="BD4" s="20" t="b">
        <v>0</v>
      </c>
      <c r="BE4" s="27" t="s">
        <v>39</v>
      </c>
      <c r="BF4" s="11" t="str">
        <f t="shared" si="11"/>
        <v/>
      </c>
      <c r="BG4" s="19">
        <v>31.0</v>
      </c>
      <c r="BH4" s="19">
        <v>24.0</v>
      </c>
      <c r="BI4" s="20" t="b">
        <v>0</v>
      </c>
      <c r="BJ4" s="27" t="s">
        <v>39</v>
      </c>
      <c r="BK4" s="11" t="str">
        <f t="shared" si="12"/>
        <v/>
      </c>
      <c r="BL4" s="19">
        <v>28.0</v>
      </c>
      <c r="BM4" s="19">
        <v>21.0</v>
      </c>
      <c r="BN4" s="20" t="b">
        <v>0</v>
      </c>
      <c r="BO4" s="17"/>
      <c r="BP4" s="17"/>
      <c r="BQ4" s="17"/>
    </row>
    <row r="5">
      <c r="A5" s="16" t="s">
        <v>246</v>
      </c>
      <c r="B5" s="17" t="s">
        <v>248</v>
      </c>
      <c r="C5" s="18"/>
      <c r="D5" s="11" t="str">
        <f>IFERROR(__xludf.DUMMYFUNCTION("""COMPUTED_VALUE"""),"")</f>
        <v/>
      </c>
      <c r="E5" s="19"/>
      <c r="F5" s="20"/>
      <c r="G5" s="19" t="s">
        <v>74</v>
      </c>
      <c r="H5" s="11" t="str">
        <f t="shared" si="1"/>
        <v/>
      </c>
      <c r="I5" s="19">
        <v>24.0</v>
      </c>
      <c r="J5" s="19">
        <v>21.0</v>
      </c>
      <c r="K5" s="20" t="b">
        <v>0</v>
      </c>
      <c r="L5" s="19" t="s">
        <v>74</v>
      </c>
      <c r="M5" s="11" t="str">
        <f t="shared" si="2"/>
        <v/>
      </c>
      <c r="N5" s="19">
        <v>24.0</v>
      </c>
      <c r="O5" s="19">
        <v>20.0</v>
      </c>
      <c r="P5" s="19" t="b">
        <v>0</v>
      </c>
      <c r="Q5" s="27" t="s">
        <v>41</v>
      </c>
      <c r="R5" s="11" t="str">
        <f t="shared" si="3"/>
        <v/>
      </c>
      <c r="S5" s="19">
        <v>7.0</v>
      </c>
      <c r="T5" s="19">
        <v>10.0</v>
      </c>
      <c r="U5" s="20" t="b">
        <v>0</v>
      </c>
      <c r="V5" s="19" t="s">
        <v>74</v>
      </c>
      <c r="W5" s="11" t="str">
        <f t="shared" si="4"/>
        <v/>
      </c>
      <c r="X5" s="19">
        <v>24.0</v>
      </c>
      <c r="Y5" s="19">
        <v>17.0</v>
      </c>
      <c r="Z5" s="20" t="b">
        <v>0</v>
      </c>
      <c r="AA5" s="27" t="s">
        <v>74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41</v>
      </c>
      <c r="AG5" s="11" t="str">
        <f t="shared" si="6"/>
        <v/>
      </c>
      <c r="AH5" s="19">
        <v>21.0</v>
      </c>
      <c r="AI5" s="19">
        <v>28.0</v>
      </c>
      <c r="AJ5" s="20" t="b">
        <v>0</v>
      </c>
      <c r="AK5" s="19" t="s">
        <v>74</v>
      </c>
      <c r="AL5" s="11" t="str">
        <f t="shared" si="7"/>
        <v/>
      </c>
      <c r="AM5" s="19">
        <v>28.0</v>
      </c>
      <c r="AN5" s="19">
        <v>21.0</v>
      </c>
      <c r="AO5" s="20" t="b">
        <v>0</v>
      </c>
      <c r="AP5" s="27" t="s">
        <v>74</v>
      </c>
      <c r="AQ5" s="11" t="str">
        <f t="shared" si="8"/>
        <v/>
      </c>
      <c r="AR5" s="19">
        <v>20.0</v>
      </c>
      <c r="AS5" s="19">
        <v>13.0</v>
      </c>
      <c r="AT5" s="20" t="b">
        <v>0</v>
      </c>
      <c r="AU5" s="27" t="s">
        <v>41</v>
      </c>
      <c r="AV5" s="11" t="str">
        <f t="shared" si="9"/>
        <v/>
      </c>
      <c r="AW5" s="19">
        <v>24.0</v>
      </c>
      <c r="AX5" s="19">
        <v>27.0</v>
      </c>
      <c r="AY5" s="20" t="b">
        <v>0</v>
      </c>
      <c r="AZ5" s="27" t="s">
        <v>41</v>
      </c>
      <c r="BA5" s="11" t="str">
        <f t="shared" si="10"/>
        <v/>
      </c>
      <c r="BB5" s="19">
        <v>20.0</v>
      </c>
      <c r="BC5" s="19">
        <v>23.0</v>
      </c>
      <c r="BD5" s="20" t="b">
        <v>0</v>
      </c>
      <c r="BE5" s="27" t="s">
        <v>41</v>
      </c>
      <c r="BF5" s="11" t="str">
        <f t="shared" si="11"/>
        <v/>
      </c>
      <c r="BG5" s="19">
        <v>24.0</v>
      </c>
      <c r="BH5" s="19">
        <v>27.0</v>
      </c>
      <c r="BI5" s="20" t="b">
        <v>0</v>
      </c>
      <c r="BJ5" s="27" t="s">
        <v>41</v>
      </c>
      <c r="BK5" s="11" t="str">
        <f t="shared" si="12"/>
        <v/>
      </c>
      <c r="BL5" s="19">
        <v>20.0</v>
      </c>
      <c r="BM5" s="19">
        <v>23.0</v>
      </c>
      <c r="BN5" s="20" t="b">
        <v>0</v>
      </c>
      <c r="BO5" s="17"/>
      <c r="BP5" s="17"/>
      <c r="BQ5" s="17"/>
    </row>
    <row r="6">
      <c r="A6" s="16" t="s">
        <v>246</v>
      </c>
      <c r="B6" s="17" t="s">
        <v>249</v>
      </c>
      <c r="C6" s="18"/>
      <c r="D6" s="11" t="str">
        <f>IFERROR(__xludf.DUMMYFUNCTION("""COMPUTED_VALUE"""),"")</f>
        <v/>
      </c>
      <c r="E6" s="19"/>
      <c r="F6" s="20"/>
      <c r="G6" s="19" t="s">
        <v>27</v>
      </c>
      <c r="H6" s="11" t="str">
        <f t="shared" si="1"/>
        <v/>
      </c>
      <c r="I6" s="19">
        <v>24.0</v>
      </c>
      <c r="J6" s="19">
        <v>21.0</v>
      </c>
      <c r="K6" s="20" t="b">
        <v>0</v>
      </c>
      <c r="L6" s="19" t="s">
        <v>27</v>
      </c>
      <c r="M6" s="11" t="str">
        <f t="shared" si="2"/>
        <v/>
      </c>
      <c r="N6" s="19">
        <v>20.0</v>
      </c>
      <c r="O6" s="19">
        <v>17.0</v>
      </c>
      <c r="P6" s="19" t="b">
        <v>0</v>
      </c>
      <c r="Q6" s="27" t="s">
        <v>27</v>
      </c>
      <c r="R6" s="11" t="str">
        <f t="shared" si="3"/>
        <v/>
      </c>
      <c r="S6" s="19">
        <v>28.0</v>
      </c>
      <c r="T6" s="19">
        <v>21.0</v>
      </c>
      <c r="U6" s="20" t="b">
        <v>0</v>
      </c>
      <c r="V6" s="19" t="s">
        <v>87</v>
      </c>
      <c r="W6" s="11" t="str">
        <f t="shared" si="4"/>
        <v/>
      </c>
      <c r="X6" s="19">
        <v>21.0</v>
      </c>
      <c r="Y6" s="19">
        <v>28.0</v>
      </c>
      <c r="Z6" s="20" t="b">
        <v>0</v>
      </c>
      <c r="AA6" s="27" t="s">
        <v>27</v>
      </c>
      <c r="AB6" s="11" t="str">
        <f t="shared" si="5"/>
        <v/>
      </c>
      <c r="AC6" s="19">
        <v>24.0</v>
      </c>
      <c r="AD6" s="19">
        <v>17.0</v>
      </c>
      <c r="AE6" s="19" t="b">
        <v>0</v>
      </c>
      <c r="AF6" s="27" t="s">
        <v>27</v>
      </c>
      <c r="AG6" s="11" t="str">
        <f t="shared" si="6"/>
        <v/>
      </c>
      <c r="AH6" s="19">
        <v>21.0</v>
      </c>
      <c r="AI6" s="19">
        <v>17.0</v>
      </c>
      <c r="AJ6" s="20" t="b">
        <v>0</v>
      </c>
      <c r="AK6" s="19" t="s">
        <v>27</v>
      </c>
      <c r="AL6" s="11" t="str">
        <f t="shared" si="7"/>
        <v/>
      </c>
      <c r="AM6" s="19">
        <v>24.0</v>
      </c>
      <c r="AN6" s="19">
        <v>21.0</v>
      </c>
      <c r="AO6" s="20" t="b">
        <v>0</v>
      </c>
      <c r="AP6" s="27" t="s">
        <v>27</v>
      </c>
      <c r="AQ6" s="11" t="str">
        <f t="shared" si="8"/>
        <v/>
      </c>
      <c r="AR6" s="19">
        <v>34.0</v>
      </c>
      <c r="AS6" s="19">
        <v>28.0</v>
      </c>
      <c r="AT6" s="20" t="b">
        <v>0</v>
      </c>
      <c r="AU6" s="27" t="s">
        <v>27</v>
      </c>
      <c r="AV6" s="11" t="str">
        <f t="shared" si="9"/>
        <v/>
      </c>
      <c r="AW6" s="19">
        <v>21.0</v>
      </c>
      <c r="AX6" s="19">
        <v>14.0</v>
      </c>
      <c r="AY6" s="20" t="b">
        <v>0</v>
      </c>
      <c r="AZ6" s="27" t="s">
        <v>27</v>
      </c>
      <c r="BA6" s="11" t="str">
        <f t="shared" si="10"/>
        <v/>
      </c>
      <c r="BB6" s="19">
        <v>23.0</v>
      </c>
      <c r="BC6" s="19">
        <v>20.0</v>
      </c>
      <c r="BD6" s="20" t="b">
        <v>0</v>
      </c>
      <c r="BE6" s="27" t="s">
        <v>27</v>
      </c>
      <c r="BF6" s="11" t="str">
        <f t="shared" si="11"/>
        <v/>
      </c>
      <c r="BG6" s="19">
        <v>20.0</v>
      </c>
      <c r="BH6" s="19">
        <v>17.0</v>
      </c>
      <c r="BI6" s="20" t="b">
        <v>0</v>
      </c>
      <c r="BJ6" s="27" t="s">
        <v>87</v>
      </c>
      <c r="BK6" s="11" t="str">
        <f t="shared" si="12"/>
        <v/>
      </c>
      <c r="BL6" s="19">
        <v>10.0</v>
      </c>
      <c r="BM6" s="19">
        <v>14.0</v>
      </c>
      <c r="BN6" s="20" t="b">
        <v>0</v>
      </c>
      <c r="BO6" s="17"/>
      <c r="BP6" s="17"/>
      <c r="BQ6" s="17"/>
    </row>
    <row r="7">
      <c r="A7" s="16" t="s">
        <v>246</v>
      </c>
      <c r="B7" s="17" t="s">
        <v>252</v>
      </c>
      <c r="C7" s="18"/>
      <c r="D7" s="11" t="str">
        <f>IFERROR(__xludf.DUMMYFUNCTION("""COMPUTED_VALUE"""),"")</f>
        <v/>
      </c>
      <c r="E7" s="19"/>
      <c r="F7" s="20"/>
      <c r="G7" s="19" t="s">
        <v>126</v>
      </c>
      <c r="H7" s="11" t="str">
        <f t="shared" si="1"/>
        <v/>
      </c>
      <c r="I7" s="19">
        <v>14.0</v>
      </c>
      <c r="J7" s="19">
        <v>17.0</v>
      </c>
      <c r="K7" s="20" t="b">
        <v>0</v>
      </c>
      <c r="L7" s="19" t="s">
        <v>126</v>
      </c>
      <c r="M7" s="11" t="str">
        <f t="shared" si="2"/>
        <v/>
      </c>
      <c r="N7" s="19">
        <v>24.0</v>
      </c>
      <c r="O7" s="19">
        <v>27.0</v>
      </c>
      <c r="P7" s="19" t="b">
        <v>0</v>
      </c>
      <c r="Q7" s="27" t="s">
        <v>126</v>
      </c>
      <c r="R7" s="11" t="str">
        <f t="shared" si="3"/>
        <v/>
      </c>
      <c r="S7" s="19">
        <v>20.0</v>
      </c>
      <c r="T7" s="19">
        <v>23.0</v>
      </c>
      <c r="U7" s="20" t="b">
        <v>0</v>
      </c>
      <c r="V7" s="19" t="s">
        <v>126</v>
      </c>
      <c r="W7" s="11" t="str">
        <f t="shared" si="4"/>
        <v/>
      </c>
      <c r="X7" s="19">
        <v>14.0</v>
      </c>
      <c r="Y7" s="19">
        <v>17.0</v>
      </c>
      <c r="Z7" s="20" t="b">
        <v>1</v>
      </c>
      <c r="AA7" s="27" t="s">
        <v>126</v>
      </c>
      <c r="AB7" s="11" t="str">
        <f t="shared" si="5"/>
        <v/>
      </c>
      <c r="AC7" s="19">
        <v>17.0</v>
      </c>
      <c r="AD7" s="19">
        <v>24.0</v>
      </c>
      <c r="AE7" s="19" t="b">
        <v>0</v>
      </c>
      <c r="AF7" s="27" t="s">
        <v>126</v>
      </c>
      <c r="AG7" s="11" t="str">
        <f t="shared" si="6"/>
        <v/>
      </c>
      <c r="AH7" s="19">
        <v>10.0</v>
      </c>
      <c r="AI7" s="19">
        <v>14.0</v>
      </c>
      <c r="AJ7" s="20" t="b">
        <v>1</v>
      </c>
      <c r="AK7" s="19" t="s">
        <v>34</v>
      </c>
      <c r="AL7" s="11" t="str">
        <f t="shared" si="7"/>
        <v/>
      </c>
      <c r="AM7" s="19">
        <v>17.0</v>
      </c>
      <c r="AN7" s="19">
        <v>14.0</v>
      </c>
      <c r="AO7" s="20" t="b">
        <v>0</v>
      </c>
      <c r="AP7" s="27" t="s">
        <v>126</v>
      </c>
      <c r="AQ7" s="11" t="str">
        <f t="shared" si="8"/>
        <v/>
      </c>
      <c r="AR7" s="19">
        <v>14.0</v>
      </c>
      <c r="AS7" s="19">
        <v>20.0</v>
      </c>
      <c r="AT7" s="20" t="b">
        <v>0</v>
      </c>
      <c r="AU7" s="27" t="s">
        <v>34</v>
      </c>
      <c r="AV7" s="11" t="str">
        <f t="shared" si="9"/>
        <v/>
      </c>
      <c r="AW7" s="19">
        <v>31.0</v>
      </c>
      <c r="AX7" s="19">
        <v>24.0</v>
      </c>
      <c r="AY7" s="20" t="b">
        <v>0</v>
      </c>
      <c r="AZ7" s="27" t="s">
        <v>126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126</v>
      </c>
      <c r="BF7" s="11" t="str">
        <f t="shared" si="11"/>
        <v/>
      </c>
      <c r="BG7" s="19">
        <v>20.0</v>
      </c>
      <c r="BH7" s="19">
        <v>23.0</v>
      </c>
      <c r="BI7" s="20" t="b">
        <v>0</v>
      </c>
      <c r="BJ7" s="27" t="s">
        <v>126</v>
      </c>
      <c r="BK7" s="11" t="str">
        <f t="shared" si="12"/>
        <v/>
      </c>
      <c r="BL7" s="19">
        <v>24.0</v>
      </c>
      <c r="BM7" s="19">
        <v>27.0</v>
      </c>
      <c r="BN7" s="20" t="b">
        <v>0</v>
      </c>
      <c r="BO7" s="17"/>
      <c r="BP7" s="17"/>
      <c r="BQ7" s="17"/>
    </row>
    <row r="8">
      <c r="A8" s="16" t="s">
        <v>246</v>
      </c>
      <c r="B8" s="17" t="s">
        <v>256</v>
      </c>
      <c r="C8" s="18"/>
      <c r="D8" s="11" t="str">
        <f>IFERROR(__xludf.DUMMYFUNCTION("""COMPUTED_VALUE"""),"")</f>
        <v/>
      </c>
      <c r="E8" s="19"/>
      <c r="F8" s="20"/>
      <c r="G8" s="19" t="s">
        <v>76</v>
      </c>
      <c r="H8" s="11" t="str">
        <f t="shared" si="1"/>
        <v/>
      </c>
      <c r="I8" s="19">
        <v>20.0</v>
      </c>
      <c r="J8" s="19">
        <v>23.0</v>
      </c>
      <c r="K8" s="20" t="b">
        <v>0</v>
      </c>
      <c r="L8" s="19" t="s">
        <v>84</v>
      </c>
      <c r="M8" s="11" t="str">
        <f t="shared" si="2"/>
        <v/>
      </c>
      <c r="N8" s="19">
        <v>23.0</v>
      </c>
      <c r="O8" s="19">
        <v>20.0</v>
      </c>
      <c r="P8" s="19" t="b">
        <v>0</v>
      </c>
      <c r="Q8" s="27" t="s">
        <v>76</v>
      </c>
      <c r="R8" s="11" t="str">
        <f t="shared" si="3"/>
        <v/>
      </c>
      <c r="S8" s="19">
        <v>10.0</v>
      </c>
      <c r="T8" s="19">
        <v>14.0</v>
      </c>
      <c r="U8" s="20" t="b">
        <v>0</v>
      </c>
      <c r="V8" s="19" t="s">
        <v>76</v>
      </c>
      <c r="W8" s="11" t="str">
        <f t="shared" si="4"/>
        <v/>
      </c>
      <c r="X8" s="19">
        <v>13.0</v>
      </c>
      <c r="Y8" s="19">
        <v>14.0</v>
      </c>
      <c r="Z8" s="20" t="b">
        <v>0</v>
      </c>
      <c r="AA8" s="27" t="s">
        <v>84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76</v>
      </c>
      <c r="AG8" s="11" t="str">
        <f t="shared" si="6"/>
        <v/>
      </c>
      <c r="AH8" s="19">
        <v>21.0</v>
      </c>
      <c r="AI8" s="19">
        <v>24.0</v>
      </c>
      <c r="AJ8" s="20" t="b">
        <v>0</v>
      </c>
      <c r="AK8" s="19" t="s">
        <v>84</v>
      </c>
      <c r="AL8" s="11" t="str">
        <f t="shared" si="7"/>
        <v/>
      </c>
      <c r="AM8" s="19">
        <v>27.0</v>
      </c>
      <c r="AN8" s="19">
        <v>24.0</v>
      </c>
      <c r="AO8" s="20" t="b">
        <v>1</v>
      </c>
      <c r="AP8" s="27" t="s">
        <v>84</v>
      </c>
      <c r="AQ8" s="11" t="str">
        <f t="shared" si="8"/>
        <v/>
      </c>
      <c r="AR8" s="19">
        <v>28.0</v>
      </c>
      <c r="AS8" s="19">
        <v>21.0</v>
      </c>
      <c r="AT8" s="20" t="b">
        <v>0</v>
      </c>
      <c r="AU8" s="27" t="s">
        <v>76</v>
      </c>
      <c r="AV8" s="11" t="str">
        <f t="shared" si="9"/>
        <v/>
      </c>
      <c r="AW8" s="19">
        <v>24.0</v>
      </c>
      <c r="AX8" s="19">
        <v>27.0</v>
      </c>
      <c r="AY8" s="20" t="b">
        <v>0</v>
      </c>
      <c r="AZ8" s="27" t="s">
        <v>84</v>
      </c>
      <c r="BA8" s="11" t="str">
        <f t="shared" si="10"/>
        <v/>
      </c>
      <c r="BB8" s="19">
        <v>23.0</v>
      </c>
      <c r="BC8" s="19">
        <v>20.0</v>
      </c>
      <c r="BD8" s="20" t="b">
        <v>0</v>
      </c>
      <c r="BE8" s="27" t="s">
        <v>76</v>
      </c>
      <c r="BF8" s="11" t="str">
        <f t="shared" si="11"/>
        <v/>
      </c>
      <c r="BG8" s="19">
        <v>24.0</v>
      </c>
      <c r="BH8" s="19">
        <v>27.0</v>
      </c>
      <c r="BI8" s="20" t="b">
        <v>0</v>
      </c>
      <c r="BJ8" s="27" t="s">
        <v>84</v>
      </c>
      <c r="BK8" s="11" t="str">
        <f t="shared" si="12"/>
        <v/>
      </c>
      <c r="BL8" s="19">
        <v>24.0</v>
      </c>
      <c r="BM8" s="19">
        <v>21.0</v>
      </c>
      <c r="BN8" s="20" t="b">
        <v>0</v>
      </c>
      <c r="BO8" s="19"/>
      <c r="BP8" s="19"/>
      <c r="BQ8" s="19"/>
    </row>
    <row r="9">
      <c r="A9" s="16" t="s">
        <v>246</v>
      </c>
      <c r="B9" s="17" t="s">
        <v>260</v>
      </c>
      <c r="C9" s="18"/>
      <c r="D9" s="11" t="str">
        <f>IFERROR(__xludf.DUMMYFUNCTION("""COMPUTED_VALUE"""),"")</f>
        <v/>
      </c>
      <c r="E9" s="19"/>
      <c r="F9" s="20"/>
      <c r="G9" s="19" t="s">
        <v>88</v>
      </c>
      <c r="H9" s="11" t="str">
        <f t="shared" si="1"/>
        <v/>
      </c>
      <c r="I9" s="19">
        <v>17.0</v>
      </c>
      <c r="J9" s="19">
        <v>20.0</v>
      </c>
      <c r="K9" s="20" t="b">
        <v>0</v>
      </c>
      <c r="L9" s="19" t="s">
        <v>88</v>
      </c>
      <c r="M9" s="11" t="str">
        <f t="shared" si="2"/>
        <v/>
      </c>
      <c r="N9" s="19">
        <v>14.0</v>
      </c>
      <c r="O9" s="19">
        <v>17.0</v>
      </c>
      <c r="P9" s="19" t="b">
        <v>0</v>
      </c>
      <c r="Q9" s="27" t="s">
        <v>88</v>
      </c>
      <c r="R9" s="11" t="str">
        <f t="shared" si="3"/>
        <v/>
      </c>
      <c r="S9" s="19">
        <v>21.0</v>
      </c>
      <c r="T9" s="19">
        <v>28.0</v>
      </c>
      <c r="U9" s="20" t="b">
        <v>0</v>
      </c>
      <c r="V9" s="19" t="s">
        <v>88</v>
      </c>
      <c r="W9" s="11" t="str">
        <f t="shared" si="4"/>
        <v/>
      </c>
      <c r="X9" s="19">
        <v>17.0</v>
      </c>
      <c r="Y9" s="19">
        <v>31.0</v>
      </c>
      <c r="Z9" s="20" t="b">
        <v>0</v>
      </c>
      <c r="AA9" s="27" t="s">
        <v>88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58</v>
      </c>
      <c r="AG9" s="11" t="str">
        <f t="shared" si="6"/>
        <v/>
      </c>
      <c r="AH9" s="19">
        <v>17.0</v>
      </c>
      <c r="AI9" s="19">
        <v>14.0</v>
      </c>
      <c r="AJ9" s="20" t="b">
        <v>0</v>
      </c>
      <c r="AK9" s="19" t="s">
        <v>88</v>
      </c>
      <c r="AL9" s="11" t="str">
        <f t="shared" si="7"/>
        <v/>
      </c>
      <c r="AM9" s="19">
        <v>24.0</v>
      </c>
      <c r="AN9" s="19">
        <v>27.0</v>
      </c>
      <c r="AO9" s="20" t="b">
        <v>0</v>
      </c>
      <c r="AP9" s="27" t="s">
        <v>88</v>
      </c>
      <c r="AQ9" s="11" t="str">
        <f t="shared" si="8"/>
        <v/>
      </c>
      <c r="AR9" s="19">
        <v>17.0</v>
      </c>
      <c r="AS9" s="19">
        <v>27.0</v>
      </c>
      <c r="AT9" s="20" t="b">
        <v>0</v>
      </c>
      <c r="AU9" s="27" t="s">
        <v>88</v>
      </c>
      <c r="AV9" s="11" t="str">
        <f t="shared" si="9"/>
        <v/>
      </c>
      <c r="AW9" s="19">
        <v>24.0</v>
      </c>
      <c r="AX9" s="19">
        <v>27.0</v>
      </c>
      <c r="AY9" s="20" t="b">
        <v>1</v>
      </c>
      <c r="AZ9" s="27" t="s">
        <v>88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88</v>
      </c>
      <c r="BF9" s="11" t="str">
        <f t="shared" si="11"/>
        <v/>
      </c>
      <c r="BG9" s="19">
        <v>7.0</v>
      </c>
      <c r="BH9" s="19">
        <v>10.0</v>
      </c>
      <c r="BI9" s="20" t="b">
        <v>0</v>
      </c>
      <c r="BJ9" s="27" t="s">
        <v>88</v>
      </c>
      <c r="BK9" s="11" t="str">
        <f t="shared" si="12"/>
        <v/>
      </c>
      <c r="BL9" s="19">
        <v>17.0</v>
      </c>
      <c r="BM9" s="19">
        <v>21.0</v>
      </c>
      <c r="BN9" s="20" t="b">
        <v>0</v>
      </c>
      <c r="BO9" s="17"/>
      <c r="BP9" s="17"/>
      <c r="BQ9" s="17"/>
    </row>
    <row r="10">
      <c r="A10" s="16" t="s">
        <v>246</v>
      </c>
      <c r="B10" s="30" t="s">
        <v>261</v>
      </c>
      <c r="C10" s="18"/>
      <c r="D10" s="11" t="str">
        <f>IFERROR(__xludf.DUMMYFUNCTION("""COMPUTED_VALUE"""),"")</f>
        <v/>
      </c>
      <c r="E10" s="19"/>
      <c r="F10" s="20"/>
      <c r="G10" s="19" t="s">
        <v>54</v>
      </c>
      <c r="H10" s="11" t="str">
        <f t="shared" si="1"/>
        <v/>
      </c>
      <c r="I10" s="19">
        <v>17.0</v>
      </c>
      <c r="J10" s="19">
        <v>20.0</v>
      </c>
      <c r="K10" s="20" t="b">
        <v>0</v>
      </c>
      <c r="L10" s="19" t="s">
        <v>54</v>
      </c>
      <c r="M10" s="11" t="str">
        <f t="shared" si="2"/>
        <v/>
      </c>
      <c r="N10" s="19">
        <v>10.0</v>
      </c>
      <c r="O10" s="19">
        <v>27.0</v>
      </c>
      <c r="P10" s="19" t="b">
        <v>0</v>
      </c>
      <c r="Q10" s="27" t="s">
        <v>54</v>
      </c>
      <c r="R10" s="11" t="str">
        <f t="shared" si="3"/>
        <v/>
      </c>
      <c r="S10" s="19">
        <v>21.0</v>
      </c>
      <c r="T10" s="19">
        <v>24.0</v>
      </c>
      <c r="U10" s="20" t="b">
        <v>1</v>
      </c>
      <c r="V10" s="19" t="s">
        <v>54</v>
      </c>
      <c r="W10" s="11" t="str">
        <f t="shared" si="4"/>
        <v/>
      </c>
      <c r="X10" s="19">
        <v>14.0</v>
      </c>
      <c r="Y10" s="19">
        <v>24.0</v>
      </c>
      <c r="Z10" s="20" t="b">
        <v>0</v>
      </c>
      <c r="AA10" s="27" t="s">
        <v>54</v>
      </c>
      <c r="AB10" s="11" t="str">
        <f t="shared" si="5"/>
        <v/>
      </c>
      <c r="AC10" s="19">
        <v>17.0</v>
      </c>
      <c r="AD10" s="19">
        <v>24.0</v>
      </c>
      <c r="AE10" s="19" t="b">
        <v>1</v>
      </c>
      <c r="AF10" s="27" t="s">
        <v>54</v>
      </c>
      <c r="AG10" s="11" t="str">
        <f t="shared" si="6"/>
        <v/>
      </c>
      <c r="AH10" s="19">
        <v>17.0</v>
      </c>
      <c r="AI10" s="19">
        <v>21.0</v>
      </c>
      <c r="AJ10" s="20" t="b">
        <v>0</v>
      </c>
      <c r="AK10" s="19" t="s">
        <v>54</v>
      </c>
      <c r="AL10" s="11" t="str">
        <f t="shared" si="7"/>
        <v/>
      </c>
      <c r="AM10" s="19">
        <v>20.0</v>
      </c>
      <c r="AN10" s="19">
        <v>23.0</v>
      </c>
      <c r="AO10" s="20" t="b">
        <v>0</v>
      </c>
      <c r="AP10" s="27" t="s">
        <v>54</v>
      </c>
      <c r="AQ10" s="11" t="str">
        <f t="shared" si="8"/>
        <v/>
      </c>
      <c r="AR10" s="19">
        <v>13.0</v>
      </c>
      <c r="AS10" s="19">
        <v>24.0</v>
      </c>
      <c r="AT10" s="20" t="b">
        <v>0</v>
      </c>
      <c r="AU10" s="27" t="s">
        <v>54</v>
      </c>
      <c r="AV10" s="11" t="str">
        <f t="shared" si="9"/>
        <v/>
      </c>
      <c r="AW10" s="19">
        <v>14.0</v>
      </c>
      <c r="AX10" s="19">
        <v>17.0</v>
      </c>
      <c r="AY10" s="20" t="b">
        <v>0</v>
      </c>
      <c r="AZ10" s="27" t="s">
        <v>54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92</v>
      </c>
      <c r="BF10" s="11" t="str">
        <f t="shared" si="11"/>
        <v/>
      </c>
      <c r="BG10" s="19">
        <v>17.0</v>
      </c>
      <c r="BH10" s="19">
        <v>14.0</v>
      </c>
      <c r="BI10" s="20" t="b">
        <v>0</v>
      </c>
      <c r="BJ10" s="27" t="s">
        <v>54</v>
      </c>
      <c r="BK10" s="11" t="str">
        <f t="shared" si="12"/>
        <v/>
      </c>
      <c r="BL10" s="19">
        <v>17.0</v>
      </c>
      <c r="BM10" s="19">
        <v>21.0</v>
      </c>
      <c r="BN10" s="20" t="b">
        <v>0</v>
      </c>
      <c r="BO10" s="17"/>
      <c r="BP10" s="17"/>
      <c r="BQ10" s="17"/>
    </row>
    <row r="11">
      <c r="A11" s="16" t="s">
        <v>265</v>
      </c>
      <c r="B11" s="17" t="s">
        <v>266</v>
      </c>
      <c r="C11" s="18"/>
      <c r="D11" s="11" t="str">
        <f>IFERROR(__xludf.DUMMYFUNCTION("""COMPUTED_VALUE"""),"")</f>
        <v/>
      </c>
      <c r="E11" s="19"/>
      <c r="F11" s="20"/>
      <c r="G11" s="19" t="s">
        <v>40</v>
      </c>
      <c r="H11" s="11" t="str">
        <f t="shared" si="1"/>
        <v/>
      </c>
      <c r="I11" s="19">
        <v>10.0</v>
      </c>
      <c r="J11" s="19">
        <v>14.0</v>
      </c>
      <c r="K11" s="20" t="b">
        <v>0</v>
      </c>
      <c r="L11" s="19" t="s">
        <v>40</v>
      </c>
      <c r="M11" s="11" t="str">
        <f t="shared" si="2"/>
        <v/>
      </c>
      <c r="N11" s="19">
        <v>24.0</v>
      </c>
      <c r="O11" s="19">
        <v>27.0</v>
      </c>
      <c r="P11" s="19" t="b">
        <v>1</v>
      </c>
      <c r="Q11" s="27" t="s">
        <v>79</v>
      </c>
      <c r="R11" s="11" t="str">
        <f t="shared" si="3"/>
        <v/>
      </c>
      <c r="S11" s="19">
        <v>23.0</v>
      </c>
      <c r="T11" s="19">
        <v>20.0</v>
      </c>
      <c r="U11" s="20" t="b">
        <v>0</v>
      </c>
      <c r="V11" s="19" t="s">
        <v>40</v>
      </c>
      <c r="W11" s="11" t="str">
        <f t="shared" si="4"/>
        <v/>
      </c>
      <c r="X11" s="19">
        <v>17.0</v>
      </c>
      <c r="Y11" s="19">
        <v>21.0</v>
      </c>
      <c r="Z11" s="20" t="b">
        <v>0</v>
      </c>
      <c r="AA11" s="27" t="s">
        <v>40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79</v>
      </c>
      <c r="AG11" s="11" t="str">
        <f t="shared" si="6"/>
        <v/>
      </c>
      <c r="AH11" s="19">
        <v>24.0</v>
      </c>
      <c r="AI11" s="19">
        <v>21.0</v>
      </c>
      <c r="AJ11" s="20" t="b">
        <v>0</v>
      </c>
      <c r="AK11" s="19" t="s">
        <v>40</v>
      </c>
      <c r="AL11" s="11" t="str">
        <f t="shared" si="7"/>
        <v/>
      </c>
      <c r="AM11" s="19">
        <v>21.0</v>
      </c>
      <c r="AN11" s="19">
        <v>28.0</v>
      </c>
      <c r="AO11" s="20" t="b">
        <v>0</v>
      </c>
      <c r="AP11" s="27" t="s">
        <v>40</v>
      </c>
      <c r="AQ11" s="11" t="str">
        <f t="shared" si="8"/>
        <v/>
      </c>
      <c r="AR11" s="19">
        <v>17.0</v>
      </c>
      <c r="AS11" s="19">
        <v>31.0</v>
      </c>
      <c r="AT11" s="20" t="b">
        <v>1</v>
      </c>
      <c r="AU11" s="27" t="s">
        <v>40</v>
      </c>
      <c r="AV11" s="11" t="str">
        <f t="shared" si="9"/>
        <v/>
      </c>
      <c r="AW11" s="19">
        <v>20.0</v>
      </c>
      <c r="AX11" s="19">
        <v>23.0</v>
      </c>
      <c r="AY11" s="20" t="b">
        <v>0</v>
      </c>
      <c r="AZ11" s="27" t="s">
        <v>40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79</v>
      </c>
      <c r="BF11" s="11" t="str">
        <f t="shared" si="11"/>
        <v/>
      </c>
      <c r="BG11" s="19">
        <v>17.0</v>
      </c>
      <c r="BH11" s="19">
        <v>14.0</v>
      </c>
      <c r="BI11" s="20" t="b">
        <v>1</v>
      </c>
      <c r="BJ11" s="27" t="s">
        <v>79</v>
      </c>
      <c r="BK11" s="11" t="str">
        <f t="shared" si="12"/>
        <v/>
      </c>
      <c r="BL11" s="19">
        <v>24.0</v>
      </c>
      <c r="BM11" s="19">
        <v>21.0</v>
      </c>
      <c r="BN11" s="20" t="b">
        <v>0</v>
      </c>
      <c r="BO11" s="19"/>
      <c r="BP11" s="19"/>
      <c r="BQ11" s="19"/>
    </row>
    <row r="12">
      <c r="A12" s="16" t="s">
        <v>265</v>
      </c>
      <c r="B12" s="17" t="s">
        <v>270</v>
      </c>
      <c r="C12" s="18"/>
      <c r="D12" s="11" t="str">
        <f>IFERROR(__xludf.DUMMYFUNCTION("""COMPUTED_VALUE"""),"")</f>
        <v/>
      </c>
      <c r="E12" s="19"/>
      <c r="F12" s="20"/>
      <c r="G12" s="19" t="s">
        <v>50</v>
      </c>
      <c r="H12" s="11" t="str">
        <f t="shared" si="1"/>
        <v/>
      </c>
      <c r="I12" s="19">
        <v>21.0</v>
      </c>
      <c r="J12" s="19">
        <v>24.0</v>
      </c>
      <c r="K12" s="20" t="b">
        <v>0</v>
      </c>
      <c r="L12" s="19" t="s">
        <v>69</v>
      </c>
      <c r="M12" s="11" t="str">
        <f t="shared" si="2"/>
        <v/>
      </c>
      <c r="N12" s="19">
        <v>14.0</v>
      </c>
      <c r="O12" s="19">
        <v>10.0</v>
      </c>
      <c r="P12" s="19" t="b">
        <v>0</v>
      </c>
      <c r="Q12" s="27" t="s">
        <v>50</v>
      </c>
      <c r="R12" s="11" t="str">
        <f t="shared" si="3"/>
        <v/>
      </c>
      <c r="S12" s="19">
        <v>24.0</v>
      </c>
      <c r="T12" s="19">
        <v>27.0</v>
      </c>
      <c r="U12" s="20" t="b">
        <v>0</v>
      </c>
      <c r="V12" s="19" t="s">
        <v>69</v>
      </c>
      <c r="W12" s="11" t="str">
        <f t="shared" si="4"/>
        <v/>
      </c>
      <c r="X12" s="19">
        <v>27.0</v>
      </c>
      <c r="Y12" s="19">
        <v>24.0</v>
      </c>
      <c r="Z12" s="20" t="b">
        <v>0</v>
      </c>
      <c r="AA12" s="27" t="s">
        <v>69</v>
      </c>
      <c r="AB12" s="11" t="str">
        <f t="shared" si="5"/>
        <v/>
      </c>
      <c r="AC12" s="19">
        <v>24.0</v>
      </c>
      <c r="AD12" s="19">
        <v>17.0</v>
      </c>
      <c r="AE12" s="19" t="b">
        <v>0</v>
      </c>
      <c r="AF12" s="27" t="s">
        <v>69</v>
      </c>
      <c r="AG12" s="11" t="str">
        <f t="shared" si="6"/>
        <v/>
      </c>
      <c r="AH12" s="19">
        <v>27.0</v>
      </c>
      <c r="AI12" s="19">
        <v>24.0</v>
      </c>
      <c r="AJ12" s="20" t="b">
        <v>0</v>
      </c>
      <c r="AK12" s="19" t="s">
        <v>69</v>
      </c>
      <c r="AL12" s="11" t="str">
        <f t="shared" si="7"/>
        <v/>
      </c>
      <c r="AM12" s="19">
        <v>28.0</v>
      </c>
      <c r="AN12" s="19">
        <v>21.0</v>
      </c>
      <c r="AO12" s="20" t="b">
        <v>0</v>
      </c>
      <c r="AP12" s="27" t="s">
        <v>69</v>
      </c>
      <c r="AQ12" s="11" t="str">
        <f t="shared" si="8"/>
        <v/>
      </c>
      <c r="AR12" s="19">
        <v>24.0</v>
      </c>
      <c r="AS12" s="19">
        <v>20.0</v>
      </c>
      <c r="AT12" s="20" t="b">
        <v>0</v>
      </c>
      <c r="AU12" s="27" t="s">
        <v>50</v>
      </c>
      <c r="AV12" s="11" t="str">
        <f t="shared" si="9"/>
        <v/>
      </c>
      <c r="AW12" s="19">
        <v>20.0</v>
      </c>
      <c r="AX12" s="19">
        <v>23.0</v>
      </c>
      <c r="AY12" s="20" t="b">
        <v>0</v>
      </c>
      <c r="AZ12" s="27" t="s">
        <v>50</v>
      </c>
      <c r="BA12" s="11" t="str">
        <f t="shared" si="10"/>
        <v/>
      </c>
      <c r="BB12" s="19">
        <v>20.0</v>
      </c>
      <c r="BC12" s="19">
        <v>23.0</v>
      </c>
      <c r="BD12" s="20" t="b">
        <v>0</v>
      </c>
      <c r="BE12" s="27" t="s">
        <v>50</v>
      </c>
      <c r="BF12" s="11" t="str">
        <f t="shared" si="11"/>
        <v/>
      </c>
      <c r="BG12" s="19">
        <v>24.0</v>
      </c>
      <c r="BH12" s="19">
        <v>31.0</v>
      </c>
      <c r="BI12" s="20" t="b">
        <v>0</v>
      </c>
      <c r="BJ12" s="27" t="s">
        <v>50</v>
      </c>
      <c r="BK12" s="11" t="str">
        <f t="shared" si="12"/>
        <v/>
      </c>
      <c r="BL12" s="19">
        <v>14.0</v>
      </c>
      <c r="BM12" s="19">
        <v>17.0</v>
      </c>
      <c r="BN12" s="20" t="b">
        <v>0</v>
      </c>
      <c r="BO12" s="17"/>
      <c r="BP12" s="17"/>
      <c r="BQ12" s="17"/>
    </row>
    <row r="13">
      <c r="A13" s="16" t="s">
        <v>273</v>
      </c>
      <c r="B13" s="30" t="s">
        <v>274</v>
      </c>
      <c r="C13" s="18"/>
      <c r="D13" s="11" t="str">
        <f>IFERROR(__xludf.DUMMYFUNCTION("""COMPUTED_VALUE"""),"")</f>
        <v/>
      </c>
      <c r="E13" s="19"/>
      <c r="F13" s="20"/>
      <c r="G13" s="19" t="s">
        <v>24</v>
      </c>
      <c r="H13" s="11" t="str">
        <f t="shared" si="1"/>
        <v/>
      </c>
      <c r="I13" s="19">
        <v>14.0</v>
      </c>
      <c r="J13" s="19">
        <v>20.0</v>
      </c>
      <c r="K13" s="20" t="b">
        <v>0</v>
      </c>
      <c r="L13" s="19" t="s">
        <v>24</v>
      </c>
      <c r="M13" s="11" t="str">
        <f t="shared" si="2"/>
        <v/>
      </c>
      <c r="N13" s="19">
        <v>24.0</v>
      </c>
      <c r="O13" s="19">
        <v>31.0</v>
      </c>
      <c r="P13" s="19" t="b">
        <v>0</v>
      </c>
      <c r="Q13" s="27" t="s">
        <v>24</v>
      </c>
      <c r="R13" s="11" t="str">
        <f t="shared" si="3"/>
        <v/>
      </c>
      <c r="S13" s="19">
        <v>20.0</v>
      </c>
      <c r="T13" s="19">
        <v>23.0</v>
      </c>
      <c r="U13" s="20" t="b">
        <v>0</v>
      </c>
      <c r="V13" s="19" t="s">
        <v>24</v>
      </c>
      <c r="W13" s="11" t="str">
        <f t="shared" si="4"/>
        <v/>
      </c>
      <c r="X13" s="19">
        <v>10.0</v>
      </c>
      <c r="Y13" s="19">
        <v>17.0</v>
      </c>
      <c r="Z13" s="20" t="b">
        <v>0</v>
      </c>
      <c r="AA13" s="27" t="s">
        <v>24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93</v>
      </c>
      <c r="AG13" s="11" t="str">
        <f t="shared" si="6"/>
        <v/>
      </c>
      <c r="AH13" s="19">
        <v>20.0</v>
      </c>
      <c r="AI13" s="19">
        <v>17.0</v>
      </c>
      <c r="AJ13" s="20" t="b">
        <v>0</v>
      </c>
      <c r="AK13" s="19" t="s">
        <v>24</v>
      </c>
      <c r="AL13" s="11" t="str">
        <f t="shared" si="7"/>
        <v/>
      </c>
      <c r="AM13" s="19">
        <v>7.0</v>
      </c>
      <c r="AN13" s="19">
        <v>10.0</v>
      </c>
      <c r="AO13" s="20" t="b">
        <v>0</v>
      </c>
      <c r="AP13" s="27" t="s">
        <v>24</v>
      </c>
      <c r="AQ13" s="11" t="str">
        <f t="shared" si="8"/>
        <v/>
      </c>
      <c r="AR13" s="19">
        <v>17.0</v>
      </c>
      <c r="AS13" s="19">
        <v>24.0</v>
      </c>
      <c r="AT13" s="20" t="b">
        <v>0</v>
      </c>
      <c r="AU13" s="27" t="s">
        <v>93</v>
      </c>
      <c r="AV13" s="11" t="str">
        <f t="shared" si="9"/>
        <v/>
      </c>
      <c r="AW13" s="19">
        <v>21.0</v>
      </c>
      <c r="AX13" s="19">
        <v>17.0</v>
      </c>
      <c r="AY13" s="20" t="b">
        <v>0</v>
      </c>
      <c r="AZ13" s="27" t="s">
        <v>24</v>
      </c>
      <c r="BA13" s="11" t="str">
        <f t="shared" si="10"/>
        <v/>
      </c>
      <c r="BB13" s="19">
        <v>20.0</v>
      </c>
      <c r="BC13" s="19">
        <v>23.0</v>
      </c>
      <c r="BD13" s="20" t="b">
        <v>1</v>
      </c>
      <c r="BE13" s="27" t="s">
        <v>24</v>
      </c>
      <c r="BF13" s="11" t="str">
        <f t="shared" si="11"/>
        <v/>
      </c>
      <c r="BG13" s="19">
        <v>7.0</v>
      </c>
      <c r="BH13" s="19">
        <v>10.0</v>
      </c>
      <c r="BI13" s="20" t="b">
        <v>0</v>
      </c>
      <c r="BJ13" s="27" t="s">
        <v>24</v>
      </c>
      <c r="BK13" s="11" t="str">
        <f t="shared" si="12"/>
        <v/>
      </c>
      <c r="BL13" s="19">
        <v>21.0</v>
      </c>
      <c r="BM13" s="19">
        <v>28.0</v>
      </c>
      <c r="BN13" s="20" t="b">
        <v>0</v>
      </c>
      <c r="BO13" s="17"/>
      <c r="BP13" s="17"/>
      <c r="BQ13" s="17"/>
    </row>
    <row r="14">
      <c r="A14" s="16" t="s">
        <v>273</v>
      </c>
      <c r="B14" s="17" t="s">
        <v>277</v>
      </c>
      <c r="C14" s="18"/>
      <c r="D14" s="11" t="str">
        <f>IFERROR(__xludf.DUMMYFUNCTION("""COMPUTED_VALUE"""),"")</f>
        <v/>
      </c>
      <c r="E14" s="19"/>
      <c r="F14" s="20"/>
      <c r="G14" s="19" t="s">
        <v>28</v>
      </c>
      <c r="H14" s="11" t="str">
        <f t="shared" si="1"/>
        <v/>
      </c>
      <c r="I14" s="19">
        <v>21.0</v>
      </c>
      <c r="J14" s="19">
        <v>24.0</v>
      </c>
      <c r="K14" s="20" t="b">
        <v>0</v>
      </c>
      <c r="L14" s="19" t="s">
        <v>28</v>
      </c>
      <c r="M14" s="11" t="str">
        <f t="shared" si="2"/>
        <v/>
      </c>
      <c r="N14" s="19">
        <v>7.0</v>
      </c>
      <c r="O14" s="19">
        <v>10.0</v>
      </c>
      <c r="P14" s="19" t="b">
        <v>0</v>
      </c>
      <c r="Q14" s="27" t="s">
        <v>28</v>
      </c>
      <c r="R14" s="11" t="str">
        <f t="shared" si="3"/>
        <v/>
      </c>
      <c r="S14" s="19">
        <v>20.0</v>
      </c>
      <c r="T14" s="19">
        <v>23.0</v>
      </c>
      <c r="U14" s="20" t="b">
        <v>0</v>
      </c>
      <c r="V14" s="19" t="s">
        <v>26</v>
      </c>
      <c r="W14" s="11" t="str">
        <f t="shared" si="4"/>
        <v/>
      </c>
      <c r="X14" s="19">
        <v>21.0</v>
      </c>
      <c r="Y14" s="19">
        <v>17.0</v>
      </c>
      <c r="Z14" s="20" t="b">
        <v>0</v>
      </c>
      <c r="AA14" s="27" t="s">
        <v>26</v>
      </c>
      <c r="AB14" s="11" t="str">
        <f t="shared" si="5"/>
        <v/>
      </c>
      <c r="AC14" s="19">
        <v>24.0</v>
      </c>
      <c r="AD14" s="19">
        <v>17.0</v>
      </c>
      <c r="AE14" s="19" t="b">
        <v>0</v>
      </c>
      <c r="AF14" s="27" t="s">
        <v>26</v>
      </c>
      <c r="AG14" s="11" t="str">
        <f t="shared" si="6"/>
        <v/>
      </c>
      <c r="AH14" s="19">
        <v>10.0</v>
      </c>
      <c r="AI14" s="19">
        <v>7.0</v>
      </c>
      <c r="AJ14" s="20" t="b">
        <v>0</v>
      </c>
      <c r="AK14" s="19" t="s">
        <v>26</v>
      </c>
      <c r="AL14" s="11" t="str">
        <f t="shared" si="7"/>
        <v/>
      </c>
      <c r="AM14" s="19">
        <v>20.0</v>
      </c>
      <c r="AN14" s="19">
        <v>17.0</v>
      </c>
      <c r="AO14" s="20" t="b">
        <v>0</v>
      </c>
      <c r="AP14" s="27" t="s">
        <v>26</v>
      </c>
      <c r="AQ14" s="11" t="str">
        <f t="shared" si="8"/>
        <v/>
      </c>
      <c r="AR14" s="19">
        <v>24.0</v>
      </c>
      <c r="AS14" s="19">
        <v>17.0</v>
      </c>
      <c r="AT14" s="20" t="b">
        <v>0</v>
      </c>
      <c r="AU14" s="27" t="s">
        <v>28</v>
      </c>
      <c r="AV14" s="11" t="str">
        <f t="shared" si="9"/>
        <v/>
      </c>
      <c r="AW14" s="19">
        <v>24.0</v>
      </c>
      <c r="AX14" s="19">
        <v>27.0</v>
      </c>
      <c r="AY14" s="20" t="b">
        <v>0</v>
      </c>
      <c r="AZ14" s="27" t="s">
        <v>26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28</v>
      </c>
      <c r="BF14" s="11" t="str">
        <f t="shared" si="11"/>
        <v/>
      </c>
      <c r="BG14" s="19">
        <v>24.0</v>
      </c>
      <c r="BH14" s="19">
        <v>31.0</v>
      </c>
      <c r="BI14" s="20" t="b">
        <v>0</v>
      </c>
      <c r="BJ14" s="27" t="s">
        <v>26</v>
      </c>
      <c r="BK14" s="11" t="str">
        <f t="shared" si="12"/>
        <v/>
      </c>
      <c r="BL14" s="19">
        <v>17.0</v>
      </c>
      <c r="BM14" s="19">
        <v>14.0</v>
      </c>
      <c r="BN14" s="20" t="b">
        <v>1</v>
      </c>
      <c r="BO14" s="17"/>
      <c r="BP14" s="17"/>
      <c r="BQ14" s="17"/>
    </row>
    <row r="15">
      <c r="A15" s="16" t="s">
        <v>279</v>
      </c>
      <c r="B15" s="17" t="s">
        <v>280</v>
      </c>
      <c r="C15" s="18"/>
      <c r="D15" s="11" t="str">
        <f>IFERROR(__xludf.DUMMYFUNCTION("""COMPUTED_VALUE"""),"")</f>
        <v/>
      </c>
      <c r="E15" s="19"/>
      <c r="F15" s="20"/>
      <c r="G15" s="19" t="s">
        <v>44</v>
      </c>
      <c r="H15" s="11" t="str">
        <f t="shared" si="1"/>
        <v/>
      </c>
      <c r="I15" s="19">
        <v>24.0</v>
      </c>
      <c r="J15" s="19">
        <v>31.0</v>
      </c>
      <c r="K15" s="20" t="b">
        <v>0</v>
      </c>
      <c r="L15" s="19" t="s">
        <v>44</v>
      </c>
      <c r="M15" s="11" t="str">
        <f t="shared" si="2"/>
        <v/>
      </c>
      <c r="N15" s="19">
        <v>17.0</v>
      </c>
      <c r="O15" s="19">
        <v>21.0</v>
      </c>
      <c r="P15" s="19" t="b">
        <v>0</v>
      </c>
      <c r="Q15" s="27" t="s">
        <v>44</v>
      </c>
      <c r="R15" s="11" t="str">
        <f t="shared" si="3"/>
        <v/>
      </c>
      <c r="S15" s="19">
        <v>20.0</v>
      </c>
      <c r="T15" s="19">
        <v>23.0</v>
      </c>
      <c r="U15" s="20" t="b">
        <v>0</v>
      </c>
      <c r="V15" s="19" t="s">
        <v>48</v>
      </c>
      <c r="W15" s="11" t="str">
        <f t="shared" si="4"/>
        <v/>
      </c>
      <c r="X15" s="19">
        <v>34.0</v>
      </c>
      <c r="Y15" s="19">
        <v>27.0</v>
      </c>
      <c r="Z15" s="20" t="b">
        <v>0</v>
      </c>
      <c r="AA15" s="27" t="s">
        <v>44</v>
      </c>
      <c r="AB15" s="11" t="str">
        <f t="shared" si="5"/>
        <v/>
      </c>
      <c r="AC15" s="19">
        <v>17.0</v>
      </c>
      <c r="AD15" s="19">
        <v>24.0</v>
      </c>
      <c r="AE15" s="19" t="b">
        <v>0</v>
      </c>
      <c r="AF15" s="27" t="s">
        <v>44</v>
      </c>
      <c r="AG15" s="11" t="str">
        <f t="shared" si="6"/>
        <v/>
      </c>
      <c r="AH15" s="19">
        <v>14.0</v>
      </c>
      <c r="AI15" s="19">
        <v>17.0</v>
      </c>
      <c r="AJ15" s="20" t="b">
        <v>0</v>
      </c>
      <c r="AK15" s="19" t="s">
        <v>44</v>
      </c>
      <c r="AL15" s="11" t="str">
        <f t="shared" si="7"/>
        <v/>
      </c>
      <c r="AM15" s="19">
        <v>17.0</v>
      </c>
      <c r="AN15" s="19">
        <v>20.0</v>
      </c>
      <c r="AO15" s="20" t="b">
        <v>0</v>
      </c>
      <c r="AP15" s="27" t="s">
        <v>44</v>
      </c>
      <c r="AQ15" s="11" t="str">
        <f t="shared" si="8"/>
        <v/>
      </c>
      <c r="AR15" s="19">
        <v>21.0</v>
      </c>
      <c r="AS15" s="19">
        <v>24.0</v>
      </c>
      <c r="AT15" s="20" t="b">
        <v>0</v>
      </c>
      <c r="AU15" s="27" t="s">
        <v>48</v>
      </c>
      <c r="AV15" s="11" t="str">
        <f t="shared" si="9"/>
        <v/>
      </c>
      <c r="AW15" s="19">
        <v>20.0</v>
      </c>
      <c r="AX15" s="19">
        <v>17.0</v>
      </c>
      <c r="AY15" s="20" t="b">
        <v>0</v>
      </c>
      <c r="AZ15" s="27" t="s">
        <v>44</v>
      </c>
      <c r="BA15" s="11" t="str">
        <f t="shared" si="10"/>
        <v/>
      </c>
      <c r="BB15" s="19">
        <v>20.0</v>
      </c>
      <c r="BC15" s="19">
        <v>23.0</v>
      </c>
      <c r="BD15" s="20" t="b">
        <v>0</v>
      </c>
      <c r="BE15" s="27" t="s">
        <v>44</v>
      </c>
      <c r="BF15" s="11" t="str">
        <f t="shared" si="11"/>
        <v/>
      </c>
      <c r="BG15" s="19">
        <v>17.0</v>
      </c>
      <c r="BH15" s="19">
        <v>20.0</v>
      </c>
      <c r="BI15" s="20" t="b">
        <v>0</v>
      </c>
      <c r="BJ15" s="27" t="s">
        <v>48</v>
      </c>
      <c r="BK15" s="11" t="str">
        <f t="shared" si="12"/>
        <v/>
      </c>
      <c r="BL15" s="19">
        <v>10.0</v>
      </c>
      <c r="BM15" s="19">
        <v>7.0</v>
      </c>
      <c r="BN15" s="20" t="b">
        <v>0</v>
      </c>
      <c r="BO15" s="17"/>
      <c r="BP15" s="17"/>
      <c r="BQ15" s="17"/>
    </row>
    <row r="16">
      <c r="A16" s="32" t="s">
        <v>284</v>
      </c>
      <c r="B16" s="80" t="s">
        <v>285</v>
      </c>
      <c r="C16" s="84"/>
      <c r="D16" s="35" t="str">
        <f>IFERROR(__xludf.DUMMYFUNCTION("""COMPUTED_VALUE"""),"")</f>
        <v/>
      </c>
      <c r="E16" s="36"/>
      <c r="F16" s="36"/>
      <c r="G16" s="38" t="s">
        <v>23</v>
      </c>
      <c r="H16" s="35" t="str">
        <f t="shared" si="1"/>
        <v/>
      </c>
      <c r="I16" s="36">
        <v>28.0</v>
      </c>
      <c r="J16" s="36">
        <v>21.0</v>
      </c>
      <c r="K16" s="37" t="b">
        <v>0</v>
      </c>
      <c r="L16" s="36" t="s">
        <v>23</v>
      </c>
      <c r="M16" s="35" t="str">
        <f t="shared" si="2"/>
        <v/>
      </c>
      <c r="N16" s="36">
        <v>24.0</v>
      </c>
      <c r="O16" s="36">
        <v>21.0</v>
      </c>
      <c r="P16" s="36" t="b">
        <v>0</v>
      </c>
      <c r="Q16" s="38" t="s">
        <v>23</v>
      </c>
      <c r="R16" s="35" t="str">
        <f t="shared" si="3"/>
        <v/>
      </c>
      <c r="S16" s="36">
        <v>10.0</v>
      </c>
      <c r="T16" s="36">
        <v>7.0</v>
      </c>
      <c r="U16" s="37" t="b">
        <v>0</v>
      </c>
      <c r="V16" s="36" t="s">
        <v>23</v>
      </c>
      <c r="W16" s="35" t="str">
        <f t="shared" si="4"/>
        <v/>
      </c>
      <c r="X16" s="36">
        <v>17.0</v>
      </c>
      <c r="Y16" s="36">
        <v>14.0</v>
      </c>
      <c r="Z16" s="36" t="b">
        <v>0</v>
      </c>
      <c r="AA16" s="38" t="s">
        <v>23</v>
      </c>
      <c r="AB16" s="35" t="str">
        <f t="shared" si="5"/>
        <v/>
      </c>
      <c r="AC16" s="36">
        <v>24.0</v>
      </c>
      <c r="AD16" s="36">
        <v>17.0</v>
      </c>
      <c r="AE16" s="37" t="b">
        <v>0</v>
      </c>
      <c r="AF16" s="36" t="s">
        <v>51</v>
      </c>
      <c r="AG16" s="35" t="str">
        <f t="shared" si="6"/>
        <v/>
      </c>
      <c r="AH16" s="36">
        <v>24.0</v>
      </c>
      <c r="AI16" s="36">
        <v>31.0</v>
      </c>
      <c r="AJ16" s="36" t="b">
        <v>0</v>
      </c>
      <c r="AK16" s="38" t="s">
        <v>51</v>
      </c>
      <c r="AL16" s="35" t="str">
        <f t="shared" si="7"/>
        <v/>
      </c>
      <c r="AM16" s="36">
        <v>24.0</v>
      </c>
      <c r="AN16" s="36">
        <v>27.0</v>
      </c>
      <c r="AO16" s="37" t="b">
        <v>0</v>
      </c>
      <c r="AP16" s="36" t="s">
        <v>23</v>
      </c>
      <c r="AQ16" s="35" t="str">
        <f t="shared" si="8"/>
        <v/>
      </c>
      <c r="AR16" s="36">
        <v>27.0</v>
      </c>
      <c r="AS16" s="36">
        <v>24.0</v>
      </c>
      <c r="AT16" s="36" t="b">
        <v>0</v>
      </c>
      <c r="AU16" s="38" t="s">
        <v>23</v>
      </c>
      <c r="AV16" s="35" t="str">
        <f t="shared" si="9"/>
        <v/>
      </c>
      <c r="AW16" s="36">
        <v>27.0</v>
      </c>
      <c r="AX16" s="36">
        <v>24.0</v>
      </c>
      <c r="AY16" s="37" t="b">
        <v>0</v>
      </c>
      <c r="AZ16" s="36" t="s">
        <v>23</v>
      </c>
      <c r="BA16" s="35" t="str">
        <f t="shared" si="10"/>
        <v/>
      </c>
      <c r="BB16" s="36">
        <v>23.0</v>
      </c>
      <c r="BC16" s="36">
        <v>20.0</v>
      </c>
      <c r="BD16" s="36" t="b">
        <v>0</v>
      </c>
      <c r="BE16" s="38" t="s">
        <v>23</v>
      </c>
      <c r="BF16" s="35" t="str">
        <f t="shared" si="11"/>
        <v/>
      </c>
      <c r="BG16" s="36">
        <v>23.0</v>
      </c>
      <c r="BH16" s="36">
        <v>20.0</v>
      </c>
      <c r="BI16" s="37" t="b">
        <v>0</v>
      </c>
      <c r="BJ16" s="36" t="s">
        <v>23</v>
      </c>
      <c r="BK16" s="35" t="str">
        <f t="shared" si="12"/>
        <v/>
      </c>
      <c r="BL16" s="36">
        <v>31.0</v>
      </c>
      <c r="BM16" s="36">
        <v>24.0</v>
      </c>
      <c r="BN16" s="37" t="b">
        <v>0</v>
      </c>
      <c r="BO16" s="17"/>
      <c r="BP16" s="17"/>
      <c r="BQ16" s="17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</row>
    <row r="18" hidden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</row>
    <row r="20" hidden="1">
      <c r="A20" s="41"/>
      <c r="B20" s="41"/>
      <c r="C20" s="46">
        <f t="shared" ref="C20:C34" si="13">MIN(I20,N20,S20,X20,AC20,AH20,AM20,AR20,AW20,BB20,BG20,BL20)</f>
        <v>0</v>
      </c>
      <c r="D20" s="49"/>
      <c r="E20" s="49"/>
      <c r="F20" s="49"/>
      <c r="G20" s="47" t="str">
        <f t="shared" ref="G20:G34" si="14">IF(G2=C2,ABS(I2-E2),"")</f>
        <v/>
      </c>
      <c r="H20" s="47" t="str">
        <f t="shared" ref="H20:H34" si="15">IF(G2=C2,ABS(J2-F2),"")</f>
        <v/>
      </c>
      <c r="I20" s="48" t="str">
        <f t="shared" ref="I20:I34" si="16">IF(G2=C2,SUM(G20,H20),"")</f>
        <v/>
      </c>
      <c r="J20" s="9">
        <f t="shared" ref="J20:J34" si="17">SUM(IF(AND(G2=$C2,I20=$C20,$C20=0,K2=TRUE,I20&lt;$N20,I20&lt;$S20,I20&lt;$X20,I20&lt;$AC20,I20&lt;$AH20,I20&lt;$AM20,I20&lt;$AR20,I20&lt;$AW20,I20&lt;$BB20,I20&lt;$BG20,I20&lt;$BL20),15,
IF(AND(G2=$C2,I20=$C20,$C20=0,K2=TRUE,OR(I20=$N20,I20=$S20,I20=$X20,I20=$AC20,I20=$AH20,I20=$AM20,I20=$AR20,I20=$AW20,I20=$BB20,I20=$BG20,I20=$BL20)),7.5,
IF(AND(G2=$C2,I20=$C20,$C20=0,I20&lt;$N20,I20&lt;$S20,I20&lt;$X20,I20&lt;$AC20,I20&lt;$AH20,I20&lt;$AM20,I20&lt;$AR20,I20&lt;$AW20,I20&lt;$BB20,I20&lt;$BG20,I20&lt;$BL20),5,
IF(AND(G2=$C2,I20=$C20,K2=TRUE,I20&lt;$N20,I20&lt;$S20,I20&lt;$X20,I20&lt;$AC20,I20&lt;$AH20,I20&lt;$AM20,I20&lt;$AR20,I20&lt;$AW20,I20&lt;$BB20,I20&lt;$BG20,I20&lt;$BL20),3,
IF(AND(G2=$C2,I20=$C20,$C20=0,OR(I20=$N20,I20=$S20,I20=$X20,I20=$AC20,I20=$AH20,I20=$AM20,I20=$AR20,I20=$AW20,I20=$BB20,I20=$BG20,I20=$BL20)),2.5,
IF(AND(G2=$C2,I20=$C20,K2=TRUE,OR(I20=$N20,I20=$S20,I20=$X20,I20=$AC20,I20=$AH20,I20=$AM20,I20=$AR20,I20=$AW20,I20=$BB20,I20=$BG20,I20=$BL20)),1.5,
IF(AND(G2=$C2,I20=$C20,I20&lt;$N20,I20&lt;$S20,I20&lt;$X20,I20&lt;$AC20,I20&lt;$AH20,I20&lt;$AM20,I20&lt;$AR20,I20&lt;$AW20,I20&lt;$BB20,I20&lt;$BG20,I20&lt;$BL20),1,
IF(AND(G2=$C2,I20=$C20,OR(I20=$N20,I20=$S20,I20=$X20,I20=$AC20,I20=$AH20,I20=$AM20,I20=$AR20,I20=$AW20,I20=$BB20,I20=$BG20,I20=$BL20)),0.5,
0)))))))),
IF(AND(K20=TRUE,K2=TRUE),3,
IF(AND(K20=TRUE,K2=FALSE),1,
IF(K20="",0)))
)</f>
        <v>0</v>
      </c>
      <c r="K20" s="49" t="str">
        <f t="shared" ref="K20:K34" si="18">IF($C2="","",
IF(G2=$C2,TRUE,FALSE))</f>
        <v/>
      </c>
      <c r="L20" s="47" t="str">
        <f t="shared" ref="L20:L34" si="19">IF(L2=C2,ABS(N2-E2),"")</f>
        <v/>
      </c>
      <c r="M20" s="47" t="str">
        <f t="shared" ref="M20:M34" si="20">IF(L2=C2,ABS(O2-F2),"")</f>
        <v/>
      </c>
      <c r="N20" s="48" t="str">
        <f t="shared" ref="N20:N34" si="21">IF(L2=C2,SUM(L20,M20),"")</f>
        <v/>
      </c>
      <c r="O20" s="9">
        <f t="shared" ref="O20:O34" si="22">SUM(IF(AND(L2=$C2,N20=$C20,$C20=0,P2=TRUE,N20&lt;$I20,N20&lt;$S20,N20&lt;$X20,N20&lt;$AC20,N20&lt;$AH20,N20&lt;$AM20,N20&lt;$AR20,N20&lt;$AW20,N20&lt;$BB20,N20&lt;$BG20,N20&lt;$BL20),15,
IF(AND(L2=$C2,N20=$C20,$C20=0,P2=TRUE,OR(N20=$I20,N20=$S20,N20=$X20,N20=$AC20,N20=$AH20,N20=$AM20,N20=$AR20,N20=$AW20,N20=$BB20,N20=$BG20,N20=$BL20)),7.5,
IF(AND(L2=$C2,N20=$C20,$C20=0,N20&lt;$I20,N20&lt;$S20,N20&lt;$X20,N20&lt;$AC20,N20&lt;$AH20,N20&lt;$AM20,N20&lt;$AR20,N20&lt;$AW20,N20&lt;$BB20,N20&lt;$BG20,N20&lt;$BL20),5,
IF(AND(L2=$C2,N20=$C20,P2=TRUE,N20&lt;$I20,N20&lt;$S20,N20&lt;$X20,N20&lt;$AC20,N20&lt;$AH20,N20&lt;$AM20,N20&lt;$AR20,N20&lt;$AW20,N20&lt;$BB20,N20&lt;$BG20,N20&lt;$BL20),3,
IF(AND(L2=$C2,N20=$C20,$C20=0,OR(N20=$I20,N20=$S20,N20=$X20,N20=$AC20,N20=$AH20,N20=$AM20,N20=$AR20,N20=$AW20,N20=$BB20,N20=$BG20,N20=$BL20)),2.5,
IF(AND(L2=$C2,N20=$C20,P2=TRUE,OR(N20=$I20,N20=$S20,N20=$X20,N20=$AC20,N20=$AH20,N20=$AM20,N20=$AR20,N20=$AW20,N20=$BB20,N20=$BG20,N20=$BL20)),1.5,
IF(AND(L2=$C2,N20=$C20,N20&lt;$I20,N20&lt;$S20,N20&lt;$X20,N20&lt;$AC20,N20&lt;$AH20,N20&lt;$AM20,N20&lt;$AR20,N20&lt;$AW20,N20&lt;$BB20,N20&lt;$BG20,N20&lt;$BL20),1,
IF(AND(L2=$C2,N20=$C20,OR(N20=$I20,N20=$S20,N20=$X20,N20=$AC20,N20=$AH20,N20=$AM20,N20=$AR20,N20=$AW20,N20=$BB20,N20=$BG20,N20=$BL20)),0.5,
0)))))))),
IF(AND(P20=TRUE,P2=TRUE),3,
IF(AND(P20=TRUE,P2=FALSE),1,
IF(P20="",0)))
)</f>
        <v>0</v>
      </c>
      <c r="P20" s="49" t="str">
        <f t="shared" ref="P20:P34" si="23">IF($C2="","",
IF(L2=$C2,TRUE,FALSE))</f>
        <v/>
      </c>
      <c r="Q20" s="47" t="str">
        <f t="shared" ref="Q20:Q34" si="24">IF(Q2=C2,ABS(S2-E2),"")</f>
        <v/>
      </c>
      <c r="R20" s="47" t="str">
        <f t="shared" ref="R20:R34" si="25">IF(Q2=C2,ABS(T2-F2),"")</f>
        <v/>
      </c>
      <c r="S20" s="48" t="str">
        <f t="shared" ref="S20:S34" si="26">IF(Q2=C2,SUM(Q20,R20),"")</f>
        <v/>
      </c>
      <c r="T20" s="9">
        <f t="shared" ref="T20:T34" si="27">SUM(IF(AND(Q2=$C2,S20=$C20,$C20=0,U2=TRUE,S20&lt;$I20,S20&lt;$N20,S20&lt;$X20,S20&lt;$AC20,S20&lt;$AH20,S20&lt;$AM20,S20&lt;$AR20,S20&lt;$AW20,S20&lt;$BB20,S20&lt;$BG20,S20&lt;$BL20),15,
IF(AND(Q2=$C2,S20=$C20,$C20=0,U2=TRUE,OR(S20=$I20,S20=$N20,S20=$X20,S20=$AC20,S20=$AH20,S20=$AM20,S20=$AR20,S20=$AW20,S20=$BB20,S20=$BG20,S20=$BL20)),7.5,
IF(AND(Q2=$C2,S20=$C20,$C20=0,S20&lt;$I20,S20&lt;$N20,S20&lt;$X20,S20&lt;$AC20,S20&lt;$AH20,S20&lt;$AM20,S20&lt;$AR20,S20&lt;$AW20,S20&lt;$BB20,S20&lt;$BG20,S20&lt;$BL20),5,
IF(AND(Q2=$C2,S20=$C20,U2=TRUE,S20&lt;$I20,S20&lt;$N20,S20&lt;$X20,S20&lt;$AC20,S20&lt;$AH20,S20&lt;$AM20,S20&lt;$AR20,S20&lt;$AW20,S20&lt;$BB20,S20&lt;$BG20,S20&lt;$BL20),3,
IF(AND(Q2=$C2,S20=$C20,$C20=0,OR(S20=$I20,S20=$N20,S20=$X20,S20=$AC20,S20=$AH20,S20=$AM20,S20=$AR20,S20=$AW20,S20=$BB20,S20=$BG20,S20=$BL20)),2.5,
IF(AND(Q2=$C2,S20=$C20,U2=TRUE,OR(S20=$I20,S20=$N20,S20=$X20,S20=$AC20,S20=$AH20,S20=$AM20,S20=$AR20,S20=$AW20,S20=$BB20,S20=$BG20,S20=$BL20)),1.5,
IF(AND(Q2=$C2,S20=$C20,S20&lt;$I20,S20&lt;$N20,S20&lt;$X20,S20&lt;$AC20,S20&lt;$AH20,S20&lt;$AM20,S20&lt;$AR20,S20&lt;$AW20,S20&lt;$BB20,S20&lt;$BG20,S20&lt;$BL20),1,
IF(AND(Q2=$C2,S20=$C20,OR(S20=$I20,S20=$N20,S20=$X20,S20=$AC20,S20=$AH20,S20=$AM20,S20=$AR20,S20=$AW20,S20=$BB20,S20=$BG20,S20=$BL20)),0.5,
0)))))))),
IF(AND(U20=TRUE,U2=TRUE),3,
IF(AND(U20=TRUE,U2=FALSE),1,
IF(U20="",0)))
)</f>
        <v>0</v>
      </c>
      <c r="U20" s="49" t="str">
        <f t="shared" ref="U20:U34" si="28">IF($C2="","",
IF(Q2=$C2,TRUE,FALSE))</f>
        <v/>
      </c>
      <c r="V20" s="47" t="str">
        <f t="shared" ref="V20:V34" si="29">IF(V2=C2,ABS(X2-E2),"")</f>
        <v/>
      </c>
      <c r="W20" s="47" t="str">
        <f t="shared" ref="W20:W34" si="30">IF(V2=C2,ABS(Y2-F2),"")</f>
        <v/>
      </c>
      <c r="X20" s="48" t="str">
        <f t="shared" ref="X20:X34" si="31">IF(V2=C2,SUM(V20,W20),"")</f>
        <v/>
      </c>
      <c r="Y20" s="9">
        <f t="shared" ref="Y20:Y34" si="32">SUM(IF(AND(V2=$C2,X20=$C20,$C20=0,Z2=TRUE,X20&lt;$I20,X20&lt;$N20,X20&lt;$S20,X20&lt;$AC20,X20&lt;$AH20,X20&lt;$AM20,X20&lt;$AR20,X20&lt;$AW20,X20&lt;$BB20,X20&lt;$BG20,X20&lt;$BL20),15,
IF(AND(V2=$C2,X20=$C20,$C20=0,Z2=TRUE,OR(X20=$I20,X20=$N20,X20=$S20,X20=$AC20,X20=$AH20,X20=$AM20,X20=$AR20,X20=$AW20,X20=$BB20,X20=$BG20,X20=$BL20)),7.5,
IF(AND(V2=$C2,X20=$C20,$C20=0,X20&lt;$I20,X20&lt;$N20,X20&lt;$S20,X20&lt;$AC20,X20&lt;$AH20,X20&lt;$AM20,X20&lt;$AR20,X20&lt;$AW20,X20&lt;$BB20,X20&lt;$BG20,X20&lt;$BL20),5,
IF(AND(V2=$C2,X20=$C20,Z2=TRUE,X20&lt;$I20,X20&lt;$N20,X20&lt;$S20,X20&lt;$AC20,X20&lt;$AH20,X20&lt;$AM20,X20&lt;$AR20,X20&lt;$AW20,X20&lt;$BB20,X20&lt;$BG20,X20&lt;$BL20),3,
IF(AND(V2=$C2,X20=$C20,$C20=0,OR(X20=$I20,X20=$N20,X20=$S20,X20=$AC20,X20=$AH20,X20=$AM20,X20=$AR20,X20=$AW20,X20=$BB20,X20=$BG20,X20=$BL20)),2.5,
IF(AND(V2=$C2,X20=$C20,Z2=TRUE,OR(X20=$I20,X20=$N20,X20=$S20,X20=$AC20,X20=$AH20,X20=$AM20,X20=$AR20,X20=$AW20,X20=$BB20,X20=$BG20,X20=$BL20)),1.5,
IF(AND(V2=$C2,X20=$C20,X20&lt;$I20,X20&lt;$N20,X20&lt;$S20,X20&lt;$AC20,X20&lt;$AH20,X20&lt;$AM20,X20&lt;$AR20,X20&lt;$AW20,X20&lt;$BB20,X20&lt;$BG20,X20&lt;$BL20),1,
IF(AND(V2=$C2,X20=$C20,OR(X20=$I20,X20=$N20,X20=$S20,X20=$AC20,X20=$AH20,X20=$AM20,X20=$AR20,X20=$AW20,X20=$BB20,X20=$BG20,X20=$BL20)),0.5,
0)))))))),
IF(AND(Z20=TRUE,Z2=TRUE),3,
IF(AND(Z20=TRUE,Z2=FALSE),1,
IF(Z20="",0)))
)</f>
        <v>0</v>
      </c>
      <c r="Z20" s="49" t="str">
        <f t="shared" ref="Z20:Z34" si="33">IF($C2="","",
IF(V2=$C2,TRUE,FALSE))</f>
        <v/>
      </c>
      <c r="AA20" s="47" t="str">
        <f t="shared" ref="AA20:AA34" si="34">IF(AA2=C2,ABS(AC2-E2),"")</f>
        <v/>
      </c>
      <c r="AB20" s="47" t="str">
        <f t="shared" ref="AB20:AB34" si="35">IF(AA2=C2,ABS(AD2-F2),"")</f>
        <v/>
      </c>
      <c r="AC20" s="48" t="str">
        <f t="shared" ref="AC20:AC34" si="36">IF(AA2=C2,SUM(AA20,AB20),"")</f>
        <v/>
      </c>
      <c r="AD20" s="9">
        <f t="shared" ref="AD20:AD34" si="37">SUM(IF(AND(AA2=$C2,AC20=$C20,$C20=0,AE2=TRUE,AC20&lt;$I20,AC20&lt;$N20,AC20&lt;$S20,AC20&lt;$X20,AC20&lt;$AH20,AC20&lt;$AM20,AC20&lt;$AR20,AC20&lt;$AW20,AC20&lt;$BB20,AC20&lt;$BG20,AC20&lt;$BL20),15,
IF(AND(AA2=$C2,AC20=$C20,$C20=0,AE2=TRUE,OR(AC20=$I20,AC20=$N20,AC20=$S20,AC20=$X20,AC20=$AH20,AC20=$AM20,AC20=$AR20,AC20=$AW20,AC20=$BB20,AC20=$BG20,AC20=$BL20)),7.5,
IF(AND(AA2=$C2,AC20=$C20,$C20=0,AC20&lt;$I20,AC20&lt;$N20,AC20&lt;$S20,AC20&lt;$X20,AC20&lt;$AH20,AC20&lt;$AM20,AC20&lt;$AR20,AC20&lt;$AW20,AC20&lt;$BB20,AC20&lt;$BG20,AC20&lt;$BL20),5,
IF(AND(AA2=$C2,AC20=$C20,AE2=TRUE,AC20&lt;$I20,AC20&lt;$N20,AC20&lt;$S20,AC20&lt;$X20,AC20&lt;$AH20,AC20&lt;$AM20,AC20&lt;$AR20,AC20&lt;$AW20,AC20&lt;$BB20,AC20&lt;$BG20,AC20&lt;$BL20),3,
IF(AND(AA2=$C2,AC20=$C20,$C20=0,OR(AC20=$I20,AC20=$N20,AC20=$S20,AC20=$X20,AC20=$AH20,AC20=$AM20,AC20=$AR20,AC20=$AW20,AC20=$BB20,AC20=$BG20,AC20=$BL20)),2.5,
IF(AND(AA2=$C2,AC20=$C20,AE2=TRUE,OR(AC20=$I20,AC20=$N20,AC20=$S20,AC20=$X20,AC20=$AH20,AC20=$AM20,AC20=$AR20,AC20=$AW20,AC20=$BB20,AC20=$BG20,AC20=$BL20)),1.5,
IF(AND(AA2=$C2,AC20=$C20,AC20&lt;$I20,AC20&lt;$N20,AC20&lt;$S20,AC20&lt;$X20,AC20&lt;$AH20,AC20&lt;$AM20,AC20&lt;$AR20,AC20&lt;$AW20,AC20&lt;$BB20,AC20&lt;$BG20,AC20&lt;$BL20),1,
IF(AND(AA2=$C2,AC20=$C20,OR(AC20=$I20,AC20=$N20,AC20=$S20,AC20=$X20,AC20=$AH20,AC20=$AM20,AC20=$AR20,AC20=$AW20,AC20=$BB20,AC20=$BG20,AC20=$BL20)),0.5,
0)))))))),
IF(AND(AE20=TRUE,AE2=TRUE),3,
IF(AND(AE20=TRUE,AE2=FALSE),1,
IF(AE20="",0)))
)</f>
        <v>0</v>
      </c>
      <c r="AE20" s="49" t="str">
        <f t="shared" ref="AE20:AE34" si="38">IF($C2="","",
IF(AA2=$C2,TRUE,FALSE))</f>
        <v/>
      </c>
      <c r="AF20" s="47" t="str">
        <f t="shared" ref="AF20:AF34" si="39">IF(AF2=C2,ABS(AH2-E2),"")</f>
        <v/>
      </c>
      <c r="AG20" s="47" t="str">
        <f t="shared" ref="AG20:AG34" si="40">IF(AF2=C2,ABS(AI2-F2),"")</f>
        <v/>
      </c>
      <c r="AH20" s="48" t="str">
        <f t="shared" ref="AH20:AH34" si="41">IF(AF2=C2,SUM(AF20,AG20),"")</f>
        <v/>
      </c>
      <c r="AI20" s="9">
        <f t="shared" ref="AI20:AI34" si="42">SUM(IF(AND(AF2=$C2,AH20=$C20,$C20=0,AJ2=TRUE,AH20&lt;$I20,AH20&lt;$N20,AH20&lt;$S20,AH20&lt;$X20,AH20&lt;$AC20,AH20&lt;$AM20,AH20&lt;$AR20,AH20&lt;$AW20,AH20&lt;$BB20,AH20&lt;$BG20,AH20&lt;$BL20),15,
IF(AND(AF2=$C2,AH20=$C20,$C20=0,AJ2=TRUE,OR(AH20=$I20,AH20=$N20,AH20=$S20,AH20=$X20,AH20=$AC20,AH20=$AM20,AH20=$AR20,AH20=$AW20,AH20=$BB20,AH20=$BG20,AH20=$BL20)),7.5,
IF(AND(AF2=$C2,AH20=$C20,$C20=0,AH20&lt;$I20,AH20&lt;$N20,AH20&lt;$S20,AH20&lt;$X20,AH20&lt;$AC20,AH20&lt;$AM20,AH20&lt;$AR20,AH20&lt;$AW20,AH20&lt;$BB20,AH20&lt;$BG20,AH20&lt;$BL20),5,
IF(AND(AF2=$C2,AH20=$C20,AJ2=TRUE,AH20&lt;$I20,AH20&lt;$N20,AH20&lt;$S20,AH20&lt;$X20,AH20&lt;$AC20,AH20&lt;$AM20,AH20&lt;$AR20,AH20&lt;$AW20,AH20&lt;$BB20,AH20&lt;$BG20,AH20&lt;$BL20),3,
IF(AND(AF2=$C2,AH20=$C20,$C20=0,OR(AH20=$I20,AH20=$N20,AH20=$S20,AH20=$X20,AH20=$AC20,AH20=$AM20,AH20=$AR20,AH20=$AW20,AH20=$BB20,AH20=$BG20,AH20=$BL20)),2.5,
IF(AND(AF2=$C2,AH20=$C20,AJ2=TRUE,OR(AH20=$I20,AH20=$N20,AH20=$S20,AH20=$X20,AH20=$AC20,AH20=$AM20,AH20=$AR20,AH20=$AW20,AH20=$BB20,AH20=$BG20,AH20=$BL20)),1.5,
IF(AND(AF2=$C2,AH20=$C20,AH20&lt;$I20,AH20&lt;$N20,AH20&lt;$S20,AH20&lt;$X20,AH20&lt;$AC20,AH20&lt;$AM20,AH20&lt;$AR20,AH20&lt;$AW20,AH20&lt;$BB20,AH20&lt;$BG20,AH20&lt;$BL20),1,
IF(AND(AF2=$C2,AH20=$C20,OR(AH20=$I20,AH20=$N20,AH20=$S20,AH20=$X20,AH20=$AC20,AH20=$AM20,AH20=$AR20,AH20=$AW20,AH20=$BB20,AH20=$BG20,AH20=$BL20)),0.5,
0)))))))),
IF(AND(AJ20=TRUE,AJ2=TRUE),3,
IF(AND(AJ20=TRUE,AJ2=FALSE),1,
IF(AJ20="",0)))
)</f>
        <v>0</v>
      </c>
      <c r="AJ20" s="49" t="str">
        <f t="shared" ref="AJ20:AJ34" si="43">IF($C2="","",
IF(AF2=$C2,TRUE,FALSE))</f>
        <v/>
      </c>
      <c r="AK20" s="47" t="str">
        <f t="shared" ref="AK20:AK34" si="44">IF(AK2=C2,ABS(AM2-E2),"")</f>
        <v/>
      </c>
      <c r="AL20" s="47" t="str">
        <f t="shared" ref="AL20:AL34" si="45">IF(AK2=C2,ABS(AN2-F2),"")</f>
        <v/>
      </c>
      <c r="AM20" s="48" t="str">
        <f t="shared" ref="AM20:AM34" si="46">IF(AK2=C2,SUM(AK20,AL20),"")</f>
        <v/>
      </c>
      <c r="AN20" s="9">
        <f t="shared" ref="AN20:AN34" si="47">SUM(IF(AND(AK2=$C2,AM20=$C20,$C20=0,AO2=TRUE,AM20&lt;$I20,AM20&lt;$N20,AM20&lt;$S20,AM20&lt;$X20,AM20&lt;$AC20,AM20&lt;$AH20,AM20&lt;$AR20,AM20&lt;$AW20,AM20&lt;$BB20,AM20&lt;$BG20,AM20&lt;$BL20),15,
IF(AND(AK2=$C2,AM20=$C20,$C20=0,AO2=TRUE,OR(AM20=$I20,AM20=$N20,AM20=$S20,AM20=$X20,AM20=$AC20,AM20=$AH20,AM20=$AR20,AM20=$AW20,AM20=$BB20,AM20=$BG20,AM20=$BL20)),7.5,
IF(AND(AK2=$C2,AM20=$C20,$C20=0,AM20&lt;$I20,AM20&lt;$N20,AM20&lt;$S20,AM20&lt;$X20,AM20&lt;$AC20,AM20&lt;$AH20,AM20&lt;$AR20,AM20&lt;$AW20,AM20&lt;$BB20,AM20&lt;$BG20,AM20&lt;$BL20),5,
IF(AND(AK2=$C2,AM20=$C20,AO2=TRUE,AM20&lt;$I20,AM20&lt;$N20,AM20&lt;$S20,AM20&lt;$X20,AM20&lt;$AC20,AM20&lt;$AH20,AM20&lt;$AR20,AM20&lt;$AW20,AM20&lt;$BB20,AM20&lt;$BG20,AM20&lt;$BL20),3,
IF(AND(AK2=$C2,AM20=$C20,$C20=0,OR(AM20=$I20,AM20=$N20,AM20=$S20,AM20=$X20,AM20=$AC20,AM20=$AH20,AM20=$AR20,AM20=$AW20,AM20=$BB20,AM20=$BG20,AM20=$BL20)),2.5,
IF(AND(AK2=$C2,AM20=$C20,AO2=TRUE,OR(AM20=$I20,AM20=$N20,AM20=$S20,AM20=$X20,AM20=$AC20,AM20=$AH20,AM20=$AR20,AM20=$AW20,AM20=$BB20,AM20=$BG20,AM20=$BL20)),1.5,
IF(AND(AK2=$C2,AM20=$C20,AM20&lt;$I20,AM20&lt;$N20,AM20&lt;$S20,AM20&lt;$X20,AM20&lt;$AC20,AM20&lt;$AH20,AM20&lt;$AR20,AM20&lt;$AW20,AM20&lt;$BB20,AM20&lt;$BG20,AM20&lt;$BL20),1,
IF(AND(AK2=$C2,AM20=$C20,OR(AM20=$I20,AM20=$N20,AM20=$S20,AM20=$X20,AM20=$AC20,AM20=$AH20,AM20=$AR20,AM20=$AW20,AM20=$BB20,AM20=$BG20,AM20=$BL20)),0.5,
0)))))))),
IF(AND(AO20=TRUE,AO2=TRUE),3,
IF(AND(AO20=TRUE,AO2=FALSE),1,
IF(AO20="",0)))
)</f>
        <v>0</v>
      </c>
      <c r="AO20" s="49" t="str">
        <f t="shared" ref="AO20:AO34" si="48">IF($C2="","",
IF(AK2=$C2,TRUE,FALSE))</f>
        <v/>
      </c>
      <c r="AP20" s="47" t="str">
        <f t="shared" ref="AP20:AP34" si="49">IF(AP2=C2,ABS(AR2-E2),"")</f>
        <v/>
      </c>
      <c r="AQ20" s="47" t="str">
        <f t="shared" ref="AQ20:AQ34" si="50">IF(AP2=C2,ABS(AS2-F2),"")</f>
        <v/>
      </c>
      <c r="AR20" s="48" t="str">
        <f t="shared" ref="AR20:AR34" si="51">IF(AP2=C2,SUM(AP20,AQ20),"")</f>
        <v/>
      </c>
      <c r="AS20" s="9">
        <f t="shared" ref="AS20:AS34" si="52">SUM(IF(AND(AP2=$C2,AR20=$C20,$C20=0,AT2=TRUE,AR20&lt;$I20,AR20&lt;$N20,AR20&lt;$S20,AR20&lt;$X20,AR20&lt;$AC20,AR20&lt;$AH20,AR20&lt;$AM20,AR20&lt;$AW20,AR20&lt;$BB20,AR20&lt;$BG20,AR20&lt;$BL20),15,
IF(AND(AP2=$C2,AR20=$C20,$C20=0,AT2=TRUE,OR(AR20=$I20,AR20=$N20,AR20=$S20,AR20=$X20,AR20=$AC20,AR20=$AH20,AR20=$AM20,AR20=$AW20,AR20=$BB20,AR20=$BG20,AR20=$BL20)),7.5,
IF(AND(AP2=$C2,AR20=$C20,$C20=0,AR20&lt;$I20,AR20&lt;$N20,AR20&lt;$S20,AR20&lt;$X20,AR20&lt;$AC20,AR20&lt;$AH20,AR20&lt;$AM20,AR20&lt;$AW20,AR20&lt;$BB20,AR20&lt;$BG20,AR20&lt;$BL20),5,
IF(AND(AP2=$C2,AR20=$C20,AT2=TRUE,AR20&lt;$I20,AR20&lt;$N20,AR20&lt;$S20,AR20&lt;$X20,AR20&lt;$AC20,AR20&lt;$AH20,AR20&lt;$AM20,AR20&lt;$AW20,AR20&lt;$BB20,AR20&lt;$BG20,AR20&lt;$BL20),3,
IF(AND(AP2=$C2,AR20=$C20,$C20=0,OR(AR20=$I20,AR20=$N20,AR20=$S20,AR20=$X20,AR20=$AC20,AR20=$AH20,AR20=$AM20,AR20=$AW20,AR20=$BB20,AR20=$BG20,AR20=$BL20)),2.5,
IF(AND(AP2=$C2,AR20=$C20,AT2=TRUE,OR(AR20=$I20,AR20=$N20,AR20=$S20,AR20=$X20,AR20=$AC20,AR20=$AH20,AR20=$AM20,AR20=$AW20,AR20=$BB20,AR20=$BG20,AR20=$BL20)),1.5,
IF(AND(AP2=$C2,AR20=$C20,AR20&lt;$I20,AR20&lt;$N20,AR20&lt;$S20,AR20&lt;$X20,AR20&lt;$AC20,AR20&lt;$AH20,AR20&lt;$AM20,AR20&lt;$AW20,AR20&lt;$BB20,AR20&lt;$BG20,AR20&lt;$BL20),1,
IF(AND(AP2=$C2,AR20=$C20,OR(AR20=$I20,AR20=$N20,AR20=$S20,AR20=$X20,AR20=$AC20,AR20=$AH20,AR20=$AM20,AR20=$AW20,AR20=$BB20,AR20=$BG20,AR20=$BL20)),0.5,
0)))))))),
IF(AND(AT20=TRUE,AT2=TRUE),3,
IF(AND(AT20=TRUE,AT2=FALSE),1,
IF(AT20="",0)))
)</f>
        <v>0</v>
      </c>
      <c r="AT20" s="49" t="str">
        <f t="shared" ref="AT20:AT34" si="53">IF($C2="","",
IF(AP2=$C2,TRUE,FALSE))</f>
        <v/>
      </c>
      <c r="AU20" s="47" t="str">
        <f t="shared" ref="AU20:AU34" si="54">IF(AU2=C2,ABS(AW2-E2),"")</f>
        <v/>
      </c>
      <c r="AV20" s="47" t="str">
        <f t="shared" ref="AV20:AV34" si="55">IF(AU2=C2,ABS(AX2-F2),"")</f>
        <v/>
      </c>
      <c r="AW20" s="48" t="str">
        <f t="shared" ref="AW20:AW34" si="56">IF(AU2=C2,SUM(AU20,AV20),"")</f>
        <v/>
      </c>
      <c r="AX20" s="9">
        <f t="shared" ref="AX20:AX34" si="57">SUM(IF(AND(AU2=$C2,AW20=$C20,$C20=0,AY2=TRUE,AW20&lt;$I20,AW20&lt;$N20,AW20&lt;$S20,AW20&lt;$X20,AW20&lt;$AC20,AW20&lt;$AH20,AW20&lt;$AM20,AW20&lt;$AR20,AW20&lt;$BB20,AW20&lt;$BG20,AW20&lt;$BL20),15,
IF(AND(AU2=$C2,AW20=$C20,$C20=0,AY2=TRUE,OR(AW20=$I20,AW20=$N20,AW20=$S20,AW20=$X20,AW20=$AC20,AW20=$AH20,AW20=$AM20,AW20=$AR20,AW20=$BB20,AW20=$BG20,AW20=$BL20)),7.5,
IF(AND(AU2=$C2,AW20=$C20,$C20=0,AW20&lt;$I20,AW20&lt;$N20,AW20&lt;$S20,AW20&lt;$X20,AW20&lt;$AC20,AW20&lt;$AH20,AW20&lt;$AM20,AW20&lt;$AR20,AW20&lt;$BB20,AW20&lt;$BG20,AW20&lt;$BL20),5,
IF(AND(AU2=$C2,AW20=$C20,AY2=TRUE,AW20&lt;$I20,AW20&lt;$N20,AW20&lt;$S20,AW20&lt;$X20,AW20&lt;$AC20,AW20&lt;$AH20,AW20&lt;$AM20,AW20&lt;$AR20,AW20&lt;$BB20,AW20&lt;$BG20,AW20&lt;$BL20),3,
IF(AND(AU2=$C2,AW20=$C20,$C20=0,OR(AW20=$I20,AW20=$N20,AW20=$S20,AW20=$X20,AW20=$AC20,AW20=$AH20,AW20=$AM20,AW20=$AR20,AW20=$BB20,AW20=$BG20,AW20=$BL20)),2.5,
IF(AND(AU2=$C2,AW20=$C20,AY2=TRUE,OR(AW20=$I20,AW20=$N20,AW20=$S20,AW20=$X20,AW20=$AC20,AW20=$AH20,AW20=$AM20,AW20=$AR20,AW20=$BB20,AW20=$BG20,AW20=$BL20)),1.5,
IF(AND(AU2=$C2,AW20=$C20,AW20&lt;$I20,AW20&lt;$N20,AW20&lt;$S20,AW20&lt;$X20,AW20&lt;$AC20,AW20&lt;$AH20,AW20&lt;$AM20,AW20&lt;$AR20,AW20&lt;$BB20,AW20&lt;$BG20,AW20&lt;$BL20),1,
IF(AND(AU2=$C2,AW20=$C20,OR(AW20=$I20,AW20=$N20,AW20=$S20,AW20=$X20,AW20=$AC20,AW20=$AH20,AW20=$AM20,AW20=$AR20,AW20=$BB20,AW20=$BG20,AW20=$BL20)),0.5,
0)))))))),
IF(AND(AY20=TRUE,AY2=TRUE),3,
IF(AND(AY20=TRUE,AY2=FALSE),1,
IF(AY20="",0)))
)</f>
        <v>0</v>
      </c>
      <c r="AY20" s="49" t="str">
        <f t="shared" ref="AY20:AY34" si="58">IF($C2="","",
IF(AU2=$C2,TRUE,FALSE))</f>
        <v/>
      </c>
      <c r="AZ20" s="47" t="str">
        <f t="shared" ref="AZ20:AZ34" si="59">IF(AZ2=C2,ABS(BB2-E2),"")</f>
        <v/>
      </c>
      <c r="BA20" s="47" t="str">
        <f t="shared" ref="BA20:BA34" si="60">IF(AZ2=C2,ABS(BC2-F2),"")</f>
        <v/>
      </c>
      <c r="BB20" s="48" t="str">
        <f t="shared" ref="BB20:BB34" si="61">IF(AZ2=C2,SUM(AZ20,BA20),"")</f>
        <v/>
      </c>
      <c r="BC20" s="9">
        <f t="shared" ref="BC20:BC34" si="62">SUM(IF(AND(AZ2=$C2,BB20=$C20,$C20=0,BD2=TRUE,BB20&lt;$I20,BB20&lt;$N20,BB20&lt;$S20,BB20&lt;$X20,BB20&lt;$AC20,BB20&lt;$AH20,BB20&lt;$AM20,BB20&lt;$AR20,BB20&lt;$AW20,BB20&lt;$BG20,BB20&lt;$BL20),15,
IF(AND(AZ2=$C2,BB20=$C20,$C20=0,BD2=TRUE,OR(BB20=$I20,BB20=$N20,BB20=$S20,BB20=$X20,BB20=$AC20,BB20=$AH20,BB20=$AM20,BB20=$AR20,BB20=$AW20,BB20=$BG20,BB20=$BL20)),7.5,
IF(AND(AZ2=$C2,BB20=$C20,$C20=0,BB20&lt;$I20,BB20&lt;$N20,BB20&lt;$S20,BB20&lt;$X20,BB20&lt;$AC20,BB20&lt;$AH20,BB20&lt;$AM20,BB20&lt;$AR20,BB20&lt;$AW20,BB20&lt;$BG20,BB20&lt;$BL20),5,
IF(AND(AZ2=$C2,BB20=$C20,BD2=TRUE,BB20&lt;$I20,BB20&lt;$N20,BB20&lt;$S20,BB20&lt;$X20,BB20&lt;$AC20,BB20&lt;$AH20,BB20&lt;$AM20,BB20&lt;$AR20,BB20&lt;$AW20,BB20&lt;$BG20,BB20&lt;$BL20),3,
IF(AND(AZ2=$C2,BB20=$C20,$C20=0,OR(BB20=$I20,BB20=$N20,BB20=$S20,BB20=$X20,BB20=$AC20,BB20=$AH20,BB20=$AM20,BB20=$AR20,BB20=$AW20,BB20=$BG20,BB20=$BL20)),2.5,
IF(AND(AZ2=$C2,BB20=$C20,BD2=TRUE,OR(BB20=$I20,BB20=$N20,BB20=$S20,BB20=$X20,BB20=$AC20,BB20=$AH20,BB20=$AM20,BB20=$AR20,BB20=$AW20,BB20=$BG20,BB20=$BL20)),1.5,
IF(AND(AZ2=$C2,BB20=$C20,BB20&lt;$I20,BB20&lt;$N20,BB20&lt;$S20,BB20&lt;$X20,BB20&lt;$AC20,BB20&lt;$AH20,BB20&lt;$AM20,BB20&lt;$AR20,BB20&lt;$AW20,BB20&lt;$BG20,BB20&lt;$BL20),1,
IF(AND(AZ2=$C2,BB20=$C20,OR(BB20=$I20,BB20=$N20,BB20=$S20,BB20=$X20,BB20=$AC20,BB20=$AH20,BB20=$AM20,BB20=$AR20,BB20=$AW20,BB20=$BG20,BB20=$BL20)),0.5,
0)))))))),
IF(AND(BD20=TRUE,BD2=TRUE),3,
IF(AND(BD20=TRUE,BD2=FALSE),1,
IF(BD20="",0)))
)</f>
        <v>0</v>
      </c>
      <c r="BD20" s="49" t="str">
        <f t="shared" ref="BD20:BD34" si="63">IF($C2="","",
IF(AZ2=$C2,TRUE,FALSE))</f>
        <v/>
      </c>
      <c r="BE20" s="47" t="str">
        <f t="shared" ref="BE20:BE34" si="64">IF(BE2=C2,ABS(BG2-E2),"")</f>
        <v/>
      </c>
      <c r="BF20" s="47" t="str">
        <f t="shared" ref="BF20:BF34" si="65">IF(BE2=C2,ABS(BH2-F2),"")</f>
        <v/>
      </c>
      <c r="BG20" s="48" t="str">
        <f t="shared" ref="BG20:BG34" si="66">IF(BE2=C2,SUM(BE20,BF20),"")</f>
        <v/>
      </c>
      <c r="BH20" s="9">
        <f t="shared" ref="BH20:BH34" si="67">SUM(IF(AND(BE2=$C2,BG20=$C20,$C20=0,BI2=TRUE,BG20&lt;$I20,BG20&lt;$N20,BG20&lt;$S20,BG20&lt;$X20,BG20&lt;$AC20,BG20&lt;$AH20,BG20&lt;$AM20,BG20&lt;$AR20,BG20&lt;$AW20,BG20&lt;$BB20,BG20&lt;$BL20),15,
IF(AND(BE2=$C2,BG20=$C20,$C20=0,BI2=TRUE,OR(BG20=$I20,BG20=$N20,BG20=$S20,BG20=$X20,BG20=$AC20,BG20=$AH20,BG20=$AM20,BG20=$AR20,BG20=$AW20,BG20=$BB20,BG20=$BL20)),7.5,
IF(AND(BE2=$C2,BG20=$C20,$C20=0,BG20&lt;$I20,BG20&lt;$N20,BG20&lt;$S20,BG20&lt;$X20,BG20&lt;$AC20,BG20&lt;$AH20,BG20&lt;$AM20,BG20&lt;$AR20,BG20&lt;$AW20,BG20&lt;$BB20,BG20&lt;$BL20),5,
IF(AND(BE2=$C2,BG20=$C20,BI2=TRUE,BG20&lt;$I20,BG20&lt;$N20,BG20&lt;$S20,BG20&lt;$X20,BG20&lt;$AC20,BG20&lt;$AH20,BG20&lt;$AM20,BG20&lt;$AR20,BG20&lt;$AW20,BG20&lt;$BB20,BG20&lt;$BL20),3,
IF(AND(BE2=$C2,BG20=$C20,$C20=0,OR(BG20=$I20,BG20=$N20,BG20=$S20,BG20=$X20,BG20=$AC20,BG20=$AH20,BG20=$AM20,BG20=$AR20,BG20=$AW20,BG20=$BB20,BG20=$BL20)),2.5,
IF(AND(BE2=$C2,BG20=$C20,BI2=TRUE,OR(BG20=$I20,BG20=$N20,BG20=$S20,BG20=$X20,BG20=$AC20,BG20=$AH20,BG20=$AM20,BG20=$AR20,BG20=$AW20,BG20=$BB20,BG20=$BL20)),1.5,
IF(AND(BE2=$C2,BG20=$C20,BG20&lt;$I20,BG20&lt;$N20,BG20&lt;$S20,BG20&lt;$X20,BG20&lt;$AC20,BG20&lt;$AH20,BG20&lt;$AM20,BG20&lt;$AR20,BG20&lt;$AW20,BG20&lt;$BB20,BG20&lt;$BL20),1,
IF(AND(BE2=$C2,BG20=$C20,OR(BG20=$I20,BG20=$N20,BG20=$S20,BG20=$X20,BG20=$AC20,BG20=$AH20,BG20=$AM20,BG20=$AR20,BG20=$AW20,BG20=$BB20,BG20=$BL20)),0.5,
0)))))))),
IF(AND(BI20=TRUE,BI2=TRUE),3,
IF(AND(BI20=TRUE,BI2=FALSE),1,
IF(BI20="",0)))
)</f>
        <v>0</v>
      </c>
      <c r="BI20" s="49" t="str">
        <f t="shared" ref="BI20:BI34" si="68">IF($C2="","",
IF(BE2=$C2,TRUE,FALSE))</f>
        <v/>
      </c>
      <c r="BJ20" s="47" t="str">
        <f t="shared" ref="BJ20:BJ34" si="69">IF(BJ2=C2,ABS(BL2-E2),"")</f>
        <v/>
      </c>
      <c r="BK20" s="47" t="str">
        <f t="shared" ref="BK20:BK34" si="70">IF(BJ2=C2,ABS(BM2-F2),"")</f>
        <v/>
      </c>
      <c r="BL20" s="48" t="str">
        <f t="shared" ref="BL20:BL34" si="71">IF(BJ2=C2,SUM(BJ20,BK20),"")</f>
        <v/>
      </c>
      <c r="BM20" s="9">
        <f t="shared" ref="BM20:BM34" si="72">SUM(IF(AND(BJ2=$C2,BL20=$C20,$C20=0,BN2=TRUE,BL20&lt;$I20,BL20&lt;$N20,BL20&lt;$S20,BL20&lt;$X20,BL20&lt;$AC20,BL20&lt;$AH20,BL20&lt;$AM20,BL20&lt;$AR20,BL20&lt;$AW20,BL20&lt;$BB20,BL20&lt;$BG20),15,
IF(AND(BJ2=$C2,BL20=$C20,$C20=0,BN2=TRUE,OR(BL20=$I20,BL20=$N20,BL20=$S20,BL20=$X20,BL20=$AC20,BL20=$AH20,BL20=$AM20,BL20=$AR20,BL20=$AW20,BL20=$BB20,BL20=$BG20)),7.5,
IF(AND(BJ2=$C2,BL20=$C20,$C20=0,BL20&lt;$I20,BL20&lt;$N20,BL20&lt;$S20,BL20&lt;$X20,BL20&lt;$AC20,BL20&lt;$AH20,BL20&lt;$AM20,BL20&lt;$AR20,BL20&lt;$AW20,BL20&lt;$BB20,BL20&lt;$BG20),5,
IF(AND(BJ2=$C2,BL20=$C20,BN2=TRUE,BL20&lt;$I20,BL20&lt;$N20,BL20&lt;$S20,BL20&lt;$X20,BL20&lt;$AC20,BL20&lt;$AH20,BL20&lt;$AM20,BL20&lt;$AR20,BL20&lt;$AW20,BL20&lt;$BB20,BL20&lt;$BG20),3,
IF(AND(BJ2=$C2,BL20=$C20,$C20=0,OR(BL20=$I20,BL20=$N20,BL20=$S20,BL20=$X20,BL20=$AC20,BL20=$AH20,BL20=$AM20,BL20=$AR20,BL20=$AW20,BL20=$BB20,BL20=$BG20)),2.5,
IF(AND(BJ2=$C2,BL20=$C20,BN2=TRUE,OR(BL20=$I20,BL20=$N20,BL20=$S20,BL20=$X20,BL20=$AC20,BL20=$AH20,BL20=$AM20,BL20=$AR20,BL20=$AW20,BL20=$BB20,BL20=$BG20)),1.5,
IF(AND(BJ2=$C2,BL20=$C20,BL20&lt;$I20,BL20&lt;$N20,BL20&lt;$S20,BL20&lt;$X20,BL20&lt;$AC20,BL20&lt;$AH20,BL20&lt;$AM20,BL20&lt;$AR20,BL20&lt;$AW20,BL20&lt;$BB20,BL20&lt;$BG20),1,
IF(AND(BJ2=$C2,BL20=$C20,OR(BL20=$I20,BL20=$N20,BL20=$S20,BL20=$X20,BL20=$AC20,BL20=$AH20,BL20=$AM20,BL20=$AR20,BL20=$AW20,BL20=$BB20,BL20=$BG20)),0.5,
0)))))))),
IF(AND(BN20=TRUE,BN2=TRUE),3,
IF(AND(BN20=TRUE,BN2=FALSE),1,
IF(BN20="",0)))
)</f>
        <v>0</v>
      </c>
      <c r="BN20" s="49" t="str">
        <f t="shared" ref="BN20:BN34" si="73">IF($C2="","",
IF(BJ2=$C2,TRUE,FALSE))</f>
        <v/>
      </c>
      <c r="BO20" s="41"/>
      <c r="BP20" s="41"/>
      <c r="BQ20" s="41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9"/>
      <c r="E33" s="49"/>
      <c r="F33" s="49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9"/>
      <c r="E34" s="49"/>
      <c r="F34" s="49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0"/>
      <c r="BP34" s="40"/>
      <c r="BQ34" s="40"/>
    </row>
    <row r="35" hidden="1">
      <c r="A35" s="40"/>
      <c r="B35" s="40"/>
      <c r="C35" s="49"/>
      <c r="D35" s="49"/>
      <c r="E35" s="49"/>
      <c r="F35" s="49"/>
      <c r="G35" s="49"/>
      <c r="H35" s="49"/>
      <c r="I35" s="49"/>
      <c r="J35" s="59">
        <f>MULTIPLY(SUM(J20:J34),10)</f>
        <v>0</v>
      </c>
      <c r="K35" s="62">
        <f>COUNTIF(K20:K34,"TRUE")</f>
        <v>0</v>
      </c>
      <c r="L35" s="49"/>
      <c r="M35" s="49"/>
      <c r="N35" s="49"/>
      <c r="O35" s="59">
        <f>MULTIPLY(SUM(O20:O34),10)</f>
        <v>0</v>
      </c>
      <c r="P35" s="62">
        <f>COUNTIF(P20:P34,"TRUE")</f>
        <v>0</v>
      </c>
      <c r="Q35" s="49"/>
      <c r="R35" s="49"/>
      <c r="S35" s="49"/>
      <c r="T35" s="59">
        <f>MULTIPLY(SUM(T20:T34),10)</f>
        <v>0</v>
      </c>
      <c r="U35" s="62">
        <f>COUNTIF(U20:U34,"TRUE")</f>
        <v>0</v>
      </c>
      <c r="V35" s="49"/>
      <c r="W35" s="49"/>
      <c r="X35" s="49"/>
      <c r="Y35" s="59">
        <f>MULTIPLY(SUM(Y20:Y34),10)</f>
        <v>0</v>
      </c>
      <c r="Z35" s="62">
        <f>COUNTIF(Z20:Z34,"TRUE")</f>
        <v>0</v>
      </c>
      <c r="AA35" s="49"/>
      <c r="AB35" s="49"/>
      <c r="AC35" s="49"/>
      <c r="AD35" s="59">
        <f>MULTIPLY(SUM(AD20:AD34),10)</f>
        <v>0</v>
      </c>
      <c r="AE35" s="62">
        <f>COUNTIF(AE20:AE34,"TRUE")</f>
        <v>0</v>
      </c>
      <c r="AF35" s="49"/>
      <c r="AG35" s="49"/>
      <c r="AH35" s="49"/>
      <c r="AI35" s="59">
        <f>MULTIPLY(SUM(AI20:AI34),10)</f>
        <v>0</v>
      </c>
      <c r="AJ35" s="62">
        <f>COUNTIF(AJ20:AJ34,"TRUE")</f>
        <v>0</v>
      </c>
      <c r="AK35" s="49"/>
      <c r="AL35" s="49"/>
      <c r="AM35" s="49"/>
      <c r="AN35" s="59">
        <f>MULTIPLY(SUM(AN20:AN34),10)</f>
        <v>0</v>
      </c>
      <c r="AO35" s="62">
        <f>COUNTIF(AO20:AO34,"TRUE")</f>
        <v>0</v>
      </c>
      <c r="AP35" s="49"/>
      <c r="AQ35" s="49"/>
      <c r="AR35" s="49"/>
      <c r="AS35" s="59">
        <f>MULTIPLY(SUM(AS20:AS34),10)</f>
        <v>0</v>
      </c>
      <c r="AT35" s="62">
        <f>COUNTIF(AT20:AT34,"TRUE")</f>
        <v>0</v>
      </c>
      <c r="AU35" s="49"/>
      <c r="AV35" s="49"/>
      <c r="AW35" s="49"/>
      <c r="AX35" s="59">
        <f>MULTIPLY(SUM(AX20:AX34),10)</f>
        <v>0</v>
      </c>
      <c r="AY35" s="62">
        <f>COUNTIF(AY20:AY34,"TRUE")</f>
        <v>0</v>
      </c>
      <c r="AZ35" s="49"/>
      <c r="BA35" s="49"/>
      <c r="BB35" s="49"/>
      <c r="BC35" s="59">
        <f>MULTIPLY(SUM(BC20:BC34),10)</f>
        <v>0</v>
      </c>
      <c r="BD35" s="62">
        <f>COUNTIF(BD20:BD34,"TRUE")</f>
        <v>0</v>
      </c>
      <c r="BE35" s="49"/>
      <c r="BF35" s="49"/>
      <c r="BG35" s="49"/>
      <c r="BH35" s="59">
        <f>MULTIPLY(SUM(BH20:BH34),10)</f>
        <v>0</v>
      </c>
      <c r="BI35" s="62">
        <f>COUNTIF(BI20:BI34,"TRUE")</f>
        <v>0</v>
      </c>
      <c r="BJ35" s="49"/>
      <c r="BK35" s="49"/>
      <c r="BL35" s="49"/>
      <c r="BM35" s="59">
        <f>MULTIPLY(SUM(BM20:BM34),10)</f>
        <v>0</v>
      </c>
      <c r="BN35" s="62">
        <f>COUNTIF(BN20:BN34,"TRUE")</f>
        <v>0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83" t="s">
        <v>234</v>
      </c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1" t="s">
        <v>33</v>
      </c>
      <c r="B38" s="57" t="s">
        <v>141</v>
      </c>
      <c r="C38" s="58">
        <f t="array" ref="C38">INDEX(J35,0)</f>
        <v>0</v>
      </c>
      <c r="D38" s="58">
        <f t="array" ref="D38">INDEX(O35,0)</f>
        <v>0</v>
      </c>
      <c r="E38" s="58">
        <f t="array" ref="E38">INDEX(T35,0)</f>
        <v>0</v>
      </c>
      <c r="F38" s="58">
        <f t="array" ref="F38">INDEX(Y35,0)</f>
        <v>0</v>
      </c>
      <c r="G38" s="58">
        <f t="array" ref="G38">INDEX(AD35,0)</f>
        <v>0</v>
      </c>
      <c r="H38" s="58">
        <f t="array" ref="H38">INDEX(AI35,0)</f>
        <v>0</v>
      </c>
      <c r="I38" s="58">
        <f t="array" ref="I38">INDEX(AN35,0)</f>
        <v>0</v>
      </c>
      <c r="J38" s="58">
        <f t="array" ref="J38">INDEX(AS35,0)</f>
        <v>0</v>
      </c>
      <c r="K38" s="58">
        <f t="array" ref="K38">INDEX(AX35,0)</f>
        <v>0</v>
      </c>
      <c r="L38" s="58">
        <f t="array" ref="L38">INDEX(BC35,0)</f>
        <v>0</v>
      </c>
      <c r="M38" s="58">
        <f t="array" ref="M38">INDEX(BH35,0)</f>
        <v>0</v>
      </c>
      <c r="N38" s="60">
        <f t="array" ref="N38">INDEX(BM35,0)</f>
        <v>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81" t="s">
        <v>55</v>
      </c>
      <c r="B39" s="63" t="s">
        <v>142</v>
      </c>
      <c r="C39" s="64">
        <f>COUNTIF(K20:K33,true)</f>
        <v>0</v>
      </c>
      <c r="D39" s="64">
        <f>COUNTIF(P20:P33,true)</f>
        <v>0</v>
      </c>
      <c r="E39" s="64">
        <f>COUNTIF(U20:U33,true)</f>
        <v>0</v>
      </c>
      <c r="F39" s="64">
        <f>COUNTIF(Z20:Z33,true)</f>
        <v>0</v>
      </c>
      <c r="G39" s="64">
        <f>COUNTIF(AE20:AE33,true)</f>
        <v>0</v>
      </c>
      <c r="H39" s="64">
        <f>COUNTIF(AJ20:AJ33,true)</f>
        <v>0</v>
      </c>
      <c r="I39" s="64">
        <f>COUNTIF(AO20:AO33,true)</f>
        <v>0</v>
      </c>
      <c r="J39" s="64">
        <f>COUNTIF(AT20:AT33,true)</f>
        <v>0</v>
      </c>
      <c r="K39" s="64">
        <f>COUNTIF(AY20:AY33,true)</f>
        <v>0</v>
      </c>
      <c r="L39" s="64">
        <f>COUNTIF(BD20:BD33,true)</f>
        <v>0</v>
      </c>
      <c r="M39" s="64">
        <f>COUNTIF(BI20:BI33,true)</f>
        <v>0</v>
      </c>
      <c r="N39" s="65">
        <f>COUNTIF(BN20:BN33,true)</f>
        <v>0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82"/>
      <c r="B40" s="63" t="s">
        <v>143</v>
      </c>
      <c r="C40" s="68">
        <f>COUNTIF(K20:K33,FALSE)</f>
        <v>0</v>
      </c>
      <c r="D40" s="68">
        <f>COUNTIF(P20:P33,FALSE)</f>
        <v>0</v>
      </c>
      <c r="E40" s="68">
        <f>COUNTIF(U20:U33,FALSE)</f>
        <v>0</v>
      </c>
      <c r="F40" s="68">
        <f>COUNTIF(Z20:Z33,FALSE)</f>
        <v>0</v>
      </c>
      <c r="G40" s="68">
        <f>COUNTIF(AE20:AE33,FALSE)</f>
        <v>0</v>
      </c>
      <c r="H40" s="68">
        <f>COUNTIF(AJ20:AJ33,FALSE)</f>
        <v>0</v>
      </c>
      <c r="I40" s="68">
        <f>COUNTIF(AO20:AO33,FALSE)</f>
        <v>0</v>
      </c>
      <c r="J40" s="68">
        <f>COUNTIF(AT20:AT33,FALSE)</f>
        <v>0</v>
      </c>
      <c r="K40" s="68">
        <f>COUNTIF(AY20:AY33,FALSE)</f>
        <v>0</v>
      </c>
      <c r="L40" s="68">
        <f>COUNTIF(BD20:BD33,FALSE)</f>
        <v>0</v>
      </c>
      <c r="M40" s="68">
        <f>COUNTIF(BI20:BI33,FALSE)</f>
        <v>0</v>
      </c>
      <c r="N40" s="69">
        <f>COUNTIF(BN20:BN33,FALSE)</f>
        <v>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82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>SUM('Week 1'!C38,'Week 2'!C38,'Week 3'!C38,'Week 4'!C38,'Week 5'!C39,'Week 6'!C35,'Week 7'!C35,'Week 8'!C37,C38)</f>
        <v>325</v>
      </c>
      <c r="D42" s="71">
        <f>SUM('Week 1'!D38,'Week 2'!D38,'Week 3'!D38,'Week 4'!D38,'Week 5'!D39,'Week 6'!D35,'Week 7'!D35,'Week 8'!D37,D38)</f>
        <v>275</v>
      </c>
      <c r="E42" s="71">
        <f>SUM('Week 1'!E38,'Week 2'!E38,'Week 3'!E38,'Week 4'!E38,'Week 5'!E39,'Week 6'!E35,'Week 7'!E35,'Week 8'!E37,E38)</f>
        <v>290</v>
      </c>
      <c r="F42" s="71">
        <f>SUM('Week 1'!F38,'Week 2'!F38,'Week 3'!F38,'Week 4'!F38,'Week 5'!F39,'Week 6'!F35,'Week 7'!F35,'Week 8'!F37,F38)</f>
        <v>375</v>
      </c>
      <c r="G42" s="71">
        <f>SUM('Week 1'!G38,'Week 2'!G38,'Week 3'!G38,'Week 4'!G38,'Week 5'!G39,'Week 6'!G35,'Week 7'!G35,'Week 8'!G37,G38)</f>
        <v>410</v>
      </c>
      <c r="H42" s="71">
        <f>SUM('Week 1'!H38,'Week 2'!H38,'Week 3'!H38,'Week 4'!H38,'Week 5'!H39,'Week 6'!H35,'Week 7'!H35,'Week 8'!H37,H38)</f>
        <v>480</v>
      </c>
      <c r="I42" s="71">
        <f>SUM('Week 1'!I38,'Week 2'!I38,'Week 3'!I38,'Week 4'!I38,'Week 5'!I39,'Week 6'!I35,'Week 7'!I35,'Week 8'!I37,I38)</f>
        <v>320</v>
      </c>
      <c r="J42" s="71">
        <f>SUM('Week 1'!J38,'Week 2'!J38,'Week 3'!J38,'Week 4'!J38,'Week 5'!J39,'Week 6'!J35,'Week 7'!J35,'Week 8'!J37,J38)</f>
        <v>445</v>
      </c>
      <c r="K42" s="71">
        <f>SUM('Week 1'!K38,'Week 2'!K38,'Week 3'!K38,'Week 4'!K38,'Week 5'!K39,'Week 6'!K35,'Week 7'!K35,'Week 8'!K37,K38)</f>
        <v>370</v>
      </c>
      <c r="L42" s="71">
        <f>SUM('Week 1'!L38,'Week 2'!L38,'Week 3'!L38,'Week 4'!L38,'Week 5'!L39,'Week 6'!L35,'Week 7'!L35,'Week 8'!L37,L38)</f>
        <v>280</v>
      </c>
      <c r="M42" s="71">
        <f>SUM('Week 1'!M38,'Week 2'!M38,'Week 3'!M38,'Week 4'!M38,'Week 5'!M39,'Week 6'!M35,'Week 7'!M35,'Week 8'!M37,M38)</f>
        <v>365</v>
      </c>
      <c r="N42" s="72">
        <f>SUM('Week 1'!N38,'Week 2'!N38,'Week 3'!N38,'Week 4'!N38,'Week 5'!N39,'Week 6'!N35,'Week 7'!N35,'Week 8'!N37,N38)</f>
        <v>290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>CONCATENATE(SUM('Week 1'!C39,'Week 2'!C39,'Week 3'!C39,'Week 4'!C39,'Week 5'!C40,'Week 6'!C36,'Week 7'!C36,'Week 8'!C38,C39)," - ",SUM('Week 1'!C40,'Week 2'!C40,'Week 3'!C40,'Week 4'!C40,'Week 5'!C41,'Week 6'!C37,'Week 7'!C37,'Week 8'!C39,C40))</f>
        <v>25 - 21</v>
      </c>
      <c r="D43" s="73" t="str">
        <f>CONCATENATE(SUM('Week 1'!D39,'Week 2'!D39,'Week 3'!D39,'Week 4'!D39,'Week 5'!D40,'Week 6'!D36,'Week 7'!D36,'Week 8'!D38,D39)," - ",SUM('Week 1'!D40,'Week 2'!D40,'Week 3'!D40,'Week 4'!D40,'Week 5'!D41,'Week 6'!D37,'Week 7'!D37,'Week 8'!D39,D40))</f>
        <v>24 - 22</v>
      </c>
      <c r="E43" s="73" t="str">
        <f>CONCATENATE(SUM('Week 1'!E39,'Week 2'!E39,'Week 3'!E39,'Week 4'!E39,'Week 5'!E40,'Week 6'!E36,'Week 7'!E36,'Week 8'!E38,E39)," - ",SUM('Week 1'!E40,'Week 2'!E40,'Week 3'!E40,'Week 4'!E40,'Week 5'!E41,'Week 6'!E37,'Week 7'!E37,'Week 8'!E39,E40))</f>
        <v>23 - 23</v>
      </c>
      <c r="F43" s="73" t="str">
        <f>CONCATENATE(SUM('Week 1'!F39,'Week 2'!F39,'Week 3'!F39,'Week 4'!F39,'Week 5'!F40,'Week 6'!F36,'Week 7'!F36,'Week 8'!F38,F39)," - ",SUM('Week 1'!F40,'Week 2'!F40,'Week 3'!F40,'Week 4'!F40,'Week 5'!F41,'Week 6'!F37,'Week 7'!F37,'Week 8'!F39,F40))</f>
        <v>26 - 20</v>
      </c>
      <c r="G43" s="73" t="str">
        <f>CONCATENATE(SUM('Week 1'!G39,'Week 2'!G39,'Week 3'!G39,'Week 4'!G39,'Week 5'!G40,'Week 6'!G36,'Week 7'!G36,'Week 8'!G38,G39)," - ",SUM('Week 1'!G40,'Week 2'!G40,'Week 3'!G40,'Week 4'!G40,'Week 5'!G41,'Week 6'!G37,'Week 7'!G37,'Week 8'!G39,G40))</f>
        <v>30 - 16</v>
      </c>
      <c r="H43" s="73" t="str">
        <f>CONCATENATE(SUM('Week 1'!H39,'Week 2'!H39,'Week 3'!H39,'Week 4'!H39,'Week 5'!H40,'Week 6'!H36,'Week 7'!H36,'Week 8'!H38,H39)," - ",SUM('Week 1'!H40,'Week 2'!H40,'Week 3'!H40,'Week 4'!H40,'Week 5'!H41,'Week 6'!H37,'Week 7'!H37,'Week 8'!H39,H40))</f>
        <v>33 - 13</v>
      </c>
      <c r="I43" s="73" t="str">
        <f>CONCATENATE(SUM('Week 1'!I39,'Week 2'!I39,'Week 3'!I39,'Week 4'!I39,'Week 5'!I40,'Week 6'!I36,'Week 7'!I36,'Week 8'!I38,I39)," - ",SUM('Week 1'!I40,'Week 2'!I40,'Week 3'!I40,'Week 4'!I40,'Week 5'!I41,'Week 6'!I37,'Week 7'!I37,'Week 8'!I39,I40))</f>
        <v>26 - 20</v>
      </c>
      <c r="J43" s="73" t="str">
        <f>CONCATENATE(SUM('Week 1'!J39,'Week 2'!J39,'Week 3'!J39,'Week 4'!J39,'Week 5'!J40,'Week 6'!J36,'Week 7'!J36,'Week 8'!J38,J39)," - ",SUM('Week 1'!J40,'Week 2'!J40,'Week 3'!J40,'Week 4'!J40,'Week 5'!J41,'Week 6'!J37,'Week 7'!J37,'Week 8'!J39,J40))</f>
        <v>27 - 19</v>
      </c>
      <c r="K43" s="73" t="str">
        <f>CONCATENATE(SUM('Week 1'!K39,'Week 2'!K39,'Week 3'!K39,'Week 4'!K39,'Week 5'!K40,'Week 6'!K36,'Week 7'!K36,'Week 8'!K38,K39)," - ",SUM('Week 1'!K40,'Week 2'!K40,'Week 3'!K40,'Week 4'!K40,'Week 5'!K41,'Week 6'!K37,'Week 7'!K37,'Week 8'!K39,K40))</f>
        <v>29 - 17</v>
      </c>
      <c r="L43" s="73" t="str">
        <f>CONCATENATE(SUM('Week 1'!L39,'Week 2'!L39,'Week 3'!L39,'Week 4'!L39,'Week 5'!L40,'Week 6'!L36,'Week 7'!L36,'Week 8'!L38,L39)," - ",SUM('Week 1'!L40,'Week 2'!L40,'Week 3'!L40,'Week 4'!L40,'Week 5'!L41,'Week 6'!L37,'Week 7'!L37,'Week 8'!L39,L40))</f>
        <v>26 - 20</v>
      </c>
      <c r="M43" s="73" t="str">
        <f>CONCATENATE(SUM('Week 1'!M39,'Week 2'!M39,'Week 3'!M39,'Week 4'!M39,'Week 5'!M40,'Week 6'!M36,'Week 7'!M36,'Week 8'!M38,M39)," - ",SUM('Week 1'!M40,'Week 2'!M40,'Week 3'!M40,'Week 4'!M40,'Week 5'!M41,'Week 6'!M37,'Week 7'!M37,'Week 8'!M39,M40))</f>
        <v>24 - 22</v>
      </c>
      <c r="N43" s="74" t="str">
        <f>CONCATENATE(SUM('Week 1'!N39,'Week 2'!N39,'Week 3'!N39,'Week 4'!N39,'Week 5'!N40,'Week 6'!N36,'Week 7'!N36,'Week 8'!N38,N39)," - ",SUM('Week 1'!N40,'Week 2'!N40,'Week 3'!N40,'Week 4'!N40,'Week 5'!N41,'Week 6'!N37,'Week 7'!N37,'Week 8'!N39,N40))</f>
        <v>20 - 26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11</v>
      </c>
      <c r="E45" s="29">
        <v>480.0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445.0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410.0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375.0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14</v>
      </c>
      <c r="E49" s="29">
        <v>370.0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16</v>
      </c>
      <c r="E50" s="29">
        <v>365.0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6</v>
      </c>
      <c r="E51" s="29">
        <v>325.0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12</v>
      </c>
      <c r="E52" s="29">
        <v>320.0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8</v>
      </c>
      <c r="E53" s="29">
        <v>290.0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17</v>
      </c>
      <c r="E54" s="29">
        <v>290.0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280.0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275.0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325</v>
      </c>
      <c r="D63" s="40"/>
      <c r="G63" s="40"/>
      <c r="H63" s="40">
        <f t="shared" ref="H63:H74" si="74">RANK(J63,$J$63:$J$79,false)</f>
        <v>1</v>
      </c>
      <c r="I63" s="40" t="str">
        <f t="array" ref="I63:J79">SORT(B63:C79,2,false)</f>
        <v>Caleb</v>
      </c>
      <c r="J63" s="40">
        <v>480.0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275</v>
      </c>
      <c r="D64" s="40"/>
      <c r="G64" s="40"/>
      <c r="H64" s="40">
        <f t="shared" si="74"/>
        <v>2</v>
      </c>
      <c r="I64" s="40" t="s">
        <v>13</v>
      </c>
      <c r="J64" s="40">
        <v>445.0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290</v>
      </c>
      <c r="D65" s="40"/>
      <c r="G65" s="40"/>
      <c r="H65" s="40">
        <f t="shared" si="74"/>
        <v>3</v>
      </c>
      <c r="I65" s="40" t="s">
        <v>10</v>
      </c>
      <c r="J65" s="40">
        <v>410.0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375</v>
      </c>
      <c r="D66" s="40"/>
      <c r="G66" s="40"/>
      <c r="H66" s="40">
        <f t="shared" si="74"/>
        <v>4</v>
      </c>
      <c r="I66" s="40" t="s">
        <v>9</v>
      </c>
      <c r="J66" s="40">
        <v>375.0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410</v>
      </c>
      <c r="D67" s="40"/>
      <c r="G67" s="40"/>
      <c r="H67" s="40">
        <f t="shared" si="74"/>
        <v>5</v>
      </c>
      <c r="I67" s="40" t="s">
        <v>14</v>
      </c>
      <c r="J67" s="40">
        <v>370.0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480</v>
      </c>
      <c r="D68" s="40"/>
      <c r="G68" s="40"/>
      <c r="H68" s="40">
        <f t="shared" si="74"/>
        <v>6</v>
      </c>
      <c r="I68" s="40" t="s">
        <v>16</v>
      </c>
      <c r="J68" s="40">
        <v>365.0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320</v>
      </c>
      <c r="D69" s="40"/>
      <c r="G69" s="40"/>
      <c r="H69" s="40">
        <f t="shared" si="74"/>
        <v>7</v>
      </c>
      <c r="I69" s="40" t="s">
        <v>6</v>
      </c>
      <c r="J69" s="40">
        <v>325.0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445</v>
      </c>
      <c r="D70" s="40"/>
      <c r="G70" s="40"/>
      <c r="H70" s="40">
        <f t="shared" si="74"/>
        <v>8</v>
      </c>
      <c r="I70" s="40" t="s">
        <v>12</v>
      </c>
      <c r="J70" s="40">
        <v>320.0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370</v>
      </c>
      <c r="D71" s="40"/>
      <c r="G71" s="40"/>
      <c r="H71" s="40">
        <f t="shared" si="74"/>
        <v>9</v>
      </c>
      <c r="I71" s="40" t="s">
        <v>8</v>
      </c>
      <c r="J71" s="40">
        <v>290.0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280</v>
      </c>
      <c r="D72" s="40"/>
      <c r="G72" s="40"/>
      <c r="H72" s="40">
        <f t="shared" si="74"/>
        <v>9</v>
      </c>
      <c r="I72" s="40" t="s">
        <v>17</v>
      </c>
      <c r="J72" s="40">
        <v>290.0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365</v>
      </c>
      <c r="D73" s="40"/>
      <c r="G73" s="40"/>
      <c r="H73" s="40">
        <f t="shared" si="74"/>
        <v>11</v>
      </c>
      <c r="I73" s="40" t="s">
        <v>15</v>
      </c>
      <c r="J73" s="40">
        <v>280.0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290</v>
      </c>
      <c r="D74" s="40"/>
      <c r="G74" s="40"/>
      <c r="H74" s="40">
        <f t="shared" si="74"/>
        <v>12</v>
      </c>
      <c r="I74" s="40" t="s">
        <v>7</v>
      </c>
      <c r="J74" s="40">
        <v>275.0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6">
    <cfRule type="expression" dxfId="0" priority="1">
      <formula>AND($I20=$C20,$C20=0)</formula>
    </cfRule>
  </conditionalFormatting>
  <conditionalFormatting sqref="G2:K16">
    <cfRule type="expression" dxfId="7" priority="2">
      <formula>$I20=$C20</formula>
    </cfRule>
  </conditionalFormatting>
  <conditionalFormatting sqref="L2:L16">
    <cfRule type="expression" dxfId="2" priority="3">
      <formula>AND(C2&lt;&gt;"",C2&lt;&gt;L2)</formula>
    </cfRule>
  </conditionalFormatting>
  <conditionalFormatting sqref="M2:M16">
    <cfRule type="expression" dxfId="2" priority="4">
      <formula>AND(C2&lt;&gt;"",C2&lt;&gt;L2)</formula>
    </cfRule>
  </conditionalFormatting>
  <conditionalFormatting sqref="N2:N16">
    <cfRule type="expression" dxfId="2" priority="5">
      <formula>AND(C2&lt;&gt;"",C2&lt;&gt;L2)</formula>
    </cfRule>
  </conditionalFormatting>
  <conditionalFormatting sqref="O2:O16">
    <cfRule type="expression" dxfId="2" priority="6">
      <formula>AND(C2&lt;&gt;"",C2&lt;&gt;L2)</formula>
    </cfRule>
  </conditionalFormatting>
  <conditionalFormatting sqref="P2:P16">
    <cfRule type="expression" dxfId="2" priority="7">
      <formula>AND(C2&lt;&gt;"",C2&lt;&gt;L2)</formula>
    </cfRule>
  </conditionalFormatting>
  <conditionalFormatting sqref="L2:P16">
    <cfRule type="expression" dxfId="0" priority="8">
      <formula>AND($N20=$C20,$C20=0)</formula>
    </cfRule>
  </conditionalFormatting>
  <conditionalFormatting sqref="L2:P16">
    <cfRule type="expression" dxfId="7" priority="9">
      <formula>$N20=$C20</formula>
    </cfRule>
  </conditionalFormatting>
  <conditionalFormatting sqref="Q2:Q16">
    <cfRule type="expression" dxfId="2" priority="10">
      <formula>AND(C2&lt;&gt;"",C2&lt;&gt;Q2)</formula>
    </cfRule>
  </conditionalFormatting>
  <conditionalFormatting sqref="R2:R16">
    <cfRule type="expression" dxfId="2" priority="11">
      <formula>AND(C2&lt;&gt;"",C2&lt;&gt;Q2)</formula>
    </cfRule>
  </conditionalFormatting>
  <conditionalFormatting sqref="S2:S16">
    <cfRule type="expression" dxfId="2" priority="12">
      <formula>AND(C2&lt;&gt;"",C2&lt;&gt;Q2)</formula>
    </cfRule>
  </conditionalFormatting>
  <conditionalFormatting sqref="T2:T16">
    <cfRule type="expression" dxfId="2" priority="13">
      <formula>AND(C2&lt;&gt;"",C2&lt;&gt;Q2)</formula>
    </cfRule>
  </conditionalFormatting>
  <conditionalFormatting sqref="U2:U16">
    <cfRule type="expression" dxfId="2" priority="14">
      <formula>AND(C2&lt;&gt;"",C2&lt;&gt;Q2)</formula>
    </cfRule>
  </conditionalFormatting>
  <conditionalFormatting sqref="Q2:U16">
    <cfRule type="expression" dxfId="0" priority="15">
      <formula>AND($S20=$C20,$C20=0)</formula>
    </cfRule>
  </conditionalFormatting>
  <conditionalFormatting sqref="Q2:U16">
    <cfRule type="expression" dxfId="7" priority="16">
      <formula>$S20=$C20</formula>
    </cfRule>
  </conditionalFormatting>
  <conditionalFormatting sqref="V2:V16">
    <cfRule type="expression" dxfId="2" priority="17">
      <formula>AND(C2&lt;&gt;"",C2&lt;&gt;V2)</formula>
    </cfRule>
  </conditionalFormatting>
  <conditionalFormatting sqref="W2:W16">
    <cfRule type="expression" dxfId="2" priority="18">
      <formula>AND(C2&lt;&gt;"",C2&lt;&gt;V2)</formula>
    </cfRule>
  </conditionalFormatting>
  <conditionalFormatting sqref="X2:X16">
    <cfRule type="expression" dxfId="2" priority="19">
      <formula>AND(C2&lt;&gt;"",C2&lt;&gt;V2)</formula>
    </cfRule>
  </conditionalFormatting>
  <conditionalFormatting sqref="Y2:Y16">
    <cfRule type="expression" dxfId="2" priority="20">
      <formula>AND(C2&lt;&gt;"",C2&lt;&gt;V2)</formula>
    </cfRule>
  </conditionalFormatting>
  <conditionalFormatting sqref="Z2:Z16">
    <cfRule type="expression" dxfId="2" priority="21">
      <formula>AND(C2&lt;&gt;"",C2&lt;&gt;V2)</formula>
    </cfRule>
  </conditionalFormatting>
  <conditionalFormatting sqref="AA2:AA16">
    <cfRule type="expression" dxfId="2" priority="22">
      <formula>AND(C2&lt;&gt;"",C2&lt;&gt;AA2)</formula>
    </cfRule>
  </conditionalFormatting>
  <conditionalFormatting sqref="AB2:AB16">
    <cfRule type="expression" dxfId="2" priority="23">
      <formula>AND(C2&lt;&gt;"",C2&lt;&gt;AA2)</formula>
    </cfRule>
  </conditionalFormatting>
  <conditionalFormatting sqref="AC2:AC16">
    <cfRule type="expression" dxfId="2" priority="24">
      <formula>AND(C2&lt;&gt;"",C2&lt;&gt;AA2)</formula>
    </cfRule>
  </conditionalFormatting>
  <conditionalFormatting sqref="AD2:AD16">
    <cfRule type="expression" dxfId="2" priority="25">
      <formula>AND(C2&lt;&gt;"",C2&lt;&gt;AA2)</formula>
    </cfRule>
  </conditionalFormatting>
  <conditionalFormatting sqref="AE2:AE16">
    <cfRule type="expression" dxfId="2" priority="26">
      <formula>AND(C2&lt;&gt;"",C2&lt;&gt;AA2)</formula>
    </cfRule>
  </conditionalFormatting>
  <conditionalFormatting sqref="AF2:AF16">
    <cfRule type="expression" dxfId="2" priority="27">
      <formula>AND(C2&lt;&gt;"",C2&lt;&gt;AF2)</formula>
    </cfRule>
  </conditionalFormatting>
  <conditionalFormatting sqref="AG2:AG16">
    <cfRule type="expression" dxfId="2" priority="28">
      <formula>AND(C2&lt;&gt;"",C2&lt;&gt;AF2)</formula>
    </cfRule>
  </conditionalFormatting>
  <conditionalFormatting sqref="AH2:AH16">
    <cfRule type="expression" dxfId="2" priority="29">
      <formula>AND(C2&lt;&gt;"",C2&lt;&gt;AF2)</formula>
    </cfRule>
  </conditionalFormatting>
  <conditionalFormatting sqref="AI2:AI16">
    <cfRule type="expression" dxfId="2" priority="30">
      <formula>AND(C2&lt;&gt;"",C2&lt;&gt;AF2)</formula>
    </cfRule>
  </conditionalFormatting>
  <conditionalFormatting sqref="AJ2:AJ16">
    <cfRule type="expression" dxfId="2" priority="31">
      <formula>AND(C2&lt;&gt;"",C2&lt;&gt;AF2)</formula>
    </cfRule>
  </conditionalFormatting>
  <conditionalFormatting sqref="AK2:AK16">
    <cfRule type="expression" dxfId="2" priority="32">
      <formula>AND(C2&lt;&gt;"",C2&lt;&gt;AK2)</formula>
    </cfRule>
  </conditionalFormatting>
  <conditionalFormatting sqref="AL2:AL16">
    <cfRule type="expression" dxfId="2" priority="33">
      <formula>AND(C2&lt;&gt;"",C2&lt;&gt;AK2)</formula>
    </cfRule>
  </conditionalFormatting>
  <conditionalFormatting sqref="AM2:AM16">
    <cfRule type="expression" dxfId="2" priority="34">
      <formula>AND(C2&lt;&gt;"",C2&lt;&gt;AK2)</formula>
    </cfRule>
  </conditionalFormatting>
  <conditionalFormatting sqref="AN2:AN16">
    <cfRule type="expression" dxfId="2" priority="35">
      <formula>AND(C2&lt;&gt;"",C2&lt;&gt;AK2)</formula>
    </cfRule>
  </conditionalFormatting>
  <conditionalFormatting sqref="AO2:AO16">
    <cfRule type="expression" dxfId="2" priority="36">
      <formula>AND(C2&lt;&gt;"",C2&lt;&gt;AK2)</formula>
    </cfRule>
  </conditionalFormatting>
  <conditionalFormatting sqref="AP2:AP16">
    <cfRule type="expression" dxfId="2" priority="37">
      <formula>AND(C2&lt;&gt;"",C2&lt;&gt;AP2)</formula>
    </cfRule>
  </conditionalFormatting>
  <conditionalFormatting sqref="AQ2:AQ16">
    <cfRule type="expression" dxfId="2" priority="38">
      <formula>AND(C2&lt;&gt;"",C2&lt;&gt;AP2)</formula>
    </cfRule>
  </conditionalFormatting>
  <conditionalFormatting sqref="AR2:AR16">
    <cfRule type="expression" dxfId="2" priority="39">
      <formula>AND(C2&lt;&gt;"",C2&lt;&gt;AP2)</formula>
    </cfRule>
  </conditionalFormatting>
  <conditionalFormatting sqref="AS2:AS16">
    <cfRule type="expression" dxfId="2" priority="40">
      <formula>AND(C2&lt;&gt;"",C2&lt;&gt;AP2)</formula>
    </cfRule>
  </conditionalFormatting>
  <conditionalFormatting sqref="AT2:AT16">
    <cfRule type="expression" dxfId="2" priority="41">
      <formula>AND(C2&lt;&gt;"",C2&lt;&gt;AP2)</formula>
    </cfRule>
  </conditionalFormatting>
  <conditionalFormatting sqref="AU2:AU16">
    <cfRule type="expression" dxfId="2" priority="42">
      <formula>AND(C2&lt;&gt;"",C2&lt;&gt;AU2)</formula>
    </cfRule>
  </conditionalFormatting>
  <conditionalFormatting sqref="AV2:AV16">
    <cfRule type="expression" dxfId="2" priority="43">
      <formula>AND(C2&lt;&gt;"",C2&lt;&gt;AU2)</formula>
    </cfRule>
  </conditionalFormatting>
  <conditionalFormatting sqref="AW2:AW16">
    <cfRule type="expression" dxfId="2" priority="44">
      <formula>AND(C2&lt;&gt;"",C2&lt;&gt;AU2)</formula>
    </cfRule>
  </conditionalFormatting>
  <conditionalFormatting sqref="AX2:AX16">
    <cfRule type="expression" dxfId="2" priority="45">
      <formula>AND(C2&lt;&gt;"",C2&lt;&gt;AU2)</formula>
    </cfRule>
  </conditionalFormatting>
  <conditionalFormatting sqref="AY2:AY16">
    <cfRule type="expression" dxfId="2" priority="46">
      <formula>AND(C2&lt;&gt;"",C2&lt;&gt;AU2)</formula>
    </cfRule>
  </conditionalFormatting>
  <conditionalFormatting sqref="AZ2:AZ16">
    <cfRule type="expression" dxfId="2" priority="47">
      <formula>AND(C2&lt;&gt;"",C2&lt;&gt;AZ2)</formula>
    </cfRule>
  </conditionalFormatting>
  <conditionalFormatting sqref="BA2:BA16">
    <cfRule type="expression" dxfId="2" priority="48">
      <formula>AND(C2&lt;&gt;"",C2&lt;&gt;AZ2)</formula>
    </cfRule>
  </conditionalFormatting>
  <conditionalFormatting sqref="BB2:BB16">
    <cfRule type="expression" dxfId="2" priority="49">
      <formula>AND(C2&lt;&gt;"",C2&lt;&gt;AZ2)</formula>
    </cfRule>
  </conditionalFormatting>
  <conditionalFormatting sqref="BC2:BC16">
    <cfRule type="expression" dxfId="2" priority="50">
      <formula>AND(C2&lt;&gt;"",C2&lt;&gt;AZ2)</formula>
    </cfRule>
  </conditionalFormatting>
  <conditionalFormatting sqref="BD2:BD16">
    <cfRule type="expression" dxfId="2" priority="51">
      <formula>AND(C2&lt;&gt;"",C2&lt;&gt;AZ2)</formula>
    </cfRule>
  </conditionalFormatting>
  <conditionalFormatting sqref="BE2:BE16">
    <cfRule type="expression" dxfId="2" priority="52">
      <formula>AND(C2&lt;&gt;"",C2&lt;&gt;BE2)</formula>
    </cfRule>
  </conditionalFormatting>
  <conditionalFormatting sqref="BF2:BF16">
    <cfRule type="expression" dxfId="2" priority="53">
      <formula>AND(C2&lt;&gt;"",C2&lt;&gt;BE2)</formula>
    </cfRule>
  </conditionalFormatting>
  <conditionalFormatting sqref="BG2:BG16">
    <cfRule type="expression" dxfId="2" priority="54">
      <formula>AND(C2&lt;&gt;"",C2&lt;&gt;BE2)</formula>
    </cfRule>
  </conditionalFormatting>
  <conditionalFormatting sqref="BH2:BH16">
    <cfRule type="expression" dxfId="2" priority="55">
      <formula>AND(C2&lt;&gt;"",C2&lt;&gt;BE2)</formula>
    </cfRule>
  </conditionalFormatting>
  <conditionalFormatting sqref="BI2:BI16">
    <cfRule type="expression" dxfId="2" priority="56">
      <formula>AND(C2&lt;&gt;"",C2&lt;&gt;BE2)</formula>
    </cfRule>
  </conditionalFormatting>
  <conditionalFormatting sqref="BJ2:BJ16">
    <cfRule type="expression" dxfId="2" priority="57">
      <formula>AND(C2&lt;&gt;"",C2&lt;&gt;BJ2)</formula>
    </cfRule>
  </conditionalFormatting>
  <conditionalFormatting sqref="BK2:BK16">
    <cfRule type="expression" dxfId="2" priority="58">
      <formula>AND(C2&lt;&gt;"",C2&lt;&gt;BJ2)</formula>
    </cfRule>
  </conditionalFormatting>
  <conditionalFormatting sqref="BL2:BL16">
    <cfRule type="expression" dxfId="2" priority="59">
      <formula>AND(C2&lt;&gt;"",C2&lt;&gt;BJ2)</formula>
    </cfRule>
  </conditionalFormatting>
  <conditionalFormatting sqref="BM2:BM16">
    <cfRule type="expression" dxfId="2" priority="60">
      <formula>AND(C2&lt;&gt;"",C2&lt;&gt;BJ2)</formula>
    </cfRule>
  </conditionalFormatting>
  <conditionalFormatting sqref="BN2:BN16">
    <cfRule type="expression" dxfId="2" priority="61">
      <formula>AND(C2&lt;&gt;"",C2&lt;&gt;BJ2)</formula>
    </cfRule>
  </conditionalFormatting>
  <conditionalFormatting sqref="G2:G16">
    <cfRule type="expression" dxfId="3" priority="62">
      <formula>G2=C2</formula>
    </cfRule>
  </conditionalFormatting>
  <conditionalFormatting sqref="H2:H16">
    <cfRule type="expression" dxfId="3" priority="63">
      <formula>G2=C2</formula>
    </cfRule>
  </conditionalFormatting>
  <conditionalFormatting sqref="I2:I16">
    <cfRule type="expression" dxfId="3" priority="64">
      <formula>G2=C2</formula>
    </cfRule>
  </conditionalFormatting>
  <conditionalFormatting sqref="J2:J16">
    <cfRule type="expression" dxfId="3" priority="65">
      <formula>G2=C2</formula>
    </cfRule>
  </conditionalFormatting>
  <conditionalFormatting sqref="K2:K16">
    <cfRule type="expression" dxfId="3" priority="66">
      <formula>G2=C2</formula>
    </cfRule>
  </conditionalFormatting>
  <conditionalFormatting sqref="L2:L16">
    <cfRule type="expression" dxfId="3" priority="67">
      <formula>L2=C2</formula>
    </cfRule>
  </conditionalFormatting>
  <conditionalFormatting sqref="M2:M16">
    <cfRule type="expression" dxfId="3" priority="68">
      <formula>L2=C2</formula>
    </cfRule>
  </conditionalFormatting>
  <conditionalFormatting sqref="N2:N16">
    <cfRule type="expression" dxfId="3" priority="69">
      <formula>L2=C2</formula>
    </cfRule>
  </conditionalFormatting>
  <conditionalFormatting sqref="O2:O16">
    <cfRule type="expression" dxfId="3" priority="70">
      <formula>L2=C2</formula>
    </cfRule>
  </conditionalFormatting>
  <conditionalFormatting sqref="P2:P16">
    <cfRule type="expression" dxfId="3" priority="71">
      <formula>L2=C2</formula>
    </cfRule>
  </conditionalFormatting>
  <conditionalFormatting sqref="Q2:Q16">
    <cfRule type="expression" dxfId="3" priority="72">
      <formula>Q2=C2</formula>
    </cfRule>
  </conditionalFormatting>
  <conditionalFormatting sqref="R2:R16">
    <cfRule type="expression" dxfId="3" priority="73">
      <formula>Q2=C2</formula>
    </cfRule>
  </conditionalFormatting>
  <conditionalFormatting sqref="S2:S16">
    <cfRule type="expression" dxfId="3" priority="74">
      <formula>Q2=C2</formula>
    </cfRule>
  </conditionalFormatting>
  <conditionalFormatting sqref="T2:T16">
    <cfRule type="expression" dxfId="3" priority="75">
      <formula>Q2=C2</formula>
    </cfRule>
  </conditionalFormatting>
  <conditionalFormatting sqref="U2:U16">
    <cfRule type="expression" dxfId="3" priority="76">
      <formula>Q2=C2</formula>
    </cfRule>
  </conditionalFormatting>
  <conditionalFormatting sqref="V2:Z16">
    <cfRule type="expression" dxfId="0" priority="77">
      <formula>AND($X20=$C20,$C20=0)</formula>
    </cfRule>
  </conditionalFormatting>
  <conditionalFormatting sqref="V2:Z16">
    <cfRule type="expression" dxfId="7" priority="78">
      <formula>$X20=$C20</formula>
    </cfRule>
  </conditionalFormatting>
  <conditionalFormatting sqref="V2:Z16">
    <cfRule type="expression" dxfId="3" priority="79">
      <formula>$V2=$C2</formula>
    </cfRule>
  </conditionalFormatting>
  <conditionalFormatting sqref="AA2:AE16">
    <cfRule type="expression" dxfId="0" priority="80">
      <formula>AND($AC20=$C20,$C20=0)</formula>
    </cfRule>
  </conditionalFormatting>
  <conditionalFormatting sqref="AA2:AE16">
    <cfRule type="expression" dxfId="7" priority="81">
      <formula>$AC20=$C20</formula>
    </cfRule>
  </conditionalFormatting>
  <conditionalFormatting sqref="AA2:AE16">
    <cfRule type="expression" dxfId="3" priority="82">
      <formula>$AA2=$C2</formula>
    </cfRule>
  </conditionalFormatting>
  <conditionalFormatting sqref="AF2:AJ16">
    <cfRule type="expression" dxfId="0" priority="83">
      <formula>AND($AH20=$C20,$C20=0)</formula>
    </cfRule>
  </conditionalFormatting>
  <conditionalFormatting sqref="AF2:AJ16">
    <cfRule type="expression" dxfId="7" priority="84">
      <formula>$AH20=$C20</formula>
    </cfRule>
  </conditionalFormatting>
  <conditionalFormatting sqref="AF2:AJ16">
    <cfRule type="expression" dxfId="3" priority="85">
      <formula>$AF2=$C2</formula>
    </cfRule>
  </conditionalFormatting>
  <conditionalFormatting sqref="AK2:AO16">
    <cfRule type="expression" dxfId="0" priority="86">
      <formula>AND($AM20=$C20,$C20=0)</formula>
    </cfRule>
  </conditionalFormatting>
  <conditionalFormatting sqref="AK2:AO16">
    <cfRule type="expression" dxfId="7" priority="87">
      <formula>$AM20=$C20</formula>
    </cfRule>
  </conditionalFormatting>
  <conditionalFormatting sqref="AK2:AO16">
    <cfRule type="expression" dxfId="3" priority="88">
      <formula>$AK2=$C2</formula>
    </cfRule>
  </conditionalFormatting>
  <conditionalFormatting sqref="AP2:AT16">
    <cfRule type="expression" dxfId="0" priority="89">
      <formula>AND($AR20=$C20,$C20=0)</formula>
    </cfRule>
  </conditionalFormatting>
  <conditionalFormatting sqref="AP2:AT16">
    <cfRule type="expression" dxfId="7" priority="90">
      <formula>$AR20=$C20</formula>
    </cfRule>
  </conditionalFormatting>
  <conditionalFormatting sqref="AP2:AT16">
    <cfRule type="expression" dxfId="3" priority="91">
      <formula>$AP2=$C2</formula>
    </cfRule>
  </conditionalFormatting>
  <conditionalFormatting sqref="AU2:AY16">
    <cfRule type="expression" dxfId="0" priority="92">
      <formula>AND($AW20=$C20,$C20=0)</formula>
    </cfRule>
  </conditionalFormatting>
  <conditionalFormatting sqref="AU2:AY16">
    <cfRule type="expression" dxfId="7" priority="93">
      <formula>$AW20=$C20</formula>
    </cfRule>
  </conditionalFormatting>
  <conditionalFormatting sqref="AU2:AY16">
    <cfRule type="expression" dxfId="3" priority="94">
      <formula>$AU2=$C2</formula>
    </cfRule>
  </conditionalFormatting>
  <conditionalFormatting sqref="AZ2:BD16">
    <cfRule type="expression" dxfId="0" priority="95">
      <formula>AND($BB20=$C20,$C20=0)</formula>
    </cfRule>
  </conditionalFormatting>
  <conditionalFormatting sqref="AZ2:BD16">
    <cfRule type="expression" dxfId="7" priority="96">
      <formula>$BB20=$C20</formula>
    </cfRule>
  </conditionalFormatting>
  <conditionalFormatting sqref="AZ2:BD16">
    <cfRule type="expression" dxfId="3" priority="97">
      <formula>$AZ2=$C2</formula>
    </cfRule>
  </conditionalFormatting>
  <conditionalFormatting sqref="BE2:BI16">
    <cfRule type="expression" dxfId="0" priority="98">
      <formula>AND($BG20=$C20,$C20=0)</formula>
    </cfRule>
  </conditionalFormatting>
  <conditionalFormatting sqref="BE2:BI16">
    <cfRule type="expression" dxfId="7" priority="99">
      <formula>$BG20=$C20</formula>
    </cfRule>
  </conditionalFormatting>
  <conditionalFormatting sqref="BE2:BI16">
    <cfRule type="expression" dxfId="3" priority="100">
      <formula>$BE2=$C2</formula>
    </cfRule>
  </conditionalFormatting>
  <conditionalFormatting sqref="BJ2:BN16">
    <cfRule type="expression" dxfId="0" priority="101">
      <formula>AND($BL20=$C20,$C20=0)</formula>
    </cfRule>
  </conditionalFormatting>
  <conditionalFormatting sqref="BJ2:BN16">
    <cfRule type="expression" dxfId="7" priority="102">
      <formula>$BL20=$C20</formula>
    </cfRule>
  </conditionalFormatting>
  <conditionalFormatting sqref="BJ2:BN16">
    <cfRule type="expression" dxfId="3" priority="103">
      <formula>$BJ2=$C2</formula>
    </cfRule>
  </conditionalFormatting>
  <conditionalFormatting sqref="G2:K16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238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239</v>
      </c>
      <c r="B2" s="30" t="s">
        <v>240</v>
      </c>
      <c r="C2" s="18" t="str">
        <f>IFERROR(__xludf.DUMMYFUNCTION("IMPORTRANGE(""https://docs.google.com/spreadsheets/d/1v9a6MxzpyXdVbef97sptWrOJUpuAu6ldKC6wbegqpyg/edit?gid=1644583388#gid=1644583388"",""Week 10!C3:F16"")"),"")</f>
        <v/>
      </c>
      <c r="D2" s="11" t="str">
        <f>IFERROR(__xludf.DUMMYFUNCTION("""COMPUTED_VALUE"""),"")</f>
        <v/>
      </c>
      <c r="E2" s="19"/>
      <c r="F2" s="20"/>
      <c r="G2" s="19" t="s">
        <v>85</v>
      </c>
      <c r="H2" s="11" t="str">
        <f t="shared" ref="H2:H15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14.0</v>
      </c>
      <c r="J2" s="19">
        <v>10.0</v>
      </c>
      <c r="K2" s="20" t="b">
        <v>0</v>
      </c>
      <c r="L2" s="24" t="s">
        <v>85</v>
      </c>
      <c r="M2" s="26" t="str">
        <f t="shared" ref="M2:M15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27.0</v>
      </c>
      <c r="O2" s="24">
        <v>24.0</v>
      </c>
      <c r="P2" s="24" t="b">
        <v>0</v>
      </c>
      <c r="Q2" s="27" t="s">
        <v>92</v>
      </c>
      <c r="R2" s="11" t="str">
        <f t="shared" ref="R2:R15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24.0</v>
      </c>
      <c r="T2" s="19">
        <v>27.0</v>
      </c>
      <c r="U2" s="20" t="b">
        <v>0</v>
      </c>
      <c r="V2" s="19" t="s">
        <v>92</v>
      </c>
      <c r="W2" s="11" t="str">
        <f t="shared" ref="W2:W15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17.0</v>
      </c>
      <c r="Y2" s="19">
        <v>20.0</v>
      </c>
      <c r="Z2" s="20" t="b">
        <v>0</v>
      </c>
      <c r="AA2" s="27" t="s">
        <v>92</v>
      </c>
      <c r="AB2" s="11" t="str">
        <f t="shared" ref="AB2:AB15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92</v>
      </c>
      <c r="AG2" s="11" t="str">
        <f t="shared" ref="AG2:AG15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14.0</v>
      </c>
      <c r="AI2" s="19">
        <v>17.0</v>
      </c>
      <c r="AJ2" s="20" t="b">
        <v>0</v>
      </c>
      <c r="AK2" s="19" t="s">
        <v>92</v>
      </c>
      <c r="AL2" s="11" t="str">
        <f t="shared" ref="AL2:AL15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20.0</v>
      </c>
      <c r="AN2" s="19">
        <v>23.0</v>
      </c>
      <c r="AO2" s="20" t="b">
        <v>0</v>
      </c>
      <c r="AP2" s="27" t="s">
        <v>92</v>
      </c>
      <c r="AQ2" s="11" t="str">
        <f t="shared" ref="AQ2:AQ15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20.0</v>
      </c>
      <c r="AS2" s="19">
        <v>24.0</v>
      </c>
      <c r="AT2" s="20" t="b">
        <v>0</v>
      </c>
      <c r="AU2" s="27" t="s">
        <v>85</v>
      </c>
      <c r="AV2" s="11" t="str">
        <f t="shared" ref="AV2:AV15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28.0</v>
      </c>
      <c r="AX2" s="19">
        <v>21.0</v>
      </c>
      <c r="AY2" s="20" t="b">
        <v>1</v>
      </c>
      <c r="AZ2" s="27" t="s">
        <v>92</v>
      </c>
      <c r="BA2" s="11" t="str">
        <f t="shared" ref="BA2:BA15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85</v>
      </c>
      <c r="BF2" s="11" t="str">
        <f t="shared" ref="BF2:BF15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31.0</v>
      </c>
      <c r="BH2" s="19">
        <v>24.0</v>
      </c>
      <c r="BI2" s="20" t="b">
        <v>0</v>
      </c>
      <c r="BJ2" s="27" t="s">
        <v>92</v>
      </c>
      <c r="BK2" s="11" t="str">
        <f t="shared" ref="BK2:BK15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24.0</v>
      </c>
      <c r="BM2" s="19">
        <v>27.0</v>
      </c>
      <c r="BN2" s="20" t="b">
        <v>0</v>
      </c>
      <c r="BO2" s="19"/>
      <c r="BP2" s="19"/>
      <c r="BQ2" s="19"/>
    </row>
    <row r="3">
      <c r="A3" s="16" t="s">
        <v>250</v>
      </c>
      <c r="B3" s="17" t="s">
        <v>251</v>
      </c>
      <c r="C3" s="18"/>
      <c r="D3" s="11" t="str">
        <f>IFERROR(__xludf.DUMMYFUNCTION("""COMPUTED_VALUE"""),"")</f>
        <v/>
      </c>
      <c r="E3" s="17"/>
      <c r="F3" s="31"/>
      <c r="G3" s="19" t="s">
        <v>28</v>
      </c>
      <c r="H3" s="11" t="str">
        <f t="shared" si="1"/>
        <v/>
      </c>
      <c r="I3" s="19">
        <v>21.0</v>
      </c>
      <c r="J3" s="19">
        <v>17.0</v>
      </c>
      <c r="K3" s="20" t="b">
        <v>0</v>
      </c>
      <c r="L3" s="19" t="s">
        <v>27</v>
      </c>
      <c r="M3" s="11" t="str">
        <f t="shared" si="2"/>
        <v/>
      </c>
      <c r="N3" s="19">
        <v>21.0</v>
      </c>
      <c r="O3" s="19">
        <v>24.0</v>
      </c>
      <c r="P3" s="19" t="b">
        <v>0</v>
      </c>
      <c r="Q3" s="27" t="s">
        <v>28</v>
      </c>
      <c r="R3" s="11" t="str">
        <f t="shared" si="3"/>
        <v/>
      </c>
      <c r="S3" s="19">
        <v>23.0</v>
      </c>
      <c r="T3" s="19">
        <v>20.0</v>
      </c>
      <c r="U3" s="20" t="b">
        <v>0</v>
      </c>
      <c r="V3" s="19" t="s">
        <v>27</v>
      </c>
      <c r="W3" s="11" t="str">
        <f t="shared" si="4"/>
        <v/>
      </c>
      <c r="X3" s="19">
        <v>17.0</v>
      </c>
      <c r="Y3" s="19">
        <v>21.0</v>
      </c>
      <c r="Z3" s="20" t="b">
        <v>0</v>
      </c>
      <c r="AA3" s="27" t="s">
        <v>28</v>
      </c>
      <c r="AB3" s="11" t="str">
        <f t="shared" si="5"/>
        <v/>
      </c>
      <c r="AC3" s="19">
        <v>24.0</v>
      </c>
      <c r="AD3" s="19">
        <v>17.0</v>
      </c>
      <c r="AE3" s="19" t="b">
        <v>0</v>
      </c>
      <c r="AF3" s="27" t="s">
        <v>28</v>
      </c>
      <c r="AG3" s="11" t="str">
        <f t="shared" si="6"/>
        <v/>
      </c>
      <c r="AH3" s="19">
        <v>28.0</v>
      </c>
      <c r="AI3" s="19">
        <v>21.0</v>
      </c>
      <c r="AJ3" s="20" t="b">
        <v>0</v>
      </c>
      <c r="AK3" s="19" t="s">
        <v>27</v>
      </c>
      <c r="AL3" s="11" t="str">
        <f t="shared" si="7"/>
        <v/>
      </c>
      <c r="AM3" s="19">
        <v>21.0</v>
      </c>
      <c r="AN3" s="19">
        <v>24.0</v>
      </c>
      <c r="AO3" s="20" t="b">
        <v>0</v>
      </c>
      <c r="AP3" s="27" t="s">
        <v>27</v>
      </c>
      <c r="AQ3" s="11" t="str">
        <f t="shared" si="8"/>
        <v/>
      </c>
      <c r="AR3" s="19">
        <v>24.0</v>
      </c>
      <c r="AS3" s="19">
        <v>31.0</v>
      </c>
      <c r="AT3" s="20" t="b">
        <v>0</v>
      </c>
      <c r="AU3" s="27" t="s">
        <v>28</v>
      </c>
      <c r="AV3" s="11" t="str">
        <f t="shared" si="9"/>
        <v/>
      </c>
      <c r="AW3" s="19">
        <v>24.0</v>
      </c>
      <c r="AX3" s="19">
        <v>21.0</v>
      </c>
      <c r="AY3" s="20" t="b">
        <v>0</v>
      </c>
      <c r="AZ3" s="27" t="s">
        <v>28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28</v>
      </c>
      <c r="BF3" s="11" t="str">
        <f t="shared" si="11"/>
        <v/>
      </c>
      <c r="BG3" s="19">
        <v>31.0</v>
      </c>
      <c r="BH3" s="19">
        <v>24.0</v>
      </c>
      <c r="BI3" s="20" t="b">
        <v>0</v>
      </c>
      <c r="BJ3" s="27" t="s">
        <v>28</v>
      </c>
      <c r="BK3" s="11" t="str">
        <f t="shared" si="12"/>
        <v/>
      </c>
      <c r="BL3" s="19">
        <v>14.0</v>
      </c>
      <c r="BM3" s="19">
        <v>10.0</v>
      </c>
      <c r="BN3" s="20" t="b">
        <v>0</v>
      </c>
      <c r="BO3" s="17"/>
      <c r="BP3" s="17"/>
      <c r="BQ3" s="17"/>
    </row>
    <row r="4">
      <c r="A4" s="16" t="s">
        <v>253</v>
      </c>
      <c r="B4" s="17" t="s">
        <v>254</v>
      </c>
      <c r="C4" s="18"/>
      <c r="D4" s="11" t="str">
        <f>IFERROR(__xludf.DUMMYFUNCTION("""COMPUTED_VALUE"""),"")</f>
        <v/>
      </c>
      <c r="E4" s="19"/>
      <c r="F4" s="20"/>
      <c r="G4" s="19" t="s">
        <v>88</v>
      </c>
      <c r="H4" s="11" t="str">
        <f t="shared" si="1"/>
        <v/>
      </c>
      <c r="I4" s="19">
        <v>28.0</v>
      </c>
      <c r="J4" s="19">
        <v>21.0</v>
      </c>
      <c r="K4" s="20" t="b">
        <v>0</v>
      </c>
      <c r="L4" s="19" t="s">
        <v>88</v>
      </c>
      <c r="M4" s="11" t="str">
        <f t="shared" si="2"/>
        <v/>
      </c>
      <c r="N4" s="19">
        <v>28.0</v>
      </c>
      <c r="O4" s="19">
        <v>21.0</v>
      </c>
      <c r="P4" s="19" t="b">
        <v>1</v>
      </c>
      <c r="Q4" s="27" t="s">
        <v>88</v>
      </c>
      <c r="R4" s="11" t="str">
        <f t="shared" si="3"/>
        <v/>
      </c>
      <c r="S4" s="19">
        <v>31.0</v>
      </c>
      <c r="T4" s="19">
        <v>24.0</v>
      </c>
      <c r="U4" s="20" t="b">
        <v>0</v>
      </c>
      <c r="V4" s="19" t="s">
        <v>88</v>
      </c>
      <c r="W4" s="11" t="str">
        <f t="shared" si="4"/>
        <v/>
      </c>
      <c r="X4" s="19">
        <v>27.0</v>
      </c>
      <c r="Y4" s="19">
        <v>24.0</v>
      </c>
      <c r="Z4" s="20" t="b">
        <v>0</v>
      </c>
      <c r="AA4" s="27" t="s">
        <v>88</v>
      </c>
      <c r="AB4" s="11" t="str">
        <f t="shared" si="5"/>
        <v/>
      </c>
      <c r="AC4" s="19">
        <v>24.0</v>
      </c>
      <c r="AD4" s="19">
        <v>17.0</v>
      </c>
      <c r="AE4" s="19" t="b">
        <v>0</v>
      </c>
      <c r="AF4" s="27" t="s">
        <v>88</v>
      </c>
      <c r="AG4" s="11" t="str">
        <f t="shared" si="6"/>
        <v/>
      </c>
      <c r="AH4" s="19">
        <v>24.0</v>
      </c>
      <c r="AI4" s="19">
        <v>21.0</v>
      </c>
      <c r="AJ4" s="20" t="b">
        <v>1</v>
      </c>
      <c r="AK4" s="19" t="s">
        <v>88</v>
      </c>
      <c r="AL4" s="11" t="str">
        <f t="shared" si="7"/>
        <v/>
      </c>
      <c r="AM4" s="19">
        <v>27.0</v>
      </c>
      <c r="AN4" s="19">
        <v>24.0</v>
      </c>
      <c r="AO4" s="20" t="b">
        <v>0</v>
      </c>
      <c r="AP4" s="27" t="s">
        <v>88</v>
      </c>
      <c r="AQ4" s="11" t="str">
        <f t="shared" si="8"/>
        <v/>
      </c>
      <c r="AR4" s="19">
        <v>28.0</v>
      </c>
      <c r="AS4" s="19">
        <v>23.0</v>
      </c>
      <c r="AT4" s="20" t="b">
        <v>0</v>
      </c>
      <c r="AU4" s="27" t="s">
        <v>29</v>
      </c>
      <c r="AV4" s="11" t="str">
        <f t="shared" si="9"/>
        <v/>
      </c>
      <c r="AW4" s="19">
        <v>21.0</v>
      </c>
      <c r="AX4" s="19">
        <v>24.0</v>
      </c>
      <c r="AY4" s="20" t="b">
        <v>0</v>
      </c>
      <c r="AZ4" s="27" t="s">
        <v>88</v>
      </c>
      <c r="BA4" s="11" t="str">
        <f t="shared" si="10"/>
        <v/>
      </c>
      <c r="BB4" s="19">
        <v>23.0</v>
      </c>
      <c r="BC4" s="19">
        <v>20.0</v>
      </c>
      <c r="BD4" s="20" t="b">
        <v>0</v>
      </c>
      <c r="BE4" s="27" t="s">
        <v>88</v>
      </c>
      <c r="BF4" s="11" t="str">
        <f t="shared" si="11"/>
        <v/>
      </c>
      <c r="BG4" s="19">
        <v>20.0</v>
      </c>
      <c r="BH4" s="19">
        <v>17.0</v>
      </c>
      <c r="BI4" s="20" t="b">
        <v>0</v>
      </c>
      <c r="BJ4" s="27" t="s">
        <v>29</v>
      </c>
      <c r="BK4" s="11" t="str">
        <f t="shared" si="12"/>
        <v/>
      </c>
      <c r="BL4" s="19">
        <v>24.0</v>
      </c>
      <c r="BM4" s="19">
        <v>27.0</v>
      </c>
      <c r="BN4" s="20" t="b">
        <v>1</v>
      </c>
      <c r="BO4" s="17"/>
      <c r="BP4" s="17"/>
      <c r="BQ4" s="17"/>
    </row>
    <row r="5">
      <c r="A5" s="16" t="s">
        <v>253</v>
      </c>
      <c r="B5" s="17" t="s">
        <v>259</v>
      </c>
      <c r="C5" s="18"/>
      <c r="D5" s="11" t="str">
        <f>IFERROR(__xludf.DUMMYFUNCTION("""COMPUTED_VALUE"""),"")</f>
        <v/>
      </c>
      <c r="E5" s="19"/>
      <c r="F5" s="20"/>
      <c r="G5" s="19" t="s">
        <v>34</v>
      </c>
      <c r="H5" s="11" t="str">
        <f t="shared" si="1"/>
        <v/>
      </c>
      <c r="I5" s="19">
        <v>24.0</v>
      </c>
      <c r="J5" s="19">
        <v>27.0</v>
      </c>
      <c r="K5" s="20" t="b">
        <v>0</v>
      </c>
      <c r="L5" s="19" t="s">
        <v>69</v>
      </c>
      <c r="M5" s="11" t="str">
        <f t="shared" si="2"/>
        <v/>
      </c>
      <c r="N5" s="19">
        <v>27.0</v>
      </c>
      <c r="O5" s="19">
        <v>24.0</v>
      </c>
      <c r="P5" s="19" t="b">
        <v>0</v>
      </c>
      <c r="Q5" s="27" t="s">
        <v>34</v>
      </c>
      <c r="R5" s="11" t="str">
        <f t="shared" si="3"/>
        <v/>
      </c>
      <c r="S5" s="19">
        <v>24.0</v>
      </c>
      <c r="T5" s="19">
        <v>27.0</v>
      </c>
      <c r="U5" s="20" t="b">
        <v>0</v>
      </c>
      <c r="V5" s="19" t="s">
        <v>69</v>
      </c>
      <c r="W5" s="11" t="str">
        <f t="shared" si="4"/>
        <v/>
      </c>
      <c r="X5" s="19">
        <v>24.0</v>
      </c>
      <c r="Y5" s="19">
        <v>21.0</v>
      </c>
      <c r="Z5" s="20" t="b">
        <v>0</v>
      </c>
      <c r="AA5" s="27" t="s">
        <v>69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69</v>
      </c>
      <c r="AG5" s="11" t="str">
        <f t="shared" si="6"/>
        <v/>
      </c>
      <c r="AH5" s="19">
        <v>23.0</v>
      </c>
      <c r="AI5" s="19">
        <v>21.0</v>
      </c>
      <c r="AJ5" s="20" t="b">
        <v>0</v>
      </c>
      <c r="AK5" s="19" t="s">
        <v>69</v>
      </c>
      <c r="AL5" s="11" t="str">
        <f t="shared" si="7"/>
        <v/>
      </c>
      <c r="AM5" s="19">
        <v>28.0</v>
      </c>
      <c r="AN5" s="19">
        <v>21.0</v>
      </c>
      <c r="AO5" s="20" t="b">
        <v>0</v>
      </c>
      <c r="AP5" s="27" t="s">
        <v>69</v>
      </c>
      <c r="AQ5" s="11" t="str">
        <f t="shared" si="8"/>
        <v/>
      </c>
      <c r="AR5" s="19">
        <v>24.0</v>
      </c>
      <c r="AS5" s="19">
        <v>16.0</v>
      </c>
      <c r="AT5" s="20" t="b">
        <v>0</v>
      </c>
      <c r="AU5" s="27" t="s">
        <v>69</v>
      </c>
      <c r="AV5" s="11" t="str">
        <f t="shared" si="9"/>
        <v/>
      </c>
      <c r="AW5" s="19">
        <v>17.0</v>
      </c>
      <c r="AX5" s="19">
        <v>14.0</v>
      </c>
      <c r="AY5" s="20" t="b">
        <v>0</v>
      </c>
      <c r="AZ5" s="27" t="s">
        <v>69</v>
      </c>
      <c r="BA5" s="11" t="str">
        <f t="shared" si="10"/>
        <v/>
      </c>
      <c r="BB5" s="19">
        <v>23.0</v>
      </c>
      <c r="BC5" s="19">
        <v>20.0</v>
      </c>
      <c r="BD5" s="20" t="b">
        <v>0</v>
      </c>
      <c r="BE5" s="27" t="s">
        <v>34</v>
      </c>
      <c r="BF5" s="11" t="str">
        <f t="shared" si="11"/>
        <v/>
      </c>
      <c r="BG5" s="19">
        <v>21.0</v>
      </c>
      <c r="BH5" s="19">
        <v>28.0</v>
      </c>
      <c r="BI5" s="20" t="b">
        <v>0</v>
      </c>
      <c r="BJ5" s="27" t="s">
        <v>34</v>
      </c>
      <c r="BK5" s="11" t="str">
        <f t="shared" si="12"/>
        <v/>
      </c>
      <c r="BL5" s="19">
        <v>21.0</v>
      </c>
      <c r="BM5" s="19">
        <v>24.0</v>
      </c>
      <c r="BN5" s="20" t="b">
        <v>0</v>
      </c>
      <c r="BO5" s="17"/>
      <c r="BP5" s="17"/>
      <c r="BQ5" s="17"/>
    </row>
    <row r="6">
      <c r="A6" s="16" t="s">
        <v>253</v>
      </c>
      <c r="B6" s="30" t="s">
        <v>262</v>
      </c>
      <c r="C6" s="18"/>
      <c r="D6" s="11" t="str">
        <f>IFERROR(__xludf.DUMMYFUNCTION("""COMPUTED_VALUE"""),"")</f>
        <v/>
      </c>
      <c r="E6" s="19"/>
      <c r="F6" s="20"/>
      <c r="G6" s="19" t="s">
        <v>26</v>
      </c>
      <c r="H6" s="11" t="str">
        <f t="shared" si="1"/>
        <v/>
      </c>
      <c r="I6" s="19">
        <v>21.0</v>
      </c>
      <c r="J6" s="19">
        <v>24.0</v>
      </c>
      <c r="K6" s="20" t="b">
        <v>0</v>
      </c>
      <c r="L6" s="19" t="s">
        <v>26</v>
      </c>
      <c r="M6" s="11" t="str">
        <f t="shared" si="2"/>
        <v/>
      </c>
      <c r="N6" s="19">
        <v>17.0</v>
      </c>
      <c r="O6" s="19">
        <v>20.0</v>
      </c>
      <c r="P6" s="19" t="b">
        <v>0</v>
      </c>
      <c r="Q6" s="27" t="s">
        <v>26</v>
      </c>
      <c r="R6" s="11" t="str">
        <f t="shared" si="3"/>
        <v/>
      </c>
      <c r="S6" s="19">
        <v>20.0</v>
      </c>
      <c r="T6" s="19">
        <v>23.0</v>
      </c>
      <c r="U6" s="20" t="b">
        <v>0</v>
      </c>
      <c r="V6" s="19" t="s">
        <v>26</v>
      </c>
      <c r="W6" s="11" t="str">
        <f t="shared" si="4"/>
        <v/>
      </c>
      <c r="X6" s="19">
        <v>24.0</v>
      </c>
      <c r="Y6" s="19">
        <v>27.0</v>
      </c>
      <c r="Z6" s="20" t="b">
        <v>1</v>
      </c>
      <c r="AA6" s="27" t="s">
        <v>26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26</v>
      </c>
      <c r="AG6" s="11" t="str">
        <f t="shared" si="6"/>
        <v/>
      </c>
      <c r="AH6" s="19">
        <v>14.0</v>
      </c>
      <c r="AI6" s="19">
        <v>17.0</v>
      </c>
      <c r="AJ6" s="20" t="b">
        <v>0</v>
      </c>
      <c r="AK6" s="19" t="s">
        <v>51</v>
      </c>
      <c r="AL6" s="11" t="str">
        <f t="shared" si="7"/>
        <v/>
      </c>
      <c r="AM6" s="19">
        <v>10.0</v>
      </c>
      <c r="AN6" s="19">
        <v>7.0</v>
      </c>
      <c r="AO6" s="20" t="b">
        <v>0</v>
      </c>
      <c r="AP6" s="27" t="s">
        <v>26</v>
      </c>
      <c r="AQ6" s="11" t="str">
        <f t="shared" si="8"/>
        <v/>
      </c>
      <c r="AR6" s="19">
        <v>20.0</v>
      </c>
      <c r="AS6" s="19">
        <v>27.0</v>
      </c>
      <c r="AT6" s="20" t="b">
        <v>0</v>
      </c>
      <c r="AU6" s="27" t="s">
        <v>26</v>
      </c>
      <c r="AV6" s="11" t="str">
        <f t="shared" si="9"/>
        <v/>
      </c>
      <c r="AW6" s="19">
        <v>24.0</v>
      </c>
      <c r="AX6" s="19">
        <v>27.0</v>
      </c>
      <c r="AY6" s="20" t="b">
        <v>0</v>
      </c>
      <c r="AZ6" s="27" t="s">
        <v>26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26</v>
      </c>
      <c r="BF6" s="11" t="str">
        <f t="shared" si="11"/>
        <v/>
      </c>
      <c r="BG6" s="19">
        <v>20.0</v>
      </c>
      <c r="BH6" s="19">
        <v>23.0</v>
      </c>
      <c r="BI6" s="20" t="b">
        <v>0</v>
      </c>
      <c r="BJ6" s="27" t="s">
        <v>51</v>
      </c>
      <c r="BK6" s="11" t="str">
        <f t="shared" si="12"/>
        <v/>
      </c>
      <c r="BL6" s="19">
        <v>20.0</v>
      </c>
      <c r="BM6" s="19">
        <v>17.0</v>
      </c>
      <c r="BN6" s="20" t="b">
        <v>0</v>
      </c>
      <c r="BO6" s="17"/>
      <c r="BP6" s="17"/>
      <c r="BQ6" s="17"/>
    </row>
    <row r="7">
      <c r="A7" s="16" t="s">
        <v>253</v>
      </c>
      <c r="B7" s="17" t="s">
        <v>267</v>
      </c>
      <c r="C7" s="18"/>
      <c r="D7" s="11" t="str">
        <f>IFERROR(__xludf.DUMMYFUNCTION("""COMPUTED_VALUE"""),"")</f>
        <v/>
      </c>
      <c r="E7" s="19"/>
      <c r="F7" s="20"/>
      <c r="G7" s="19" t="s">
        <v>87</v>
      </c>
      <c r="H7" s="11" t="str">
        <f t="shared" si="1"/>
        <v/>
      </c>
      <c r="I7" s="19">
        <v>20.0</v>
      </c>
      <c r="J7" s="19">
        <v>14.0</v>
      </c>
      <c r="K7" s="20" t="b">
        <v>0</v>
      </c>
      <c r="L7" s="19" t="s">
        <v>87</v>
      </c>
      <c r="M7" s="11" t="str">
        <f t="shared" si="2"/>
        <v/>
      </c>
      <c r="N7" s="19">
        <v>20.0</v>
      </c>
      <c r="O7" s="19">
        <v>17.0</v>
      </c>
      <c r="P7" s="19" t="b">
        <v>0</v>
      </c>
      <c r="Q7" s="27" t="s">
        <v>76</v>
      </c>
      <c r="R7" s="11" t="str">
        <f t="shared" si="3"/>
        <v/>
      </c>
      <c r="S7" s="19">
        <v>24.0</v>
      </c>
      <c r="T7" s="19">
        <v>27.0</v>
      </c>
      <c r="U7" s="20" t="b">
        <v>0</v>
      </c>
      <c r="V7" s="19" t="s">
        <v>76</v>
      </c>
      <c r="W7" s="11" t="str">
        <f t="shared" si="4"/>
        <v/>
      </c>
      <c r="X7" s="19">
        <v>10.0</v>
      </c>
      <c r="Y7" s="19">
        <v>14.0</v>
      </c>
      <c r="Z7" s="20" t="b">
        <v>0</v>
      </c>
      <c r="AA7" s="27" t="s">
        <v>76</v>
      </c>
      <c r="AB7" s="11" t="str">
        <f t="shared" si="5"/>
        <v/>
      </c>
      <c r="AC7" s="19">
        <v>17.0</v>
      </c>
      <c r="AD7" s="19">
        <v>24.0</v>
      </c>
      <c r="AE7" s="19" t="b">
        <v>0</v>
      </c>
      <c r="AF7" s="27" t="s">
        <v>87</v>
      </c>
      <c r="AG7" s="11" t="str">
        <f t="shared" si="6"/>
        <v/>
      </c>
      <c r="AH7" s="19">
        <v>27.0</v>
      </c>
      <c r="AI7" s="19">
        <v>24.0</v>
      </c>
      <c r="AJ7" s="20" t="b">
        <v>0</v>
      </c>
      <c r="AK7" s="19" t="s">
        <v>76</v>
      </c>
      <c r="AL7" s="11" t="str">
        <f t="shared" si="7"/>
        <v/>
      </c>
      <c r="AM7" s="19">
        <v>21.0</v>
      </c>
      <c r="AN7" s="19">
        <v>28.0</v>
      </c>
      <c r="AO7" s="20" t="b">
        <v>0</v>
      </c>
      <c r="AP7" s="27" t="s">
        <v>76</v>
      </c>
      <c r="AQ7" s="11" t="str">
        <f t="shared" si="8"/>
        <v/>
      </c>
      <c r="AR7" s="19">
        <v>17.0</v>
      </c>
      <c r="AS7" s="19">
        <v>27.0</v>
      </c>
      <c r="AT7" s="20" t="b">
        <v>1</v>
      </c>
      <c r="AU7" s="27" t="s">
        <v>76</v>
      </c>
      <c r="AV7" s="11" t="str">
        <f t="shared" si="9"/>
        <v/>
      </c>
      <c r="AW7" s="19">
        <v>24.0</v>
      </c>
      <c r="AX7" s="19">
        <v>27.0</v>
      </c>
      <c r="AY7" s="20" t="b">
        <v>0</v>
      </c>
      <c r="AZ7" s="27" t="s">
        <v>76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76</v>
      </c>
      <c r="BF7" s="11" t="str">
        <f t="shared" si="11"/>
        <v/>
      </c>
      <c r="BG7" s="19">
        <v>17.0</v>
      </c>
      <c r="BH7" s="19">
        <v>20.0</v>
      </c>
      <c r="BI7" s="20" t="b">
        <v>0</v>
      </c>
      <c r="BJ7" s="27" t="s">
        <v>76</v>
      </c>
      <c r="BK7" s="11" t="str">
        <f t="shared" si="12"/>
        <v/>
      </c>
      <c r="BL7" s="19">
        <v>24.0</v>
      </c>
      <c r="BM7" s="19">
        <v>27.0</v>
      </c>
      <c r="BN7" s="20" t="b">
        <v>0</v>
      </c>
      <c r="BO7" s="17"/>
      <c r="BP7" s="17"/>
      <c r="BQ7" s="17"/>
    </row>
    <row r="8">
      <c r="A8" s="16" t="s">
        <v>253</v>
      </c>
      <c r="B8" s="30" t="s">
        <v>269</v>
      </c>
      <c r="C8" s="18"/>
      <c r="D8" s="11" t="str">
        <f>IFERROR(__xludf.DUMMYFUNCTION("""COMPUTED_VALUE"""),"")</f>
        <v/>
      </c>
      <c r="E8" s="19"/>
      <c r="F8" s="20"/>
      <c r="G8" s="19" t="s">
        <v>126</v>
      </c>
      <c r="H8" s="11" t="str">
        <f t="shared" si="1"/>
        <v/>
      </c>
      <c r="I8" s="19">
        <v>10.0</v>
      </c>
      <c r="J8" s="19">
        <v>14.0</v>
      </c>
      <c r="K8" s="20" t="b">
        <v>0</v>
      </c>
      <c r="L8" s="19" t="s">
        <v>126</v>
      </c>
      <c r="M8" s="11" t="str">
        <f t="shared" si="2"/>
        <v/>
      </c>
      <c r="N8" s="19">
        <v>17.0</v>
      </c>
      <c r="O8" s="19">
        <v>20.0</v>
      </c>
      <c r="P8" s="19" t="b">
        <v>0</v>
      </c>
      <c r="Q8" s="27" t="s">
        <v>41</v>
      </c>
      <c r="R8" s="11" t="str">
        <f t="shared" si="3"/>
        <v/>
      </c>
      <c r="S8" s="19">
        <v>27.0</v>
      </c>
      <c r="T8" s="19">
        <v>24.0</v>
      </c>
      <c r="U8" s="20" t="b">
        <v>0</v>
      </c>
      <c r="V8" s="19" t="s">
        <v>41</v>
      </c>
      <c r="W8" s="11" t="str">
        <f t="shared" si="4"/>
        <v/>
      </c>
      <c r="X8" s="19">
        <v>27.0</v>
      </c>
      <c r="Y8" s="19">
        <v>24.0</v>
      </c>
      <c r="Z8" s="20" t="b">
        <v>0</v>
      </c>
      <c r="AA8" s="27" t="s">
        <v>41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126</v>
      </c>
      <c r="AG8" s="11" t="str">
        <f t="shared" si="6"/>
        <v/>
      </c>
      <c r="AH8" s="19">
        <v>21.0</v>
      </c>
      <c r="AI8" s="19">
        <v>24.0</v>
      </c>
      <c r="AJ8" s="20" t="b">
        <v>0</v>
      </c>
      <c r="AK8" s="19" t="s">
        <v>41</v>
      </c>
      <c r="AL8" s="11" t="str">
        <f t="shared" si="7"/>
        <v/>
      </c>
      <c r="AM8" s="19">
        <v>27.0</v>
      </c>
      <c r="AN8" s="19">
        <v>24.0</v>
      </c>
      <c r="AO8" s="20" t="b">
        <v>0</v>
      </c>
      <c r="AP8" s="27" t="s">
        <v>41</v>
      </c>
      <c r="AQ8" s="11" t="str">
        <f t="shared" si="8"/>
        <v/>
      </c>
      <c r="AR8" s="19">
        <v>23.0</v>
      </c>
      <c r="AS8" s="19">
        <v>17.0</v>
      </c>
      <c r="AT8" s="20" t="b">
        <v>0</v>
      </c>
      <c r="AU8" s="27" t="s">
        <v>126</v>
      </c>
      <c r="AV8" s="11" t="str">
        <f t="shared" si="9"/>
        <v/>
      </c>
      <c r="AW8" s="19">
        <v>17.0</v>
      </c>
      <c r="AX8" s="19">
        <v>21.0</v>
      </c>
      <c r="AY8" s="20" t="b">
        <v>0</v>
      </c>
      <c r="AZ8" s="27" t="s">
        <v>41</v>
      </c>
      <c r="BA8" s="11" t="str">
        <f t="shared" si="10"/>
        <v/>
      </c>
      <c r="BB8" s="19">
        <v>23.0</v>
      </c>
      <c r="BC8" s="19">
        <v>20.0</v>
      </c>
      <c r="BD8" s="20" t="b">
        <v>0</v>
      </c>
      <c r="BE8" s="27" t="s">
        <v>41</v>
      </c>
      <c r="BF8" s="11" t="str">
        <f t="shared" si="11"/>
        <v/>
      </c>
      <c r="BG8" s="19">
        <v>17.0</v>
      </c>
      <c r="BH8" s="19">
        <v>14.0</v>
      </c>
      <c r="BI8" s="20" t="b">
        <v>1</v>
      </c>
      <c r="BJ8" s="27" t="s">
        <v>126</v>
      </c>
      <c r="BK8" s="11" t="str">
        <f t="shared" si="12"/>
        <v/>
      </c>
      <c r="BL8" s="19">
        <v>24.0</v>
      </c>
      <c r="BM8" s="19">
        <v>27.0</v>
      </c>
      <c r="BN8" s="20" t="b">
        <v>0</v>
      </c>
      <c r="BO8" s="19"/>
      <c r="BP8" s="19"/>
      <c r="BQ8" s="19"/>
    </row>
    <row r="9">
      <c r="A9" s="16" t="s">
        <v>253</v>
      </c>
      <c r="B9" s="30" t="s">
        <v>272</v>
      </c>
      <c r="C9" s="18"/>
      <c r="D9" s="11" t="str">
        <f>IFERROR(__xludf.DUMMYFUNCTION("""COMPUTED_VALUE"""),"")</f>
        <v/>
      </c>
      <c r="E9" s="19"/>
      <c r="F9" s="20"/>
      <c r="G9" s="19" t="s">
        <v>58</v>
      </c>
      <c r="H9" s="11" t="str">
        <f t="shared" si="1"/>
        <v/>
      </c>
      <c r="I9" s="19">
        <v>21.0</v>
      </c>
      <c r="J9" s="19">
        <v>28.0</v>
      </c>
      <c r="K9" s="20" t="b">
        <v>0</v>
      </c>
      <c r="L9" s="19" t="s">
        <v>23</v>
      </c>
      <c r="M9" s="11" t="str">
        <f t="shared" si="2"/>
        <v/>
      </c>
      <c r="N9" s="19">
        <v>27.0</v>
      </c>
      <c r="O9" s="19">
        <v>24.0</v>
      </c>
      <c r="P9" s="19" t="b">
        <v>0</v>
      </c>
      <c r="Q9" s="27" t="s">
        <v>23</v>
      </c>
      <c r="R9" s="11" t="str">
        <f t="shared" si="3"/>
        <v/>
      </c>
      <c r="S9" s="19">
        <v>17.0</v>
      </c>
      <c r="T9" s="19">
        <v>14.0</v>
      </c>
      <c r="U9" s="20" t="b">
        <v>1</v>
      </c>
      <c r="V9" s="19" t="s">
        <v>23</v>
      </c>
      <c r="W9" s="11" t="str">
        <f t="shared" si="4"/>
        <v/>
      </c>
      <c r="X9" s="19">
        <v>28.0</v>
      </c>
      <c r="Y9" s="19">
        <v>21.0</v>
      </c>
      <c r="Z9" s="20" t="b">
        <v>0</v>
      </c>
      <c r="AA9" s="27" t="s">
        <v>23</v>
      </c>
      <c r="AB9" s="11" t="str">
        <f t="shared" si="5"/>
        <v/>
      </c>
      <c r="AC9" s="19">
        <v>24.0</v>
      </c>
      <c r="AD9" s="19">
        <v>17.0</v>
      </c>
      <c r="AE9" s="19" t="b">
        <v>0</v>
      </c>
      <c r="AF9" s="27" t="s">
        <v>23</v>
      </c>
      <c r="AG9" s="11" t="str">
        <f t="shared" si="6"/>
        <v/>
      </c>
      <c r="AH9" s="19">
        <v>23.0</v>
      </c>
      <c r="AI9" s="19">
        <v>20.0</v>
      </c>
      <c r="AJ9" s="20" t="b">
        <v>0</v>
      </c>
      <c r="AK9" s="19" t="s">
        <v>23</v>
      </c>
      <c r="AL9" s="11" t="str">
        <f t="shared" si="7"/>
        <v/>
      </c>
      <c r="AM9" s="19">
        <v>21.0</v>
      </c>
      <c r="AN9" s="19">
        <v>17.0</v>
      </c>
      <c r="AO9" s="20" t="b">
        <v>0</v>
      </c>
      <c r="AP9" s="27" t="s">
        <v>23</v>
      </c>
      <c r="AQ9" s="11" t="str">
        <f t="shared" si="8"/>
        <v/>
      </c>
      <c r="AR9" s="19">
        <v>27.0</v>
      </c>
      <c r="AS9" s="19">
        <v>20.0</v>
      </c>
      <c r="AT9" s="20" t="b">
        <v>0</v>
      </c>
      <c r="AU9" s="27" t="s">
        <v>23</v>
      </c>
      <c r="AV9" s="11" t="str">
        <f t="shared" si="9"/>
        <v/>
      </c>
      <c r="AW9" s="19">
        <v>21.0</v>
      </c>
      <c r="AX9" s="19">
        <v>17.0</v>
      </c>
      <c r="AY9" s="20" t="b">
        <v>0</v>
      </c>
      <c r="AZ9" s="27" t="s">
        <v>23</v>
      </c>
      <c r="BA9" s="11" t="str">
        <f t="shared" si="10"/>
        <v/>
      </c>
      <c r="BB9" s="19">
        <v>23.0</v>
      </c>
      <c r="BC9" s="19">
        <v>20.0</v>
      </c>
      <c r="BD9" s="20" t="b">
        <v>0</v>
      </c>
      <c r="BE9" s="27" t="s">
        <v>58</v>
      </c>
      <c r="BF9" s="11" t="str">
        <f t="shared" si="11"/>
        <v/>
      </c>
      <c r="BG9" s="19">
        <v>10.0</v>
      </c>
      <c r="BH9" s="19">
        <v>14.0</v>
      </c>
      <c r="BI9" s="20" t="b">
        <v>0</v>
      </c>
      <c r="BJ9" s="27" t="s">
        <v>23</v>
      </c>
      <c r="BK9" s="11" t="str">
        <f t="shared" si="12"/>
        <v/>
      </c>
      <c r="BL9" s="19">
        <v>17.0</v>
      </c>
      <c r="BM9" s="19">
        <v>14.0</v>
      </c>
      <c r="BN9" s="20" t="b">
        <v>0</v>
      </c>
      <c r="BO9" s="17"/>
      <c r="BP9" s="17"/>
      <c r="BQ9" s="17"/>
    </row>
    <row r="10">
      <c r="A10" s="16" t="s">
        <v>253</v>
      </c>
      <c r="B10" s="30" t="s">
        <v>276</v>
      </c>
      <c r="C10" s="18"/>
      <c r="D10" s="11" t="str">
        <f>IFERROR(__xludf.DUMMYFUNCTION("""COMPUTED_VALUE"""),"")</f>
        <v/>
      </c>
      <c r="E10" s="19"/>
      <c r="F10" s="20"/>
      <c r="G10" s="19" t="s">
        <v>71</v>
      </c>
      <c r="H10" s="11" t="str">
        <f t="shared" si="1"/>
        <v/>
      </c>
      <c r="I10" s="19">
        <v>24.0</v>
      </c>
      <c r="J10" s="19">
        <v>21.0</v>
      </c>
      <c r="K10" s="20" t="b">
        <v>1</v>
      </c>
      <c r="L10" s="19" t="s">
        <v>71</v>
      </c>
      <c r="M10" s="11" t="str">
        <f t="shared" si="2"/>
        <v/>
      </c>
      <c r="N10" s="19">
        <v>20.0</v>
      </c>
      <c r="O10" s="19">
        <v>17.0</v>
      </c>
      <c r="P10" s="19" t="b">
        <v>0</v>
      </c>
      <c r="Q10" s="27" t="s">
        <v>71</v>
      </c>
      <c r="R10" s="11" t="str">
        <f t="shared" si="3"/>
        <v/>
      </c>
      <c r="S10" s="19">
        <v>31.0</v>
      </c>
      <c r="T10" s="19">
        <v>24.0</v>
      </c>
      <c r="U10" s="20" t="b">
        <v>0</v>
      </c>
      <c r="V10" s="19" t="s">
        <v>71</v>
      </c>
      <c r="W10" s="11" t="str">
        <f t="shared" si="4"/>
        <v/>
      </c>
      <c r="X10" s="19">
        <v>23.0</v>
      </c>
      <c r="Y10" s="19">
        <v>20.0</v>
      </c>
      <c r="Z10" s="20" t="b">
        <v>0</v>
      </c>
      <c r="AA10" s="27" t="s">
        <v>71</v>
      </c>
      <c r="AB10" s="11" t="str">
        <f t="shared" si="5"/>
        <v/>
      </c>
      <c r="AC10" s="19">
        <v>24.0</v>
      </c>
      <c r="AD10" s="19">
        <v>17.0</v>
      </c>
      <c r="AE10" s="19" t="b">
        <v>0</v>
      </c>
      <c r="AF10" s="27" t="s">
        <v>55</v>
      </c>
      <c r="AG10" s="11" t="str">
        <f t="shared" si="6"/>
        <v/>
      </c>
      <c r="AH10" s="19">
        <v>21.0</v>
      </c>
      <c r="AI10" s="19">
        <v>24.0</v>
      </c>
      <c r="AJ10" s="20" t="b">
        <v>0</v>
      </c>
      <c r="AK10" s="19" t="s">
        <v>55</v>
      </c>
      <c r="AL10" s="11" t="str">
        <f t="shared" si="7"/>
        <v/>
      </c>
      <c r="AM10" s="19">
        <v>14.0</v>
      </c>
      <c r="AN10" s="19">
        <v>17.0</v>
      </c>
      <c r="AO10" s="20" t="b">
        <v>0</v>
      </c>
      <c r="AP10" s="27" t="s">
        <v>71</v>
      </c>
      <c r="AQ10" s="11" t="str">
        <f t="shared" si="8"/>
        <v/>
      </c>
      <c r="AR10" s="19">
        <v>24.0</v>
      </c>
      <c r="AS10" s="19">
        <v>20.0</v>
      </c>
      <c r="AT10" s="20" t="b">
        <v>0</v>
      </c>
      <c r="AU10" s="27" t="s">
        <v>55</v>
      </c>
      <c r="AV10" s="11" t="str">
        <f t="shared" si="9"/>
        <v/>
      </c>
      <c r="AW10" s="19">
        <v>10.0</v>
      </c>
      <c r="AX10" s="19">
        <v>14.0</v>
      </c>
      <c r="AY10" s="20" t="b">
        <v>0</v>
      </c>
      <c r="AZ10" s="27" t="s">
        <v>71</v>
      </c>
      <c r="BA10" s="11" t="str">
        <f t="shared" si="10"/>
        <v/>
      </c>
      <c r="BB10" s="19">
        <v>23.0</v>
      </c>
      <c r="BC10" s="19">
        <v>20.0</v>
      </c>
      <c r="BD10" s="20" t="b">
        <v>0</v>
      </c>
      <c r="BE10" s="27" t="s">
        <v>71</v>
      </c>
      <c r="BF10" s="11" t="str">
        <f t="shared" si="11"/>
        <v/>
      </c>
      <c r="BG10" s="19">
        <v>20.0</v>
      </c>
      <c r="BH10" s="19">
        <v>17.0</v>
      </c>
      <c r="BI10" s="20" t="b">
        <v>0</v>
      </c>
      <c r="BJ10" s="27" t="s">
        <v>55</v>
      </c>
      <c r="BK10" s="11" t="str">
        <f t="shared" si="12"/>
        <v/>
      </c>
      <c r="BL10" s="19">
        <v>14.0</v>
      </c>
      <c r="BM10" s="19">
        <v>17.0</v>
      </c>
      <c r="BN10" s="20" t="b">
        <v>0</v>
      </c>
      <c r="BO10" s="17"/>
      <c r="BP10" s="17"/>
      <c r="BQ10" s="17"/>
    </row>
    <row r="11">
      <c r="A11" s="16" t="s">
        <v>281</v>
      </c>
      <c r="B11" s="30" t="s">
        <v>282</v>
      </c>
      <c r="C11" s="18"/>
      <c r="D11" s="11" t="str">
        <f>IFERROR(__xludf.DUMMYFUNCTION("""COMPUTED_VALUE"""),"")</f>
        <v/>
      </c>
      <c r="E11" s="19"/>
      <c r="F11" s="20"/>
      <c r="G11" s="19" t="s">
        <v>93</v>
      </c>
      <c r="H11" s="11" t="str">
        <f t="shared" si="1"/>
        <v/>
      </c>
      <c r="I11" s="19">
        <v>20.0</v>
      </c>
      <c r="J11" s="19">
        <v>23.0</v>
      </c>
      <c r="K11" s="20" t="b">
        <v>0</v>
      </c>
      <c r="L11" s="19" t="s">
        <v>39</v>
      </c>
      <c r="M11" s="11" t="str">
        <f t="shared" si="2"/>
        <v/>
      </c>
      <c r="N11" s="19">
        <v>10.0</v>
      </c>
      <c r="O11" s="19">
        <v>7.0</v>
      </c>
      <c r="P11" s="19" t="b">
        <v>0</v>
      </c>
      <c r="Q11" s="27" t="s">
        <v>93</v>
      </c>
      <c r="R11" s="11" t="str">
        <f t="shared" si="3"/>
        <v/>
      </c>
      <c r="S11" s="19">
        <v>24.0</v>
      </c>
      <c r="T11" s="19">
        <v>31.0</v>
      </c>
      <c r="U11" s="20" t="b">
        <v>0</v>
      </c>
      <c r="V11" s="19" t="s">
        <v>93</v>
      </c>
      <c r="W11" s="11" t="str">
        <f t="shared" si="4"/>
        <v/>
      </c>
      <c r="X11" s="19">
        <v>24.0</v>
      </c>
      <c r="Y11" s="19">
        <v>27.0</v>
      </c>
      <c r="Z11" s="20" t="b">
        <v>0</v>
      </c>
      <c r="AA11" s="27" t="s">
        <v>39</v>
      </c>
      <c r="AB11" s="11" t="str">
        <f t="shared" si="5"/>
        <v/>
      </c>
      <c r="AC11" s="19">
        <v>24.0</v>
      </c>
      <c r="AD11" s="19">
        <v>17.0</v>
      </c>
      <c r="AE11" s="19" t="b">
        <v>0</v>
      </c>
      <c r="AF11" s="27" t="s">
        <v>93</v>
      </c>
      <c r="AG11" s="11" t="str">
        <f t="shared" si="6"/>
        <v/>
      </c>
      <c r="AH11" s="19">
        <v>17.0</v>
      </c>
      <c r="AI11" s="19">
        <v>20.0</v>
      </c>
      <c r="AJ11" s="20" t="b">
        <v>0</v>
      </c>
      <c r="AK11" s="19" t="s">
        <v>39</v>
      </c>
      <c r="AL11" s="11" t="str">
        <f t="shared" si="7"/>
        <v/>
      </c>
      <c r="AM11" s="19">
        <v>23.0</v>
      </c>
      <c r="AN11" s="19">
        <v>20.0</v>
      </c>
      <c r="AO11" s="20" t="b">
        <v>0</v>
      </c>
      <c r="AP11" s="27" t="s">
        <v>39</v>
      </c>
      <c r="AQ11" s="11" t="str">
        <f t="shared" si="8"/>
        <v/>
      </c>
      <c r="AR11" s="19">
        <v>27.0</v>
      </c>
      <c r="AS11" s="19">
        <v>17.0</v>
      </c>
      <c r="AT11" s="20" t="b">
        <v>0</v>
      </c>
      <c r="AU11" s="27" t="s">
        <v>93</v>
      </c>
      <c r="AV11" s="11" t="str">
        <f t="shared" si="9"/>
        <v/>
      </c>
      <c r="AW11" s="19">
        <v>14.0</v>
      </c>
      <c r="AX11" s="19">
        <v>17.0</v>
      </c>
      <c r="AY11" s="20" t="b">
        <v>0</v>
      </c>
      <c r="AZ11" s="27" t="s">
        <v>39</v>
      </c>
      <c r="BA11" s="11" t="str">
        <f t="shared" si="10"/>
        <v/>
      </c>
      <c r="BB11" s="19">
        <v>23.0</v>
      </c>
      <c r="BC11" s="19">
        <v>20.0</v>
      </c>
      <c r="BD11" s="20" t="b">
        <v>1</v>
      </c>
      <c r="BE11" s="27" t="s">
        <v>39</v>
      </c>
      <c r="BF11" s="11" t="str">
        <f t="shared" si="11"/>
        <v/>
      </c>
      <c r="BG11" s="19">
        <v>27.0</v>
      </c>
      <c r="BH11" s="19">
        <v>24.0</v>
      </c>
      <c r="BI11" s="20" t="b">
        <v>0</v>
      </c>
      <c r="BJ11" s="27" t="s">
        <v>93</v>
      </c>
      <c r="BK11" s="11" t="str">
        <f t="shared" si="12"/>
        <v/>
      </c>
      <c r="BL11" s="19">
        <v>24.0</v>
      </c>
      <c r="BM11" s="19">
        <v>27.0</v>
      </c>
      <c r="BN11" s="20" t="b">
        <v>0</v>
      </c>
      <c r="BO11" s="19"/>
      <c r="BP11" s="19"/>
      <c r="BQ11" s="19"/>
    </row>
    <row r="12">
      <c r="A12" s="16" t="s">
        <v>281</v>
      </c>
      <c r="B12" s="17" t="s">
        <v>286</v>
      </c>
      <c r="C12" s="18"/>
      <c r="D12" s="11" t="str">
        <f>IFERROR(__xludf.DUMMYFUNCTION("""COMPUTED_VALUE"""),"")</f>
        <v/>
      </c>
      <c r="E12" s="19"/>
      <c r="F12" s="20"/>
      <c r="G12" s="19" t="s">
        <v>79</v>
      </c>
      <c r="H12" s="11" t="str">
        <f t="shared" si="1"/>
        <v/>
      </c>
      <c r="I12" s="19">
        <v>24.0</v>
      </c>
      <c r="J12" s="19">
        <v>31.0</v>
      </c>
      <c r="K12" s="20" t="b">
        <v>0</v>
      </c>
      <c r="L12" s="19" t="s">
        <v>79</v>
      </c>
      <c r="M12" s="11" t="str">
        <f t="shared" si="2"/>
        <v/>
      </c>
      <c r="N12" s="19">
        <v>20.0</v>
      </c>
      <c r="O12" s="19">
        <v>23.0</v>
      </c>
      <c r="P12" s="19" t="b">
        <v>0</v>
      </c>
      <c r="Q12" s="27" t="s">
        <v>79</v>
      </c>
      <c r="R12" s="11" t="str">
        <f t="shared" si="3"/>
        <v/>
      </c>
      <c r="S12" s="19">
        <v>10.0</v>
      </c>
      <c r="T12" s="19">
        <v>14.0</v>
      </c>
      <c r="U12" s="20" t="b">
        <v>0</v>
      </c>
      <c r="V12" s="19" t="s">
        <v>24</v>
      </c>
      <c r="W12" s="11" t="str">
        <f t="shared" si="4"/>
        <v/>
      </c>
      <c r="X12" s="19">
        <v>28.0</v>
      </c>
      <c r="Y12" s="19">
        <v>27.0</v>
      </c>
      <c r="Z12" s="20" t="b">
        <v>0</v>
      </c>
      <c r="AA12" s="27" t="s">
        <v>24</v>
      </c>
      <c r="AB12" s="11" t="str">
        <f t="shared" si="5"/>
        <v/>
      </c>
      <c r="AC12" s="19">
        <v>24.0</v>
      </c>
      <c r="AD12" s="19">
        <v>17.0</v>
      </c>
      <c r="AE12" s="19" t="b">
        <v>0</v>
      </c>
      <c r="AF12" s="27" t="s">
        <v>24</v>
      </c>
      <c r="AG12" s="11" t="str">
        <f t="shared" si="6"/>
        <v/>
      </c>
      <c r="AH12" s="19">
        <v>17.0</v>
      </c>
      <c r="AI12" s="19">
        <v>14.0</v>
      </c>
      <c r="AJ12" s="20" t="b">
        <v>0</v>
      </c>
      <c r="AK12" s="19" t="s">
        <v>24</v>
      </c>
      <c r="AL12" s="11" t="str">
        <f t="shared" si="7"/>
        <v/>
      </c>
      <c r="AM12" s="19">
        <v>10.0</v>
      </c>
      <c r="AN12" s="19">
        <v>7.0</v>
      </c>
      <c r="AO12" s="20" t="b">
        <v>0</v>
      </c>
      <c r="AP12" s="27" t="s">
        <v>24</v>
      </c>
      <c r="AQ12" s="11" t="str">
        <f t="shared" si="8"/>
        <v/>
      </c>
      <c r="AR12" s="19">
        <v>24.0</v>
      </c>
      <c r="AS12" s="19">
        <v>17.0</v>
      </c>
      <c r="AT12" s="20" t="b">
        <v>0</v>
      </c>
      <c r="AU12" s="27" t="s">
        <v>79</v>
      </c>
      <c r="AV12" s="11" t="str">
        <f t="shared" si="9"/>
        <v/>
      </c>
      <c r="AW12" s="19">
        <v>17.0</v>
      </c>
      <c r="AX12" s="19">
        <v>20.0</v>
      </c>
      <c r="AY12" s="20" t="b">
        <v>0</v>
      </c>
      <c r="AZ12" s="27" t="s">
        <v>24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79</v>
      </c>
      <c r="BF12" s="11" t="str">
        <f t="shared" si="11"/>
        <v/>
      </c>
      <c r="BG12" s="19">
        <v>10.0</v>
      </c>
      <c r="BH12" s="19">
        <v>14.0</v>
      </c>
      <c r="BI12" s="20" t="b">
        <v>0</v>
      </c>
      <c r="BJ12" s="27" t="s">
        <v>24</v>
      </c>
      <c r="BK12" s="11" t="str">
        <f t="shared" si="12"/>
        <v/>
      </c>
      <c r="BL12" s="19">
        <v>24.0</v>
      </c>
      <c r="BM12" s="19">
        <v>21.0</v>
      </c>
      <c r="BN12" s="20" t="b">
        <v>0</v>
      </c>
      <c r="BO12" s="17"/>
      <c r="BP12" s="17"/>
      <c r="BQ12" s="17"/>
    </row>
    <row r="13">
      <c r="A13" s="16" t="s">
        <v>288</v>
      </c>
      <c r="B13" s="17" t="s">
        <v>289</v>
      </c>
      <c r="C13" s="18"/>
      <c r="D13" s="11" t="str">
        <f>IFERROR(__xludf.DUMMYFUNCTION("""COMPUTED_VALUE"""),"")</f>
        <v/>
      </c>
      <c r="E13" s="19"/>
      <c r="F13" s="20"/>
      <c r="G13" s="19" t="s">
        <v>84</v>
      </c>
      <c r="H13" s="11" t="str">
        <f t="shared" si="1"/>
        <v/>
      </c>
      <c r="I13" s="19">
        <v>21.0</v>
      </c>
      <c r="J13" s="19">
        <v>24.0</v>
      </c>
      <c r="K13" s="20" t="b">
        <v>0</v>
      </c>
      <c r="L13" s="19" t="s">
        <v>40</v>
      </c>
      <c r="M13" s="11" t="str">
        <f t="shared" si="2"/>
        <v/>
      </c>
      <c r="N13" s="19">
        <v>14.0</v>
      </c>
      <c r="O13" s="19">
        <v>10.0</v>
      </c>
      <c r="P13" s="19" t="b">
        <v>0</v>
      </c>
      <c r="Q13" s="27" t="s">
        <v>40</v>
      </c>
      <c r="R13" s="11" t="str">
        <f t="shared" si="3"/>
        <v/>
      </c>
      <c r="S13" s="19">
        <v>10.0</v>
      </c>
      <c r="T13" s="19">
        <v>7.0</v>
      </c>
      <c r="U13" s="20" t="b">
        <v>0</v>
      </c>
      <c r="V13" s="19" t="s">
        <v>84</v>
      </c>
      <c r="W13" s="11" t="str">
        <f t="shared" si="4"/>
        <v/>
      </c>
      <c r="X13" s="19">
        <v>10.0</v>
      </c>
      <c r="Y13" s="19">
        <v>27.0</v>
      </c>
      <c r="Z13" s="20" t="b">
        <v>0</v>
      </c>
      <c r="AA13" s="27" t="s">
        <v>40</v>
      </c>
      <c r="AB13" s="11" t="str">
        <f t="shared" si="5"/>
        <v/>
      </c>
      <c r="AC13" s="19">
        <v>24.0</v>
      </c>
      <c r="AD13" s="19">
        <v>17.0</v>
      </c>
      <c r="AE13" s="19" t="b">
        <v>0</v>
      </c>
      <c r="AF13" s="27" t="s">
        <v>40</v>
      </c>
      <c r="AG13" s="11" t="str">
        <f t="shared" si="6"/>
        <v/>
      </c>
      <c r="AH13" s="19">
        <v>21.0</v>
      </c>
      <c r="AI13" s="19">
        <v>17.0</v>
      </c>
      <c r="AJ13" s="20" t="b">
        <v>0</v>
      </c>
      <c r="AK13" s="19" t="s">
        <v>84</v>
      </c>
      <c r="AL13" s="11" t="str">
        <f t="shared" si="7"/>
        <v/>
      </c>
      <c r="AM13" s="19">
        <v>10.0</v>
      </c>
      <c r="AN13" s="19">
        <v>14.0</v>
      </c>
      <c r="AO13" s="20" t="b">
        <v>1</v>
      </c>
      <c r="AP13" s="27" t="s">
        <v>40</v>
      </c>
      <c r="AQ13" s="11" t="str">
        <f t="shared" si="8"/>
        <v/>
      </c>
      <c r="AR13" s="19">
        <v>27.0</v>
      </c>
      <c r="AS13" s="19">
        <v>24.0</v>
      </c>
      <c r="AT13" s="20" t="b">
        <v>0</v>
      </c>
      <c r="AU13" s="27" t="s">
        <v>84</v>
      </c>
      <c r="AV13" s="11" t="str">
        <f t="shared" si="9"/>
        <v/>
      </c>
      <c r="AW13" s="19">
        <v>17.0</v>
      </c>
      <c r="AX13" s="19">
        <v>20.0</v>
      </c>
      <c r="AY13" s="20" t="b">
        <v>0</v>
      </c>
      <c r="AZ13" s="27" t="s">
        <v>40</v>
      </c>
      <c r="BA13" s="11" t="str">
        <f t="shared" si="10"/>
        <v/>
      </c>
      <c r="BB13" s="19">
        <v>23.0</v>
      </c>
      <c r="BC13" s="19">
        <v>20.0</v>
      </c>
      <c r="BD13" s="20" t="b">
        <v>0</v>
      </c>
      <c r="BE13" s="27" t="s">
        <v>84</v>
      </c>
      <c r="BF13" s="11" t="str">
        <f t="shared" si="11"/>
        <v/>
      </c>
      <c r="BG13" s="19">
        <v>21.0</v>
      </c>
      <c r="BH13" s="19">
        <v>28.0</v>
      </c>
      <c r="BI13" s="20" t="b">
        <v>0</v>
      </c>
      <c r="BJ13" s="27" t="s">
        <v>84</v>
      </c>
      <c r="BK13" s="11" t="str">
        <f t="shared" si="12"/>
        <v/>
      </c>
      <c r="BL13" s="19">
        <v>7.0</v>
      </c>
      <c r="BM13" s="19">
        <v>10.0</v>
      </c>
      <c r="BN13" s="20" t="b">
        <v>0</v>
      </c>
      <c r="BO13" s="17"/>
      <c r="BP13" s="17"/>
      <c r="BQ13" s="17"/>
    </row>
    <row r="14">
      <c r="A14" s="16" t="s">
        <v>292</v>
      </c>
      <c r="B14" s="30" t="s">
        <v>293</v>
      </c>
      <c r="C14" s="18"/>
      <c r="D14" s="11" t="str">
        <f>IFERROR(__xludf.DUMMYFUNCTION("""COMPUTED_VALUE"""),"")</f>
        <v/>
      </c>
      <c r="E14" s="19"/>
      <c r="F14" s="20"/>
      <c r="G14" s="19" t="s">
        <v>46</v>
      </c>
      <c r="H14" s="11" t="str">
        <f t="shared" si="1"/>
        <v/>
      </c>
      <c r="I14" s="19">
        <v>13.0</v>
      </c>
      <c r="J14" s="19">
        <v>20.0</v>
      </c>
      <c r="K14" s="20" t="b">
        <v>0</v>
      </c>
      <c r="L14" s="19" t="s">
        <v>46</v>
      </c>
      <c r="M14" s="11" t="str">
        <f t="shared" si="2"/>
        <v/>
      </c>
      <c r="N14" s="19">
        <v>20.0</v>
      </c>
      <c r="O14" s="19">
        <v>23.0</v>
      </c>
      <c r="P14" s="19" t="b">
        <v>0</v>
      </c>
      <c r="Q14" s="27" t="s">
        <v>46</v>
      </c>
      <c r="R14" s="11" t="str">
        <f t="shared" si="3"/>
        <v/>
      </c>
      <c r="S14" s="19">
        <v>10.0</v>
      </c>
      <c r="T14" s="19">
        <v>14.0</v>
      </c>
      <c r="U14" s="20" t="b">
        <v>0</v>
      </c>
      <c r="V14" s="19" t="s">
        <v>46</v>
      </c>
      <c r="W14" s="11" t="str">
        <f t="shared" si="4"/>
        <v/>
      </c>
      <c r="X14" s="19">
        <v>17.0</v>
      </c>
      <c r="Y14" s="19">
        <v>21.0</v>
      </c>
      <c r="Z14" s="20" t="b">
        <v>0</v>
      </c>
      <c r="AA14" s="27" t="s">
        <v>33</v>
      </c>
      <c r="AB14" s="11" t="str">
        <f t="shared" si="5"/>
        <v/>
      </c>
      <c r="AC14" s="19">
        <v>24.0</v>
      </c>
      <c r="AD14" s="19">
        <v>17.0</v>
      </c>
      <c r="AE14" s="19" t="b">
        <v>1</v>
      </c>
      <c r="AF14" s="27" t="s">
        <v>46</v>
      </c>
      <c r="AG14" s="11" t="str">
        <f t="shared" si="6"/>
        <v/>
      </c>
      <c r="AH14" s="19">
        <v>17.0</v>
      </c>
      <c r="AI14" s="19">
        <v>31.0</v>
      </c>
      <c r="AJ14" s="20" t="b">
        <v>0</v>
      </c>
      <c r="AK14" s="19" t="s">
        <v>46</v>
      </c>
      <c r="AL14" s="11" t="str">
        <f t="shared" si="7"/>
        <v/>
      </c>
      <c r="AM14" s="19">
        <v>17.0</v>
      </c>
      <c r="AN14" s="19">
        <v>20.0</v>
      </c>
      <c r="AO14" s="20" t="b">
        <v>0</v>
      </c>
      <c r="AP14" s="27" t="s">
        <v>46</v>
      </c>
      <c r="AQ14" s="11" t="str">
        <f t="shared" si="8"/>
        <v/>
      </c>
      <c r="AR14" s="19">
        <v>20.0</v>
      </c>
      <c r="AS14" s="19">
        <v>23.0</v>
      </c>
      <c r="AT14" s="20" t="b">
        <v>0</v>
      </c>
      <c r="AU14" s="27" t="s">
        <v>46</v>
      </c>
      <c r="AV14" s="11" t="str">
        <f t="shared" si="9"/>
        <v/>
      </c>
      <c r="AW14" s="19">
        <v>20.0</v>
      </c>
      <c r="AX14" s="19">
        <v>23.0</v>
      </c>
      <c r="AY14" s="20" t="b">
        <v>0</v>
      </c>
      <c r="AZ14" s="27" t="s">
        <v>46</v>
      </c>
      <c r="BA14" s="11" t="str">
        <f t="shared" si="10"/>
        <v/>
      </c>
      <c r="BB14" s="19">
        <v>20.0</v>
      </c>
      <c r="BC14" s="19">
        <v>23.0</v>
      </c>
      <c r="BD14" s="20" t="b">
        <v>0</v>
      </c>
      <c r="BE14" s="27" t="s">
        <v>33</v>
      </c>
      <c r="BF14" s="11" t="str">
        <f t="shared" si="11"/>
        <v/>
      </c>
      <c r="BG14" s="19">
        <v>20.0</v>
      </c>
      <c r="BH14" s="19">
        <v>17.0</v>
      </c>
      <c r="BI14" s="20" t="b">
        <v>0</v>
      </c>
      <c r="BJ14" s="27" t="s">
        <v>46</v>
      </c>
      <c r="BK14" s="11" t="str">
        <f t="shared" si="12"/>
        <v/>
      </c>
      <c r="BL14" s="19">
        <v>7.0</v>
      </c>
      <c r="BM14" s="19">
        <v>10.0</v>
      </c>
      <c r="BN14" s="20" t="b">
        <v>0</v>
      </c>
      <c r="BO14" s="17"/>
      <c r="BP14" s="17"/>
      <c r="BQ14" s="17"/>
    </row>
    <row r="15">
      <c r="A15" s="32" t="s">
        <v>296</v>
      </c>
      <c r="B15" s="33" t="s">
        <v>298</v>
      </c>
      <c r="C15" s="34"/>
      <c r="D15" s="35" t="str">
        <f>IFERROR(__xludf.DUMMYFUNCTION("""COMPUTED_VALUE"""),"")</f>
        <v/>
      </c>
      <c r="E15" s="36"/>
      <c r="F15" s="37"/>
      <c r="G15" s="36" t="s">
        <v>61</v>
      </c>
      <c r="H15" s="35" t="str">
        <f t="shared" si="1"/>
        <v/>
      </c>
      <c r="I15" s="36">
        <v>10.0</v>
      </c>
      <c r="J15" s="36">
        <v>14.0</v>
      </c>
      <c r="K15" s="37" t="b">
        <v>0</v>
      </c>
      <c r="L15" s="36" t="s">
        <v>61</v>
      </c>
      <c r="M15" s="35" t="str">
        <f t="shared" si="2"/>
        <v/>
      </c>
      <c r="N15" s="36">
        <v>17.0</v>
      </c>
      <c r="O15" s="36">
        <v>21.0</v>
      </c>
      <c r="P15" s="36" t="b">
        <v>0</v>
      </c>
      <c r="Q15" s="38" t="s">
        <v>61</v>
      </c>
      <c r="R15" s="35" t="str">
        <f t="shared" si="3"/>
        <v/>
      </c>
      <c r="S15" s="36">
        <v>10.0</v>
      </c>
      <c r="T15" s="36">
        <v>14.0</v>
      </c>
      <c r="U15" s="37" t="b">
        <v>0</v>
      </c>
      <c r="V15" s="36" t="s">
        <v>61</v>
      </c>
      <c r="W15" s="35" t="str">
        <f t="shared" si="4"/>
        <v/>
      </c>
      <c r="X15" s="36">
        <v>17.0</v>
      </c>
      <c r="Y15" s="36">
        <v>21.0</v>
      </c>
      <c r="Z15" s="37" t="b">
        <v>0</v>
      </c>
      <c r="AA15" s="38" t="s">
        <v>61</v>
      </c>
      <c r="AB15" s="35" t="str">
        <f t="shared" si="5"/>
        <v/>
      </c>
      <c r="AC15" s="36">
        <v>17.0</v>
      </c>
      <c r="AD15" s="36">
        <v>24.0</v>
      </c>
      <c r="AE15" s="36" t="b">
        <v>0</v>
      </c>
      <c r="AF15" s="38" t="s">
        <v>61</v>
      </c>
      <c r="AG15" s="35" t="str">
        <f t="shared" si="6"/>
        <v/>
      </c>
      <c r="AH15" s="36">
        <v>21.0</v>
      </c>
      <c r="AI15" s="36">
        <v>24.0</v>
      </c>
      <c r="AJ15" s="37" t="b">
        <v>0</v>
      </c>
      <c r="AK15" s="36" t="s">
        <v>50</v>
      </c>
      <c r="AL15" s="35" t="str">
        <f t="shared" si="7"/>
        <v/>
      </c>
      <c r="AM15" s="36">
        <v>10.0</v>
      </c>
      <c r="AN15" s="36">
        <v>7.0</v>
      </c>
      <c r="AO15" s="37" t="b">
        <v>0</v>
      </c>
      <c r="AP15" s="38" t="s">
        <v>61</v>
      </c>
      <c r="AQ15" s="35" t="str">
        <f t="shared" si="8"/>
        <v/>
      </c>
      <c r="AR15" s="36">
        <v>17.0</v>
      </c>
      <c r="AS15" s="36">
        <v>27.0</v>
      </c>
      <c r="AT15" s="37" t="b">
        <v>0</v>
      </c>
      <c r="AU15" s="38" t="s">
        <v>61</v>
      </c>
      <c r="AV15" s="35" t="str">
        <f t="shared" si="9"/>
        <v/>
      </c>
      <c r="AW15" s="36">
        <v>20.0</v>
      </c>
      <c r="AX15" s="36">
        <v>23.0</v>
      </c>
      <c r="AY15" s="37" t="b">
        <v>0</v>
      </c>
      <c r="AZ15" s="38" t="s">
        <v>50</v>
      </c>
      <c r="BA15" s="35" t="str">
        <f t="shared" si="10"/>
        <v/>
      </c>
      <c r="BB15" s="36">
        <v>23.0</v>
      </c>
      <c r="BC15" s="36">
        <v>20.0</v>
      </c>
      <c r="BD15" s="37" t="b">
        <v>0</v>
      </c>
      <c r="BE15" s="38" t="s">
        <v>50</v>
      </c>
      <c r="BF15" s="35" t="str">
        <f t="shared" si="11"/>
        <v/>
      </c>
      <c r="BG15" s="36">
        <v>28.0</v>
      </c>
      <c r="BH15" s="36">
        <v>21.0</v>
      </c>
      <c r="BI15" s="37" t="b">
        <v>0</v>
      </c>
      <c r="BJ15" s="38" t="s">
        <v>50</v>
      </c>
      <c r="BK15" s="35" t="str">
        <f t="shared" si="12"/>
        <v/>
      </c>
      <c r="BL15" s="36">
        <v>14.0</v>
      </c>
      <c r="BM15" s="36">
        <v>10.0</v>
      </c>
      <c r="BN15" s="37" t="b">
        <v>0</v>
      </c>
      <c r="BO15" s="17"/>
      <c r="BP15" s="17"/>
      <c r="BQ15" s="17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</row>
    <row r="17" hidden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</row>
    <row r="18" hidden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6">
        <f t="shared" ref="C19:C32" si="13">MIN(I19,N19,S19,X19,AC19,AH19,AM19,AR19,AW19,BB19,BG19,BL19)</f>
        <v>0</v>
      </c>
      <c r="D19" s="49"/>
      <c r="E19" s="49"/>
      <c r="F19" s="49"/>
      <c r="G19" s="47" t="str">
        <f t="shared" ref="G19:G32" si="14">IF(G2=C2,ABS(I2-E2),"")</f>
        <v/>
      </c>
      <c r="H19" s="47" t="str">
        <f t="shared" ref="H19:H32" si="15">IF(G2=C2,ABS(J2-F2),"")</f>
        <v/>
      </c>
      <c r="I19" s="48" t="str">
        <f t="shared" ref="I19:I32" si="16">IF(G2=C2,SUM(G19,H19),"")</f>
        <v/>
      </c>
      <c r="J19" s="9">
        <f t="shared" ref="J19:J32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
)</f>
        <v>0</v>
      </c>
      <c r="K19" s="49" t="str">
        <f t="shared" ref="K19:K32" si="18">IF($C2="","",
IF(G2=$C2,TRUE,FALSE))</f>
        <v/>
      </c>
      <c r="L19" s="47" t="str">
        <f t="shared" ref="L19:L32" si="19">IF(L2=C2,ABS(N2-E2),"")</f>
        <v/>
      </c>
      <c r="M19" s="47" t="str">
        <f t="shared" ref="M19:M32" si="20">IF(L2=C2,ABS(O2-F2),"")</f>
        <v/>
      </c>
      <c r="N19" s="48" t="str">
        <f t="shared" ref="N19:N32" si="21">IF(L2=C2,SUM(L19,M19),"")</f>
        <v/>
      </c>
      <c r="O19" s="9">
        <f t="shared" ref="O19:O32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
)</f>
        <v>0</v>
      </c>
      <c r="P19" s="49" t="str">
        <f t="shared" ref="P19:P32" si="23">IF($C2="","",
IF(L2=$C2,TRUE,FALSE))</f>
        <v/>
      </c>
      <c r="Q19" s="47" t="str">
        <f t="shared" ref="Q19:Q32" si="24">IF(Q2=C2,ABS(S2-E2),"")</f>
        <v/>
      </c>
      <c r="R19" s="47" t="str">
        <f t="shared" ref="R19:R32" si="25">IF(Q2=C2,ABS(T2-F2),"")</f>
        <v/>
      </c>
      <c r="S19" s="48" t="str">
        <f t="shared" ref="S19:S32" si="26">IF(Q2=C2,SUM(Q19,R19),"")</f>
        <v/>
      </c>
      <c r="T19" s="9">
        <f t="shared" ref="T19:T32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
)</f>
        <v>0</v>
      </c>
      <c r="U19" s="49" t="str">
        <f t="shared" ref="U19:U32" si="28">IF($C2="","",
IF(Q2=$C2,TRUE,FALSE))</f>
        <v/>
      </c>
      <c r="V19" s="47" t="str">
        <f t="shared" ref="V19:V32" si="29">IF(V2=C2,ABS(X2-E2),"")</f>
        <v/>
      </c>
      <c r="W19" s="47" t="str">
        <f t="shared" ref="W19:W32" si="30">IF(V2=C2,ABS(Y2-F2),"")</f>
        <v/>
      </c>
      <c r="X19" s="48" t="str">
        <f t="shared" ref="X19:X32" si="31">IF(V2=C2,SUM(V19,W19),"")</f>
        <v/>
      </c>
      <c r="Y19" s="9">
        <f t="shared" ref="Y19:Y32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
)</f>
        <v>0</v>
      </c>
      <c r="Z19" s="49" t="str">
        <f t="shared" ref="Z19:Z32" si="33">IF($C2="","",
IF(V2=$C2,TRUE,FALSE))</f>
        <v/>
      </c>
      <c r="AA19" s="47" t="str">
        <f t="shared" ref="AA19:AA32" si="34">IF(AA2=C2,ABS(AC2-E2),"")</f>
        <v/>
      </c>
      <c r="AB19" s="47" t="str">
        <f t="shared" ref="AB19:AB32" si="35">IF(AA2=C2,ABS(AD2-F2),"")</f>
        <v/>
      </c>
      <c r="AC19" s="48" t="str">
        <f t="shared" ref="AC19:AC32" si="36">IF(AA2=C2,SUM(AA19,AB19),"")</f>
        <v/>
      </c>
      <c r="AD19" s="9">
        <f t="shared" ref="AD19:AD32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
)</f>
        <v>0</v>
      </c>
      <c r="AE19" s="49" t="str">
        <f t="shared" ref="AE19:AE32" si="38">IF($C2="","",
IF(AA2=$C2,TRUE,FALSE))</f>
        <v/>
      </c>
      <c r="AF19" s="47" t="str">
        <f t="shared" ref="AF19:AF32" si="39">IF(AF2=C2,ABS(AH2-E2),"")</f>
        <v/>
      </c>
      <c r="AG19" s="47" t="str">
        <f t="shared" ref="AG19:AG32" si="40">IF(AF2=C2,ABS(AI2-F2),"")</f>
        <v/>
      </c>
      <c r="AH19" s="48" t="str">
        <f t="shared" ref="AH19:AH32" si="41">IF(AF2=C2,SUM(AF19,AG19),"")</f>
        <v/>
      </c>
      <c r="AI19" s="9">
        <f t="shared" ref="AI19:AI32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
)</f>
        <v>0</v>
      </c>
      <c r="AJ19" s="49" t="str">
        <f t="shared" ref="AJ19:AJ32" si="43">IF($C2="","",
IF(AF2=$C2,TRUE,FALSE))</f>
        <v/>
      </c>
      <c r="AK19" s="47" t="str">
        <f t="shared" ref="AK19:AK32" si="44">IF(AK2=C2,ABS(AM2-E2),"")</f>
        <v/>
      </c>
      <c r="AL19" s="47" t="str">
        <f t="shared" ref="AL19:AL32" si="45">IF(AK2=C2,ABS(AN2-F2),"")</f>
        <v/>
      </c>
      <c r="AM19" s="48" t="str">
        <f t="shared" ref="AM19:AM32" si="46">IF(AK2=C2,SUM(AK19,AL19),"")</f>
        <v/>
      </c>
      <c r="AN19" s="9">
        <f t="shared" ref="AN19:AN32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
)</f>
        <v>0</v>
      </c>
      <c r="AO19" s="49" t="str">
        <f t="shared" ref="AO19:AO32" si="48">IF($C2="","",
IF(AK2=$C2,TRUE,FALSE))</f>
        <v/>
      </c>
      <c r="AP19" s="47" t="str">
        <f t="shared" ref="AP19:AP32" si="49">IF(AP2=C2,ABS(AR2-E2),"")</f>
        <v/>
      </c>
      <c r="AQ19" s="47" t="str">
        <f t="shared" ref="AQ19:AQ32" si="50">IF(AP2=C2,ABS(AS2-F2),"")</f>
        <v/>
      </c>
      <c r="AR19" s="48" t="str">
        <f t="shared" ref="AR19:AR32" si="51">IF(AP2=C2,SUM(AP19,AQ19),"")</f>
        <v/>
      </c>
      <c r="AS19" s="9">
        <f t="shared" ref="AS19:AS32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
)</f>
        <v>0</v>
      </c>
      <c r="AT19" s="49" t="str">
        <f t="shared" ref="AT19:AT32" si="53">IF($C2="","",
IF(AP2=$C2,TRUE,FALSE))</f>
        <v/>
      </c>
      <c r="AU19" s="47" t="str">
        <f t="shared" ref="AU19:AU32" si="54">IF(AU2=C2,ABS(AW2-E2),"")</f>
        <v/>
      </c>
      <c r="AV19" s="47" t="str">
        <f t="shared" ref="AV19:AV32" si="55">IF(AU2=C2,ABS(AX2-F2),"")</f>
        <v/>
      </c>
      <c r="AW19" s="48" t="str">
        <f t="shared" ref="AW19:AW32" si="56">IF(AU2=C2,SUM(AU19,AV19),"")</f>
        <v/>
      </c>
      <c r="AX19" s="9">
        <f t="shared" ref="AX19:AX32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
)</f>
        <v>0</v>
      </c>
      <c r="AY19" s="49" t="str">
        <f t="shared" ref="AY19:AY32" si="58">IF($C2="","",
IF(AU2=$C2,TRUE,FALSE))</f>
        <v/>
      </c>
      <c r="AZ19" s="47" t="str">
        <f t="shared" ref="AZ19:AZ32" si="59">IF(AZ2=C2,ABS(BB2-E2),"")</f>
        <v/>
      </c>
      <c r="BA19" s="47" t="str">
        <f t="shared" ref="BA19:BA32" si="60">IF(AZ2=C2,ABS(BC2-F2),"")</f>
        <v/>
      </c>
      <c r="BB19" s="48" t="str">
        <f t="shared" ref="BB19:BB32" si="61">IF(AZ2=C2,SUM(AZ19,BA19),"")</f>
        <v/>
      </c>
      <c r="BC19" s="9">
        <f t="shared" ref="BC19:BC32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
)</f>
        <v>0</v>
      </c>
      <c r="BD19" s="49" t="str">
        <f t="shared" ref="BD19:BD32" si="63">IF($C2="","",
IF(AZ2=$C2,TRUE,FALSE))</f>
        <v/>
      </c>
      <c r="BE19" s="47" t="str">
        <f t="shared" ref="BE19:BE32" si="64">IF(BE2=C2,ABS(BG2-E2),"")</f>
        <v/>
      </c>
      <c r="BF19" s="47" t="str">
        <f t="shared" ref="BF19:BF32" si="65">IF(BE2=C2,ABS(BH2-F2),"")</f>
        <v/>
      </c>
      <c r="BG19" s="48" t="str">
        <f t="shared" ref="BG19:BG32" si="66">IF(BE2=C2,SUM(BE19,BF19),"")</f>
        <v/>
      </c>
      <c r="BH19" s="9">
        <f t="shared" ref="BH19:BH32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
)</f>
        <v>0</v>
      </c>
      <c r="BI19" s="49" t="str">
        <f t="shared" ref="BI19:BI32" si="68">IF($C2="","",
IF(BE2=$C2,TRUE,FALSE))</f>
        <v/>
      </c>
      <c r="BJ19" s="47" t="str">
        <f t="shared" ref="BJ19:BJ32" si="69">IF(BJ2=C2,ABS(BL2-E2),"")</f>
        <v/>
      </c>
      <c r="BK19" s="47" t="str">
        <f t="shared" ref="BK19:BK32" si="70">IF(BJ2=C2,ABS(BM2-F2),"")</f>
        <v/>
      </c>
      <c r="BL19" s="48" t="str">
        <f t="shared" ref="BL19:BL32" si="71">IF(BJ2=C2,SUM(BJ19,BK19),"")</f>
        <v/>
      </c>
      <c r="BM19" s="9">
        <f t="shared" ref="BM19:BM32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
)</f>
        <v>0</v>
      </c>
      <c r="BN19" s="49" t="str">
        <f t="shared" ref="BN19:BN32" si="73">IF($C2="","",
IF(BJ2=$C2,TRUE,FALSE))</f>
        <v/>
      </c>
      <c r="BO19" s="41"/>
      <c r="BP19" s="41"/>
      <c r="BQ19" s="41"/>
    </row>
    <row r="20" hidden="1">
      <c r="A20" s="40"/>
      <c r="B20" s="40"/>
      <c r="C20" s="46">
        <f t="shared" si="13"/>
        <v>0</v>
      </c>
      <c r="D20" s="49"/>
      <c r="E20" s="49"/>
      <c r="F20" s="49"/>
      <c r="G20" s="47" t="str">
        <f t="shared" si="14"/>
        <v/>
      </c>
      <c r="H20" s="47" t="str">
        <f t="shared" si="15"/>
        <v/>
      </c>
      <c r="I20" s="48" t="str">
        <f t="shared" si="16"/>
        <v/>
      </c>
      <c r="J20" s="9">
        <f t="shared" si="17"/>
        <v>0</v>
      </c>
      <c r="K20" s="49" t="str">
        <f t="shared" si="18"/>
        <v/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str">
        <f t="shared" si="23"/>
        <v/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str">
        <f t="shared" si="28"/>
        <v/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str">
        <f t="shared" si="33"/>
        <v/>
      </c>
      <c r="AA20" s="47" t="str">
        <f t="shared" si="34"/>
        <v/>
      </c>
      <c r="AB20" s="47" t="str">
        <f t="shared" si="35"/>
        <v/>
      </c>
      <c r="AC20" s="48" t="str">
        <f t="shared" si="36"/>
        <v/>
      </c>
      <c r="AD20" s="9">
        <f t="shared" si="37"/>
        <v>0</v>
      </c>
      <c r="AE20" s="49" t="str">
        <f t="shared" si="38"/>
        <v/>
      </c>
      <c r="AF20" s="47" t="str">
        <f t="shared" si="39"/>
        <v/>
      </c>
      <c r="AG20" s="47" t="str">
        <f t="shared" si="40"/>
        <v/>
      </c>
      <c r="AH20" s="48" t="str">
        <f t="shared" si="41"/>
        <v/>
      </c>
      <c r="AI20" s="9">
        <f t="shared" si="42"/>
        <v>0</v>
      </c>
      <c r="AJ20" s="49" t="str">
        <f t="shared" si="43"/>
        <v/>
      </c>
      <c r="AK20" s="47" t="str">
        <f t="shared" si="44"/>
        <v/>
      </c>
      <c r="AL20" s="47" t="str">
        <f t="shared" si="45"/>
        <v/>
      </c>
      <c r="AM20" s="48" t="str">
        <f t="shared" si="46"/>
        <v/>
      </c>
      <c r="AN20" s="9">
        <f t="shared" si="47"/>
        <v>0</v>
      </c>
      <c r="AO20" s="49" t="str">
        <f t="shared" si="48"/>
        <v/>
      </c>
      <c r="AP20" s="47" t="str">
        <f t="shared" si="49"/>
        <v/>
      </c>
      <c r="AQ20" s="47" t="str">
        <f t="shared" si="50"/>
        <v/>
      </c>
      <c r="AR20" s="48" t="str">
        <f t="shared" si="51"/>
        <v/>
      </c>
      <c r="AS20" s="9">
        <f t="shared" si="52"/>
        <v>0</v>
      </c>
      <c r="AT20" s="49" t="str">
        <f t="shared" si="53"/>
        <v/>
      </c>
      <c r="AU20" s="47" t="str">
        <f t="shared" si="54"/>
        <v/>
      </c>
      <c r="AV20" s="47" t="str">
        <f t="shared" si="55"/>
        <v/>
      </c>
      <c r="AW20" s="48" t="str">
        <f t="shared" si="56"/>
        <v/>
      </c>
      <c r="AX20" s="9">
        <f t="shared" si="57"/>
        <v>0</v>
      </c>
      <c r="AY20" s="49" t="str">
        <f t="shared" si="58"/>
        <v/>
      </c>
      <c r="AZ20" s="47" t="str">
        <f t="shared" si="59"/>
        <v/>
      </c>
      <c r="BA20" s="47" t="str">
        <f t="shared" si="60"/>
        <v/>
      </c>
      <c r="BB20" s="48" t="str">
        <f t="shared" si="61"/>
        <v/>
      </c>
      <c r="BC20" s="9">
        <f t="shared" si="62"/>
        <v>0</v>
      </c>
      <c r="BD20" s="49" t="str">
        <f t="shared" si="63"/>
        <v/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str">
        <f t="shared" si="68"/>
        <v/>
      </c>
      <c r="BJ20" s="47" t="str">
        <f t="shared" si="69"/>
        <v/>
      </c>
      <c r="BK20" s="47" t="str">
        <f t="shared" si="70"/>
        <v/>
      </c>
      <c r="BL20" s="48" t="str">
        <f t="shared" si="71"/>
        <v/>
      </c>
      <c r="BM20" s="9">
        <f t="shared" si="72"/>
        <v>0</v>
      </c>
      <c r="BN20" s="49" t="str">
        <f t="shared" si="73"/>
        <v/>
      </c>
      <c r="BO20" s="40"/>
      <c r="BP20" s="40"/>
      <c r="BQ20" s="40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9"/>
      <c r="D33" s="49"/>
      <c r="E33" s="49"/>
      <c r="F33" s="49"/>
      <c r="G33" s="49"/>
      <c r="H33" s="49"/>
      <c r="I33" s="49"/>
      <c r="J33" s="59">
        <f>MULTIPLY(SUM(J19:J32),10)</f>
        <v>0</v>
      </c>
      <c r="K33" s="62">
        <f>COUNTIF(K19:K32,"TRUE")</f>
        <v>0</v>
      </c>
      <c r="L33" s="49"/>
      <c r="M33" s="49"/>
      <c r="N33" s="49"/>
      <c r="O33" s="59">
        <f>MULTIPLY(SUM(O19:O32),10)</f>
        <v>0</v>
      </c>
      <c r="P33" s="62">
        <f>COUNTIF(P19:P32,"TRUE")</f>
        <v>0</v>
      </c>
      <c r="Q33" s="49"/>
      <c r="R33" s="49"/>
      <c r="S33" s="49"/>
      <c r="T33" s="59">
        <f>MULTIPLY(SUM(T19:T32),10)</f>
        <v>0</v>
      </c>
      <c r="U33" s="62">
        <f>COUNTIF(U19:U32,"TRUE")</f>
        <v>0</v>
      </c>
      <c r="V33" s="49"/>
      <c r="W33" s="49"/>
      <c r="X33" s="49"/>
      <c r="Y33" s="59">
        <f>MULTIPLY(SUM(Y19:Y32),10)</f>
        <v>0</v>
      </c>
      <c r="Z33" s="62">
        <f>COUNTIF(Z19:Z32,"TRUE")</f>
        <v>0</v>
      </c>
      <c r="AA33" s="49"/>
      <c r="AB33" s="49"/>
      <c r="AC33" s="49"/>
      <c r="AD33" s="59">
        <f>MULTIPLY(SUM(AD19:AD32),10)</f>
        <v>0</v>
      </c>
      <c r="AE33" s="62">
        <f>COUNTIF(AE19:AE32,"TRUE")</f>
        <v>0</v>
      </c>
      <c r="AF33" s="49"/>
      <c r="AG33" s="49"/>
      <c r="AH33" s="49"/>
      <c r="AI33" s="59">
        <f>MULTIPLY(SUM(AI19:AI32),10)</f>
        <v>0</v>
      </c>
      <c r="AJ33" s="62">
        <f>COUNTIF(AJ19:AJ32,"TRUE")</f>
        <v>0</v>
      </c>
      <c r="AK33" s="49"/>
      <c r="AL33" s="49"/>
      <c r="AM33" s="49"/>
      <c r="AN33" s="59">
        <f>MULTIPLY(SUM(AN19:AN32),10)</f>
        <v>0</v>
      </c>
      <c r="AO33" s="62">
        <f>COUNTIF(AO19:AO32,"TRUE")</f>
        <v>0</v>
      </c>
      <c r="AP33" s="49"/>
      <c r="AQ33" s="49"/>
      <c r="AR33" s="49"/>
      <c r="AS33" s="59">
        <f>MULTIPLY(SUM(AS19:AS32),10)</f>
        <v>0</v>
      </c>
      <c r="AT33" s="62">
        <f>COUNTIF(AT19:AT32,"TRUE")</f>
        <v>0</v>
      </c>
      <c r="AU33" s="49"/>
      <c r="AV33" s="49"/>
      <c r="AW33" s="49"/>
      <c r="AX33" s="59">
        <f>MULTIPLY(SUM(AX19:AX32),10)</f>
        <v>0</v>
      </c>
      <c r="AY33" s="62">
        <f>COUNTIF(AY19:AY32,"TRUE")</f>
        <v>0</v>
      </c>
      <c r="AZ33" s="49"/>
      <c r="BA33" s="49"/>
      <c r="BB33" s="49"/>
      <c r="BC33" s="59">
        <f>MULTIPLY(SUM(BC19:BC32),10)</f>
        <v>0</v>
      </c>
      <c r="BD33" s="62">
        <f>COUNTIF(BD19:BD32,"TRUE")</f>
        <v>0</v>
      </c>
      <c r="BE33" s="49"/>
      <c r="BF33" s="49"/>
      <c r="BG33" s="49"/>
      <c r="BH33" s="59">
        <f>MULTIPLY(SUM(BH19:BH32),10)</f>
        <v>0</v>
      </c>
      <c r="BI33" s="62">
        <f>COUNTIF(BI19:BI32,"TRUE")</f>
        <v>0</v>
      </c>
      <c r="BJ33" s="49"/>
      <c r="BK33" s="49"/>
      <c r="BL33" s="49"/>
      <c r="BM33" s="59">
        <f>MULTIPLY(SUM(BM19:BM32),10)</f>
        <v>0</v>
      </c>
      <c r="BN33" s="62">
        <f>COUNTIF(BN19:BN32,"TRUE")</f>
        <v>0</v>
      </c>
      <c r="BO33" s="40"/>
      <c r="BP33" s="40"/>
      <c r="BQ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</row>
    <row r="35">
      <c r="A35" s="83" t="s">
        <v>234</v>
      </c>
      <c r="B35" s="52"/>
      <c r="C35" s="53" t="s">
        <v>6</v>
      </c>
      <c r="D35" s="53" t="s">
        <v>7</v>
      </c>
      <c r="E35" s="53" t="s">
        <v>8</v>
      </c>
      <c r="F35" s="53" t="s">
        <v>9</v>
      </c>
      <c r="G35" s="53" t="s">
        <v>10</v>
      </c>
      <c r="H35" s="53" t="s">
        <v>11</v>
      </c>
      <c r="I35" s="53" t="s">
        <v>12</v>
      </c>
      <c r="J35" s="53" t="s">
        <v>13</v>
      </c>
      <c r="K35" s="53" t="s">
        <v>14</v>
      </c>
      <c r="L35" s="53" t="s">
        <v>15</v>
      </c>
      <c r="M35" s="53" t="s">
        <v>16</v>
      </c>
      <c r="N35" s="54" t="s">
        <v>17</v>
      </c>
      <c r="O35" s="55"/>
      <c r="P35" s="56"/>
      <c r="Q35" s="56"/>
      <c r="R35" s="56"/>
      <c r="S35" s="56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</row>
    <row r="36">
      <c r="A36" s="81" t="s">
        <v>44</v>
      </c>
      <c r="B36" s="57" t="s">
        <v>141</v>
      </c>
      <c r="C36" s="58">
        <f t="array" ref="C36">INDEX(J33,0)</f>
        <v>0</v>
      </c>
      <c r="D36" s="58">
        <f t="array" ref="D36">INDEX(O33,0)</f>
        <v>0</v>
      </c>
      <c r="E36" s="58">
        <f t="array" ref="E36">INDEX(T33,0)</f>
        <v>0</v>
      </c>
      <c r="F36" s="58">
        <f t="array" ref="F36">INDEX(Y33,0)</f>
        <v>0</v>
      </c>
      <c r="G36" s="58">
        <f t="array" ref="G36">INDEX(AD33,0)</f>
        <v>0</v>
      </c>
      <c r="H36" s="58">
        <f t="array" ref="H36">INDEX(AI33,0)</f>
        <v>0</v>
      </c>
      <c r="I36" s="58">
        <f t="array" ref="I36">INDEX(AN33,0)</f>
        <v>0</v>
      </c>
      <c r="J36" s="58">
        <f t="array" ref="J36">INDEX(AS33,0)</f>
        <v>0</v>
      </c>
      <c r="K36" s="58">
        <f t="array" ref="K36">INDEX(AX33,0)</f>
        <v>0</v>
      </c>
      <c r="L36" s="58">
        <f t="array" ref="L36">INDEX(BC33,0)</f>
        <v>0</v>
      </c>
      <c r="M36" s="58">
        <f t="array" ref="M36">INDEX(BH33,0)</f>
        <v>0</v>
      </c>
      <c r="N36" s="60">
        <f t="array" ref="N36">INDEX(BM33,0)</f>
        <v>0</v>
      </c>
      <c r="O36" s="61"/>
      <c r="P36" s="11"/>
      <c r="Q36" s="11"/>
      <c r="R36" s="11"/>
      <c r="S36" s="11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81" t="s">
        <v>74</v>
      </c>
      <c r="B37" s="63" t="s">
        <v>142</v>
      </c>
      <c r="C37" s="64">
        <f>COUNTIF(K19:K32,true)</f>
        <v>0</v>
      </c>
      <c r="D37" s="64">
        <f>COUNTIF(P19:P32,true)</f>
        <v>0</v>
      </c>
      <c r="E37" s="64">
        <f>COUNTIF(U19:U32,true)</f>
        <v>0</v>
      </c>
      <c r="F37" s="64">
        <f>COUNTIF(Z19:Z32,true)</f>
        <v>0</v>
      </c>
      <c r="G37" s="64">
        <f>COUNTIF(AE19:AE32,true)</f>
        <v>0</v>
      </c>
      <c r="H37" s="64">
        <f>COUNTIF(AJ19:AJ32,true)</f>
        <v>0</v>
      </c>
      <c r="I37" s="64">
        <f>COUNTIF(AO19:AO32,true)</f>
        <v>0</v>
      </c>
      <c r="J37" s="64">
        <f>COUNTIF(AT19:AT32,true)</f>
        <v>0</v>
      </c>
      <c r="K37" s="64">
        <f>COUNTIF(AY19:AY32,true)</f>
        <v>0</v>
      </c>
      <c r="L37" s="64">
        <f>COUNTIF(BD19:BD32,true)</f>
        <v>0</v>
      </c>
      <c r="M37" s="64">
        <f>COUNTIF(BI19:BI32,true)</f>
        <v>0</v>
      </c>
      <c r="N37" s="65">
        <f>COUNTIF(BN19:BN32,true)</f>
        <v>0</v>
      </c>
      <c r="O37" s="66"/>
      <c r="P37" s="67"/>
      <c r="Q37" s="67"/>
      <c r="R37" s="67"/>
      <c r="S37" s="67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1" t="s">
        <v>54</v>
      </c>
      <c r="B38" s="63" t="s">
        <v>143</v>
      </c>
      <c r="C38" s="68">
        <f>COUNTIF(K19:K32,FALSE)</f>
        <v>0</v>
      </c>
      <c r="D38" s="68">
        <f>COUNTIF(P19:P32,FALSE)</f>
        <v>0</v>
      </c>
      <c r="E38" s="68">
        <f>COUNTIF(U19:U32,FALSE)</f>
        <v>0</v>
      </c>
      <c r="F38" s="68">
        <f>COUNTIF(Z19:Z32,FALSE)</f>
        <v>0</v>
      </c>
      <c r="G38" s="68">
        <f>COUNTIF(AE19:AE32,FALSE)</f>
        <v>0</v>
      </c>
      <c r="H38" s="68">
        <f>COUNTIF(AJ19:AJ32,FALSE)</f>
        <v>0</v>
      </c>
      <c r="I38" s="68">
        <f>COUNTIF(AO19:AO32,FALSE)</f>
        <v>0</v>
      </c>
      <c r="J38" s="68">
        <f>COUNTIF(AT19:AT32,FALSE)</f>
        <v>0</v>
      </c>
      <c r="K38" s="68">
        <f>COUNTIF(AY19:AY32,FALSE)</f>
        <v>0</v>
      </c>
      <c r="L38" s="68">
        <f>COUNTIF(BD19:BD32,FALSE)</f>
        <v>0</v>
      </c>
      <c r="M38" s="68">
        <f>COUNTIF(BI19:BI32,FALSE)</f>
        <v>0</v>
      </c>
      <c r="N38" s="69">
        <f>COUNTIF(BN19:BN32,FALSE)</f>
        <v>0</v>
      </c>
      <c r="O38" s="66"/>
      <c r="P38" s="67"/>
      <c r="Q38" s="67"/>
      <c r="R38" s="67"/>
      <c r="S38" s="67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81" t="s">
        <v>48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70" t="s">
        <v>144</v>
      </c>
      <c r="C40" s="71">
        <f>SUM('Week 1'!C38,'Week 2'!C38,'Week 3'!C38,'Week 4'!C38,'Week 5'!C39,'Week 6'!C35,'Week 7'!C35,'Week 8'!C37,'Week 9'!C38,C36)</f>
        <v>325</v>
      </c>
      <c r="D40" s="71">
        <f>SUM('Week 1'!D38,'Week 2'!D38,'Week 3'!D38,'Week 4'!D38,'Week 5'!D39,'Week 6'!D35,'Week 7'!D35,'Week 8'!D37,'Week 9'!D38,D36)</f>
        <v>275</v>
      </c>
      <c r="E40" s="71">
        <f>SUM('Week 1'!E38,'Week 2'!E38,'Week 3'!E38,'Week 4'!E38,'Week 5'!E39,'Week 6'!E35,'Week 7'!E35,'Week 8'!E37,'Week 9'!E38,E36)</f>
        <v>290</v>
      </c>
      <c r="F40" s="71">
        <f>SUM('Week 1'!F38,'Week 2'!F38,'Week 3'!F38,'Week 4'!F38,'Week 5'!F39,'Week 6'!F35,'Week 7'!F35,'Week 8'!F37,'Week 9'!F38,F36)</f>
        <v>375</v>
      </c>
      <c r="G40" s="71">
        <f>SUM('Week 1'!G38,'Week 2'!G38,'Week 3'!G38,'Week 4'!G38,'Week 5'!G39,'Week 6'!G35,'Week 7'!G35,'Week 8'!G37,'Week 9'!G38,G36)</f>
        <v>410</v>
      </c>
      <c r="H40" s="71">
        <f>SUM('Week 1'!H38,'Week 2'!H38,'Week 3'!H38,'Week 4'!H38,'Week 5'!H39,'Week 6'!H35,'Week 7'!H35,'Week 8'!H37,'Week 9'!H38,H36)</f>
        <v>480</v>
      </c>
      <c r="I40" s="71">
        <f>SUM('Week 1'!I38,'Week 2'!I38,'Week 3'!I38,'Week 4'!I38,'Week 5'!I39,'Week 6'!I35,'Week 7'!I35,'Week 8'!I37,'Week 9'!I38,I36)</f>
        <v>320</v>
      </c>
      <c r="J40" s="71">
        <f>SUM('Week 1'!J38,'Week 2'!J38,'Week 3'!J38,'Week 4'!J38,'Week 5'!J39,'Week 6'!J35,'Week 7'!J35,'Week 8'!J37,'Week 9'!J38,J36)</f>
        <v>445</v>
      </c>
      <c r="K40" s="71">
        <f>SUM('Week 1'!K38,'Week 2'!K38,'Week 3'!K38,'Week 4'!K38,'Week 5'!K39,'Week 6'!K35,'Week 7'!K35,'Week 8'!K37,'Week 9'!K38,K36)</f>
        <v>370</v>
      </c>
      <c r="L40" s="71">
        <f>SUM('Week 1'!L38,'Week 2'!L38,'Week 3'!L38,'Week 4'!L38,'Week 5'!L39,'Week 6'!L35,'Week 7'!L35,'Week 8'!L37,'Week 9'!L38,L36)</f>
        <v>280</v>
      </c>
      <c r="M40" s="71">
        <f>SUM('Week 1'!M38,'Week 2'!M38,'Week 3'!M38,'Week 4'!M38,'Week 5'!M39,'Week 6'!M35,'Week 7'!M35,'Week 8'!M37,'Week 9'!M38,M36)</f>
        <v>365</v>
      </c>
      <c r="N40" s="72">
        <f>SUM('Week 1'!N38,'Week 2'!N38,'Week 3'!N38,'Week 4'!N38,'Week 5'!N39,'Week 6'!N35,'Week 7'!N35,'Week 8'!N37,'Week 9'!N38,N36)</f>
        <v>290</v>
      </c>
      <c r="O40" s="61"/>
      <c r="P40" s="11"/>
      <c r="Q40" s="11"/>
      <c r="R40" s="11"/>
      <c r="S40" s="11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57" t="s">
        <v>145</v>
      </c>
      <c r="C41" s="73" t="str">
        <f>CONCATENATE(SUM('Week 1'!C39,'Week 2'!C39,'Week 3'!C39,'Week 4'!C39,'Week 5'!C40,'Week 6'!C36,'Week 7'!C36,'Week 8'!C38,'Week 9'!C39,C37)," - ",SUM('Week 1'!C40,'Week 2'!C40,'Week 3'!C40,'Week 4'!C40,'Week 5'!C41,'Week 6'!C37,'Week 7'!C37,'Week 8'!C39,'Week 9'!C40,C38))</f>
        <v>25 - 21</v>
      </c>
      <c r="D41" s="73" t="str">
        <f>CONCATENATE(SUM('Week 1'!D39,'Week 2'!D39,'Week 3'!D39,'Week 4'!D39,'Week 5'!D40,'Week 6'!D36,'Week 7'!D36,'Week 8'!D38,'Week 9'!D39,D37)," - ",SUM('Week 1'!D40,'Week 2'!D40,'Week 3'!D40,'Week 4'!D40,'Week 5'!D41,'Week 6'!D37,'Week 7'!D37,'Week 8'!D39,'Week 9'!D40,D38))</f>
        <v>24 - 22</v>
      </c>
      <c r="E41" s="73" t="str">
        <f>CONCATENATE(SUM('Week 1'!E39,'Week 2'!E39,'Week 3'!E39,'Week 4'!E39,'Week 5'!E40,'Week 6'!E36,'Week 7'!E36,'Week 8'!E38,'Week 9'!E39,E37)," - ",SUM('Week 1'!E40,'Week 2'!E40,'Week 3'!E40,'Week 4'!E40,'Week 5'!E41,'Week 6'!E37,'Week 7'!E37,'Week 8'!E39,'Week 9'!E40,E38))</f>
        <v>23 - 23</v>
      </c>
      <c r="F41" s="73" t="str">
        <f>CONCATENATE(SUM('Week 1'!F39,'Week 2'!F39,'Week 3'!F39,'Week 4'!F39,'Week 5'!F40,'Week 6'!F36,'Week 7'!F36,'Week 8'!F38,'Week 9'!F39,F37)," - ",SUM('Week 1'!F40,'Week 2'!F40,'Week 3'!F40,'Week 4'!F40,'Week 5'!F41,'Week 6'!F37,'Week 7'!F37,'Week 8'!F39,'Week 9'!F40,F38))</f>
        <v>26 - 20</v>
      </c>
      <c r="G41" s="73" t="str">
        <f>CONCATENATE(SUM('Week 1'!G39,'Week 2'!G39,'Week 3'!G39,'Week 4'!G39,'Week 5'!G40,'Week 6'!G36,'Week 7'!G36,'Week 8'!G38,'Week 9'!G39,G37)," - ",SUM('Week 1'!G40,'Week 2'!G40,'Week 3'!G40,'Week 4'!G40,'Week 5'!G41,'Week 6'!G37,'Week 7'!G37,'Week 8'!G39,'Week 9'!G40,G38))</f>
        <v>30 - 16</v>
      </c>
      <c r="H41" s="73" t="str">
        <f>CONCATENATE(SUM('Week 1'!H39,'Week 2'!H39,'Week 3'!H39,'Week 4'!H39,'Week 5'!H40,'Week 6'!H36,'Week 7'!H36,'Week 8'!H38,'Week 9'!H39,H37)," - ",SUM('Week 1'!H40,'Week 2'!H40,'Week 3'!H40,'Week 4'!H40,'Week 5'!H41,'Week 6'!H37,'Week 7'!H37,'Week 8'!H39,'Week 9'!H40,H38))</f>
        <v>33 - 13</v>
      </c>
      <c r="I41" s="73" t="str">
        <f>CONCATENATE(SUM('Week 1'!I39,'Week 2'!I39,'Week 3'!I39,'Week 4'!I39,'Week 5'!I40,'Week 6'!I36,'Week 7'!I36,'Week 8'!I38,'Week 9'!I39,I37)," - ",SUM('Week 1'!I40,'Week 2'!I40,'Week 3'!I40,'Week 4'!I40,'Week 5'!I41,'Week 6'!I37,'Week 7'!I37,'Week 8'!I39,'Week 9'!I40,I38))</f>
        <v>26 - 20</v>
      </c>
      <c r="J41" s="73" t="str">
        <f>CONCATENATE(SUM('Week 1'!J39,'Week 2'!J39,'Week 3'!J39,'Week 4'!J39,'Week 5'!J40,'Week 6'!J36,'Week 7'!J36,'Week 8'!J38,'Week 9'!J39,J37)," - ",SUM('Week 1'!J40,'Week 2'!J40,'Week 3'!J40,'Week 4'!J40,'Week 5'!J41,'Week 6'!J37,'Week 7'!J37,'Week 8'!J39,'Week 9'!J40,J38))</f>
        <v>27 - 19</v>
      </c>
      <c r="K41" s="73" t="str">
        <f>CONCATENATE(SUM('Week 1'!K39,'Week 2'!K39,'Week 3'!K39,'Week 4'!K39,'Week 5'!K40,'Week 6'!K36,'Week 7'!K36,'Week 8'!K38,'Week 9'!K39,K37)," - ",SUM('Week 1'!K40,'Week 2'!K40,'Week 3'!K40,'Week 4'!K40,'Week 5'!K41,'Week 6'!K37,'Week 7'!K37,'Week 8'!K39,'Week 9'!K40,K38))</f>
        <v>29 - 17</v>
      </c>
      <c r="L41" s="73" t="str">
        <f>CONCATENATE(SUM('Week 1'!L39,'Week 2'!L39,'Week 3'!L39,'Week 4'!L39,'Week 5'!L40,'Week 6'!L36,'Week 7'!L36,'Week 8'!L38,'Week 9'!L39,L37)," - ",SUM('Week 1'!L40,'Week 2'!L40,'Week 3'!L40,'Week 4'!L40,'Week 5'!L41,'Week 6'!L37,'Week 7'!L37,'Week 8'!L39,'Week 9'!L40,L38))</f>
        <v>26 - 20</v>
      </c>
      <c r="M41" s="73" t="str">
        <f>CONCATENATE(SUM('Week 1'!M39,'Week 2'!M39,'Week 3'!M39,'Week 4'!M39,'Week 5'!M40,'Week 6'!M36,'Week 7'!M36,'Week 8'!M38,'Week 9'!M39,M37)," - ",SUM('Week 1'!M40,'Week 2'!M40,'Week 3'!M40,'Week 4'!M40,'Week 5'!M41,'Week 6'!M37,'Week 7'!M37,'Week 8'!M39,'Week 9'!M40,M38))</f>
        <v>24 - 22</v>
      </c>
      <c r="N41" s="74" t="str">
        <f>CONCATENATE(SUM('Week 1'!N39,'Week 2'!N39,'Week 3'!N39,'Week 4'!N39,'Week 5'!N40,'Week 6'!N36,'Week 7'!N36,'Week 8'!N38,'Week 9'!N39,N37)," - ",SUM('Week 1'!N40,'Week 2'!N40,'Week 3'!N40,'Week 4'!N40,'Week 5'!N41,'Week 6'!N37,'Week 7'!N37,'Week 8'!N39,'Week 9'!N40,N38))</f>
        <v>20 - 26</v>
      </c>
      <c r="O41" s="75"/>
      <c r="P41" s="76"/>
      <c r="Q41" s="76"/>
      <c r="R41" s="76"/>
      <c r="S41" s="76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C43" s="29">
        <f t="array" ref="C43:E59">INDEX(H61:J77,0)</f>
        <v>1</v>
      </c>
      <c r="D43" s="29" t="s">
        <v>11</v>
      </c>
      <c r="E43" s="29">
        <v>480.0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C44" s="29">
        <v>2.0</v>
      </c>
      <c r="D44" s="29" t="s">
        <v>13</v>
      </c>
      <c r="E44" s="29">
        <v>445.0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v>3.0</v>
      </c>
      <c r="D45" s="29" t="s">
        <v>10</v>
      </c>
      <c r="E45" s="29">
        <v>410.0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4.0</v>
      </c>
      <c r="D46" s="29" t="s">
        <v>9</v>
      </c>
      <c r="E46" s="29">
        <v>375.0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5.0</v>
      </c>
      <c r="D47" s="29" t="s">
        <v>14</v>
      </c>
      <c r="E47" s="29">
        <v>370.0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6.0</v>
      </c>
      <c r="D48" s="29" t="s">
        <v>16</v>
      </c>
      <c r="E48" s="29">
        <v>365.0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7.0</v>
      </c>
      <c r="D49" s="29" t="s">
        <v>6</v>
      </c>
      <c r="E49" s="29">
        <v>325.0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8.0</v>
      </c>
      <c r="D50" s="29" t="s">
        <v>12</v>
      </c>
      <c r="E50" s="29">
        <v>320.0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9.0</v>
      </c>
      <c r="D51" s="29" t="s">
        <v>8</v>
      </c>
      <c r="E51" s="29">
        <v>290.0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9.0</v>
      </c>
      <c r="D52" s="29" t="s">
        <v>17</v>
      </c>
      <c r="E52" s="29">
        <v>290.0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11.0</v>
      </c>
      <c r="D53" s="29" t="s">
        <v>15</v>
      </c>
      <c r="E53" s="29">
        <v>280.0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12.0</v>
      </c>
      <c r="D54" s="29" t="s">
        <v>7</v>
      </c>
      <c r="E54" s="29">
        <v>275.0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/>
      <c r="D55" s="29"/>
      <c r="E55" s="2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/>
      <c r="D56" s="29"/>
      <c r="E56" s="2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 hidden="1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 hidden="1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B61" s="77" t="s">
        <v>6</v>
      </c>
      <c r="C61" s="41">
        <f t="array" ref="C61">INDEX(C40,0)</f>
        <v>325</v>
      </c>
      <c r="D61" s="40"/>
      <c r="G61" s="40"/>
      <c r="H61" s="40">
        <f t="shared" ref="H61:H72" si="74">RANK(J61,$J$61:$J$77,false)</f>
        <v>1</v>
      </c>
      <c r="I61" s="40" t="str">
        <f t="array" ref="I61:J77">SORT(B61:C77,2,false)</f>
        <v>Caleb</v>
      </c>
      <c r="J61" s="40">
        <v>480.0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77" t="s">
        <v>7</v>
      </c>
      <c r="C62" s="41">
        <f t="array" ref="C62">INDEX(D40,0)</f>
        <v>275</v>
      </c>
      <c r="D62" s="40"/>
      <c r="G62" s="40"/>
      <c r="H62" s="40">
        <f t="shared" si="74"/>
        <v>2</v>
      </c>
      <c r="I62" s="40" t="s">
        <v>13</v>
      </c>
      <c r="J62" s="40">
        <v>445.0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8</v>
      </c>
      <c r="C63" s="41">
        <f t="array" ref="C63">INDEX(E40,0)</f>
        <v>290</v>
      </c>
      <c r="D63" s="40"/>
      <c r="G63" s="40"/>
      <c r="H63" s="40">
        <f t="shared" si="74"/>
        <v>3</v>
      </c>
      <c r="I63" s="40" t="s">
        <v>10</v>
      </c>
      <c r="J63" s="40">
        <v>410.0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9</v>
      </c>
      <c r="C64" s="41">
        <f t="array" ref="C64">INDEX(F40,0)</f>
        <v>375</v>
      </c>
      <c r="D64" s="40"/>
      <c r="G64" s="40"/>
      <c r="H64" s="40">
        <f t="shared" si="74"/>
        <v>4</v>
      </c>
      <c r="I64" s="40" t="s">
        <v>9</v>
      </c>
      <c r="J64" s="40">
        <v>375.0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10</v>
      </c>
      <c r="C65" s="41">
        <f t="array" ref="C65">INDEX(G40,0)</f>
        <v>410</v>
      </c>
      <c r="D65" s="40"/>
      <c r="G65" s="40"/>
      <c r="H65" s="40">
        <f t="shared" si="74"/>
        <v>5</v>
      </c>
      <c r="I65" s="40" t="s">
        <v>14</v>
      </c>
      <c r="J65" s="40">
        <v>370.0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11</v>
      </c>
      <c r="C66" s="41">
        <f t="array" ref="C66">INDEX(H40,0)</f>
        <v>480</v>
      </c>
      <c r="D66" s="40"/>
      <c r="G66" s="40"/>
      <c r="H66" s="40">
        <f t="shared" si="74"/>
        <v>6</v>
      </c>
      <c r="I66" s="40" t="s">
        <v>16</v>
      </c>
      <c r="J66" s="40">
        <v>365.0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12</v>
      </c>
      <c r="C67" s="41">
        <f t="array" ref="C67">INDEX(I40,0)</f>
        <v>320</v>
      </c>
      <c r="D67" s="40"/>
      <c r="G67" s="40"/>
      <c r="H67" s="40">
        <f t="shared" si="74"/>
        <v>7</v>
      </c>
      <c r="I67" s="40" t="s">
        <v>6</v>
      </c>
      <c r="J67" s="40">
        <v>325.0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13</v>
      </c>
      <c r="C68" s="41">
        <f t="array" ref="C68">INDEX(J40,0)</f>
        <v>445</v>
      </c>
      <c r="D68" s="40"/>
      <c r="G68" s="40"/>
      <c r="H68" s="40">
        <f t="shared" si="74"/>
        <v>8</v>
      </c>
      <c r="I68" s="40" t="s">
        <v>12</v>
      </c>
      <c r="J68" s="40">
        <v>320.0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14</v>
      </c>
      <c r="C69" s="41">
        <f t="array" ref="C69">INDEX(K40,0)</f>
        <v>370</v>
      </c>
      <c r="D69" s="40"/>
      <c r="G69" s="40"/>
      <c r="H69" s="40">
        <f t="shared" si="74"/>
        <v>9</v>
      </c>
      <c r="I69" s="40" t="s">
        <v>8</v>
      </c>
      <c r="J69" s="40">
        <v>290.0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15</v>
      </c>
      <c r="C70" s="41">
        <f t="array" ref="C70">INDEX(L40,0)</f>
        <v>280</v>
      </c>
      <c r="D70" s="40"/>
      <c r="G70" s="40"/>
      <c r="H70" s="40">
        <f t="shared" si="74"/>
        <v>9</v>
      </c>
      <c r="I70" s="40" t="s">
        <v>17</v>
      </c>
      <c r="J70" s="40">
        <v>290.0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16</v>
      </c>
      <c r="C71" s="41">
        <f t="array" ref="C71">INDEX(M40,0)</f>
        <v>365</v>
      </c>
      <c r="D71" s="40"/>
      <c r="G71" s="40"/>
      <c r="H71" s="40">
        <f t="shared" si="74"/>
        <v>11</v>
      </c>
      <c r="I71" s="40" t="s">
        <v>15</v>
      </c>
      <c r="J71" s="40">
        <v>280.0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17</v>
      </c>
      <c r="C72" s="41">
        <f t="array" ref="C72">INDEX(N40,0)</f>
        <v>290</v>
      </c>
      <c r="D72" s="40"/>
      <c r="G72" s="40"/>
      <c r="H72" s="40">
        <f t="shared" si="74"/>
        <v>12</v>
      </c>
      <c r="I72" s="40" t="s">
        <v>7</v>
      </c>
      <c r="J72" s="40">
        <v>275.0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/>
      <c r="C73" s="41"/>
      <c r="D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/>
      <c r="C74" s="41"/>
      <c r="D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5">
    <cfRule type="expression" dxfId="0" priority="1">
      <formula>AND($I19=$C19,$C19=0)</formula>
    </cfRule>
  </conditionalFormatting>
  <conditionalFormatting sqref="G2:K15">
    <cfRule type="expression" dxfId="7" priority="2">
      <formula>$I19=$C19</formula>
    </cfRule>
  </conditionalFormatting>
  <conditionalFormatting sqref="L2:L15">
    <cfRule type="expression" dxfId="2" priority="3">
      <formula>AND(C2&lt;&gt;"",C2&lt;&gt;L2)</formula>
    </cfRule>
  </conditionalFormatting>
  <conditionalFormatting sqref="M2:M15">
    <cfRule type="expression" dxfId="2" priority="4">
      <formula>AND(C2&lt;&gt;"",C2&lt;&gt;L2)</formula>
    </cfRule>
  </conditionalFormatting>
  <conditionalFormatting sqref="N2:N15">
    <cfRule type="expression" dxfId="2" priority="5">
      <formula>AND(C2&lt;&gt;"",C2&lt;&gt;L2)</formula>
    </cfRule>
  </conditionalFormatting>
  <conditionalFormatting sqref="O2:O15">
    <cfRule type="expression" dxfId="2" priority="6">
      <formula>AND(C2&lt;&gt;"",C2&lt;&gt;L2)</formula>
    </cfRule>
  </conditionalFormatting>
  <conditionalFormatting sqref="P2:P15">
    <cfRule type="expression" dxfId="2" priority="7">
      <formula>AND(C2&lt;&gt;"",C2&lt;&gt;L2)</formula>
    </cfRule>
  </conditionalFormatting>
  <conditionalFormatting sqref="L2:P15">
    <cfRule type="expression" dxfId="0" priority="8">
      <formula>AND($N19=$C19,$C19=0)</formula>
    </cfRule>
  </conditionalFormatting>
  <conditionalFormatting sqref="L2:P15">
    <cfRule type="expression" dxfId="7" priority="9">
      <formula>$N19=$C19</formula>
    </cfRule>
  </conditionalFormatting>
  <conditionalFormatting sqref="Q2:Q15">
    <cfRule type="expression" dxfId="2" priority="10">
      <formula>AND(C2&lt;&gt;"",C2&lt;&gt;Q2)</formula>
    </cfRule>
  </conditionalFormatting>
  <conditionalFormatting sqref="R2:R15">
    <cfRule type="expression" dxfId="2" priority="11">
      <formula>AND(C2&lt;&gt;"",C2&lt;&gt;Q2)</formula>
    </cfRule>
  </conditionalFormatting>
  <conditionalFormatting sqref="S2:S15">
    <cfRule type="expression" dxfId="2" priority="12">
      <formula>AND(C2&lt;&gt;"",C2&lt;&gt;Q2)</formula>
    </cfRule>
  </conditionalFormatting>
  <conditionalFormatting sqref="T2:T15">
    <cfRule type="expression" dxfId="2" priority="13">
      <formula>AND(C2&lt;&gt;"",C2&lt;&gt;Q2)</formula>
    </cfRule>
  </conditionalFormatting>
  <conditionalFormatting sqref="U2:U15">
    <cfRule type="expression" dxfId="2" priority="14">
      <formula>AND(C2&lt;&gt;"",C2&lt;&gt;Q2)</formula>
    </cfRule>
  </conditionalFormatting>
  <conditionalFormatting sqref="Q2:U15">
    <cfRule type="expression" dxfId="0" priority="15">
      <formula>AND($S19=$C19,$C19=0)</formula>
    </cfRule>
  </conditionalFormatting>
  <conditionalFormatting sqref="Q2:U15">
    <cfRule type="expression" dxfId="7" priority="16">
      <formula>$S19=$C19</formula>
    </cfRule>
  </conditionalFormatting>
  <conditionalFormatting sqref="V2:V15">
    <cfRule type="expression" dxfId="2" priority="17">
      <formula>AND(C2&lt;&gt;"",C2&lt;&gt;V2)</formula>
    </cfRule>
  </conditionalFormatting>
  <conditionalFormatting sqref="W2:W15">
    <cfRule type="expression" dxfId="2" priority="18">
      <formula>AND(C2&lt;&gt;"",C2&lt;&gt;V2)</formula>
    </cfRule>
  </conditionalFormatting>
  <conditionalFormatting sqref="X2:X15">
    <cfRule type="expression" dxfId="2" priority="19">
      <formula>AND(C2&lt;&gt;"",C2&lt;&gt;V2)</formula>
    </cfRule>
  </conditionalFormatting>
  <conditionalFormatting sqref="Y2:Y15">
    <cfRule type="expression" dxfId="2" priority="20">
      <formula>AND(C2&lt;&gt;"",C2&lt;&gt;V2)</formula>
    </cfRule>
  </conditionalFormatting>
  <conditionalFormatting sqref="Z2:Z15">
    <cfRule type="expression" dxfId="2" priority="21">
      <formula>AND(C2&lt;&gt;"",C2&lt;&gt;V2)</formula>
    </cfRule>
  </conditionalFormatting>
  <conditionalFormatting sqref="AA2:AA15">
    <cfRule type="expression" dxfId="2" priority="22">
      <formula>AND(C2&lt;&gt;"",C2&lt;&gt;AA2)</formula>
    </cfRule>
  </conditionalFormatting>
  <conditionalFormatting sqref="AB2:AB15">
    <cfRule type="expression" dxfId="2" priority="23">
      <formula>AND(C2&lt;&gt;"",C2&lt;&gt;AA2)</formula>
    </cfRule>
  </conditionalFormatting>
  <conditionalFormatting sqref="AC2:AC15">
    <cfRule type="expression" dxfId="2" priority="24">
      <formula>AND(C2&lt;&gt;"",C2&lt;&gt;AA2)</formula>
    </cfRule>
  </conditionalFormatting>
  <conditionalFormatting sqref="AD2:AD15">
    <cfRule type="expression" dxfId="2" priority="25">
      <formula>AND(C2&lt;&gt;"",C2&lt;&gt;AA2)</formula>
    </cfRule>
  </conditionalFormatting>
  <conditionalFormatting sqref="AE2:AE15">
    <cfRule type="expression" dxfId="2" priority="26">
      <formula>AND(C2&lt;&gt;"",C2&lt;&gt;AA2)</formula>
    </cfRule>
  </conditionalFormatting>
  <conditionalFormatting sqref="AF2:AF15">
    <cfRule type="expression" dxfId="2" priority="27">
      <formula>AND(C2&lt;&gt;"",C2&lt;&gt;AF2)</formula>
    </cfRule>
  </conditionalFormatting>
  <conditionalFormatting sqref="AG2:AG15">
    <cfRule type="expression" dxfId="2" priority="28">
      <formula>AND(C2&lt;&gt;"",C2&lt;&gt;AF2)</formula>
    </cfRule>
  </conditionalFormatting>
  <conditionalFormatting sqref="AH2:AH15">
    <cfRule type="expression" dxfId="2" priority="29">
      <formula>AND(C2&lt;&gt;"",C2&lt;&gt;AF2)</formula>
    </cfRule>
  </conditionalFormatting>
  <conditionalFormatting sqref="AI2:AI15">
    <cfRule type="expression" dxfId="2" priority="30">
      <formula>AND(C2&lt;&gt;"",C2&lt;&gt;AF2)</formula>
    </cfRule>
  </conditionalFormatting>
  <conditionalFormatting sqref="AJ2:AJ15">
    <cfRule type="expression" dxfId="2" priority="31">
      <formula>AND(C2&lt;&gt;"",C2&lt;&gt;AF2)</formula>
    </cfRule>
  </conditionalFormatting>
  <conditionalFormatting sqref="AK2:AK15">
    <cfRule type="expression" dxfId="2" priority="32">
      <formula>AND(C2&lt;&gt;"",C2&lt;&gt;AK2)</formula>
    </cfRule>
  </conditionalFormatting>
  <conditionalFormatting sqref="AL2:AL15">
    <cfRule type="expression" dxfId="2" priority="33">
      <formula>AND(C2&lt;&gt;"",C2&lt;&gt;AK2)</formula>
    </cfRule>
  </conditionalFormatting>
  <conditionalFormatting sqref="AM2:AM15">
    <cfRule type="expression" dxfId="2" priority="34">
      <formula>AND(C2&lt;&gt;"",C2&lt;&gt;AK2)</formula>
    </cfRule>
  </conditionalFormatting>
  <conditionalFormatting sqref="AN2:AN15">
    <cfRule type="expression" dxfId="2" priority="35">
      <formula>AND(C2&lt;&gt;"",C2&lt;&gt;AK2)</formula>
    </cfRule>
  </conditionalFormatting>
  <conditionalFormatting sqref="AO2:AO15">
    <cfRule type="expression" dxfId="2" priority="36">
      <formula>AND(C2&lt;&gt;"",C2&lt;&gt;AK2)</formula>
    </cfRule>
  </conditionalFormatting>
  <conditionalFormatting sqref="AP2:AP15">
    <cfRule type="expression" dxfId="2" priority="37">
      <formula>AND(C2&lt;&gt;"",C2&lt;&gt;AP2)</formula>
    </cfRule>
  </conditionalFormatting>
  <conditionalFormatting sqref="AQ2:AQ15">
    <cfRule type="expression" dxfId="2" priority="38">
      <formula>AND(C2&lt;&gt;"",C2&lt;&gt;AP2)</formula>
    </cfRule>
  </conditionalFormatting>
  <conditionalFormatting sqref="AR2:AR15">
    <cfRule type="expression" dxfId="2" priority="39">
      <formula>AND(C2&lt;&gt;"",C2&lt;&gt;AP2)</formula>
    </cfRule>
  </conditionalFormatting>
  <conditionalFormatting sqref="AS2:AS15">
    <cfRule type="expression" dxfId="2" priority="40">
      <formula>AND(C2&lt;&gt;"",C2&lt;&gt;AP2)</formula>
    </cfRule>
  </conditionalFormatting>
  <conditionalFormatting sqref="AT2:AT15">
    <cfRule type="expression" dxfId="2" priority="41">
      <formula>AND(C2&lt;&gt;"",C2&lt;&gt;AP2)</formula>
    </cfRule>
  </conditionalFormatting>
  <conditionalFormatting sqref="AU2:AU15">
    <cfRule type="expression" dxfId="2" priority="42">
      <formula>AND(C2&lt;&gt;"",C2&lt;&gt;AU2)</formula>
    </cfRule>
  </conditionalFormatting>
  <conditionalFormatting sqref="AV2:AV15">
    <cfRule type="expression" dxfId="2" priority="43">
      <formula>AND(C2&lt;&gt;"",C2&lt;&gt;AU2)</formula>
    </cfRule>
  </conditionalFormatting>
  <conditionalFormatting sqref="AW2:AW15">
    <cfRule type="expression" dxfId="2" priority="44">
      <formula>AND(C2&lt;&gt;"",C2&lt;&gt;AU2)</formula>
    </cfRule>
  </conditionalFormatting>
  <conditionalFormatting sqref="AX2:AX15">
    <cfRule type="expression" dxfId="2" priority="45">
      <formula>AND(C2&lt;&gt;"",C2&lt;&gt;AU2)</formula>
    </cfRule>
  </conditionalFormatting>
  <conditionalFormatting sqref="AY2:AY15">
    <cfRule type="expression" dxfId="2" priority="46">
      <formula>AND(C2&lt;&gt;"",C2&lt;&gt;AU2)</formula>
    </cfRule>
  </conditionalFormatting>
  <conditionalFormatting sqref="AZ2:AZ15">
    <cfRule type="expression" dxfId="2" priority="47">
      <formula>AND(C2&lt;&gt;"",C2&lt;&gt;AZ2)</formula>
    </cfRule>
  </conditionalFormatting>
  <conditionalFormatting sqref="BA2:BA15">
    <cfRule type="expression" dxfId="2" priority="48">
      <formula>AND(C2&lt;&gt;"",C2&lt;&gt;AZ2)</formula>
    </cfRule>
  </conditionalFormatting>
  <conditionalFormatting sqref="BB2:BB15">
    <cfRule type="expression" dxfId="2" priority="49">
      <formula>AND(C2&lt;&gt;"",C2&lt;&gt;AZ2)</formula>
    </cfRule>
  </conditionalFormatting>
  <conditionalFormatting sqref="BC2:BC15">
    <cfRule type="expression" dxfId="2" priority="50">
      <formula>AND(C2&lt;&gt;"",C2&lt;&gt;AZ2)</formula>
    </cfRule>
  </conditionalFormatting>
  <conditionalFormatting sqref="BD2:BD15">
    <cfRule type="expression" dxfId="2" priority="51">
      <formula>AND(C2&lt;&gt;"",C2&lt;&gt;AZ2)</formula>
    </cfRule>
  </conditionalFormatting>
  <conditionalFormatting sqref="BE2:BE15">
    <cfRule type="expression" dxfId="2" priority="52">
      <formula>AND(C2&lt;&gt;"",C2&lt;&gt;BE2)</formula>
    </cfRule>
  </conditionalFormatting>
  <conditionalFormatting sqref="BF2:BF15">
    <cfRule type="expression" dxfId="2" priority="53">
      <formula>AND(C2&lt;&gt;"",C2&lt;&gt;BE2)</formula>
    </cfRule>
  </conditionalFormatting>
  <conditionalFormatting sqref="BG2:BG15">
    <cfRule type="expression" dxfId="2" priority="54">
      <formula>AND(C2&lt;&gt;"",C2&lt;&gt;BE2)</formula>
    </cfRule>
  </conditionalFormatting>
  <conditionalFormatting sqref="BH2:BH15">
    <cfRule type="expression" dxfId="2" priority="55">
      <formula>AND(C2&lt;&gt;"",C2&lt;&gt;BE2)</formula>
    </cfRule>
  </conditionalFormatting>
  <conditionalFormatting sqref="BI2:BI15">
    <cfRule type="expression" dxfId="2" priority="56">
      <formula>AND(C2&lt;&gt;"",C2&lt;&gt;BE2)</formula>
    </cfRule>
  </conditionalFormatting>
  <conditionalFormatting sqref="BJ2:BJ15">
    <cfRule type="expression" dxfId="2" priority="57">
      <formula>AND(C2&lt;&gt;"",C2&lt;&gt;BJ2)</formula>
    </cfRule>
  </conditionalFormatting>
  <conditionalFormatting sqref="BK2:BK15">
    <cfRule type="expression" dxfId="2" priority="58">
      <formula>AND(C2&lt;&gt;"",C2&lt;&gt;BJ2)</formula>
    </cfRule>
  </conditionalFormatting>
  <conditionalFormatting sqref="BL2:BL15">
    <cfRule type="expression" dxfId="2" priority="59">
      <formula>AND(C2&lt;&gt;"",C2&lt;&gt;BJ2)</formula>
    </cfRule>
  </conditionalFormatting>
  <conditionalFormatting sqref="BM2:BM15">
    <cfRule type="expression" dxfId="2" priority="60">
      <formula>AND(C2&lt;&gt;"",C2&lt;&gt;BJ2)</formula>
    </cfRule>
  </conditionalFormatting>
  <conditionalFormatting sqref="BN2:BN15">
    <cfRule type="expression" dxfId="2" priority="61">
      <formula>AND(C2&lt;&gt;"",C2&lt;&gt;BJ2)</formula>
    </cfRule>
  </conditionalFormatting>
  <conditionalFormatting sqref="G2:G15">
    <cfRule type="expression" dxfId="3" priority="62">
      <formula>G2=C2</formula>
    </cfRule>
  </conditionalFormatting>
  <conditionalFormatting sqref="H2:H15">
    <cfRule type="expression" dxfId="3" priority="63">
      <formula>G2=C2</formula>
    </cfRule>
  </conditionalFormatting>
  <conditionalFormatting sqref="I2:I15">
    <cfRule type="expression" dxfId="3" priority="64">
      <formula>G2=C2</formula>
    </cfRule>
  </conditionalFormatting>
  <conditionalFormatting sqref="J2:J15">
    <cfRule type="expression" dxfId="3" priority="65">
      <formula>G2=C2</formula>
    </cfRule>
  </conditionalFormatting>
  <conditionalFormatting sqref="K2:K15">
    <cfRule type="expression" dxfId="3" priority="66">
      <formula>G2=C2</formula>
    </cfRule>
  </conditionalFormatting>
  <conditionalFormatting sqref="L2:L15">
    <cfRule type="expression" dxfId="3" priority="67">
      <formula>L2=C2</formula>
    </cfRule>
  </conditionalFormatting>
  <conditionalFormatting sqref="M2:M15">
    <cfRule type="expression" dxfId="3" priority="68">
      <formula>L2=C2</formula>
    </cfRule>
  </conditionalFormatting>
  <conditionalFormatting sqref="N2:N15">
    <cfRule type="expression" dxfId="3" priority="69">
      <formula>L2=C2</formula>
    </cfRule>
  </conditionalFormatting>
  <conditionalFormatting sqref="O2:O15">
    <cfRule type="expression" dxfId="3" priority="70">
      <formula>L2=C2</formula>
    </cfRule>
  </conditionalFormatting>
  <conditionalFormatting sqref="P2:P15">
    <cfRule type="expression" dxfId="3" priority="71">
      <formula>L2=C2</formula>
    </cfRule>
  </conditionalFormatting>
  <conditionalFormatting sqref="Q2:Q15">
    <cfRule type="expression" dxfId="3" priority="72">
      <formula>Q2=C2</formula>
    </cfRule>
  </conditionalFormatting>
  <conditionalFormatting sqref="R2:R15">
    <cfRule type="expression" dxfId="3" priority="73">
      <formula>Q2=C2</formula>
    </cfRule>
  </conditionalFormatting>
  <conditionalFormatting sqref="S2:S15">
    <cfRule type="expression" dxfId="3" priority="74">
      <formula>Q2=C2</formula>
    </cfRule>
  </conditionalFormatting>
  <conditionalFormatting sqref="T2:T15">
    <cfRule type="expression" dxfId="3" priority="75">
      <formula>Q2=C2</formula>
    </cfRule>
  </conditionalFormatting>
  <conditionalFormatting sqref="U2:U15">
    <cfRule type="expression" dxfId="3" priority="76">
      <formula>Q2=C2</formula>
    </cfRule>
  </conditionalFormatting>
  <conditionalFormatting sqref="V2:Z15">
    <cfRule type="expression" dxfId="0" priority="77">
      <formula>AND($X19=$C19,$C19=0)</formula>
    </cfRule>
  </conditionalFormatting>
  <conditionalFormatting sqref="V2:Z15">
    <cfRule type="expression" dxfId="7" priority="78">
      <formula>$X19=$C19</formula>
    </cfRule>
  </conditionalFormatting>
  <conditionalFormatting sqref="V2:Z15">
    <cfRule type="expression" dxfId="3" priority="79">
      <formula>$V2=$C2</formula>
    </cfRule>
  </conditionalFormatting>
  <conditionalFormatting sqref="AA2:AE15">
    <cfRule type="expression" dxfId="0" priority="80">
      <formula>AND($AC19=$C19,$C19=0)</formula>
    </cfRule>
  </conditionalFormatting>
  <conditionalFormatting sqref="AA2:AE15">
    <cfRule type="expression" dxfId="7" priority="81">
      <formula>$AC19=$C19</formula>
    </cfRule>
  </conditionalFormatting>
  <conditionalFormatting sqref="AA2:AE15">
    <cfRule type="expression" dxfId="3" priority="82">
      <formula>$AA2=$C2</formula>
    </cfRule>
  </conditionalFormatting>
  <conditionalFormatting sqref="AF2:AJ15">
    <cfRule type="expression" dxfId="0" priority="83">
      <formula>AND($AH19=$C19,$C19=0)</formula>
    </cfRule>
  </conditionalFormatting>
  <conditionalFormatting sqref="AF2:AJ15">
    <cfRule type="expression" dxfId="7" priority="84">
      <formula>$AH19=$C19</formula>
    </cfRule>
  </conditionalFormatting>
  <conditionalFormatting sqref="AF2:AJ15">
    <cfRule type="expression" dxfId="3" priority="85">
      <formula>$AF2=$C2</formula>
    </cfRule>
  </conditionalFormatting>
  <conditionalFormatting sqref="AK2:AO15">
    <cfRule type="expression" dxfId="0" priority="86">
      <formula>AND($AM19=$C19,$C19=0)</formula>
    </cfRule>
  </conditionalFormatting>
  <conditionalFormatting sqref="AK2:AO15">
    <cfRule type="expression" dxfId="7" priority="87">
      <formula>$AM19=$C19</formula>
    </cfRule>
  </conditionalFormatting>
  <conditionalFormatting sqref="AK2:AO15">
    <cfRule type="expression" dxfId="3" priority="88">
      <formula>$AK2=$C2</formula>
    </cfRule>
  </conditionalFormatting>
  <conditionalFormatting sqref="AP2:AT15">
    <cfRule type="expression" dxfId="0" priority="89">
      <formula>AND($AR19=$C19,$C19=0)</formula>
    </cfRule>
  </conditionalFormatting>
  <conditionalFormatting sqref="AP2:AT15">
    <cfRule type="expression" dxfId="7" priority="90">
      <formula>$AR19=$C19</formula>
    </cfRule>
  </conditionalFormatting>
  <conditionalFormatting sqref="AP2:AT15">
    <cfRule type="expression" dxfId="3" priority="91">
      <formula>$AP2=$C2</formula>
    </cfRule>
  </conditionalFormatting>
  <conditionalFormatting sqref="AU2:AY15">
    <cfRule type="expression" dxfId="0" priority="92">
      <formula>AND($AW19=$C19,$C19=0)</formula>
    </cfRule>
  </conditionalFormatting>
  <conditionalFormatting sqref="AU2:AY15">
    <cfRule type="expression" dxfId="7" priority="93">
      <formula>$AW19=$C19</formula>
    </cfRule>
  </conditionalFormatting>
  <conditionalFormatting sqref="AU2:AY15">
    <cfRule type="expression" dxfId="3" priority="94">
      <formula>$AU2=$C2</formula>
    </cfRule>
  </conditionalFormatting>
  <conditionalFormatting sqref="AZ2:BD15">
    <cfRule type="expression" dxfId="0" priority="95">
      <formula>AND($BB19=$C19,$C19=0)</formula>
    </cfRule>
  </conditionalFormatting>
  <conditionalFormatting sqref="AZ2:BD15">
    <cfRule type="expression" dxfId="7" priority="96">
      <formula>$BB19=$C19</formula>
    </cfRule>
  </conditionalFormatting>
  <conditionalFormatting sqref="AZ2:BD15">
    <cfRule type="expression" dxfId="3" priority="97">
      <formula>$AZ2=$C2</formula>
    </cfRule>
  </conditionalFormatting>
  <conditionalFormatting sqref="BE2:BI15">
    <cfRule type="expression" dxfId="0" priority="98">
      <formula>AND($BG19=$C19,$C19=0)</formula>
    </cfRule>
  </conditionalFormatting>
  <conditionalFormatting sqref="BE2:BI15">
    <cfRule type="expression" dxfId="7" priority="99">
      <formula>$BG19=$C19</formula>
    </cfRule>
  </conditionalFormatting>
  <conditionalFormatting sqref="BE2:BI15">
    <cfRule type="expression" dxfId="3" priority="100">
      <formula>$BE2=$C2</formula>
    </cfRule>
  </conditionalFormatting>
  <conditionalFormatting sqref="BJ2:BN15">
    <cfRule type="expression" dxfId="0" priority="101">
      <formula>AND($BL19=$C19,$C19=0)</formula>
    </cfRule>
  </conditionalFormatting>
  <conditionalFormatting sqref="BJ2:BN15">
    <cfRule type="expression" dxfId="7" priority="102">
      <formula>$BL19=$C19</formula>
    </cfRule>
  </conditionalFormatting>
  <conditionalFormatting sqref="BJ2:BN15">
    <cfRule type="expression" dxfId="3" priority="103">
      <formula>$BJ2=$C2</formula>
    </cfRule>
  </conditionalFormatting>
  <conditionalFormatting sqref="G2:K15">
    <cfRule type="expression" dxfId="2" priority="104">
      <formula>AND($C2&lt;&gt;"",$G2&lt;&gt;$C2)</formula>
    </cfRule>
  </conditionalFormatting>
  <conditionalFormatting sqref="C43:C59">
    <cfRule type="cellIs" dxfId="4" priority="105" operator="equal">
      <formula>1</formula>
    </cfRule>
  </conditionalFormatting>
  <conditionalFormatting sqref="C43:C59">
    <cfRule type="cellIs" dxfId="5" priority="106" operator="equal">
      <formula>2</formula>
    </cfRule>
  </conditionalFormatting>
  <conditionalFormatting sqref="C43:C59">
    <cfRule type="cellIs" dxfId="6" priority="107" operator="equal">
      <formula>3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241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242</v>
      </c>
      <c r="B2" s="30" t="s">
        <v>243</v>
      </c>
      <c r="C2" s="18" t="str">
        <f>IFERROR(__xludf.DUMMYFUNCTION("IMPORTRANGE(""https://docs.google.com/spreadsheets/d/1v9a6MxzpyXdVbef97sptWrOJUpuAu6ldKC6wbegqpyg/edit?gid=382954377#gid=382954377"",""Week 11!C3:F15"")"),"")</f>
        <v/>
      </c>
      <c r="D2" s="11" t="str">
        <f>IFERROR(__xludf.DUMMYFUNCTION("""COMPUTED_VALUE"""),"")</f>
        <v/>
      </c>
      <c r="E2" s="19"/>
      <c r="F2" s="20"/>
      <c r="G2" s="19" t="s">
        <v>69</v>
      </c>
      <c r="H2" s="11" t="str">
        <f t="shared" ref="H2:H14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24.0</v>
      </c>
      <c r="J2" s="19">
        <v>31.0</v>
      </c>
      <c r="K2" s="20" t="b">
        <v>0</v>
      </c>
      <c r="L2" s="24" t="s">
        <v>76</v>
      </c>
      <c r="M2" s="26" t="str">
        <f t="shared" ref="M2:M14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23.0</v>
      </c>
      <c r="O2" s="24">
        <v>20.0</v>
      </c>
      <c r="P2" s="24" t="b">
        <v>0</v>
      </c>
      <c r="Q2" s="27" t="s">
        <v>76</v>
      </c>
      <c r="R2" s="11" t="str">
        <f t="shared" ref="R2:R14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28.0</v>
      </c>
      <c r="T2" s="19">
        <v>21.0</v>
      </c>
      <c r="U2" s="20" t="b">
        <v>0</v>
      </c>
      <c r="V2" s="19" t="s">
        <v>69</v>
      </c>
      <c r="W2" s="11" t="str">
        <f t="shared" ref="W2:W14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20.0</v>
      </c>
      <c r="Y2" s="19">
        <v>24.0</v>
      </c>
      <c r="Z2" s="20" t="b">
        <v>0</v>
      </c>
      <c r="AA2" s="27" t="s">
        <v>69</v>
      </c>
      <c r="AB2" s="11" t="str">
        <f t="shared" ref="AB2:AB14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69</v>
      </c>
      <c r="AG2" s="11" t="str">
        <f t="shared" ref="AG2:AG14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17.0</v>
      </c>
      <c r="AI2" s="19">
        <v>21.0</v>
      </c>
      <c r="AJ2" s="20" t="b">
        <v>0</v>
      </c>
      <c r="AK2" s="19" t="s">
        <v>69</v>
      </c>
      <c r="AL2" s="11" t="str">
        <f t="shared" ref="AL2:AL14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14.0</v>
      </c>
      <c r="AN2" s="19">
        <v>17.0</v>
      </c>
      <c r="AO2" s="20" t="b">
        <v>0</v>
      </c>
      <c r="AP2" s="27" t="s">
        <v>69</v>
      </c>
      <c r="AQ2" s="11" t="str">
        <f t="shared" ref="AQ2:AQ14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20.0</v>
      </c>
      <c r="AS2" s="19">
        <v>27.0</v>
      </c>
      <c r="AT2" s="20" t="b">
        <v>0</v>
      </c>
      <c r="AU2" s="27" t="s">
        <v>69</v>
      </c>
      <c r="AV2" s="11" t="str">
        <f t="shared" ref="AV2:AV14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21.0</v>
      </c>
      <c r="AX2" s="19">
        <v>28.0</v>
      </c>
      <c r="AY2" s="20" t="b">
        <v>0</v>
      </c>
      <c r="AZ2" s="27" t="s">
        <v>69</v>
      </c>
      <c r="BA2" s="11" t="str">
        <f t="shared" ref="BA2:BA14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69</v>
      </c>
      <c r="BF2" s="11" t="str">
        <f t="shared" ref="BF2:BF14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17.0</v>
      </c>
      <c r="BH2" s="19">
        <v>21.0</v>
      </c>
      <c r="BI2" s="20" t="b">
        <v>0</v>
      </c>
      <c r="BJ2" s="27" t="s">
        <v>69</v>
      </c>
      <c r="BK2" s="11" t="str">
        <f t="shared" ref="BK2:BK14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20.0</v>
      </c>
      <c r="BM2" s="19">
        <v>23.0</v>
      </c>
      <c r="BN2" s="20" t="b">
        <v>0</v>
      </c>
      <c r="BO2" s="19"/>
      <c r="BP2" s="19"/>
      <c r="BQ2" s="19"/>
    </row>
    <row r="3">
      <c r="A3" s="16" t="s">
        <v>263</v>
      </c>
      <c r="B3" s="17" t="s">
        <v>264</v>
      </c>
      <c r="C3" s="18"/>
      <c r="D3" s="11" t="str">
        <f>IFERROR(__xludf.DUMMYFUNCTION("""COMPUTED_VALUE"""),"")</f>
        <v/>
      </c>
      <c r="E3" s="17"/>
      <c r="F3" s="31"/>
      <c r="G3" s="19" t="s">
        <v>41</v>
      </c>
      <c r="H3" s="11" t="str">
        <f t="shared" si="1"/>
        <v/>
      </c>
      <c r="I3" s="19">
        <v>24.0</v>
      </c>
      <c r="J3" s="19">
        <v>27.0</v>
      </c>
      <c r="K3" s="20" t="b">
        <v>0</v>
      </c>
      <c r="L3" s="19" t="s">
        <v>61</v>
      </c>
      <c r="M3" s="11" t="str">
        <f t="shared" si="2"/>
        <v/>
      </c>
      <c r="N3" s="19">
        <v>28.0</v>
      </c>
      <c r="O3" s="19">
        <v>21.0</v>
      </c>
      <c r="P3" s="19" t="b">
        <v>0</v>
      </c>
      <c r="Q3" s="27" t="s">
        <v>61</v>
      </c>
      <c r="R3" s="11" t="str">
        <f t="shared" si="3"/>
        <v/>
      </c>
      <c r="S3" s="19">
        <v>28.0</v>
      </c>
      <c r="T3" s="19">
        <v>21.0</v>
      </c>
      <c r="U3" s="20" t="b">
        <v>0</v>
      </c>
      <c r="V3" s="19" t="s">
        <v>61</v>
      </c>
      <c r="W3" s="11" t="str">
        <f t="shared" si="4"/>
        <v/>
      </c>
      <c r="X3" s="19">
        <v>21.0</v>
      </c>
      <c r="Y3" s="19">
        <v>17.0</v>
      </c>
      <c r="Z3" s="20" t="b">
        <v>0</v>
      </c>
      <c r="AA3" s="27" t="s">
        <v>61</v>
      </c>
      <c r="AB3" s="11" t="str">
        <f t="shared" si="5"/>
        <v/>
      </c>
      <c r="AC3" s="19">
        <v>24.0</v>
      </c>
      <c r="AD3" s="19">
        <v>17.0</v>
      </c>
      <c r="AE3" s="19" t="b">
        <v>0</v>
      </c>
      <c r="AF3" s="27" t="s">
        <v>61</v>
      </c>
      <c r="AG3" s="11" t="str">
        <f t="shared" si="6"/>
        <v/>
      </c>
      <c r="AH3" s="19">
        <v>23.0</v>
      </c>
      <c r="AI3" s="19">
        <v>20.0</v>
      </c>
      <c r="AJ3" s="20" t="b">
        <v>0</v>
      </c>
      <c r="AK3" s="19" t="s">
        <v>61</v>
      </c>
      <c r="AL3" s="11" t="str">
        <f t="shared" si="7"/>
        <v/>
      </c>
      <c r="AM3" s="19">
        <v>17.0</v>
      </c>
      <c r="AN3" s="19">
        <v>14.0</v>
      </c>
      <c r="AO3" s="20" t="b">
        <v>0</v>
      </c>
      <c r="AP3" s="27" t="s">
        <v>61</v>
      </c>
      <c r="AQ3" s="11" t="str">
        <f t="shared" si="8"/>
        <v/>
      </c>
      <c r="AR3" s="19">
        <v>27.0</v>
      </c>
      <c r="AS3" s="19">
        <v>13.0</v>
      </c>
      <c r="AT3" s="20" t="b">
        <v>1</v>
      </c>
      <c r="AU3" s="27" t="s">
        <v>61</v>
      </c>
      <c r="AV3" s="11" t="str">
        <f t="shared" si="9"/>
        <v/>
      </c>
      <c r="AW3" s="19">
        <v>14.0</v>
      </c>
      <c r="AX3" s="19">
        <v>10.0</v>
      </c>
      <c r="AY3" s="20" t="b">
        <v>0</v>
      </c>
      <c r="AZ3" s="27" t="s">
        <v>61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41</v>
      </c>
      <c r="BF3" s="11" t="str">
        <f t="shared" si="11"/>
        <v/>
      </c>
      <c r="BG3" s="19">
        <v>10.0</v>
      </c>
      <c r="BH3" s="19">
        <v>14.0</v>
      </c>
      <c r="BI3" s="20" t="b">
        <v>0</v>
      </c>
      <c r="BJ3" s="27" t="s">
        <v>61</v>
      </c>
      <c r="BK3" s="11" t="str">
        <f t="shared" si="12"/>
        <v/>
      </c>
      <c r="BL3" s="19">
        <v>31.0</v>
      </c>
      <c r="BM3" s="19">
        <v>24.0</v>
      </c>
      <c r="BN3" s="20" t="b">
        <v>0</v>
      </c>
      <c r="BO3" s="17"/>
      <c r="BP3" s="17"/>
      <c r="BQ3" s="17"/>
    </row>
    <row r="4">
      <c r="A4" s="16" t="s">
        <v>263</v>
      </c>
      <c r="B4" s="17" t="s">
        <v>268</v>
      </c>
      <c r="C4" s="18"/>
      <c r="D4" s="11" t="str">
        <f>IFERROR(__xludf.DUMMYFUNCTION("""COMPUTED_VALUE"""),"")</f>
        <v/>
      </c>
      <c r="E4" s="19"/>
      <c r="F4" s="20"/>
      <c r="G4" s="19" t="s">
        <v>44</v>
      </c>
      <c r="H4" s="11" t="str">
        <f t="shared" si="1"/>
        <v/>
      </c>
      <c r="I4" s="19">
        <v>24.0</v>
      </c>
      <c r="J4" s="19">
        <v>27.0</v>
      </c>
      <c r="K4" s="20" t="b">
        <v>0</v>
      </c>
      <c r="L4" s="19" t="s">
        <v>44</v>
      </c>
      <c r="M4" s="11" t="str">
        <f t="shared" si="2"/>
        <v/>
      </c>
      <c r="N4" s="19">
        <v>20.0</v>
      </c>
      <c r="O4" s="19">
        <v>23.0</v>
      </c>
      <c r="P4" s="19" t="b">
        <v>0</v>
      </c>
      <c r="Q4" s="27" t="s">
        <v>44</v>
      </c>
      <c r="R4" s="11" t="str">
        <f t="shared" si="3"/>
        <v/>
      </c>
      <c r="S4" s="19">
        <v>7.0</v>
      </c>
      <c r="T4" s="19">
        <v>10.0</v>
      </c>
      <c r="U4" s="20" t="b">
        <v>1</v>
      </c>
      <c r="V4" s="19" t="s">
        <v>126</v>
      </c>
      <c r="W4" s="11" t="str">
        <f t="shared" si="4"/>
        <v/>
      </c>
      <c r="X4" s="19">
        <v>28.0</v>
      </c>
      <c r="Y4" s="19">
        <v>21.0</v>
      </c>
      <c r="Z4" s="20" t="b">
        <v>0</v>
      </c>
      <c r="AA4" s="27" t="s">
        <v>126</v>
      </c>
      <c r="AB4" s="11" t="str">
        <f t="shared" si="5"/>
        <v/>
      </c>
      <c r="AC4" s="19">
        <v>24.0</v>
      </c>
      <c r="AD4" s="19">
        <v>17.0</v>
      </c>
      <c r="AE4" s="19" t="b">
        <v>1</v>
      </c>
      <c r="AF4" s="27" t="s">
        <v>44</v>
      </c>
      <c r="AG4" s="11" t="str">
        <f t="shared" si="6"/>
        <v/>
      </c>
      <c r="AH4" s="19">
        <v>14.0</v>
      </c>
      <c r="AI4" s="19">
        <v>17.0</v>
      </c>
      <c r="AJ4" s="20" t="b">
        <v>0</v>
      </c>
      <c r="AK4" s="19" t="s">
        <v>44</v>
      </c>
      <c r="AL4" s="11" t="str">
        <f t="shared" si="7"/>
        <v/>
      </c>
      <c r="AM4" s="19">
        <v>7.0</v>
      </c>
      <c r="AN4" s="19">
        <v>10.0</v>
      </c>
      <c r="AO4" s="20" t="b">
        <v>0</v>
      </c>
      <c r="AP4" s="27" t="s">
        <v>44</v>
      </c>
      <c r="AQ4" s="11" t="str">
        <f t="shared" si="8"/>
        <v/>
      </c>
      <c r="AR4" s="19">
        <v>17.0</v>
      </c>
      <c r="AS4" s="19">
        <v>23.0</v>
      </c>
      <c r="AT4" s="20" t="b">
        <v>0</v>
      </c>
      <c r="AU4" s="27" t="s">
        <v>44</v>
      </c>
      <c r="AV4" s="11" t="str">
        <f t="shared" si="9"/>
        <v/>
      </c>
      <c r="AW4" s="19">
        <v>24.0</v>
      </c>
      <c r="AX4" s="19">
        <v>27.0</v>
      </c>
      <c r="AY4" s="20" t="b">
        <v>1</v>
      </c>
      <c r="AZ4" s="27" t="s">
        <v>44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126</v>
      </c>
      <c r="BF4" s="11" t="str">
        <f t="shared" si="11"/>
        <v/>
      </c>
      <c r="BG4" s="19">
        <v>21.0</v>
      </c>
      <c r="BH4" s="19">
        <v>17.0</v>
      </c>
      <c r="BI4" s="20" t="b">
        <v>0</v>
      </c>
      <c r="BJ4" s="27" t="s">
        <v>126</v>
      </c>
      <c r="BK4" s="11" t="str">
        <f t="shared" si="12"/>
        <v/>
      </c>
      <c r="BL4" s="19">
        <v>31.0</v>
      </c>
      <c r="BM4" s="19">
        <v>24.0</v>
      </c>
      <c r="BN4" s="20" t="b">
        <v>0</v>
      </c>
      <c r="BO4" s="17"/>
      <c r="BP4" s="17"/>
      <c r="BQ4" s="17"/>
    </row>
    <row r="5">
      <c r="A5" s="16" t="s">
        <v>263</v>
      </c>
      <c r="B5" s="17" t="s">
        <v>271</v>
      </c>
      <c r="C5" s="18"/>
      <c r="D5" s="11" t="str">
        <f>IFERROR(__xludf.DUMMYFUNCTION("""COMPUTED_VALUE"""),"")</f>
        <v/>
      </c>
      <c r="E5" s="19"/>
      <c r="F5" s="20"/>
      <c r="G5" s="19" t="s">
        <v>48</v>
      </c>
      <c r="H5" s="11" t="str">
        <f t="shared" si="1"/>
        <v/>
      </c>
      <c r="I5" s="19">
        <v>23.0</v>
      </c>
      <c r="J5" s="19">
        <v>20.0</v>
      </c>
      <c r="K5" s="20" t="b">
        <v>0</v>
      </c>
      <c r="L5" s="19" t="s">
        <v>27</v>
      </c>
      <c r="M5" s="11" t="str">
        <f t="shared" si="2"/>
        <v/>
      </c>
      <c r="N5" s="19">
        <v>17.0</v>
      </c>
      <c r="O5" s="19">
        <v>20.0</v>
      </c>
      <c r="P5" s="19" t="b">
        <v>0</v>
      </c>
      <c r="Q5" s="27" t="s">
        <v>27</v>
      </c>
      <c r="R5" s="11" t="str">
        <f t="shared" si="3"/>
        <v/>
      </c>
      <c r="S5" s="19">
        <v>21.0</v>
      </c>
      <c r="T5" s="19">
        <v>28.0</v>
      </c>
      <c r="U5" s="20" t="b">
        <v>0</v>
      </c>
      <c r="V5" s="19" t="s">
        <v>27</v>
      </c>
      <c r="W5" s="11" t="str">
        <f t="shared" si="4"/>
        <v/>
      </c>
      <c r="X5" s="19">
        <v>14.0</v>
      </c>
      <c r="Y5" s="19">
        <v>17.0</v>
      </c>
      <c r="Z5" s="20" t="b">
        <v>0</v>
      </c>
      <c r="AA5" s="27" t="s">
        <v>48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48</v>
      </c>
      <c r="AG5" s="11" t="str">
        <f t="shared" si="6"/>
        <v/>
      </c>
      <c r="AH5" s="19">
        <v>17.0</v>
      </c>
      <c r="AI5" s="19">
        <v>14.0</v>
      </c>
      <c r="AJ5" s="20" t="b">
        <v>0</v>
      </c>
      <c r="AK5" s="19" t="s">
        <v>27</v>
      </c>
      <c r="AL5" s="11" t="str">
        <f t="shared" si="7"/>
        <v/>
      </c>
      <c r="AM5" s="19">
        <v>24.0</v>
      </c>
      <c r="AN5" s="19">
        <v>27.0</v>
      </c>
      <c r="AO5" s="20" t="b">
        <v>0</v>
      </c>
      <c r="AP5" s="27" t="s">
        <v>27</v>
      </c>
      <c r="AQ5" s="11" t="str">
        <f t="shared" si="8"/>
        <v/>
      </c>
      <c r="AR5" s="19">
        <v>20.0</v>
      </c>
      <c r="AS5" s="19">
        <v>31.0</v>
      </c>
      <c r="AT5" s="20" t="b">
        <v>0</v>
      </c>
      <c r="AU5" s="27" t="s">
        <v>48</v>
      </c>
      <c r="AV5" s="11" t="str">
        <f t="shared" si="9"/>
        <v/>
      </c>
      <c r="AW5" s="19">
        <v>31.0</v>
      </c>
      <c r="AX5" s="19">
        <v>24.0</v>
      </c>
      <c r="AY5" s="20" t="b">
        <v>0</v>
      </c>
      <c r="AZ5" s="27" t="s">
        <v>27</v>
      </c>
      <c r="BA5" s="11" t="str">
        <f t="shared" si="10"/>
        <v/>
      </c>
      <c r="BB5" s="19">
        <v>20.0</v>
      </c>
      <c r="BC5" s="19">
        <v>23.0</v>
      </c>
      <c r="BD5" s="20" t="b">
        <v>0</v>
      </c>
      <c r="BE5" s="27" t="s">
        <v>27</v>
      </c>
      <c r="BF5" s="11" t="str">
        <f t="shared" si="11"/>
        <v/>
      </c>
      <c r="BG5" s="19">
        <v>21.0</v>
      </c>
      <c r="BH5" s="19">
        <v>28.0</v>
      </c>
      <c r="BI5" s="20" t="b">
        <v>0</v>
      </c>
      <c r="BJ5" s="27" t="s">
        <v>27</v>
      </c>
      <c r="BK5" s="11" t="str">
        <f t="shared" si="12"/>
        <v/>
      </c>
      <c r="BL5" s="19">
        <v>21.0</v>
      </c>
      <c r="BM5" s="19">
        <v>28.0</v>
      </c>
      <c r="BN5" s="20" t="b">
        <v>0</v>
      </c>
      <c r="BO5" s="17"/>
      <c r="BP5" s="17"/>
      <c r="BQ5" s="17"/>
    </row>
    <row r="6">
      <c r="A6" s="16" t="s">
        <v>263</v>
      </c>
      <c r="B6" s="30" t="s">
        <v>275</v>
      </c>
      <c r="C6" s="18"/>
      <c r="D6" s="11" t="str">
        <f>IFERROR(__xludf.DUMMYFUNCTION("""COMPUTED_VALUE"""),"")</f>
        <v/>
      </c>
      <c r="E6" s="19"/>
      <c r="F6" s="20"/>
      <c r="G6" s="19" t="s">
        <v>23</v>
      </c>
      <c r="H6" s="11" t="str">
        <f t="shared" si="1"/>
        <v/>
      </c>
      <c r="I6" s="19">
        <v>14.0</v>
      </c>
      <c r="J6" s="19">
        <v>20.0</v>
      </c>
      <c r="K6" s="20" t="b">
        <v>0</v>
      </c>
      <c r="L6" s="19" t="s">
        <v>23</v>
      </c>
      <c r="M6" s="11" t="str">
        <f t="shared" si="2"/>
        <v/>
      </c>
      <c r="N6" s="19">
        <v>21.0</v>
      </c>
      <c r="O6" s="19">
        <v>24.0</v>
      </c>
      <c r="P6" s="19" t="b">
        <v>0</v>
      </c>
      <c r="Q6" s="27" t="s">
        <v>23</v>
      </c>
      <c r="R6" s="11" t="str">
        <f t="shared" si="3"/>
        <v/>
      </c>
      <c r="S6" s="19">
        <v>17.0</v>
      </c>
      <c r="T6" s="19">
        <v>20.0</v>
      </c>
      <c r="U6" s="20" t="b">
        <v>0</v>
      </c>
      <c r="V6" s="19" t="s">
        <v>23</v>
      </c>
      <c r="W6" s="11" t="str">
        <f t="shared" si="4"/>
        <v/>
      </c>
      <c r="X6" s="19">
        <v>14.0</v>
      </c>
      <c r="Y6" s="19">
        <v>17.0</v>
      </c>
      <c r="Z6" s="20" t="b">
        <v>0</v>
      </c>
      <c r="AA6" s="27" t="s">
        <v>23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87</v>
      </c>
      <c r="AG6" s="11" t="str">
        <f t="shared" si="6"/>
        <v/>
      </c>
      <c r="AH6" s="19">
        <v>10.0</v>
      </c>
      <c r="AI6" s="19">
        <v>7.0</v>
      </c>
      <c r="AJ6" s="20" t="b">
        <v>0</v>
      </c>
      <c r="AK6" s="19" t="s">
        <v>23</v>
      </c>
      <c r="AL6" s="11" t="str">
        <f t="shared" si="7"/>
        <v/>
      </c>
      <c r="AM6" s="19">
        <v>17.0</v>
      </c>
      <c r="AN6" s="19">
        <v>20.0</v>
      </c>
      <c r="AO6" s="20" t="b">
        <v>0</v>
      </c>
      <c r="AP6" s="27" t="s">
        <v>23</v>
      </c>
      <c r="AQ6" s="11" t="str">
        <f t="shared" si="8"/>
        <v/>
      </c>
      <c r="AR6" s="19">
        <v>21.0</v>
      </c>
      <c r="AS6" s="19">
        <v>28.0</v>
      </c>
      <c r="AT6" s="20" t="b">
        <v>0</v>
      </c>
      <c r="AU6" s="27" t="s">
        <v>23</v>
      </c>
      <c r="AV6" s="11" t="str">
        <f t="shared" si="9"/>
        <v/>
      </c>
      <c r="AW6" s="19">
        <v>24.0</v>
      </c>
      <c r="AX6" s="19">
        <v>31.0</v>
      </c>
      <c r="AY6" s="20" t="b">
        <v>0</v>
      </c>
      <c r="AZ6" s="27" t="s">
        <v>23</v>
      </c>
      <c r="BA6" s="11" t="str">
        <f t="shared" si="10"/>
        <v/>
      </c>
      <c r="BB6" s="19">
        <v>20.0</v>
      </c>
      <c r="BC6" s="19">
        <v>23.0</v>
      </c>
      <c r="BD6" s="20" t="b">
        <v>1</v>
      </c>
      <c r="BE6" s="27" t="s">
        <v>87</v>
      </c>
      <c r="BF6" s="11" t="str">
        <f t="shared" si="11"/>
        <v/>
      </c>
      <c r="BG6" s="19">
        <v>20.0</v>
      </c>
      <c r="BH6" s="19">
        <v>17.0</v>
      </c>
      <c r="BI6" s="20" t="b">
        <v>0</v>
      </c>
      <c r="BJ6" s="27" t="s">
        <v>87</v>
      </c>
      <c r="BK6" s="11" t="str">
        <f t="shared" si="12"/>
        <v/>
      </c>
      <c r="BL6" s="19">
        <v>31.0</v>
      </c>
      <c r="BM6" s="19">
        <v>24.0</v>
      </c>
      <c r="BN6" s="20" t="b">
        <v>0</v>
      </c>
      <c r="BO6" s="17"/>
      <c r="BP6" s="17"/>
      <c r="BQ6" s="17"/>
    </row>
    <row r="7">
      <c r="A7" s="16" t="s">
        <v>263</v>
      </c>
      <c r="B7" s="17" t="s">
        <v>278</v>
      </c>
      <c r="C7" s="18"/>
      <c r="D7" s="11" t="str">
        <f>IFERROR(__xludf.DUMMYFUNCTION("""COMPUTED_VALUE"""),"")</f>
        <v/>
      </c>
      <c r="E7" s="19"/>
      <c r="F7" s="20"/>
      <c r="G7" s="19" t="s">
        <v>92</v>
      </c>
      <c r="H7" s="11" t="str">
        <f t="shared" si="1"/>
        <v/>
      </c>
      <c r="I7" s="19">
        <v>14.0</v>
      </c>
      <c r="J7" s="19">
        <v>17.0</v>
      </c>
      <c r="K7" s="20" t="b">
        <v>0</v>
      </c>
      <c r="L7" s="19" t="s">
        <v>71</v>
      </c>
      <c r="M7" s="11" t="str">
        <f t="shared" si="2"/>
        <v/>
      </c>
      <c r="N7" s="19">
        <v>24.0</v>
      </c>
      <c r="O7" s="19">
        <v>21.0</v>
      </c>
      <c r="P7" s="19" t="b">
        <v>1</v>
      </c>
      <c r="Q7" s="27" t="s">
        <v>71</v>
      </c>
      <c r="R7" s="11" t="str">
        <f t="shared" si="3"/>
        <v/>
      </c>
      <c r="S7" s="19">
        <v>28.0</v>
      </c>
      <c r="T7" s="19">
        <v>21.0</v>
      </c>
      <c r="U7" s="20" t="b">
        <v>0</v>
      </c>
      <c r="V7" s="19" t="s">
        <v>92</v>
      </c>
      <c r="W7" s="11" t="str">
        <f t="shared" si="4"/>
        <v/>
      </c>
      <c r="X7" s="19">
        <v>17.0</v>
      </c>
      <c r="Y7" s="19">
        <v>21.0</v>
      </c>
      <c r="Z7" s="20" t="b">
        <v>0</v>
      </c>
      <c r="AA7" s="27" t="s">
        <v>92</v>
      </c>
      <c r="AB7" s="11" t="str">
        <f t="shared" si="5"/>
        <v/>
      </c>
      <c r="AC7" s="19">
        <v>17.0</v>
      </c>
      <c r="AD7" s="19">
        <v>24.0</v>
      </c>
      <c r="AE7" s="19" t="b">
        <v>0</v>
      </c>
      <c r="AF7" s="27" t="s">
        <v>71</v>
      </c>
      <c r="AG7" s="11" t="str">
        <f t="shared" si="6"/>
        <v/>
      </c>
      <c r="AH7" s="19">
        <v>21.0</v>
      </c>
      <c r="AI7" s="19">
        <v>14.0</v>
      </c>
      <c r="AJ7" s="20" t="b">
        <v>0</v>
      </c>
      <c r="AK7" s="19" t="s">
        <v>92</v>
      </c>
      <c r="AL7" s="11" t="str">
        <f t="shared" si="7"/>
        <v/>
      </c>
      <c r="AM7" s="19">
        <v>17.0</v>
      </c>
      <c r="AN7" s="19">
        <v>20.0</v>
      </c>
      <c r="AO7" s="20" t="b">
        <v>0</v>
      </c>
      <c r="AP7" s="27" t="s">
        <v>92</v>
      </c>
      <c r="AQ7" s="11" t="str">
        <f t="shared" si="8"/>
        <v/>
      </c>
      <c r="AR7" s="19">
        <v>20.0</v>
      </c>
      <c r="AS7" s="19">
        <v>23.0</v>
      </c>
      <c r="AT7" s="20" t="b">
        <v>0</v>
      </c>
      <c r="AU7" s="27" t="s">
        <v>71</v>
      </c>
      <c r="AV7" s="11" t="str">
        <f t="shared" si="9"/>
        <v/>
      </c>
      <c r="AW7" s="19">
        <v>24.0</v>
      </c>
      <c r="AX7" s="19">
        <v>21.0</v>
      </c>
      <c r="AY7" s="20" t="b">
        <v>0</v>
      </c>
      <c r="AZ7" s="27" t="s">
        <v>71</v>
      </c>
      <c r="BA7" s="11" t="str">
        <f t="shared" si="10"/>
        <v/>
      </c>
      <c r="BB7" s="19">
        <v>23.0</v>
      </c>
      <c r="BC7" s="19">
        <v>20.0</v>
      </c>
      <c r="BD7" s="20" t="b">
        <v>0</v>
      </c>
      <c r="BE7" s="27" t="s">
        <v>71</v>
      </c>
      <c r="BF7" s="11" t="str">
        <f t="shared" si="11"/>
        <v/>
      </c>
      <c r="BG7" s="19">
        <v>23.0</v>
      </c>
      <c r="BH7" s="19">
        <v>20.0</v>
      </c>
      <c r="BI7" s="20" t="b">
        <v>0</v>
      </c>
      <c r="BJ7" s="27" t="s">
        <v>71</v>
      </c>
      <c r="BK7" s="11" t="str">
        <f t="shared" si="12"/>
        <v/>
      </c>
      <c r="BL7" s="19">
        <v>24.0</v>
      </c>
      <c r="BM7" s="19">
        <v>21.0</v>
      </c>
      <c r="BN7" s="20" t="b">
        <v>0</v>
      </c>
      <c r="BO7" s="17"/>
      <c r="BP7" s="17"/>
      <c r="BQ7" s="17"/>
    </row>
    <row r="8">
      <c r="A8" s="16" t="s">
        <v>263</v>
      </c>
      <c r="B8" s="17" t="s">
        <v>283</v>
      </c>
      <c r="C8" s="18"/>
      <c r="D8" s="11" t="str">
        <f>IFERROR(__xludf.DUMMYFUNCTION("""COMPUTED_VALUE"""),"")</f>
        <v/>
      </c>
      <c r="E8" s="19"/>
      <c r="F8" s="20"/>
      <c r="G8" s="19" t="s">
        <v>84</v>
      </c>
      <c r="H8" s="11" t="str">
        <f t="shared" si="1"/>
        <v/>
      </c>
      <c r="I8" s="19">
        <v>21.0</v>
      </c>
      <c r="J8" s="19">
        <v>24.0</v>
      </c>
      <c r="K8" s="20" t="b">
        <v>0</v>
      </c>
      <c r="L8" s="19" t="s">
        <v>84</v>
      </c>
      <c r="M8" s="11" t="str">
        <f t="shared" si="2"/>
        <v/>
      </c>
      <c r="N8" s="19">
        <v>24.0</v>
      </c>
      <c r="O8" s="19">
        <v>31.0</v>
      </c>
      <c r="P8" s="19" t="b">
        <v>0</v>
      </c>
      <c r="Q8" s="27" t="s">
        <v>84</v>
      </c>
      <c r="R8" s="11" t="str">
        <f t="shared" si="3"/>
        <v/>
      </c>
      <c r="S8" s="19">
        <v>7.0</v>
      </c>
      <c r="T8" s="19">
        <v>10.0</v>
      </c>
      <c r="U8" s="20" t="b">
        <v>0</v>
      </c>
      <c r="V8" s="19" t="s">
        <v>84</v>
      </c>
      <c r="W8" s="11" t="str">
        <f t="shared" si="4"/>
        <v/>
      </c>
      <c r="X8" s="19">
        <v>21.0</v>
      </c>
      <c r="Y8" s="19">
        <v>28.0</v>
      </c>
      <c r="Z8" s="20" t="b">
        <v>0</v>
      </c>
      <c r="AA8" s="27" t="s">
        <v>84</v>
      </c>
      <c r="AB8" s="11" t="str">
        <f t="shared" si="5"/>
        <v/>
      </c>
      <c r="AC8" s="19">
        <v>17.0</v>
      </c>
      <c r="AD8" s="19">
        <v>24.0</v>
      </c>
      <c r="AE8" s="19" t="b">
        <v>0</v>
      </c>
      <c r="AF8" s="27" t="s">
        <v>55</v>
      </c>
      <c r="AG8" s="11" t="str">
        <f t="shared" si="6"/>
        <v/>
      </c>
      <c r="AH8" s="19">
        <v>27.0</v>
      </c>
      <c r="AI8" s="19">
        <v>24.0</v>
      </c>
      <c r="AJ8" s="20" t="b">
        <v>0</v>
      </c>
      <c r="AK8" s="19" t="s">
        <v>84</v>
      </c>
      <c r="AL8" s="11" t="str">
        <f t="shared" si="7"/>
        <v/>
      </c>
      <c r="AM8" s="19">
        <v>10.0</v>
      </c>
      <c r="AN8" s="19">
        <v>23.0</v>
      </c>
      <c r="AO8" s="20" t="b">
        <v>1</v>
      </c>
      <c r="AP8" s="27" t="s">
        <v>84</v>
      </c>
      <c r="AQ8" s="11" t="str">
        <f t="shared" si="8"/>
        <v/>
      </c>
      <c r="AR8" s="19">
        <v>17.0</v>
      </c>
      <c r="AS8" s="19">
        <v>30.0</v>
      </c>
      <c r="AT8" s="20" t="b">
        <v>0</v>
      </c>
      <c r="AU8" s="27" t="s">
        <v>55</v>
      </c>
      <c r="AV8" s="11" t="str">
        <f t="shared" si="9"/>
        <v/>
      </c>
      <c r="AW8" s="19">
        <v>24.0</v>
      </c>
      <c r="AX8" s="19">
        <v>21.0</v>
      </c>
      <c r="AY8" s="20" t="b">
        <v>0</v>
      </c>
      <c r="AZ8" s="27" t="s">
        <v>84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84</v>
      </c>
      <c r="BF8" s="11" t="str">
        <f t="shared" si="11"/>
        <v/>
      </c>
      <c r="BG8" s="19">
        <v>14.0</v>
      </c>
      <c r="BH8" s="19">
        <v>17.0</v>
      </c>
      <c r="BI8" s="20" t="b">
        <v>1</v>
      </c>
      <c r="BJ8" s="27" t="s">
        <v>55</v>
      </c>
      <c r="BK8" s="11" t="str">
        <f t="shared" si="12"/>
        <v/>
      </c>
      <c r="BL8" s="19">
        <v>27.0</v>
      </c>
      <c r="BM8" s="19">
        <v>24.0</v>
      </c>
      <c r="BN8" s="20" t="b">
        <v>0</v>
      </c>
      <c r="BO8" s="19"/>
      <c r="BP8" s="19"/>
      <c r="BQ8" s="19"/>
    </row>
    <row r="9">
      <c r="A9" s="16" t="s">
        <v>263</v>
      </c>
      <c r="B9" s="17" t="s">
        <v>287</v>
      </c>
      <c r="C9" s="18"/>
      <c r="D9" s="11" t="str">
        <f>IFERROR(__xludf.DUMMYFUNCTION("""COMPUTED_VALUE"""),"")</f>
        <v/>
      </c>
      <c r="E9" s="19"/>
      <c r="F9" s="20"/>
      <c r="G9" s="19" t="s">
        <v>88</v>
      </c>
      <c r="H9" s="11" t="str">
        <f t="shared" si="1"/>
        <v/>
      </c>
      <c r="I9" s="19">
        <v>13.0</v>
      </c>
      <c r="J9" s="19">
        <v>20.0</v>
      </c>
      <c r="K9" s="20" t="b">
        <v>1</v>
      </c>
      <c r="L9" s="19" t="s">
        <v>93</v>
      </c>
      <c r="M9" s="11" t="str">
        <f t="shared" si="2"/>
        <v/>
      </c>
      <c r="N9" s="19">
        <v>20.0</v>
      </c>
      <c r="O9" s="19">
        <v>17.0</v>
      </c>
      <c r="P9" s="19" t="b">
        <v>0</v>
      </c>
      <c r="Q9" s="27" t="s">
        <v>88</v>
      </c>
      <c r="R9" s="11" t="str">
        <f t="shared" si="3"/>
        <v/>
      </c>
      <c r="S9" s="19">
        <v>24.0</v>
      </c>
      <c r="T9" s="19">
        <v>31.0</v>
      </c>
      <c r="U9" s="20" t="b">
        <v>0</v>
      </c>
      <c r="V9" s="19" t="s">
        <v>88</v>
      </c>
      <c r="W9" s="11" t="str">
        <f t="shared" si="4"/>
        <v/>
      </c>
      <c r="X9" s="19">
        <v>7.0</v>
      </c>
      <c r="Y9" s="19">
        <v>10.0</v>
      </c>
      <c r="Z9" s="20" t="b">
        <v>0</v>
      </c>
      <c r="AA9" s="27" t="s">
        <v>88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88</v>
      </c>
      <c r="AG9" s="11" t="str">
        <f t="shared" si="6"/>
        <v/>
      </c>
      <c r="AH9" s="19">
        <v>17.0</v>
      </c>
      <c r="AI9" s="19">
        <v>20.0</v>
      </c>
      <c r="AJ9" s="20" t="b">
        <v>0</v>
      </c>
      <c r="AK9" s="19" t="s">
        <v>88</v>
      </c>
      <c r="AL9" s="11" t="str">
        <f t="shared" si="7"/>
        <v/>
      </c>
      <c r="AM9" s="19">
        <v>10.0</v>
      </c>
      <c r="AN9" s="19">
        <v>14.0</v>
      </c>
      <c r="AO9" s="20" t="b">
        <v>0</v>
      </c>
      <c r="AP9" s="27" t="s">
        <v>88</v>
      </c>
      <c r="AQ9" s="11" t="str">
        <f t="shared" si="8"/>
        <v/>
      </c>
      <c r="AR9" s="19">
        <v>17.0</v>
      </c>
      <c r="AS9" s="19">
        <v>34.0</v>
      </c>
      <c r="AT9" s="20" t="b">
        <v>0</v>
      </c>
      <c r="AU9" s="27" t="s">
        <v>88</v>
      </c>
      <c r="AV9" s="11" t="str">
        <f t="shared" si="9"/>
        <v/>
      </c>
      <c r="AW9" s="19">
        <v>10.0</v>
      </c>
      <c r="AX9" s="19">
        <v>14.0</v>
      </c>
      <c r="AY9" s="20" t="b">
        <v>0</v>
      </c>
      <c r="AZ9" s="27" t="s">
        <v>88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88</v>
      </c>
      <c r="BF9" s="11" t="str">
        <f t="shared" si="11"/>
        <v/>
      </c>
      <c r="BG9" s="19">
        <v>7.0</v>
      </c>
      <c r="BH9" s="19">
        <v>10.0</v>
      </c>
      <c r="BI9" s="20" t="b">
        <v>0</v>
      </c>
      <c r="BJ9" s="27" t="s">
        <v>93</v>
      </c>
      <c r="BK9" s="11" t="str">
        <f t="shared" si="12"/>
        <v/>
      </c>
      <c r="BL9" s="19">
        <v>17.0</v>
      </c>
      <c r="BM9" s="19">
        <v>14.0</v>
      </c>
      <c r="BN9" s="20" t="b">
        <v>0</v>
      </c>
      <c r="BO9" s="17"/>
      <c r="BP9" s="17"/>
      <c r="BQ9" s="17"/>
    </row>
    <row r="10">
      <c r="A10" s="16" t="s">
        <v>290</v>
      </c>
      <c r="B10" s="17" t="s">
        <v>291</v>
      </c>
      <c r="C10" s="18"/>
      <c r="D10" s="11" t="str">
        <f>IFERROR(__xludf.DUMMYFUNCTION("""COMPUTED_VALUE"""),"")</f>
        <v/>
      </c>
      <c r="E10" s="19"/>
      <c r="F10" s="20"/>
      <c r="G10" s="19" t="s">
        <v>50</v>
      </c>
      <c r="H10" s="11" t="str">
        <f t="shared" si="1"/>
        <v/>
      </c>
      <c r="I10" s="19">
        <v>17.0</v>
      </c>
      <c r="J10" s="19">
        <v>20.0</v>
      </c>
      <c r="K10" s="20" t="b">
        <v>0</v>
      </c>
      <c r="L10" s="19" t="s">
        <v>50</v>
      </c>
      <c r="M10" s="11" t="str">
        <f t="shared" si="2"/>
        <v/>
      </c>
      <c r="N10" s="19">
        <v>17.0</v>
      </c>
      <c r="O10" s="19">
        <v>20.0</v>
      </c>
      <c r="P10" s="19" t="b">
        <v>0</v>
      </c>
      <c r="Q10" s="27" t="s">
        <v>50</v>
      </c>
      <c r="R10" s="11" t="str">
        <f t="shared" si="3"/>
        <v/>
      </c>
      <c r="S10" s="19">
        <v>17.0</v>
      </c>
      <c r="T10" s="19">
        <v>20.0</v>
      </c>
      <c r="U10" s="20" t="b">
        <v>0</v>
      </c>
      <c r="V10" s="19" t="s">
        <v>50</v>
      </c>
      <c r="W10" s="11" t="str">
        <f t="shared" si="4"/>
        <v/>
      </c>
      <c r="X10" s="19">
        <v>21.0</v>
      </c>
      <c r="Y10" s="19">
        <v>28.0</v>
      </c>
      <c r="Z10" s="20" t="b">
        <v>0</v>
      </c>
      <c r="AA10" s="27" t="s">
        <v>50</v>
      </c>
      <c r="AB10" s="11" t="str">
        <f t="shared" si="5"/>
        <v/>
      </c>
      <c r="AC10" s="19">
        <v>17.0</v>
      </c>
      <c r="AD10" s="19">
        <v>24.0</v>
      </c>
      <c r="AE10" s="19" t="b">
        <v>0</v>
      </c>
      <c r="AF10" s="27" t="s">
        <v>58</v>
      </c>
      <c r="AG10" s="11" t="str">
        <f t="shared" si="6"/>
        <v/>
      </c>
      <c r="AH10" s="19">
        <v>31.0</v>
      </c>
      <c r="AI10" s="19">
        <v>24.0</v>
      </c>
      <c r="AJ10" s="20" t="b">
        <v>0</v>
      </c>
      <c r="AK10" s="19" t="s">
        <v>50</v>
      </c>
      <c r="AL10" s="11" t="str">
        <f t="shared" si="7"/>
        <v/>
      </c>
      <c r="AM10" s="19">
        <v>17.0</v>
      </c>
      <c r="AN10" s="19">
        <v>21.0</v>
      </c>
      <c r="AO10" s="20" t="b">
        <v>0</v>
      </c>
      <c r="AP10" s="27" t="s">
        <v>50</v>
      </c>
      <c r="AQ10" s="11" t="str">
        <f t="shared" si="8"/>
        <v/>
      </c>
      <c r="AR10" s="19">
        <v>17.0</v>
      </c>
      <c r="AS10" s="19">
        <v>24.0</v>
      </c>
      <c r="AT10" s="20" t="b">
        <v>0</v>
      </c>
      <c r="AU10" s="27" t="s">
        <v>50</v>
      </c>
      <c r="AV10" s="11" t="str">
        <f t="shared" si="9"/>
        <v/>
      </c>
      <c r="AW10" s="19">
        <v>14.0</v>
      </c>
      <c r="AX10" s="19">
        <v>31.0</v>
      </c>
      <c r="AY10" s="20" t="b">
        <v>0</v>
      </c>
      <c r="AZ10" s="27" t="s">
        <v>50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50</v>
      </c>
      <c r="BF10" s="11" t="str">
        <f t="shared" si="11"/>
        <v/>
      </c>
      <c r="BG10" s="19">
        <v>17.0</v>
      </c>
      <c r="BH10" s="19">
        <v>21.0</v>
      </c>
      <c r="BI10" s="20" t="b">
        <v>0</v>
      </c>
      <c r="BJ10" s="27" t="s">
        <v>58</v>
      </c>
      <c r="BK10" s="11" t="str">
        <f t="shared" si="12"/>
        <v/>
      </c>
      <c r="BL10" s="19">
        <v>24.0</v>
      </c>
      <c r="BM10" s="19">
        <v>21.0</v>
      </c>
      <c r="BN10" s="20" t="b">
        <v>0</v>
      </c>
      <c r="BO10" s="17"/>
      <c r="BP10" s="17"/>
      <c r="BQ10" s="17"/>
    </row>
    <row r="11">
      <c r="A11" s="16" t="s">
        <v>294</v>
      </c>
      <c r="B11" s="17" t="s">
        <v>295</v>
      </c>
      <c r="C11" s="18"/>
      <c r="D11" s="11" t="str">
        <f>IFERROR(__xludf.DUMMYFUNCTION("""COMPUTED_VALUE"""),"")</f>
        <v/>
      </c>
      <c r="E11" s="19"/>
      <c r="F11" s="20"/>
      <c r="G11" s="19" t="s">
        <v>54</v>
      </c>
      <c r="H11" s="11" t="str">
        <f t="shared" si="1"/>
        <v/>
      </c>
      <c r="I11" s="19">
        <v>17.0</v>
      </c>
      <c r="J11" s="19">
        <v>21.0</v>
      </c>
      <c r="K11" s="20" t="b">
        <v>0</v>
      </c>
      <c r="L11" s="19" t="s">
        <v>54</v>
      </c>
      <c r="M11" s="11" t="str">
        <f t="shared" si="2"/>
        <v/>
      </c>
      <c r="N11" s="19">
        <v>17.0</v>
      </c>
      <c r="O11" s="19">
        <v>21.0</v>
      </c>
      <c r="P11" s="19" t="b">
        <v>0</v>
      </c>
      <c r="Q11" s="27" t="s">
        <v>54</v>
      </c>
      <c r="R11" s="11" t="str">
        <f t="shared" si="3"/>
        <v/>
      </c>
      <c r="S11" s="19">
        <v>17.0</v>
      </c>
      <c r="T11" s="19">
        <v>20.0</v>
      </c>
      <c r="U11" s="20" t="b">
        <v>0</v>
      </c>
      <c r="V11" s="19" t="s">
        <v>54</v>
      </c>
      <c r="W11" s="11" t="str">
        <f t="shared" si="4"/>
        <v/>
      </c>
      <c r="X11" s="19">
        <v>17.0</v>
      </c>
      <c r="Y11" s="19">
        <v>24.0</v>
      </c>
      <c r="Z11" s="20" t="b">
        <v>0</v>
      </c>
      <c r="AA11" s="27" t="s">
        <v>54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33</v>
      </c>
      <c r="AG11" s="11" t="str">
        <f t="shared" si="6"/>
        <v/>
      </c>
      <c r="AH11" s="19">
        <v>27.0</v>
      </c>
      <c r="AI11" s="19">
        <v>24.0</v>
      </c>
      <c r="AJ11" s="20" t="b">
        <v>0</v>
      </c>
      <c r="AK11" s="19" t="s">
        <v>54</v>
      </c>
      <c r="AL11" s="11" t="str">
        <f t="shared" si="7"/>
        <v/>
      </c>
      <c r="AM11" s="19">
        <v>10.0</v>
      </c>
      <c r="AN11" s="19">
        <v>14.0</v>
      </c>
      <c r="AO11" s="20" t="b">
        <v>0</v>
      </c>
      <c r="AP11" s="27" t="s">
        <v>54</v>
      </c>
      <c r="AQ11" s="11" t="str">
        <f t="shared" si="8"/>
        <v/>
      </c>
      <c r="AR11" s="19">
        <v>17.0</v>
      </c>
      <c r="AS11" s="19">
        <v>23.0</v>
      </c>
      <c r="AT11" s="20" t="b">
        <v>0</v>
      </c>
      <c r="AU11" s="27" t="s">
        <v>54</v>
      </c>
      <c r="AV11" s="11" t="str">
        <f t="shared" si="9"/>
        <v/>
      </c>
      <c r="AW11" s="19">
        <v>20.0</v>
      </c>
      <c r="AX11" s="19">
        <v>23.0</v>
      </c>
      <c r="AY11" s="20" t="b">
        <v>0</v>
      </c>
      <c r="AZ11" s="27" t="s">
        <v>54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54</v>
      </c>
      <c r="BF11" s="11" t="str">
        <f t="shared" si="11"/>
        <v/>
      </c>
      <c r="BG11" s="19">
        <v>24.0</v>
      </c>
      <c r="BH11" s="19">
        <v>31.0</v>
      </c>
      <c r="BI11" s="20" t="b">
        <v>0</v>
      </c>
      <c r="BJ11" s="27" t="s">
        <v>33</v>
      </c>
      <c r="BK11" s="11" t="str">
        <f t="shared" si="12"/>
        <v/>
      </c>
      <c r="BL11" s="19">
        <v>21.0</v>
      </c>
      <c r="BM11" s="19">
        <v>17.0</v>
      </c>
      <c r="BN11" s="20" t="b">
        <v>0</v>
      </c>
      <c r="BO11" s="19"/>
      <c r="BP11" s="19"/>
      <c r="BQ11" s="19"/>
    </row>
    <row r="12">
      <c r="A12" s="16" t="s">
        <v>294</v>
      </c>
      <c r="B12" s="30" t="s">
        <v>297</v>
      </c>
      <c r="C12" s="18"/>
      <c r="D12" s="11" t="str">
        <f>IFERROR(__xludf.DUMMYFUNCTION("""COMPUTED_VALUE"""),"")</f>
        <v/>
      </c>
      <c r="E12" s="19"/>
      <c r="F12" s="20"/>
      <c r="G12" s="19" t="s">
        <v>74</v>
      </c>
      <c r="H12" s="11" t="str">
        <f t="shared" si="1"/>
        <v/>
      </c>
      <c r="I12" s="19">
        <v>14.0</v>
      </c>
      <c r="J12" s="19">
        <v>17.0</v>
      </c>
      <c r="K12" s="20" t="b">
        <v>0</v>
      </c>
      <c r="L12" s="19" t="s">
        <v>74</v>
      </c>
      <c r="M12" s="11" t="str">
        <f t="shared" si="2"/>
        <v/>
      </c>
      <c r="N12" s="19">
        <v>10.0</v>
      </c>
      <c r="O12" s="19">
        <v>14.0</v>
      </c>
      <c r="P12" s="19" t="b">
        <v>0</v>
      </c>
      <c r="Q12" s="27" t="s">
        <v>79</v>
      </c>
      <c r="R12" s="11" t="str">
        <f t="shared" si="3"/>
        <v/>
      </c>
      <c r="S12" s="19">
        <v>28.0</v>
      </c>
      <c r="T12" s="19">
        <v>21.0</v>
      </c>
      <c r="U12" s="20" t="b">
        <v>0</v>
      </c>
      <c r="V12" s="19" t="s">
        <v>74</v>
      </c>
      <c r="W12" s="11" t="str">
        <f t="shared" si="4"/>
        <v/>
      </c>
      <c r="X12" s="19">
        <v>24.0</v>
      </c>
      <c r="Y12" s="19">
        <v>31.0</v>
      </c>
      <c r="Z12" s="20" t="b">
        <v>0</v>
      </c>
      <c r="AA12" s="27" t="s">
        <v>74</v>
      </c>
      <c r="AB12" s="11" t="str">
        <f t="shared" si="5"/>
        <v/>
      </c>
      <c r="AC12" s="19">
        <v>17.0</v>
      </c>
      <c r="AD12" s="19">
        <v>24.0</v>
      </c>
      <c r="AE12" s="19" t="b">
        <v>0</v>
      </c>
      <c r="AF12" s="27" t="s">
        <v>74</v>
      </c>
      <c r="AG12" s="11" t="str">
        <f t="shared" si="6"/>
        <v/>
      </c>
      <c r="AH12" s="19">
        <v>7.0</v>
      </c>
      <c r="AI12" s="19">
        <v>10.0</v>
      </c>
      <c r="AJ12" s="20" t="b">
        <v>0</v>
      </c>
      <c r="AK12" s="19" t="s">
        <v>74</v>
      </c>
      <c r="AL12" s="11" t="str">
        <f t="shared" si="7"/>
        <v/>
      </c>
      <c r="AM12" s="19">
        <v>21.0</v>
      </c>
      <c r="AN12" s="19">
        <v>24.0</v>
      </c>
      <c r="AO12" s="20" t="b">
        <v>0</v>
      </c>
      <c r="AP12" s="27" t="s">
        <v>74</v>
      </c>
      <c r="AQ12" s="11" t="str">
        <f t="shared" si="8"/>
        <v/>
      </c>
      <c r="AR12" s="19">
        <v>17.0</v>
      </c>
      <c r="AS12" s="19">
        <v>23.0</v>
      </c>
      <c r="AT12" s="20" t="b">
        <v>0</v>
      </c>
      <c r="AU12" s="27" t="s">
        <v>79</v>
      </c>
      <c r="AV12" s="11" t="str">
        <f t="shared" si="9"/>
        <v/>
      </c>
      <c r="AW12" s="19">
        <v>14.0</v>
      </c>
      <c r="AX12" s="19">
        <v>10.0</v>
      </c>
      <c r="AY12" s="20" t="b">
        <v>0</v>
      </c>
      <c r="AZ12" s="27" t="s">
        <v>74</v>
      </c>
      <c r="BA12" s="11" t="str">
        <f t="shared" si="10"/>
        <v/>
      </c>
      <c r="BB12" s="19">
        <v>20.0</v>
      </c>
      <c r="BC12" s="19">
        <v>23.0</v>
      </c>
      <c r="BD12" s="20" t="b">
        <v>0</v>
      </c>
      <c r="BE12" s="27" t="s">
        <v>79</v>
      </c>
      <c r="BF12" s="11" t="str">
        <f t="shared" si="11"/>
        <v/>
      </c>
      <c r="BG12" s="19">
        <v>10.0</v>
      </c>
      <c r="BH12" s="19">
        <v>7.0</v>
      </c>
      <c r="BI12" s="20" t="b">
        <v>0</v>
      </c>
      <c r="BJ12" s="27" t="s">
        <v>79</v>
      </c>
      <c r="BK12" s="11" t="str">
        <f t="shared" si="12"/>
        <v/>
      </c>
      <c r="BL12" s="19">
        <v>14.0</v>
      </c>
      <c r="BM12" s="19">
        <v>10.0</v>
      </c>
      <c r="BN12" s="20" t="b">
        <v>1</v>
      </c>
      <c r="BO12" s="17"/>
      <c r="BP12" s="17"/>
      <c r="BQ12" s="17"/>
    </row>
    <row r="13">
      <c r="A13" s="16" t="s">
        <v>299</v>
      </c>
      <c r="B13" s="17" t="s">
        <v>300</v>
      </c>
      <c r="C13" s="18"/>
      <c r="D13" s="11" t="str">
        <f>IFERROR(__xludf.DUMMYFUNCTION("""COMPUTED_VALUE"""),"")</f>
        <v/>
      </c>
      <c r="E13" s="19"/>
      <c r="F13" s="20"/>
      <c r="G13" s="19" t="s">
        <v>51</v>
      </c>
      <c r="H13" s="11" t="str">
        <f t="shared" si="1"/>
        <v/>
      </c>
      <c r="I13" s="19">
        <v>17.0</v>
      </c>
      <c r="J13" s="19">
        <v>14.0</v>
      </c>
      <c r="K13" s="20" t="b">
        <v>0</v>
      </c>
      <c r="L13" s="19" t="s">
        <v>40</v>
      </c>
      <c r="M13" s="11" t="str">
        <f t="shared" si="2"/>
        <v/>
      </c>
      <c r="N13" s="19">
        <v>17.0</v>
      </c>
      <c r="O13" s="19">
        <v>20.0</v>
      </c>
      <c r="P13" s="19" t="b">
        <v>0</v>
      </c>
      <c r="Q13" s="27" t="s">
        <v>40</v>
      </c>
      <c r="R13" s="11" t="str">
        <f t="shared" si="3"/>
        <v/>
      </c>
      <c r="S13" s="19">
        <v>7.0</v>
      </c>
      <c r="T13" s="19">
        <v>10.0</v>
      </c>
      <c r="U13" s="20" t="b">
        <v>0</v>
      </c>
      <c r="V13" s="19" t="s">
        <v>40</v>
      </c>
      <c r="W13" s="11" t="str">
        <f t="shared" si="4"/>
        <v/>
      </c>
      <c r="X13" s="19">
        <v>17.0</v>
      </c>
      <c r="Y13" s="19">
        <v>20.0</v>
      </c>
      <c r="Z13" s="20" t="b">
        <v>0</v>
      </c>
      <c r="AA13" s="27" t="s">
        <v>40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40</v>
      </c>
      <c r="AG13" s="11" t="str">
        <f t="shared" si="6"/>
        <v/>
      </c>
      <c r="AH13" s="19">
        <v>17.0</v>
      </c>
      <c r="AI13" s="19">
        <v>20.0</v>
      </c>
      <c r="AJ13" s="20" t="b">
        <v>1</v>
      </c>
      <c r="AK13" s="19" t="s">
        <v>51</v>
      </c>
      <c r="AL13" s="11" t="str">
        <f t="shared" si="7"/>
        <v/>
      </c>
      <c r="AM13" s="19">
        <v>28.0</v>
      </c>
      <c r="AN13" s="19">
        <v>21.0</v>
      </c>
      <c r="AO13" s="20" t="b">
        <v>0</v>
      </c>
      <c r="AP13" s="27" t="s">
        <v>40</v>
      </c>
      <c r="AQ13" s="11" t="str">
        <f t="shared" si="8"/>
        <v/>
      </c>
      <c r="AR13" s="19">
        <v>20.0</v>
      </c>
      <c r="AS13" s="19">
        <v>24.0</v>
      </c>
      <c r="AT13" s="20" t="b">
        <v>0</v>
      </c>
      <c r="AU13" s="27" t="s">
        <v>51</v>
      </c>
      <c r="AV13" s="11" t="str">
        <f t="shared" si="9"/>
        <v/>
      </c>
      <c r="AW13" s="19">
        <v>14.0</v>
      </c>
      <c r="AX13" s="19">
        <v>10.0</v>
      </c>
      <c r="AY13" s="20" t="b">
        <v>0</v>
      </c>
      <c r="AZ13" s="27" t="s">
        <v>40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51</v>
      </c>
      <c r="BF13" s="11" t="str">
        <f t="shared" si="11"/>
        <v/>
      </c>
      <c r="BG13" s="19">
        <v>23.0</v>
      </c>
      <c r="BH13" s="19">
        <v>20.0</v>
      </c>
      <c r="BI13" s="20" t="b">
        <v>0</v>
      </c>
      <c r="BJ13" s="27" t="s">
        <v>40</v>
      </c>
      <c r="BK13" s="11" t="str">
        <f t="shared" si="12"/>
        <v/>
      </c>
      <c r="BL13" s="19">
        <v>17.0</v>
      </c>
      <c r="BM13" s="19">
        <v>20.0</v>
      </c>
      <c r="BN13" s="20" t="b">
        <v>0</v>
      </c>
      <c r="BO13" s="17"/>
      <c r="BP13" s="17"/>
      <c r="BQ13" s="17"/>
    </row>
    <row r="14">
      <c r="A14" s="32" t="s">
        <v>301</v>
      </c>
      <c r="B14" s="33" t="s">
        <v>302</v>
      </c>
      <c r="C14" s="34"/>
      <c r="D14" s="35" t="str">
        <f>IFERROR(__xludf.DUMMYFUNCTION("""COMPUTED_VALUE"""),"")</f>
        <v/>
      </c>
      <c r="E14" s="36"/>
      <c r="F14" s="37"/>
      <c r="G14" s="36" t="s">
        <v>85</v>
      </c>
      <c r="H14" s="35" t="str">
        <f t="shared" si="1"/>
        <v/>
      </c>
      <c r="I14" s="36">
        <v>14.0</v>
      </c>
      <c r="J14" s="36">
        <v>17.0</v>
      </c>
      <c r="K14" s="37" t="b">
        <v>0</v>
      </c>
      <c r="L14" s="36" t="s">
        <v>46</v>
      </c>
      <c r="M14" s="35" t="str">
        <f t="shared" si="2"/>
        <v/>
      </c>
      <c r="N14" s="36">
        <v>27.0</v>
      </c>
      <c r="O14" s="36">
        <v>24.0</v>
      </c>
      <c r="P14" s="36" t="b">
        <v>0</v>
      </c>
      <c r="Q14" s="38" t="s">
        <v>85</v>
      </c>
      <c r="R14" s="35" t="str">
        <f t="shared" si="3"/>
        <v/>
      </c>
      <c r="S14" s="36">
        <v>21.0</v>
      </c>
      <c r="T14" s="36">
        <v>28.0</v>
      </c>
      <c r="U14" s="37" t="b">
        <v>0</v>
      </c>
      <c r="V14" s="36" t="s">
        <v>46</v>
      </c>
      <c r="W14" s="35" t="str">
        <f t="shared" si="4"/>
        <v/>
      </c>
      <c r="X14" s="36">
        <v>34.0</v>
      </c>
      <c r="Y14" s="36">
        <v>13.0</v>
      </c>
      <c r="Z14" s="37" t="b">
        <v>1</v>
      </c>
      <c r="AA14" s="38" t="s">
        <v>85</v>
      </c>
      <c r="AB14" s="35" t="str">
        <f t="shared" si="5"/>
        <v/>
      </c>
      <c r="AC14" s="36">
        <v>17.0</v>
      </c>
      <c r="AD14" s="36">
        <v>24.0</v>
      </c>
      <c r="AE14" s="36" t="b">
        <v>0</v>
      </c>
      <c r="AF14" s="38" t="s">
        <v>85</v>
      </c>
      <c r="AG14" s="35" t="str">
        <f t="shared" si="6"/>
        <v/>
      </c>
      <c r="AH14" s="36">
        <v>24.0</v>
      </c>
      <c r="AI14" s="36">
        <v>27.0</v>
      </c>
      <c r="AJ14" s="37" t="b">
        <v>0</v>
      </c>
      <c r="AK14" s="36" t="s">
        <v>46</v>
      </c>
      <c r="AL14" s="35" t="str">
        <f t="shared" si="7"/>
        <v/>
      </c>
      <c r="AM14" s="36">
        <v>20.0</v>
      </c>
      <c r="AN14" s="36">
        <v>17.0</v>
      </c>
      <c r="AO14" s="37" t="b">
        <v>0</v>
      </c>
      <c r="AP14" s="38" t="s">
        <v>46</v>
      </c>
      <c r="AQ14" s="35" t="str">
        <f t="shared" si="8"/>
        <v/>
      </c>
      <c r="AR14" s="36">
        <v>27.0</v>
      </c>
      <c r="AS14" s="36">
        <v>24.0</v>
      </c>
      <c r="AT14" s="37" t="b">
        <v>0</v>
      </c>
      <c r="AU14" s="38" t="s">
        <v>46</v>
      </c>
      <c r="AV14" s="35" t="str">
        <f t="shared" si="9"/>
        <v/>
      </c>
      <c r="AW14" s="36">
        <v>24.0</v>
      </c>
      <c r="AX14" s="36">
        <v>21.0</v>
      </c>
      <c r="AY14" s="37" t="b">
        <v>0</v>
      </c>
      <c r="AZ14" s="38" t="s">
        <v>46</v>
      </c>
      <c r="BA14" s="35" t="str">
        <f t="shared" si="10"/>
        <v/>
      </c>
      <c r="BB14" s="36">
        <v>23.0</v>
      </c>
      <c r="BC14" s="36">
        <v>20.0</v>
      </c>
      <c r="BD14" s="37" t="b">
        <v>0</v>
      </c>
      <c r="BE14" s="38" t="s">
        <v>46</v>
      </c>
      <c r="BF14" s="35" t="str">
        <f t="shared" si="11"/>
        <v/>
      </c>
      <c r="BG14" s="36">
        <v>28.0</v>
      </c>
      <c r="BH14" s="36">
        <v>21.0</v>
      </c>
      <c r="BI14" s="37" t="b">
        <v>0</v>
      </c>
      <c r="BJ14" s="38" t="s">
        <v>46</v>
      </c>
      <c r="BK14" s="35" t="str">
        <f t="shared" si="12"/>
        <v/>
      </c>
      <c r="BL14" s="36">
        <v>28.0</v>
      </c>
      <c r="BM14" s="36">
        <v>21.0</v>
      </c>
      <c r="BN14" s="37" t="b">
        <v>0</v>
      </c>
      <c r="BO14" s="17"/>
      <c r="BP14" s="17"/>
      <c r="BQ14" s="17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</row>
    <row r="16" hidden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</row>
    <row r="17" hidden="1">
      <c r="A17" s="41"/>
      <c r="B17" s="41"/>
      <c r="C17" s="46">
        <f t="shared" ref="C17:C29" si="13">MIN(I17,N17,S17,X17,AC17,AH17,AM17,AR17,AW17,BB17,BG17,BL17)</f>
        <v>0</v>
      </c>
      <c r="D17" s="49"/>
      <c r="E17" s="49"/>
      <c r="F17" s="49"/>
      <c r="G17" s="47" t="str">
        <f t="shared" ref="G17:G29" si="14">IF(G2=C2,ABS(I2-E2),"")</f>
        <v/>
      </c>
      <c r="H17" s="47" t="str">
        <f t="shared" ref="H17:H29" si="15">IF(G2=C2,ABS(J2-F2),"")</f>
        <v/>
      </c>
      <c r="I17" s="48" t="str">
        <f t="shared" ref="I17:I29" si="16">IF(G2=C2,SUM(G17,H17),"")</f>
        <v/>
      </c>
      <c r="J17" s="9">
        <f t="shared" ref="J17:J29" si="17">SUM(IF(AND(G2=$C2,I17=$C17,$C17=0,K2=TRUE,I17&lt;$N17,I17&lt;$S17,I17&lt;$X17,I17&lt;$AC17,I17&lt;$AH17,I17&lt;$AM17,I17&lt;$AR17,I17&lt;$AW17,I17&lt;$BB17,I17&lt;$BG17,I17&lt;$BL17),15,
IF(AND(G2=$C2,I17=$C17,$C17=0,K2=TRUE,OR(I17=$N17,I17=$S17,I17=$X17,I17=$AC17,I17=$AH17,I17=$AM17,I17=$AR17,I17=$AW17,I17=$BB17,I17=$BG17,I17=$BL17)),7.5,
IF(AND(G2=$C2,I17=$C17,$C17=0,I17&lt;$N17,I17&lt;$S17,I17&lt;$X17,I17&lt;$AC17,I17&lt;$AH17,I17&lt;$AM17,I17&lt;$AR17,I17&lt;$AW17,I17&lt;$BB17,I17&lt;$BG17,I17&lt;$BL17),5,
IF(AND(G2=$C2,I17=$C17,K2=TRUE,I17&lt;$N17,I17&lt;$S17,I17&lt;$X17,I17&lt;$AC17,I17&lt;$AH17,I17&lt;$AM17,I17&lt;$AR17,I17&lt;$AW17,I17&lt;$BB17,I17&lt;$BG17,I17&lt;$BL17),3,
IF(AND(G2=$C2,I17=$C17,$C17=0,OR(I17=$N17,I17=$S17,I17=$X17,I17=$AC17,I17=$AH17,I17=$AM17,I17=$AR17,I17=$AW17,I17=$BB17,I17=$BG17,I17=$BL17)),2.5,
IF(AND(G2=$C2,I17=$C17,K2=TRUE,OR(I17=$N17,I17=$S17,I17=$X17,I17=$AC17,I17=$AH17,I17=$AM17,I17=$AR17,I17=$AW17,I17=$BB17,I17=$BG17,I17=$BL17)),1.5,
IF(AND(G2=$C2,I17=$C17,I17&lt;$N17,I17&lt;$S17,I17&lt;$X17,I17&lt;$AC17,I17&lt;$AH17,I17&lt;$AM17,I17&lt;$AR17,I17&lt;$AW17,I17&lt;$BB17,I17&lt;$BG17,I17&lt;$BL17),1,
IF(AND(G2=$C2,I17=$C17,OR(I17=$N17,I17=$S17,I17=$X17,I17=$AC17,I17=$AH17,I17=$AM17,I17=$AR17,I17=$AW17,I17=$BB17,I17=$BG17,I17=$BL17)),0.5,
0)))))))),
IF(AND(K17=TRUE,K2=TRUE),3,
IF(AND(K17=TRUE,K2=FALSE),1,
IF(K17="",0)))
)</f>
        <v>0</v>
      </c>
      <c r="K17" s="49" t="str">
        <f t="shared" ref="K17:K29" si="18">IF($C2="","",
IF(G2=$C2,TRUE,FALSE))</f>
        <v/>
      </c>
      <c r="L17" s="47" t="str">
        <f t="shared" ref="L17:L29" si="19">IF(L2=C2,ABS(N2-E2),"")</f>
        <v/>
      </c>
      <c r="M17" s="47" t="str">
        <f t="shared" ref="M17:M29" si="20">IF(L2=C2,ABS(O2-F2),"")</f>
        <v/>
      </c>
      <c r="N17" s="48" t="str">
        <f t="shared" ref="N17:N29" si="21">IF(L2=C2,SUM(L17,M17),"")</f>
        <v/>
      </c>
      <c r="O17" s="9">
        <f t="shared" ref="O17:O29" si="22">SUM(IF(AND(L2=$C2,N17=$C17,$C17=0,P2=TRUE,N17&lt;$I17,N17&lt;$S17,N17&lt;$X17,N17&lt;$AC17,N17&lt;$AH17,N17&lt;$AM17,N17&lt;$AR17,N17&lt;$AW17,N17&lt;$BB17,N17&lt;$BG17,N17&lt;$BL17),15,
IF(AND(L2=$C2,N17=$C17,$C17=0,P2=TRUE,OR(N17=$I17,N17=$S17,N17=$X17,N17=$AC17,N17=$AH17,N17=$AM17,N17=$AR17,N17=$AW17,N17=$BB17,N17=$BG17,N17=$BL17)),7.5,
IF(AND(L2=$C2,N17=$C17,$C17=0,N17&lt;$I17,N17&lt;$S17,N17&lt;$X17,N17&lt;$AC17,N17&lt;$AH17,N17&lt;$AM17,N17&lt;$AR17,N17&lt;$AW17,N17&lt;$BB17,N17&lt;$BG17,N17&lt;$BL17),5,
IF(AND(L2=$C2,N17=$C17,P2=TRUE,N17&lt;$I17,N17&lt;$S17,N17&lt;$X17,N17&lt;$AC17,N17&lt;$AH17,N17&lt;$AM17,N17&lt;$AR17,N17&lt;$AW17,N17&lt;$BB17,N17&lt;$BG17,N17&lt;$BL17),3,
IF(AND(L2=$C2,N17=$C17,$C17=0,OR(N17=$I17,N17=$S17,N17=$X17,N17=$AC17,N17=$AH17,N17=$AM17,N17=$AR17,N17=$AW17,N17=$BB17,N17=$BG17,N17=$BL17)),2.5,
IF(AND(L2=$C2,N17=$C17,P2=TRUE,OR(N17=$I17,N17=$S17,N17=$X17,N17=$AC17,N17=$AH17,N17=$AM17,N17=$AR17,N17=$AW17,N17=$BB17,N17=$BG17,N17=$BL17)),1.5,
IF(AND(L2=$C2,N17=$C17,N17&lt;$I17,N17&lt;$S17,N17&lt;$X17,N17&lt;$AC17,N17&lt;$AH17,N17&lt;$AM17,N17&lt;$AR17,N17&lt;$AW17,N17&lt;$BB17,N17&lt;$BG17,N17&lt;$BL17),1,
IF(AND(L2=$C2,N17=$C17,OR(N17=$I17,N17=$S17,N17=$X17,N17=$AC17,N17=$AH17,N17=$AM17,N17=$AR17,N17=$AW17,N17=$BB17,N17=$BG17,N17=$BL17)),0.5,
0)))))))),
IF(AND(P17=TRUE,P2=TRUE),3,
IF(AND(P17=TRUE,P2=FALSE),1,
IF(P17="",0)))
)</f>
        <v>0</v>
      </c>
      <c r="P17" s="49" t="str">
        <f t="shared" ref="P17:P29" si="23">IF($C2="","",
IF(L2=$C2,TRUE,FALSE))</f>
        <v/>
      </c>
      <c r="Q17" s="47" t="str">
        <f t="shared" ref="Q17:Q29" si="24">IF(Q2=C2,ABS(S2-E2),"")</f>
        <v/>
      </c>
      <c r="R17" s="47" t="str">
        <f t="shared" ref="R17:R29" si="25">IF(Q2=C2,ABS(T2-F2),"")</f>
        <v/>
      </c>
      <c r="S17" s="48" t="str">
        <f t="shared" ref="S17:S29" si="26">IF(Q2=C2,SUM(Q17,R17),"")</f>
        <v/>
      </c>
      <c r="T17" s="9">
        <f t="shared" ref="T17:T29" si="27">SUM(IF(AND(Q2=$C2,S17=$C17,$C17=0,U2=TRUE,S17&lt;$I17,S17&lt;$N17,S17&lt;$X17,S17&lt;$AC17,S17&lt;$AH17,S17&lt;$AM17,S17&lt;$AR17,S17&lt;$AW17,S17&lt;$BB17,S17&lt;$BG17,S17&lt;$BL17),15,
IF(AND(Q2=$C2,S17=$C17,$C17=0,U2=TRUE,OR(S17=$I17,S17=$N17,S17=$X17,S17=$AC17,S17=$AH17,S17=$AM17,S17=$AR17,S17=$AW17,S17=$BB17,S17=$BG17,S17=$BL17)),7.5,
IF(AND(Q2=$C2,S17=$C17,$C17=0,S17&lt;$I17,S17&lt;$N17,S17&lt;$X17,S17&lt;$AC17,S17&lt;$AH17,S17&lt;$AM17,S17&lt;$AR17,S17&lt;$AW17,S17&lt;$BB17,S17&lt;$BG17,S17&lt;$BL17),5,
IF(AND(Q2=$C2,S17=$C17,U2=TRUE,S17&lt;$I17,S17&lt;$N17,S17&lt;$X17,S17&lt;$AC17,S17&lt;$AH17,S17&lt;$AM17,S17&lt;$AR17,S17&lt;$AW17,S17&lt;$BB17,S17&lt;$BG17,S17&lt;$BL17),3,
IF(AND(Q2=$C2,S17=$C17,$C17=0,OR(S17=$I17,S17=$N17,S17=$X17,S17=$AC17,S17=$AH17,S17=$AM17,S17=$AR17,S17=$AW17,S17=$BB17,S17=$BG17,S17=$BL17)),2.5,
IF(AND(Q2=$C2,S17=$C17,U2=TRUE,OR(S17=$I17,S17=$N17,S17=$X17,S17=$AC17,S17=$AH17,S17=$AM17,S17=$AR17,S17=$AW17,S17=$BB17,S17=$BG17,S17=$BL17)),1.5,
IF(AND(Q2=$C2,S17=$C17,S17&lt;$I17,S17&lt;$N17,S17&lt;$X17,S17&lt;$AC17,S17&lt;$AH17,S17&lt;$AM17,S17&lt;$AR17,S17&lt;$AW17,S17&lt;$BB17,S17&lt;$BG17,S17&lt;$BL17),1,
IF(AND(Q2=$C2,S17=$C17,OR(S17=$I17,S17=$N17,S17=$X17,S17=$AC17,S17=$AH17,S17=$AM17,S17=$AR17,S17=$AW17,S17=$BB17,S17=$BG17,S17=$BL17)),0.5,
0)))))))),
IF(AND(U17=TRUE,U2=TRUE),3,
IF(AND(U17=TRUE,U2=FALSE),1,
IF(U17="",0)))
)</f>
        <v>0</v>
      </c>
      <c r="U17" s="49" t="str">
        <f t="shared" ref="U17:U29" si="28">IF($C2="","",
IF(Q2=$C2,TRUE,FALSE))</f>
        <v/>
      </c>
      <c r="V17" s="47" t="str">
        <f t="shared" ref="V17:V29" si="29">IF(V2=C2,ABS(X2-E2),"")</f>
        <v/>
      </c>
      <c r="W17" s="47" t="str">
        <f t="shared" ref="W17:W29" si="30">IF(V2=C2,ABS(Y2-F2),"")</f>
        <v/>
      </c>
      <c r="X17" s="48" t="str">
        <f t="shared" ref="X17:X29" si="31">IF(V2=C2,SUM(V17,W17),"")</f>
        <v/>
      </c>
      <c r="Y17" s="9">
        <f t="shared" ref="Y17:Y29" si="32">SUM(IF(AND(V2=$C2,X17=$C17,$C17=0,Z2=TRUE,X17&lt;$I17,X17&lt;$N17,X17&lt;$S17,X17&lt;$AC17,X17&lt;$AH17,X17&lt;$AM17,X17&lt;$AR17,X17&lt;$AW17,X17&lt;$BB17,X17&lt;$BG17,X17&lt;$BL17),15,
IF(AND(V2=$C2,X17=$C17,$C17=0,Z2=TRUE,OR(X17=$I17,X17=$N17,X17=$S17,X17=$AC17,X17=$AH17,X17=$AM17,X17=$AR17,X17=$AW17,X17=$BB17,X17=$BG17,X17=$BL17)),7.5,
IF(AND(V2=$C2,X17=$C17,$C17=0,X17&lt;$I17,X17&lt;$N17,X17&lt;$S17,X17&lt;$AC17,X17&lt;$AH17,X17&lt;$AM17,X17&lt;$AR17,X17&lt;$AW17,X17&lt;$BB17,X17&lt;$BG17,X17&lt;$BL17),5,
IF(AND(V2=$C2,X17=$C17,Z2=TRUE,X17&lt;$I17,X17&lt;$N17,X17&lt;$S17,X17&lt;$AC17,X17&lt;$AH17,X17&lt;$AM17,X17&lt;$AR17,X17&lt;$AW17,X17&lt;$BB17,X17&lt;$BG17,X17&lt;$BL17),3,
IF(AND(V2=$C2,X17=$C17,$C17=0,OR(X17=$I17,X17=$N17,X17=$S17,X17=$AC17,X17=$AH17,X17=$AM17,X17=$AR17,X17=$AW17,X17=$BB17,X17=$BG17,X17=$BL17)),2.5,
IF(AND(V2=$C2,X17=$C17,Z2=TRUE,OR(X17=$I17,X17=$N17,X17=$S17,X17=$AC17,X17=$AH17,X17=$AM17,X17=$AR17,X17=$AW17,X17=$BB17,X17=$BG17,X17=$BL17)),1.5,
IF(AND(V2=$C2,X17=$C17,X17&lt;$I17,X17&lt;$N17,X17&lt;$S17,X17&lt;$AC17,X17&lt;$AH17,X17&lt;$AM17,X17&lt;$AR17,X17&lt;$AW17,X17&lt;$BB17,X17&lt;$BG17,X17&lt;$BL17),1,
IF(AND(V2=$C2,X17=$C17,OR(X17=$I17,X17=$N17,X17=$S17,X17=$AC17,X17=$AH17,X17=$AM17,X17=$AR17,X17=$AW17,X17=$BB17,X17=$BG17,X17=$BL17)),0.5,
0)))))))),
IF(AND(Z17=TRUE,Z2=TRUE),3,
IF(AND(Z17=TRUE,Z2=FALSE),1,
IF(Z17="",0)))
)</f>
        <v>0</v>
      </c>
      <c r="Z17" s="49" t="str">
        <f t="shared" ref="Z17:Z29" si="33">IF($C2="","",
IF(V2=$C2,TRUE,FALSE))</f>
        <v/>
      </c>
      <c r="AA17" s="47" t="str">
        <f t="shared" ref="AA17:AA29" si="34">IF(AA2=C2,ABS(AC2-E2),"")</f>
        <v/>
      </c>
      <c r="AB17" s="47" t="str">
        <f t="shared" ref="AB17:AB29" si="35">IF(AA2=C2,ABS(AD2-F2),"")</f>
        <v/>
      </c>
      <c r="AC17" s="48" t="str">
        <f t="shared" ref="AC17:AC29" si="36">IF(AA2=C2,SUM(AA17,AB17),"")</f>
        <v/>
      </c>
      <c r="AD17" s="9">
        <f t="shared" ref="AD17:AD29" si="37">SUM(IF(AND(AA2=$C2,AC17=$C17,$C17=0,AE2=TRUE,AC17&lt;$I17,AC17&lt;$N17,AC17&lt;$S17,AC17&lt;$X17,AC17&lt;$AH17,AC17&lt;$AM17,AC17&lt;$AR17,AC17&lt;$AW17,AC17&lt;$BB17,AC17&lt;$BG17,AC17&lt;$BL17),15,
IF(AND(AA2=$C2,AC17=$C17,$C17=0,AE2=TRUE,OR(AC17=$I17,AC17=$N17,AC17=$S17,AC17=$X17,AC17=$AH17,AC17=$AM17,AC17=$AR17,AC17=$AW17,AC17=$BB17,AC17=$BG17,AC17=$BL17)),7.5,
IF(AND(AA2=$C2,AC17=$C17,$C17=0,AC17&lt;$I17,AC17&lt;$N17,AC17&lt;$S17,AC17&lt;$X17,AC17&lt;$AH17,AC17&lt;$AM17,AC17&lt;$AR17,AC17&lt;$AW17,AC17&lt;$BB17,AC17&lt;$BG17,AC17&lt;$BL17),5,
IF(AND(AA2=$C2,AC17=$C17,AE2=TRUE,AC17&lt;$I17,AC17&lt;$N17,AC17&lt;$S17,AC17&lt;$X17,AC17&lt;$AH17,AC17&lt;$AM17,AC17&lt;$AR17,AC17&lt;$AW17,AC17&lt;$BB17,AC17&lt;$BG17,AC17&lt;$BL17),3,
IF(AND(AA2=$C2,AC17=$C17,$C17=0,OR(AC17=$I17,AC17=$N17,AC17=$S17,AC17=$X17,AC17=$AH17,AC17=$AM17,AC17=$AR17,AC17=$AW17,AC17=$BB17,AC17=$BG17,AC17=$BL17)),2.5,
IF(AND(AA2=$C2,AC17=$C17,AE2=TRUE,OR(AC17=$I17,AC17=$N17,AC17=$S17,AC17=$X17,AC17=$AH17,AC17=$AM17,AC17=$AR17,AC17=$AW17,AC17=$BB17,AC17=$BG17,AC17=$BL17)),1.5,
IF(AND(AA2=$C2,AC17=$C17,AC17&lt;$I17,AC17&lt;$N17,AC17&lt;$S17,AC17&lt;$X17,AC17&lt;$AH17,AC17&lt;$AM17,AC17&lt;$AR17,AC17&lt;$AW17,AC17&lt;$BB17,AC17&lt;$BG17,AC17&lt;$BL17),1,
IF(AND(AA2=$C2,AC17=$C17,OR(AC17=$I17,AC17=$N17,AC17=$S17,AC17=$X17,AC17=$AH17,AC17=$AM17,AC17=$AR17,AC17=$AW17,AC17=$BB17,AC17=$BG17,AC17=$BL17)),0.5,
0)))))))),
IF(AND(AE17=TRUE,AE2=TRUE),3,
IF(AND(AE17=TRUE,AE2=FALSE),1,
IF(AE17="",0)))
)</f>
        <v>0</v>
      </c>
      <c r="AE17" s="49" t="str">
        <f t="shared" ref="AE17:AE29" si="38">IF($C2="","",
IF(AA2=$C2,TRUE,FALSE))</f>
        <v/>
      </c>
      <c r="AF17" s="47" t="str">
        <f t="shared" ref="AF17:AF29" si="39">IF(AF2=C2,ABS(AH2-E2),"")</f>
        <v/>
      </c>
      <c r="AG17" s="47" t="str">
        <f t="shared" ref="AG17:AG29" si="40">IF(AF2=C2,ABS(AI2-F2),"")</f>
        <v/>
      </c>
      <c r="AH17" s="48" t="str">
        <f t="shared" ref="AH17:AH29" si="41">IF(AF2=C2,SUM(AF17,AG17),"")</f>
        <v/>
      </c>
      <c r="AI17" s="9">
        <f t="shared" ref="AI17:AI29" si="42">SUM(IF(AND(AF2=$C2,AH17=$C17,$C17=0,AJ2=TRUE,AH17&lt;$I17,AH17&lt;$N17,AH17&lt;$S17,AH17&lt;$X17,AH17&lt;$AC17,AH17&lt;$AM17,AH17&lt;$AR17,AH17&lt;$AW17,AH17&lt;$BB17,AH17&lt;$BG17,AH17&lt;$BL17),15,
IF(AND(AF2=$C2,AH17=$C17,$C17=0,AJ2=TRUE,OR(AH17=$I17,AH17=$N17,AH17=$S17,AH17=$X17,AH17=$AC17,AH17=$AM17,AH17=$AR17,AH17=$AW17,AH17=$BB17,AH17=$BG17,AH17=$BL17)),7.5,
IF(AND(AF2=$C2,AH17=$C17,$C17=0,AH17&lt;$I17,AH17&lt;$N17,AH17&lt;$S17,AH17&lt;$X17,AH17&lt;$AC17,AH17&lt;$AM17,AH17&lt;$AR17,AH17&lt;$AW17,AH17&lt;$BB17,AH17&lt;$BG17,AH17&lt;$BL17),5,
IF(AND(AF2=$C2,AH17=$C17,AJ2=TRUE,AH17&lt;$I17,AH17&lt;$N17,AH17&lt;$S17,AH17&lt;$X17,AH17&lt;$AC17,AH17&lt;$AM17,AH17&lt;$AR17,AH17&lt;$AW17,AH17&lt;$BB17,AH17&lt;$BG17,AH17&lt;$BL17),3,
IF(AND(AF2=$C2,AH17=$C17,$C17=0,OR(AH17=$I17,AH17=$N17,AH17=$S17,AH17=$X17,AH17=$AC17,AH17=$AM17,AH17=$AR17,AH17=$AW17,AH17=$BB17,AH17=$BG17,AH17=$BL17)),2.5,
IF(AND(AF2=$C2,AH17=$C17,AJ2=TRUE,OR(AH17=$I17,AH17=$N17,AH17=$S17,AH17=$X17,AH17=$AC17,AH17=$AM17,AH17=$AR17,AH17=$AW17,AH17=$BB17,AH17=$BG17,AH17=$BL17)),1.5,
IF(AND(AF2=$C2,AH17=$C17,AH17&lt;$I17,AH17&lt;$N17,AH17&lt;$S17,AH17&lt;$X17,AH17&lt;$AC17,AH17&lt;$AM17,AH17&lt;$AR17,AH17&lt;$AW17,AH17&lt;$BB17,AH17&lt;$BG17,AH17&lt;$BL17),1,
IF(AND(AF2=$C2,AH17=$C17,OR(AH17=$I17,AH17=$N17,AH17=$S17,AH17=$X17,AH17=$AC17,AH17=$AM17,AH17=$AR17,AH17=$AW17,AH17=$BB17,AH17=$BG17,AH17=$BL17)),0.5,
0)))))))),
IF(AND(AJ17=TRUE,AJ2=TRUE),3,
IF(AND(AJ17=TRUE,AJ2=FALSE),1,
IF(AJ17="",0)))
)</f>
        <v>0</v>
      </c>
      <c r="AJ17" s="49" t="str">
        <f t="shared" ref="AJ17:AJ29" si="43">IF($C2="","",
IF(AF2=$C2,TRUE,FALSE))</f>
        <v/>
      </c>
      <c r="AK17" s="47" t="str">
        <f t="shared" ref="AK17:AK29" si="44">IF(AK2=C2,ABS(AM2-E2),"")</f>
        <v/>
      </c>
      <c r="AL17" s="47" t="str">
        <f t="shared" ref="AL17:AL29" si="45">IF(AK2=C2,ABS(AN2-F2),"")</f>
        <v/>
      </c>
      <c r="AM17" s="48" t="str">
        <f t="shared" ref="AM17:AM29" si="46">IF(AK2=C2,SUM(AK17,AL17),"")</f>
        <v/>
      </c>
      <c r="AN17" s="9">
        <f t="shared" ref="AN17:AN29" si="47">SUM(IF(AND(AK2=$C2,AM17=$C17,$C17=0,AO2=TRUE,AM17&lt;$I17,AM17&lt;$N17,AM17&lt;$S17,AM17&lt;$X17,AM17&lt;$AC17,AM17&lt;$AH17,AM17&lt;$AR17,AM17&lt;$AW17,AM17&lt;$BB17,AM17&lt;$BG17,AM17&lt;$BL17),15,
IF(AND(AK2=$C2,AM17=$C17,$C17=0,AO2=TRUE,OR(AM17=$I17,AM17=$N17,AM17=$S17,AM17=$X17,AM17=$AC17,AM17=$AH17,AM17=$AR17,AM17=$AW17,AM17=$BB17,AM17=$BG17,AM17=$BL17)),7.5,
IF(AND(AK2=$C2,AM17=$C17,$C17=0,AM17&lt;$I17,AM17&lt;$N17,AM17&lt;$S17,AM17&lt;$X17,AM17&lt;$AC17,AM17&lt;$AH17,AM17&lt;$AR17,AM17&lt;$AW17,AM17&lt;$BB17,AM17&lt;$BG17,AM17&lt;$BL17),5,
IF(AND(AK2=$C2,AM17=$C17,AO2=TRUE,AM17&lt;$I17,AM17&lt;$N17,AM17&lt;$S17,AM17&lt;$X17,AM17&lt;$AC17,AM17&lt;$AH17,AM17&lt;$AR17,AM17&lt;$AW17,AM17&lt;$BB17,AM17&lt;$BG17,AM17&lt;$BL17),3,
IF(AND(AK2=$C2,AM17=$C17,$C17=0,OR(AM17=$I17,AM17=$N17,AM17=$S17,AM17=$X17,AM17=$AC17,AM17=$AH17,AM17=$AR17,AM17=$AW17,AM17=$BB17,AM17=$BG17,AM17=$BL17)),2.5,
IF(AND(AK2=$C2,AM17=$C17,AO2=TRUE,OR(AM17=$I17,AM17=$N17,AM17=$S17,AM17=$X17,AM17=$AC17,AM17=$AH17,AM17=$AR17,AM17=$AW17,AM17=$BB17,AM17=$BG17,AM17=$BL17)),1.5,
IF(AND(AK2=$C2,AM17=$C17,AM17&lt;$I17,AM17&lt;$N17,AM17&lt;$S17,AM17&lt;$X17,AM17&lt;$AC17,AM17&lt;$AH17,AM17&lt;$AR17,AM17&lt;$AW17,AM17&lt;$BB17,AM17&lt;$BG17,AM17&lt;$BL17),1,
IF(AND(AK2=$C2,AM17=$C17,OR(AM17=$I17,AM17=$N17,AM17=$S17,AM17=$X17,AM17=$AC17,AM17=$AH17,AM17=$AR17,AM17=$AW17,AM17=$BB17,AM17=$BG17,AM17=$BL17)),0.5,
0)))))))),
IF(AND(AO17=TRUE,AO2=TRUE),3,
IF(AND(AO17=TRUE,AO2=FALSE),1,
IF(AO17="",0)))
)</f>
        <v>0</v>
      </c>
      <c r="AO17" s="49" t="str">
        <f t="shared" ref="AO17:AO29" si="48">IF($C2="","",
IF(AK2=$C2,TRUE,FALSE))</f>
        <v/>
      </c>
      <c r="AP17" s="47" t="str">
        <f t="shared" ref="AP17:AP29" si="49">IF(AP2=C2,ABS(AR2-E2),"")</f>
        <v/>
      </c>
      <c r="AQ17" s="47" t="str">
        <f t="shared" ref="AQ17:AQ29" si="50">IF(AP2=C2,ABS(AS2-F2),"")</f>
        <v/>
      </c>
      <c r="AR17" s="48" t="str">
        <f t="shared" ref="AR17:AR29" si="51">IF(AP2=C2,SUM(AP17,AQ17),"")</f>
        <v/>
      </c>
      <c r="AS17" s="9">
        <f t="shared" ref="AS17:AS29" si="52">SUM(IF(AND(AP2=$C2,AR17=$C17,$C17=0,AT2=TRUE,AR17&lt;$I17,AR17&lt;$N17,AR17&lt;$S17,AR17&lt;$X17,AR17&lt;$AC17,AR17&lt;$AH17,AR17&lt;$AM17,AR17&lt;$AW17,AR17&lt;$BB17,AR17&lt;$BG17,AR17&lt;$BL17),15,
IF(AND(AP2=$C2,AR17=$C17,$C17=0,AT2=TRUE,OR(AR17=$I17,AR17=$N17,AR17=$S17,AR17=$X17,AR17=$AC17,AR17=$AH17,AR17=$AM17,AR17=$AW17,AR17=$BB17,AR17=$BG17,AR17=$BL17)),7.5,
IF(AND(AP2=$C2,AR17=$C17,$C17=0,AR17&lt;$I17,AR17&lt;$N17,AR17&lt;$S17,AR17&lt;$X17,AR17&lt;$AC17,AR17&lt;$AH17,AR17&lt;$AM17,AR17&lt;$AW17,AR17&lt;$BB17,AR17&lt;$BG17,AR17&lt;$BL17),5,
IF(AND(AP2=$C2,AR17=$C17,AT2=TRUE,AR17&lt;$I17,AR17&lt;$N17,AR17&lt;$S17,AR17&lt;$X17,AR17&lt;$AC17,AR17&lt;$AH17,AR17&lt;$AM17,AR17&lt;$AW17,AR17&lt;$BB17,AR17&lt;$BG17,AR17&lt;$BL17),3,
IF(AND(AP2=$C2,AR17=$C17,$C17=0,OR(AR17=$I17,AR17=$N17,AR17=$S17,AR17=$X17,AR17=$AC17,AR17=$AH17,AR17=$AM17,AR17=$AW17,AR17=$BB17,AR17=$BG17,AR17=$BL17)),2.5,
IF(AND(AP2=$C2,AR17=$C17,AT2=TRUE,OR(AR17=$I17,AR17=$N17,AR17=$S17,AR17=$X17,AR17=$AC17,AR17=$AH17,AR17=$AM17,AR17=$AW17,AR17=$BB17,AR17=$BG17,AR17=$BL17)),1.5,
IF(AND(AP2=$C2,AR17=$C17,AR17&lt;$I17,AR17&lt;$N17,AR17&lt;$S17,AR17&lt;$X17,AR17&lt;$AC17,AR17&lt;$AH17,AR17&lt;$AM17,AR17&lt;$AW17,AR17&lt;$BB17,AR17&lt;$BG17,AR17&lt;$BL17),1,
IF(AND(AP2=$C2,AR17=$C17,OR(AR17=$I17,AR17=$N17,AR17=$S17,AR17=$X17,AR17=$AC17,AR17=$AH17,AR17=$AM17,AR17=$AW17,AR17=$BB17,AR17=$BG17,AR17=$BL17)),0.5,
0)))))))),
IF(AND(AT17=TRUE,AT2=TRUE),3,
IF(AND(AT17=TRUE,AT2=FALSE),1,
IF(AT17="",0)))
)</f>
        <v>0</v>
      </c>
      <c r="AT17" s="49" t="str">
        <f t="shared" ref="AT17:AT29" si="53">IF($C2="","",
IF(AP2=$C2,TRUE,FALSE))</f>
        <v/>
      </c>
      <c r="AU17" s="47" t="str">
        <f t="shared" ref="AU17:AU29" si="54">IF(AU2=C2,ABS(AW2-E2),"")</f>
        <v/>
      </c>
      <c r="AV17" s="47" t="str">
        <f t="shared" ref="AV17:AV29" si="55">IF(AU2=C2,ABS(AX2-F2),"")</f>
        <v/>
      </c>
      <c r="AW17" s="48" t="str">
        <f t="shared" ref="AW17:AW29" si="56">IF(AU2=C2,SUM(AU17,AV17),"")</f>
        <v/>
      </c>
      <c r="AX17" s="9">
        <f t="shared" ref="AX17:AX29" si="57">SUM(IF(AND(AU2=$C2,AW17=$C17,$C17=0,AY2=TRUE,AW17&lt;$I17,AW17&lt;$N17,AW17&lt;$S17,AW17&lt;$X17,AW17&lt;$AC17,AW17&lt;$AH17,AW17&lt;$AM17,AW17&lt;$AR17,AW17&lt;$BB17,AW17&lt;$BG17,AW17&lt;$BL17),15,
IF(AND(AU2=$C2,AW17=$C17,$C17=0,AY2=TRUE,OR(AW17=$I17,AW17=$N17,AW17=$S17,AW17=$X17,AW17=$AC17,AW17=$AH17,AW17=$AM17,AW17=$AR17,AW17=$BB17,AW17=$BG17,AW17=$BL17)),7.5,
IF(AND(AU2=$C2,AW17=$C17,$C17=0,AW17&lt;$I17,AW17&lt;$N17,AW17&lt;$S17,AW17&lt;$X17,AW17&lt;$AC17,AW17&lt;$AH17,AW17&lt;$AM17,AW17&lt;$AR17,AW17&lt;$BB17,AW17&lt;$BG17,AW17&lt;$BL17),5,
IF(AND(AU2=$C2,AW17=$C17,AY2=TRUE,AW17&lt;$I17,AW17&lt;$N17,AW17&lt;$S17,AW17&lt;$X17,AW17&lt;$AC17,AW17&lt;$AH17,AW17&lt;$AM17,AW17&lt;$AR17,AW17&lt;$BB17,AW17&lt;$BG17,AW17&lt;$BL17),3,
IF(AND(AU2=$C2,AW17=$C17,$C17=0,OR(AW17=$I17,AW17=$N17,AW17=$S17,AW17=$X17,AW17=$AC17,AW17=$AH17,AW17=$AM17,AW17=$AR17,AW17=$BB17,AW17=$BG17,AW17=$BL17)),2.5,
IF(AND(AU2=$C2,AW17=$C17,AY2=TRUE,OR(AW17=$I17,AW17=$N17,AW17=$S17,AW17=$X17,AW17=$AC17,AW17=$AH17,AW17=$AM17,AW17=$AR17,AW17=$BB17,AW17=$BG17,AW17=$BL17)),1.5,
IF(AND(AU2=$C2,AW17=$C17,AW17&lt;$I17,AW17&lt;$N17,AW17&lt;$S17,AW17&lt;$X17,AW17&lt;$AC17,AW17&lt;$AH17,AW17&lt;$AM17,AW17&lt;$AR17,AW17&lt;$BB17,AW17&lt;$BG17,AW17&lt;$BL17),1,
IF(AND(AU2=$C2,AW17=$C17,OR(AW17=$I17,AW17=$N17,AW17=$S17,AW17=$X17,AW17=$AC17,AW17=$AH17,AW17=$AM17,AW17=$AR17,AW17=$BB17,AW17=$BG17,AW17=$BL17)),0.5,
0)))))))),
IF(AND(AY17=TRUE,AY2=TRUE),3,
IF(AND(AY17=TRUE,AY2=FALSE),1,
IF(AY17="",0)))
)</f>
        <v>0</v>
      </c>
      <c r="AY17" s="49" t="str">
        <f t="shared" ref="AY17:AY29" si="58">IF($C2="","",
IF(AU2=$C2,TRUE,FALSE))</f>
        <v/>
      </c>
      <c r="AZ17" s="47" t="str">
        <f t="shared" ref="AZ17:AZ29" si="59">IF(AZ2=C2,ABS(BB2-E2),"")</f>
        <v/>
      </c>
      <c r="BA17" s="47" t="str">
        <f t="shared" ref="BA17:BA29" si="60">IF(AZ2=C2,ABS(BC2-F2),"")</f>
        <v/>
      </c>
      <c r="BB17" s="48" t="str">
        <f t="shared" ref="BB17:BB29" si="61">IF(AZ2=C2,SUM(AZ17,BA17),"")</f>
        <v/>
      </c>
      <c r="BC17" s="9">
        <f t="shared" ref="BC17:BC29" si="62">SUM(IF(AND(AZ2=$C2,BB17=$C17,$C17=0,BD2=TRUE,BB17&lt;$I17,BB17&lt;$N17,BB17&lt;$S17,BB17&lt;$X17,BB17&lt;$AC17,BB17&lt;$AH17,BB17&lt;$AM17,BB17&lt;$AR17,BB17&lt;$AW17,BB17&lt;$BG17,BB17&lt;$BL17),15,
IF(AND(AZ2=$C2,BB17=$C17,$C17=0,BD2=TRUE,OR(BB17=$I17,BB17=$N17,BB17=$S17,BB17=$X17,BB17=$AC17,BB17=$AH17,BB17=$AM17,BB17=$AR17,BB17=$AW17,BB17=$BG17,BB17=$BL17)),7.5,
IF(AND(AZ2=$C2,BB17=$C17,$C17=0,BB17&lt;$I17,BB17&lt;$N17,BB17&lt;$S17,BB17&lt;$X17,BB17&lt;$AC17,BB17&lt;$AH17,BB17&lt;$AM17,BB17&lt;$AR17,BB17&lt;$AW17,BB17&lt;$BG17,BB17&lt;$BL17),5,
IF(AND(AZ2=$C2,BB17=$C17,BD2=TRUE,BB17&lt;$I17,BB17&lt;$N17,BB17&lt;$S17,BB17&lt;$X17,BB17&lt;$AC17,BB17&lt;$AH17,BB17&lt;$AM17,BB17&lt;$AR17,BB17&lt;$AW17,BB17&lt;$BG17,BB17&lt;$BL17),3,
IF(AND(AZ2=$C2,BB17=$C17,$C17=0,OR(BB17=$I17,BB17=$N17,BB17=$S17,BB17=$X17,BB17=$AC17,BB17=$AH17,BB17=$AM17,BB17=$AR17,BB17=$AW17,BB17=$BG17,BB17=$BL17)),2.5,
IF(AND(AZ2=$C2,BB17=$C17,BD2=TRUE,OR(BB17=$I17,BB17=$N17,BB17=$S17,BB17=$X17,BB17=$AC17,BB17=$AH17,BB17=$AM17,BB17=$AR17,BB17=$AW17,BB17=$BG17,BB17=$BL17)),1.5,
IF(AND(AZ2=$C2,BB17=$C17,BB17&lt;$I17,BB17&lt;$N17,BB17&lt;$S17,BB17&lt;$X17,BB17&lt;$AC17,BB17&lt;$AH17,BB17&lt;$AM17,BB17&lt;$AR17,BB17&lt;$AW17,BB17&lt;$BG17,BB17&lt;$BL17),1,
IF(AND(AZ2=$C2,BB17=$C17,OR(BB17=$I17,BB17=$N17,BB17=$S17,BB17=$X17,BB17=$AC17,BB17=$AH17,BB17=$AM17,BB17=$AR17,BB17=$AW17,BB17=$BG17,BB17=$BL17)),0.5,
0)))))))),
IF(AND(BD17=TRUE,BD2=TRUE),3,
IF(AND(BD17=TRUE,BD2=FALSE),1,
IF(BD17="",0)))
)</f>
        <v>0</v>
      </c>
      <c r="BD17" s="49" t="str">
        <f t="shared" ref="BD17:BD29" si="63">IF($C2="","",
IF(AZ2=$C2,TRUE,FALSE))</f>
        <v/>
      </c>
      <c r="BE17" s="47" t="str">
        <f t="shared" ref="BE17:BE29" si="64">IF(BE2=C2,ABS(BG2-E2),"")</f>
        <v/>
      </c>
      <c r="BF17" s="47" t="str">
        <f t="shared" ref="BF17:BF29" si="65">IF(BE2=C2,ABS(BH2-F2),"")</f>
        <v/>
      </c>
      <c r="BG17" s="48" t="str">
        <f t="shared" ref="BG17:BG29" si="66">IF(BE2=C2,SUM(BE17,BF17),"")</f>
        <v/>
      </c>
      <c r="BH17" s="9">
        <f t="shared" ref="BH17:BH29" si="67">SUM(IF(AND(BE2=$C2,BG17=$C17,$C17=0,BI2=TRUE,BG17&lt;$I17,BG17&lt;$N17,BG17&lt;$S17,BG17&lt;$X17,BG17&lt;$AC17,BG17&lt;$AH17,BG17&lt;$AM17,BG17&lt;$AR17,BG17&lt;$AW17,BG17&lt;$BB17,BG17&lt;$BL17),15,
IF(AND(BE2=$C2,BG17=$C17,$C17=0,BI2=TRUE,OR(BG17=$I17,BG17=$N17,BG17=$S17,BG17=$X17,BG17=$AC17,BG17=$AH17,BG17=$AM17,BG17=$AR17,BG17=$AW17,BG17=$BB17,BG17=$BL17)),7.5,
IF(AND(BE2=$C2,BG17=$C17,$C17=0,BG17&lt;$I17,BG17&lt;$N17,BG17&lt;$S17,BG17&lt;$X17,BG17&lt;$AC17,BG17&lt;$AH17,BG17&lt;$AM17,BG17&lt;$AR17,BG17&lt;$AW17,BG17&lt;$BB17,BG17&lt;$BL17),5,
IF(AND(BE2=$C2,BG17=$C17,BI2=TRUE,BG17&lt;$I17,BG17&lt;$N17,BG17&lt;$S17,BG17&lt;$X17,BG17&lt;$AC17,BG17&lt;$AH17,BG17&lt;$AM17,BG17&lt;$AR17,BG17&lt;$AW17,BG17&lt;$BB17,BG17&lt;$BL17),3,
IF(AND(BE2=$C2,BG17=$C17,$C17=0,OR(BG17=$I17,BG17=$N17,BG17=$S17,BG17=$X17,BG17=$AC17,BG17=$AH17,BG17=$AM17,BG17=$AR17,BG17=$AW17,BG17=$BB17,BG17=$BL17)),2.5,
IF(AND(BE2=$C2,BG17=$C17,BI2=TRUE,OR(BG17=$I17,BG17=$N17,BG17=$S17,BG17=$X17,BG17=$AC17,BG17=$AH17,BG17=$AM17,BG17=$AR17,BG17=$AW17,BG17=$BB17,BG17=$BL17)),1.5,
IF(AND(BE2=$C2,BG17=$C17,BG17&lt;$I17,BG17&lt;$N17,BG17&lt;$S17,BG17&lt;$X17,BG17&lt;$AC17,BG17&lt;$AH17,BG17&lt;$AM17,BG17&lt;$AR17,BG17&lt;$AW17,BG17&lt;$BB17,BG17&lt;$BL17),1,
IF(AND(BE2=$C2,BG17=$C17,OR(BG17=$I17,BG17=$N17,BG17=$S17,BG17=$X17,BG17=$AC17,BG17=$AH17,BG17=$AM17,BG17=$AR17,BG17=$AW17,BG17=$BB17,BG17=$BL17)),0.5,
0)))))))),
IF(AND(BI17=TRUE,BI2=TRUE),3,
IF(AND(BI17=TRUE,BI2=FALSE),1,
IF(BI17="",0)))
)</f>
        <v>0</v>
      </c>
      <c r="BI17" s="49" t="str">
        <f t="shared" ref="BI17:BI29" si="68">IF($C2="","",
IF(BE2=$C2,TRUE,FALSE))</f>
        <v/>
      </c>
      <c r="BJ17" s="47" t="str">
        <f t="shared" ref="BJ17:BJ29" si="69">IF(BJ2=C2,ABS(BL2-E2),"")</f>
        <v/>
      </c>
      <c r="BK17" s="47" t="str">
        <f t="shared" ref="BK17:BK29" si="70">IF(BJ2=C2,ABS(BM2-F2),"")</f>
        <v/>
      </c>
      <c r="BL17" s="48" t="str">
        <f t="shared" ref="BL17:BL29" si="71">IF(BJ2=C2,SUM(BJ17,BK17),"")</f>
        <v/>
      </c>
      <c r="BM17" s="9">
        <f t="shared" ref="BM17:BM29" si="72">SUM(IF(AND(BJ2=$C2,BL17=$C17,$C17=0,BN2=TRUE,BL17&lt;$I17,BL17&lt;$N17,BL17&lt;$S17,BL17&lt;$X17,BL17&lt;$AC17,BL17&lt;$AH17,BL17&lt;$AM17,BL17&lt;$AR17,BL17&lt;$AW17,BL17&lt;$BB17,BL17&lt;$BG17),15,
IF(AND(BJ2=$C2,BL17=$C17,$C17=0,BN2=TRUE,OR(BL17=$I17,BL17=$N17,BL17=$S17,BL17=$X17,BL17=$AC17,BL17=$AH17,BL17=$AM17,BL17=$AR17,BL17=$AW17,BL17=$BB17,BL17=$BG17)),7.5,
IF(AND(BJ2=$C2,BL17=$C17,$C17=0,BL17&lt;$I17,BL17&lt;$N17,BL17&lt;$S17,BL17&lt;$X17,BL17&lt;$AC17,BL17&lt;$AH17,BL17&lt;$AM17,BL17&lt;$AR17,BL17&lt;$AW17,BL17&lt;$BB17,BL17&lt;$BG17),5,
IF(AND(BJ2=$C2,BL17=$C17,BN2=TRUE,BL17&lt;$I17,BL17&lt;$N17,BL17&lt;$S17,BL17&lt;$X17,BL17&lt;$AC17,BL17&lt;$AH17,BL17&lt;$AM17,BL17&lt;$AR17,BL17&lt;$AW17,BL17&lt;$BB17,BL17&lt;$BG17),3,
IF(AND(BJ2=$C2,BL17=$C17,$C17=0,OR(BL17=$I17,BL17=$N17,BL17=$S17,BL17=$X17,BL17=$AC17,BL17=$AH17,BL17=$AM17,BL17=$AR17,BL17=$AW17,BL17=$BB17,BL17=$BG17)),2.5,
IF(AND(BJ2=$C2,BL17=$C17,BN2=TRUE,OR(BL17=$I17,BL17=$N17,BL17=$S17,BL17=$X17,BL17=$AC17,BL17=$AH17,BL17=$AM17,BL17=$AR17,BL17=$AW17,BL17=$BB17,BL17=$BG17)),1.5,
IF(AND(BJ2=$C2,BL17=$C17,BL17&lt;$I17,BL17&lt;$N17,BL17&lt;$S17,BL17&lt;$X17,BL17&lt;$AC17,BL17&lt;$AH17,BL17&lt;$AM17,BL17&lt;$AR17,BL17&lt;$AW17,BL17&lt;$BB17,BL17&lt;$BG17),1,
IF(AND(BJ2=$C2,BL17=$C17,OR(BL17=$I17,BL17=$N17,BL17=$S17,BL17=$X17,BL17=$AC17,BL17=$AH17,BL17=$AM17,BL17=$AR17,BL17=$AW17,BL17=$BB17,BL17=$BG17)),0.5,
0)))))))),
IF(AND(BN17=TRUE,BN2=TRUE),3,
IF(AND(BN17=TRUE,BN2=FALSE),1,
IF(BN17="",0)))
)</f>
        <v>0</v>
      </c>
      <c r="BN17" s="49" t="str">
        <f t="shared" ref="BN17:BN29" si="73">IF($C2="","",
IF(BJ2=$C2,TRUE,FALSE))</f>
        <v/>
      </c>
      <c r="BO17" s="41"/>
      <c r="BP17" s="41"/>
      <c r="BQ17" s="41"/>
    </row>
    <row r="18" hidden="1">
      <c r="A18" s="40"/>
      <c r="B18" s="40"/>
      <c r="C18" s="46">
        <f t="shared" si="13"/>
        <v>0</v>
      </c>
      <c r="D18" s="49"/>
      <c r="E18" s="49"/>
      <c r="F18" s="49"/>
      <c r="G18" s="47" t="str">
        <f t="shared" si="14"/>
        <v/>
      </c>
      <c r="H18" s="47" t="str">
        <f t="shared" si="15"/>
        <v/>
      </c>
      <c r="I18" s="48" t="str">
        <f t="shared" si="16"/>
        <v/>
      </c>
      <c r="J18" s="9">
        <f t="shared" si="17"/>
        <v>0</v>
      </c>
      <c r="K18" s="49" t="str">
        <f t="shared" si="18"/>
        <v/>
      </c>
      <c r="L18" s="47" t="str">
        <f t="shared" si="19"/>
        <v/>
      </c>
      <c r="M18" s="47" t="str">
        <f t="shared" si="20"/>
        <v/>
      </c>
      <c r="N18" s="48" t="str">
        <f t="shared" si="21"/>
        <v/>
      </c>
      <c r="O18" s="9">
        <f t="shared" si="22"/>
        <v>0</v>
      </c>
      <c r="P18" s="49" t="str">
        <f t="shared" si="23"/>
        <v/>
      </c>
      <c r="Q18" s="47" t="str">
        <f t="shared" si="24"/>
        <v/>
      </c>
      <c r="R18" s="47" t="str">
        <f t="shared" si="25"/>
        <v/>
      </c>
      <c r="S18" s="48" t="str">
        <f t="shared" si="26"/>
        <v/>
      </c>
      <c r="T18" s="9">
        <f t="shared" si="27"/>
        <v>0</v>
      </c>
      <c r="U18" s="49" t="str">
        <f t="shared" si="28"/>
        <v/>
      </c>
      <c r="V18" s="47" t="str">
        <f t="shared" si="29"/>
        <v/>
      </c>
      <c r="W18" s="47" t="str">
        <f t="shared" si="30"/>
        <v/>
      </c>
      <c r="X18" s="48" t="str">
        <f t="shared" si="31"/>
        <v/>
      </c>
      <c r="Y18" s="9">
        <f t="shared" si="32"/>
        <v>0</v>
      </c>
      <c r="Z18" s="49" t="str">
        <f t="shared" si="33"/>
        <v/>
      </c>
      <c r="AA18" s="47" t="str">
        <f t="shared" si="34"/>
        <v/>
      </c>
      <c r="AB18" s="47" t="str">
        <f t="shared" si="35"/>
        <v/>
      </c>
      <c r="AC18" s="48" t="str">
        <f t="shared" si="36"/>
        <v/>
      </c>
      <c r="AD18" s="9">
        <f t="shared" si="37"/>
        <v>0</v>
      </c>
      <c r="AE18" s="49" t="str">
        <f t="shared" si="38"/>
        <v/>
      </c>
      <c r="AF18" s="47" t="str">
        <f t="shared" si="39"/>
        <v/>
      </c>
      <c r="AG18" s="47" t="str">
        <f t="shared" si="40"/>
        <v/>
      </c>
      <c r="AH18" s="48" t="str">
        <f t="shared" si="41"/>
        <v/>
      </c>
      <c r="AI18" s="9">
        <f t="shared" si="42"/>
        <v>0</v>
      </c>
      <c r="AJ18" s="49" t="str">
        <f t="shared" si="43"/>
        <v/>
      </c>
      <c r="AK18" s="47" t="str">
        <f t="shared" si="44"/>
        <v/>
      </c>
      <c r="AL18" s="47" t="str">
        <f t="shared" si="45"/>
        <v/>
      </c>
      <c r="AM18" s="48" t="str">
        <f t="shared" si="46"/>
        <v/>
      </c>
      <c r="AN18" s="9">
        <f t="shared" si="47"/>
        <v>0</v>
      </c>
      <c r="AO18" s="49" t="str">
        <f t="shared" si="48"/>
        <v/>
      </c>
      <c r="AP18" s="47" t="str">
        <f t="shared" si="49"/>
        <v/>
      </c>
      <c r="AQ18" s="47" t="str">
        <f t="shared" si="50"/>
        <v/>
      </c>
      <c r="AR18" s="48" t="str">
        <f t="shared" si="51"/>
        <v/>
      </c>
      <c r="AS18" s="9">
        <f t="shared" si="52"/>
        <v>0</v>
      </c>
      <c r="AT18" s="49" t="str">
        <f t="shared" si="53"/>
        <v/>
      </c>
      <c r="AU18" s="47" t="str">
        <f t="shared" si="54"/>
        <v/>
      </c>
      <c r="AV18" s="47" t="str">
        <f t="shared" si="55"/>
        <v/>
      </c>
      <c r="AW18" s="48" t="str">
        <f t="shared" si="56"/>
        <v/>
      </c>
      <c r="AX18" s="9">
        <f t="shared" si="57"/>
        <v>0</v>
      </c>
      <c r="AY18" s="49" t="str">
        <f t="shared" si="58"/>
        <v/>
      </c>
      <c r="AZ18" s="47" t="str">
        <f t="shared" si="59"/>
        <v/>
      </c>
      <c r="BA18" s="47" t="str">
        <f t="shared" si="60"/>
        <v/>
      </c>
      <c r="BB18" s="48" t="str">
        <f t="shared" si="61"/>
        <v/>
      </c>
      <c r="BC18" s="9">
        <f t="shared" si="62"/>
        <v>0</v>
      </c>
      <c r="BD18" s="49" t="str">
        <f t="shared" si="63"/>
        <v/>
      </c>
      <c r="BE18" s="47" t="str">
        <f t="shared" si="64"/>
        <v/>
      </c>
      <c r="BF18" s="47" t="str">
        <f t="shared" si="65"/>
        <v/>
      </c>
      <c r="BG18" s="48" t="str">
        <f t="shared" si="66"/>
        <v/>
      </c>
      <c r="BH18" s="9">
        <f t="shared" si="67"/>
        <v>0</v>
      </c>
      <c r="BI18" s="49" t="str">
        <f t="shared" si="68"/>
        <v/>
      </c>
      <c r="BJ18" s="47" t="str">
        <f t="shared" si="69"/>
        <v/>
      </c>
      <c r="BK18" s="47" t="str">
        <f t="shared" si="70"/>
        <v/>
      </c>
      <c r="BL18" s="48" t="str">
        <f t="shared" si="71"/>
        <v/>
      </c>
      <c r="BM18" s="9">
        <f t="shared" si="72"/>
        <v>0</v>
      </c>
      <c r="BN18" s="49" t="str">
        <f t="shared" si="73"/>
        <v/>
      </c>
      <c r="BO18" s="40"/>
      <c r="BP18" s="40"/>
      <c r="BQ18" s="40"/>
    </row>
    <row r="19" hidden="1">
      <c r="A19" s="40"/>
      <c r="B19" s="40"/>
      <c r="C19" s="46">
        <f t="shared" si="13"/>
        <v>0</v>
      </c>
      <c r="D19" s="49"/>
      <c r="E19" s="49"/>
      <c r="F19" s="49"/>
      <c r="G19" s="47" t="str">
        <f t="shared" si="14"/>
        <v/>
      </c>
      <c r="H19" s="47" t="str">
        <f t="shared" si="15"/>
        <v/>
      </c>
      <c r="I19" s="48" t="str">
        <f t="shared" si="16"/>
        <v/>
      </c>
      <c r="J19" s="9">
        <f t="shared" si="17"/>
        <v>0</v>
      </c>
      <c r="K19" s="49" t="str">
        <f t="shared" si="18"/>
        <v/>
      </c>
      <c r="L19" s="47" t="str">
        <f t="shared" si="19"/>
        <v/>
      </c>
      <c r="M19" s="47" t="str">
        <f t="shared" si="20"/>
        <v/>
      </c>
      <c r="N19" s="48" t="str">
        <f t="shared" si="21"/>
        <v/>
      </c>
      <c r="O19" s="9">
        <f t="shared" si="22"/>
        <v>0</v>
      </c>
      <c r="P19" s="49" t="str">
        <f t="shared" si="23"/>
        <v/>
      </c>
      <c r="Q19" s="47" t="str">
        <f t="shared" si="24"/>
        <v/>
      </c>
      <c r="R19" s="47" t="str">
        <f t="shared" si="25"/>
        <v/>
      </c>
      <c r="S19" s="48" t="str">
        <f t="shared" si="26"/>
        <v/>
      </c>
      <c r="T19" s="9">
        <f t="shared" si="27"/>
        <v>0</v>
      </c>
      <c r="U19" s="49" t="str">
        <f t="shared" si="28"/>
        <v/>
      </c>
      <c r="V19" s="47" t="str">
        <f t="shared" si="29"/>
        <v/>
      </c>
      <c r="W19" s="47" t="str">
        <f t="shared" si="30"/>
        <v/>
      </c>
      <c r="X19" s="48" t="str">
        <f t="shared" si="31"/>
        <v/>
      </c>
      <c r="Y19" s="9">
        <f t="shared" si="32"/>
        <v>0</v>
      </c>
      <c r="Z19" s="49" t="str">
        <f t="shared" si="33"/>
        <v/>
      </c>
      <c r="AA19" s="47" t="str">
        <f t="shared" si="34"/>
        <v/>
      </c>
      <c r="AB19" s="47" t="str">
        <f t="shared" si="35"/>
        <v/>
      </c>
      <c r="AC19" s="48" t="str">
        <f t="shared" si="36"/>
        <v/>
      </c>
      <c r="AD19" s="9">
        <f t="shared" si="37"/>
        <v>0</v>
      </c>
      <c r="AE19" s="49" t="str">
        <f t="shared" si="38"/>
        <v/>
      </c>
      <c r="AF19" s="47" t="str">
        <f t="shared" si="39"/>
        <v/>
      </c>
      <c r="AG19" s="47" t="str">
        <f t="shared" si="40"/>
        <v/>
      </c>
      <c r="AH19" s="48" t="str">
        <f t="shared" si="41"/>
        <v/>
      </c>
      <c r="AI19" s="9">
        <f t="shared" si="42"/>
        <v>0</v>
      </c>
      <c r="AJ19" s="49" t="str">
        <f t="shared" si="43"/>
        <v/>
      </c>
      <c r="AK19" s="47" t="str">
        <f t="shared" si="44"/>
        <v/>
      </c>
      <c r="AL19" s="47" t="str">
        <f t="shared" si="45"/>
        <v/>
      </c>
      <c r="AM19" s="48" t="str">
        <f t="shared" si="46"/>
        <v/>
      </c>
      <c r="AN19" s="9">
        <f t="shared" si="47"/>
        <v>0</v>
      </c>
      <c r="AO19" s="49" t="str">
        <f t="shared" si="48"/>
        <v/>
      </c>
      <c r="AP19" s="47" t="str">
        <f t="shared" si="49"/>
        <v/>
      </c>
      <c r="AQ19" s="47" t="str">
        <f t="shared" si="50"/>
        <v/>
      </c>
      <c r="AR19" s="48" t="str">
        <f t="shared" si="51"/>
        <v/>
      </c>
      <c r="AS19" s="9">
        <f t="shared" si="52"/>
        <v>0</v>
      </c>
      <c r="AT19" s="49" t="str">
        <f t="shared" si="53"/>
        <v/>
      </c>
      <c r="AU19" s="47" t="str">
        <f t="shared" si="54"/>
        <v/>
      </c>
      <c r="AV19" s="47" t="str">
        <f t="shared" si="55"/>
        <v/>
      </c>
      <c r="AW19" s="48" t="str">
        <f t="shared" si="56"/>
        <v/>
      </c>
      <c r="AX19" s="9">
        <f t="shared" si="57"/>
        <v>0</v>
      </c>
      <c r="AY19" s="49" t="str">
        <f t="shared" si="58"/>
        <v/>
      </c>
      <c r="AZ19" s="47" t="str">
        <f t="shared" si="59"/>
        <v/>
      </c>
      <c r="BA19" s="47" t="str">
        <f t="shared" si="60"/>
        <v/>
      </c>
      <c r="BB19" s="48" t="str">
        <f t="shared" si="61"/>
        <v/>
      </c>
      <c r="BC19" s="9">
        <f t="shared" si="62"/>
        <v>0</v>
      </c>
      <c r="BD19" s="49" t="str">
        <f t="shared" si="63"/>
        <v/>
      </c>
      <c r="BE19" s="47" t="str">
        <f t="shared" si="64"/>
        <v/>
      </c>
      <c r="BF19" s="47" t="str">
        <f t="shared" si="65"/>
        <v/>
      </c>
      <c r="BG19" s="48" t="str">
        <f t="shared" si="66"/>
        <v/>
      </c>
      <c r="BH19" s="9">
        <f t="shared" si="67"/>
        <v>0</v>
      </c>
      <c r="BI19" s="49" t="str">
        <f t="shared" si="68"/>
        <v/>
      </c>
      <c r="BJ19" s="47" t="str">
        <f t="shared" si="69"/>
        <v/>
      </c>
      <c r="BK19" s="47" t="str">
        <f t="shared" si="70"/>
        <v/>
      </c>
      <c r="BL19" s="48" t="str">
        <f t="shared" si="71"/>
        <v/>
      </c>
      <c r="BM19" s="9">
        <f t="shared" si="72"/>
        <v>0</v>
      </c>
      <c r="BN19" s="49" t="str">
        <f t="shared" si="73"/>
        <v/>
      </c>
      <c r="BO19" s="40"/>
      <c r="BP19" s="40"/>
      <c r="BQ19" s="40"/>
    </row>
    <row r="20" hidden="1">
      <c r="A20" s="40"/>
      <c r="B20" s="40"/>
      <c r="C20" s="46">
        <f t="shared" si="13"/>
        <v>0</v>
      </c>
      <c r="D20" s="49"/>
      <c r="E20" s="49"/>
      <c r="F20" s="49"/>
      <c r="G20" s="47" t="str">
        <f t="shared" si="14"/>
        <v/>
      </c>
      <c r="H20" s="47" t="str">
        <f t="shared" si="15"/>
        <v/>
      </c>
      <c r="I20" s="48" t="str">
        <f t="shared" si="16"/>
        <v/>
      </c>
      <c r="J20" s="9">
        <f t="shared" si="17"/>
        <v>0</v>
      </c>
      <c r="K20" s="49" t="str">
        <f t="shared" si="18"/>
        <v/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str">
        <f t="shared" si="23"/>
        <v/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str">
        <f t="shared" si="28"/>
        <v/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str">
        <f t="shared" si="33"/>
        <v/>
      </c>
      <c r="AA20" s="47" t="str">
        <f t="shared" si="34"/>
        <v/>
      </c>
      <c r="AB20" s="47" t="str">
        <f t="shared" si="35"/>
        <v/>
      </c>
      <c r="AC20" s="48" t="str">
        <f t="shared" si="36"/>
        <v/>
      </c>
      <c r="AD20" s="9">
        <f t="shared" si="37"/>
        <v>0</v>
      </c>
      <c r="AE20" s="49" t="str">
        <f t="shared" si="38"/>
        <v/>
      </c>
      <c r="AF20" s="47" t="str">
        <f t="shared" si="39"/>
        <v/>
      </c>
      <c r="AG20" s="47" t="str">
        <f t="shared" si="40"/>
        <v/>
      </c>
      <c r="AH20" s="48" t="str">
        <f t="shared" si="41"/>
        <v/>
      </c>
      <c r="AI20" s="9">
        <f t="shared" si="42"/>
        <v>0</v>
      </c>
      <c r="AJ20" s="49" t="str">
        <f t="shared" si="43"/>
        <v/>
      </c>
      <c r="AK20" s="47" t="str">
        <f t="shared" si="44"/>
        <v/>
      </c>
      <c r="AL20" s="47" t="str">
        <f t="shared" si="45"/>
        <v/>
      </c>
      <c r="AM20" s="48" t="str">
        <f t="shared" si="46"/>
        <v/>
      </c>
      <c r="AN20" s="9">
        <f t="shared" si="47"/>
        <v>0</v>
      </c>
      <c r="AO20" s="49" t="str">
        <f t="shared" si="48"/>
        <v/>
      </c>
      <c r="AP20" s="47" t="str">
        <f t="shared" si="49"/>
        <v/>
      </c>
      <c r="AQ20" s="47" t="str">
        <f t="shared" si="50"/>
        <v/>
      </c>
      <c r="AR20" s="48" t="str">
        <f t="shared" si="51"/>
        <v/>
      </c>
      <c r="AS20" s="9">
        <f t="shared" si="52"/>
        <v>0</v>
      </c>
      <c r="AT20" s="49" t="str">
        <f t="shared" si="53"/>
        <v/>
      </c>
      <c r="AU20" s="47" t="str">
        <f t="shared" si="54"/>
        <v/>
      </c>
      <c r="AV20" s="47" t="str">
        <f t="shared" si="55"/>
        <v/>
      </c>
      <c r="AW20" s="48" t="str">
        <f t="shared" si="56"/>
        <v/>
      </c>
      <c r="AX20" s="9">
        <f t="shared" si="57"/>
        <v>0</v>
      </c>
      <c r="AY20" s="49" t="str">
        <f t="shared" si="58"/>
        <v/>
      </c>
      <c r="AZ20" s="47" t="str">
        <f t="shared" si="59"/>
        <v/>
      </c>
      <c r="BA20" s="47" t="str">
        <f t="shared" si="60"/>
        <v/>
      </c>
      <c r="BB20" s="48" t="str">
        <f t="shared" si="61"/>
        <v/>
      </c>
      <c r="BC20" s="9">
        <f t="shared" si="62"/>
        <v>0</v>
      </c>
      <c r="BD20" s="49" t="str">
        <f t="shared" si="63"/>
        <v/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str">
        <f t="shared" si="68"/>
        <v/>
      </c>
      <c r="BJ20" s="47" t="str">
        <f t="shared" si="69"/>
        <v/>
      </c>
      <c r="BK20" s="47" t="str">
        <f t="shared" si="70"/>
        <v/>
      </c>
      <c r="BL20" s="48" t="str">
        <f t="shared" si="71"/>
        <v/>
      </c>
      <c r="BM20" s="9">
        <f t="shared" si="72"/>
        <v>0</v>
      </c>
      <c r="BN20" s="49" t="str">
        <f t="shared" si="73"/>
        <v/>
      </c>
      <c r="BO20" s="40"/>
      <c r="BP20" s="40"/>
      <c r="BQ20" s="40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9"/>
      <c r="D30" s="49"/>
      <c r="E30" s="49"/>
      <c r="F30" s="49"/>
      <c r="G30" s="49"/>
      <c r="H30" s="49"/>
      <c r="I30" s="49"/>
      <c r="J30" s="59">
        <f>MULTIPLY(SUM(J17:J29),10)</f>
        <v>0</v>
      </c>
      <c r="K30" s="62">
        <f>COUNTIF(K17:K29,"TRUE")</f>
        <v>0</v>
      </c>
      <c r="L30" s="49"/>
      <c r="M30" s="49"/>
      <c r="N30" s="49"/>
      <c r="O30" s="59">
        <f>MULTIPLY(SUM(O17:O29),10)</f>
        <v>0</v>
      </c>
      <c r="P30" s="62">
        <f>COUNTIF(P17:P29,"TRUE")</f>
        <v>0</v>
      </c>
      <c r="Q30" s="49"/>
      <c r="R30" s="49"/>
      <c r="S30" s="49"/>
      <c r="T30" s="59">
        <f>MULTIPLY(SUM(T17:T29),10)</f>
        <v>0</v>
      </c>
      <c r="U30" s="62">
        <f>COUNTIF(U17:U29,"TRUE")</f>
        <v>0</v>
      </c>
      <c r="V30" s="49"/>
      <c r="W30" s="49"/>
      <c r="X30" s="49"/>
      <c r="Y30" s="59">
        <f>MULTIPLY(SUM(Y17:Y29),10)</f>
        <v>0</v>
      </c>
      <c r="Z30" s="62">
        <f>COUNTIF(Z17:Z29,"TRUE")</f>
        <v>0</v>
      </c>
      <c r="AA30" s="49"/>
      <c r="AB30" s="49"/>
      <c r="AC30" s="49"/>
      <c r="AD30" s="59">
        <f>MULTIPLY(SUM(AD17:AD29),10)</f>
        <v>0</v>
      </c>
      <c r="AE30" s="62">
        <f>COUNTIF(AE17:AE29,"TRUE")</f>
        <v>0</v>
      </c>
      <c r="AF30" s="49"/>
      <c r="AG30" s="49"/>
      <c r="AH30" s="49"/>
      <c r="AI30" s="59">
        <f>MULTIPLY(SUM(AI17:AI29),10)</f>
        <v>0</v>
      </c>
      <c r="AJ30" s="62">
        <f>COUNTIF(AJ17:AJ29,"TRUE")</f>
        <v>0</v>
      </c>
      <c r="AK30" s="49"/>
      <c r="AL30" s="49"/>
      <c r="AM30" s="49"/>
      <c r="AN30" s="59">
        <f>MULTIPLY(SUM(AN17:AN29),10)</f>
        <v>0</v>
      </c>
      <c r="AO30" s="62">
        <f>COUNTIF(AO17:AO29,"TRUE")</f>
        <v>0</v>
      </c>
      <c r="AP30" s="49"/>
      <c r="AQ30" s="49"/>
      <c r="AR30" s="49"/>
      <c r="AS30" s="59">
        <f>MULTIPLY(SUM(AS17:AS29),10)</f>
        <v>0</v>
      </c>
      <c r="AT30" s="62">
        <f>COUNTIF(AT17:AT29,"TRUE")</f>
        <v>0</v>
      </c>
      <c r="AU30" s="49"/>
      <c r="AV30" s="49"/>
      <c r="AW30" s="49"/>
      <c r="AX30" s="59">
        <f>MULTIPLY(SUM(AX17:AX29),10)</f>
        <v>0</v>
      </c>
      <c r="AY30" s="62">
        <f>COUNTIF(AY17:AY29,"TRUE")</f>
        <v>0</v>
      </c>
      <c r="AZ30" s="49"/>
      <c r="BA30" s="49"/>
      <c r="BB30" s="49"/>
      <c r="BC30" s="59">
        <f>MULTIPLY(SUM(BC17:BC29),10)</f>
        <v>0</v>
      </c>
      <c r="BD30" s="62">
        <f>COUNTIF(BD17:BD29,"TRUE")</f>
        <v>0</v>
      </c>
      <c r="BE30" s="49"/>
      <c r="BF30" s="49"/>
      <c r="BG30" s="49"/>
      <c r="BH30" s="59">
        <f>MULTIPLY(SUM(BH17:BH29),10)</f>
        <v>0</v>
      </c>
      <c r="BI30" s="62">
        <f>COUNTIF(BI17:BI29,"TRUE")</f>
        <v>0</v>
      </c>
      <c r="BJ30" s="49"/>
      <c r="BK30" s="49"/>
      <c r="BL30" s="49"/>
      <c r="BM30" s="59">
        <f>MULTIPLY(SUM(BM17:BM29),10)</f>
        <v>0</v>
      </c>
      <c r="BN30" s="62">
        <f>COUNTIF(BN17:BN29,"TRUE")</f>
        <v>0</v>
      </c>
      <c r="BO30" s="40"/>
      <c r="BP30" s="40"/>
      <c r="BQ30" s="40"/>
    </row>
    <row r="3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</row>
    <row r="32">
      <c r="A32" s="83" t="s">
        <v>234</v>
      </c>
      <c r="B32" s="52"/>
      <c r="C32" s="53" t="s">
        <v>6</v>
      </c>
      <c r="D32" s="53" t="s">
        <v>7</v>
      </c>
      <c r="E32" s="53" t="s">
        <v>8</v>
      </c>
      <c r="F32" s="53" t="s">
        <v>9</v>
      </c>
      <c r="G32" s="53" t="s">
        <v>10</v>
      </c>
      <c r="H32" s="53" t="s">
        <v>11</v>
      </c>
      <c r="I32" s="53" t="s">
        <v>12</v>
      </c>
      <c r="J32" s="53" t="s">
        <v>13</v>
      </c>
      <c r="K32" s="53" t="s">
        <v>14</v>
      </c>
      <c r="L32" s="53" t="s">
        <v>15</v>
      </c>
      <c r="M32" s="53" t="s">
        <v>16</v>
      </c>
      <c r="N32" s="54" t="s">
        <v>17</v>
      </c>
      <c r="O32" s="55"/>
      <c r="P32" s="56"/>
      <c r="Q32" s="56"/>
      <c r="R32" s="56"/>
      <c r="S32" s="56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</row>
    <row r="33">
      <c r="A33" s="81" t="s">
        <v>29</v>
      </c>
      <c r="B33" s="57" t="s">
        <v>141</v>
      </c>
      <c r="C33" s="58">
        <f t="array" ref="C33">INDEX(J30,0)</f>
        <v>0</v>
      </c>
      <c r="D33" s="58">
        <f t="array" ref="D33">INDEX(O30,0)</f>
        <v>0</v>
      </c>
      <c r="E33" s="58">
        <f t="array" ref="E33">INDEX(T30,0)</f>
        <v>0</v>
      </c>
      <c r="F33" s="58">
        <f t="array" ref="F33">INDEX(Y30,0)</f>
        <v>0</v>
      </c>
      <c r="G33" s="58">
        <f t="array" ref="G33">INDEX(AD30,0)</f>
        <v>0</v>
      </c>
      <c r="H33" s="58">
        <f t="array" ref="H33">INDEX(AI30,0)</f>
        <v>0</v>
      </c>
      <c r="I33" s="58">
        <f t="array" ref="I33">INDEX(AN30,0)</f>
        <v>0</v>
      </c>
      <c r="J33" s="58">
        <f t="array" ref="J33">INDEX(AS30,0)</f>
        <v>0</v>
      </c>
      <c r="K33" s="58">
        <f t="array" ref="K33">INDEX(AX30,0)</f>
        <v>0</v>
      </c>
      <c r="L33" s="58">
        <f t="array" ref="L33">INDEX(BC30,0)</f>
        <v>0</v>
      </c>
      <c r="M33" s="58">
        <f t="array" ref="M33">INDEX(BH30,0)</f>
        <v>0</v>
      </c>
      <c r="N33" s="60">
        <f t="array" ref="N33">INDEX(BM30,0)</f>
        <v>0</v>
      </c>
      <c r="O33" s="61"/>
      <c r="P33" s="11"/>
      <c r="Q33" s="11"/>
      <c r="R33" s="11"/>
      <c r="S33" s="11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</row>
    <row r="34">
      <c r="A34" s="81" t="s">
        <v>34</v>
      </c>
      <c r="B34" s="63" t="s">
        <v>142</v>
      </c>
      <c r="C34" s="64">
        <f>COUNTIF(K17:K29,true)</f>
        <v>0</v>
      </c>
      <c r="D34" s="64">
        <f>COUNTIF(P17:P29,true)</f>
        <v>0</v>
      </c>
      <c r="E34" s="64">
        <f>COUNTIF(U17:U29,true)</f>
        <v>0</v>
      </c>
      <c r="F34" s="64">
        <f>COUNTIF(Z17:Z29,true)</f>
        <v>0</v>
      </c>
      <c r="G34" s="64">
        <f>COUNTIF(AE17:AE29,true)</f>
        <v>0</v>
      </c>
      <c r="H34" s="64">
        <f>COUNTIF(AJ17:AJ29,true)</f>
        <v>0</v>
      </c>
      <c r="I34" s="64">
        <f>COUNTIF(AO17:AO29,true)</f>
        <v>0</v>
      </c>
      <c r="J34" s="64">
        <f>COUNTIF(AT17:AT29,true)</f>
        <v>0</v>
      </c>
      <c r="K34" s="64">
        <f>COUNTIF(AY17:AY29,true)</f>
        <v>0</v>
      </c>
      <c r="L34" s="64">
        <f>COUNTIF(BD17:BD29,true)</f>
        <v>0</v>
      </c>
      <c r="M34" s="64">
        <f>COUNTIF(BI17:BI29,true)</f>
        <v>0</v>
      </c>
      <c r="N34" s="65">
        <f>COUNTIF(BN17:BN29,true)</f>
        <v>0</v>
      </c>
      <c r="O34" s="66"/>
      <c r="P34" s="67"/>
      <c r="Q34" s="67"/>
      <c r="R34" s="67"/>
      <c r="S34" s="67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</row>
    <row r="35">
      <c r="A35" s="81" t="s">
        <v>26</v>
      </c>
      <c r="B35" s="63" t="s">
        <v>143</v>
      </c>
      <c r="C35" s="68">
        <f>COUNTIF(K17:K29,FALSE)</f>
        <v>0</v>
      </c>
      <c r="D35" s="68">
        <f>COUNTIF(P17:P29,FALSE)</f>
        <v>0</v>
      </c>
      <c r="E35" s="68">
        <f>COUNTIF(U17:U29,FALSE)</f>
        <v>0</v>
      </c>
      <c r="F35" s="68">
        <f>COUNTIF(Z17:Z29,FALSE)</f>
        <v>0</v>
      </c>
      <c r="G35" s="68">
        <f>COUNTIF(AE17:AE29,FALSE)</f>
        <v>0</v>
      </c>
      <c r="H35" s="68">
        <f>COUNTIF(AJ17:AJ29,FALSE)</f>
        <v>0</v>
      </c>
      <c r="I35" s="68">
        <f>COUNTIF(AO17:AO29,FALSE)</f>
        <v>0</v>
      </c>
      <c r="J35" s="68">
        <f>COUNTIF(AT17:AT29,FALSE)</f>
        <v>0</v>
      </c>
      <c r="K35" s="68">
        <f>COUNTIF(AY17:AY29,FALSE)</f>
        <v>0</v>
      </c>
      <c r="L35" s="68">
        <f>COUNTIF(BD17:BD29,FALSE)</f>
        <v>0</v>
      </c>
      <c r="M35" s="68">
        <f>COUNTIF(BI17:BI29,FALSE)</f>
        <v>0</v>
      </c>
      <c r="N35" s="69">
        <f>COUNTIF(BN17:BN29,FALSE)</f>
        <v>0</v>
      </c>
      <c r="O35" s="66"/>
      <c r="P35" s="67"/>
      <c r="Q35" s="67"/>
      <c r="R35" s="67"/>
      <c r="S35" s="67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</row>
    <row r="36">
      <c r="A36" s="81" t="s">
        <v>39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85" t="s">
        <v>28</v>
      </c>
      <c r="B37" s="70" t="s">
        <v>144</v>
      </c>
      <c r="C37" s="71">
        <f>SUM('Week 1'!C38,'Week 2'!C38,'Week 3'!C38,'Week 4'!C38,'Week 5'!C39,'Week 6'!C35,'Week 7'!C35,'Week 8'!C37,'Week 9'!C38,'Week 10'!C36,C33)</f>
        <v>325</v>
      </c>
      <c r="D37" s="71">
        <f>SUM('Week 1'!D38,'Week 2'!D38,'Week 3'!D38,'Week 4'!D38,'Week 5'!D39,'Week 6'!D35,'Week 7'!D35,'Week 8'!D37,'Week 9'!D38,'Week 10'!D36,D33)</f>
        <v>275</v>
      </c>
      <c r="E37" s="71">
        <f>SUM('Week 1'!E38,'Week 2'!E38,'Week 3'!E38,'Week 4'!E38,'Week 5'!E39,'Week 6'!E35,'Week 7'!E35,'Week 8'!E37,'Week 9'!E38,'Week 10'!E36,E33)</f>
        <v>290</v>
      </c>
      <c r="F37" s="71">
        <f>SUM('Week 1'!F38,'Week 2'!F38,'Week 3'!F38,'Week 4'!F38,'Week 5'!F39,'Week 6'!F35,'Week 7'!F35,'Week 8'!F37,'Week 9'!F38,'Week 10'!F36,F33)</f>
        <v>375</v>
      </c>
      <c r="G37" s="71">
        <f>SUM('Week 1'!G38,'Week 2'!G38,'Week 3'!G38,'Week 4'!G38,'Week 5'!G39,'Week 6'!G35,'Week 7'!G35,'Week 8'!G37,'Week 9'!G38,'Week 10'!G36,G33)</f>
        <v>410</v>
      </c>
      <c r="H37" s="71">
        <f>SUM('Week 1'!H38,'Week 2'!H38,'Week 3'!H38,'Week 4'!H38,'Week 5'!H39,'Week 6'!H35,'Week 7'!H35,'Week 8'!H37,'Week 9'!H38,'Week 10'!H36,H33)</f>
        <v>480</v>
      </c>
      <c r="I37" s="71">
        <f>SUM('Week 1'!I38,'Week 2'!I38,'Week 3'!I38,'Week 4'!I38,'Week 5'!I39,'Week 6'!I35,'Week 7'!I35,'Week 8'!I37,'Week 9'!I38,'Week 10'!I36,I33)</f>
        <v>320</v>
      </c>
      <c r="J37" s="71">
        <f>SUM('Week 1'!J38,'Week 2'!J38,'Week 3'!J38,'Week 4'!J38,'Week 5'!J39,'Week 6'!J35,'Week 7'!J35,'Week 8'!J37,'Week 9'!J38,'Week 10'!J36,J33)</f>
        <v>445</v>
      </c>
      <c r="K37" s="71">
        <f>SUM('Week 1'!K38,'Week 2'!K38,'Week 3'!K38,'Week 4'!K38,'Week 5'!K39,'Week 6'!K35,'Week 7'!K35,'Week 8'!K37,'Week 9'!K38,'Week 10'!K36,K33)</f>
        <v>370</v>
      </c>
      <c r="L37" s="71">
        <f>SUM('Week 1'!L38,'Week 2'!L38,'Week 3'!L38,'Week 4'!L38,'Week 5'!L39,'Week 6'!L35,'Week 7'!L35,'Week 8'!L37,'Week 9'!L38,'Week 10'!L36,L33)</f>
        <v>280</v>
      </c>
      <c r="M37" s="71">
        <f>SUM('Week 1'!M38,'Week 2'!M38,'Week 3'!M38,'Week 4'!M38,'Week 5'!M39,'Week 6'!M35,'Week 7'!M35,'Week 8'!M37,'Week 9'!M38,'Week 10'!M36,M33)</f>
        <v>365</v>
      </c>
      <c r="N37" s="72">
        <f>SUM('Week 1'!N38,'Week 2'!N38,'Week 3'!N38,'Week 4'!N38,'Week 5'!N39,'Week 6'!N35,'Week 7'!N35,'Week 8'!N37,'Week 9'!N38,'Week 10'!N36,N33)</f>
        <v>290</v>
      </c>
      <c r="O37" s="61"/>
      <c r="P37" s="11"/>
      <c r="Q37" s="11"/>
      <c r="R37" s="11"/>
      <c r="S37" s="11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5" t="s">
        <v>24</v>
      </c>
      <c r="B38" s="57" t="s">
        <v>145</v>
      </c>
      <c r="C38" s="73" t="str">
        <f>CONCATENATE(SUM('Week 1'!C39,'Week 2'!C39,'Week 3'!C39,'Week 4'!C39,'Week 5'!C40,'Week 6'!C36,'Week 7'!C36,'Week 8'!C38,'Week 9'!C39,'Week 10'!C37,C34)," - ",SUM('Week 1'!C40,'Week 2'!C40,'Week 3'!C40,'Week 4'!C40,'Week 5'!C41,'Week 6'!C37,'Week 7'!C37,'Week 8'!C39,'Week 9'!C40,'Week 10'!C38,C35))</f>
        <v>25 - 21</v>
      </c>
      <c r="D38" s="73" t="str">
        <f>CONCATENATE(SUM('Week 1'!D39,'Week 2'!D39,'Week 3'!D39,'Week 4'!D39,'Week 5'!D40,'Week 6'!D36,'Week 7'!D36,'Week 8'!D38,'Week 9'!D39,'Week 10'!D37,D34)," - ",SUM('Week 1'!D40,'Week 2'!D40,'Week 3'!D40,'Week 4'!D40,'Week 5'!D41,'Week 6'!D37,'Week 7'!D37,'Week 8'!D39,'Week 9'!D40,'Week 10'!D38,D35))</f>
        <v>24 - 22</v>
      </c>
      <c r="E38" s="73" t="str">
        <f>CONCATENATE(SUM('Week 1'!E39,'Week 2'!E39,'Week 3'!E39,'Week 4'!E39,'Week 5'!E40,'Week 6'!E36,'Week 7'!E36,'Week 8'!E38,'Week 9'!E39,'Week 10'!E37,E34)," - ",SUM('Week 1'!E40,'Week 2'!E40,'Week 3'!E40,'Week 4'!E40,'Week 5'!E41,'Week 6'!E37,'Week 7'!E37,'Week 8'!E39,'Week 9'!E40,'Week 10'!E38,E35))</f>
        <v>23 - 23</v>
      </c>
      <c r="F38" s="73" t="str">
        <f>CONCATENATE(SUM('Week 1'!F39,'Week 2'!F39,'Week 3'!F39,'Week 4'!F39,'Week 5'!F40,'Week 6'!F36,'Week 7'!F36,'Week 8'!F38,'Week 9'!F39,'Week 10'!F37,F34)," - ",SUM('Week 1'!F40,'Week 2'!F40,'Week 3'!F40,'Week 4'!F40,'Week 5'!F41,'Week 6'!F37,'Week 7'!F37,'Week 8'!F39,'Week 9'!F40,'Week 10'!F38,F35))</f>
        <v>26 - 20</v>
      </c>
      <c r="G38" s="73" t="str">
        <f>CONCATENATE(SUM('Week 1'!G39,'Week 2'!G39,'Week 3'!G39,'Week 4'!G39,'Week 5'!G40,'Week 6'!G36,'Week 7'!G36,'Week 8'!G38,'Week 9'!G39,'Week 10'!G37,G34)," - ",SUM('Week 1'!G40,'Week 2'!G40,'Week 3'!G40,'Week 4'!G40,'Week 5'!G41,'Week 6'!G37,'Week 7'!G37,'Week 8'!G39,'Week 9'!G40,'Week 10'!G38,G35))</f>
        <v>30 - 16</v>
      </c>
      <c r="H38" s="73" t="str">
        <f>CONCATENATE(SUM('Week 1'!H39,'Week 2'!H39,'Week 3'!H39,'Week 4'!H39,'Week 5'!H40,'Week 6'!H36,'Week 7'!H36,'Week 8'!H38,'Week 9'!H39,'Week 10'!H37,H34)," - ",SUM('Week 1'!H40,'Week 2'!H40,'Week 3'!H40,'Week 4'!H40,'Week 5'!H41,'Week 6'!H37,'Week 7'!H37,'Week 8'!H39,'Week 9'!H40,'Week 10'!H38,H35))</f>
        <v>33 - 13</v>
      </c>
      <c r="I38" s="73" t="str">
        <f>CONCATENATE(SUM('Week 1'!I39,'Week 2'!I39,'Week 3'!I39,'Week 4'!I39,'Week 5'!I40,'Week 6'!I36,'Week 7'!I36,'Week 8'!I38,'Week 9'!I39,'Week 10'!I37,I34)," - ",SUM('Week 1'!I40,'Week 2'!I40,'Week 3'!I40,'Week 4'!I40,'Week 5'!I41,'Week 6'!I37,'Week 7'!I37,'Week 8'!I39,'Week 9'!I40,'Week 10'!I38,I35))</f>
        <v>26 - 20</v>
      </c>
      <c r="J38" s="73" t="str">
        <f>CONCATENATE(SUM('Week 1'!J39,'Week 2'!J39,'Week 3'!J39,'Week 4'!J39,'Week 5'!J40,'Week 6'!J36,'Week 7'!J36,'Week 8'!J38,'Week 9'!J39,'Week 10'!J37,J34)," - ",SUM('Week 1'!J40,'Week 2'!J40,'Week 3'!J40,'Week 4'!J40,'Week 5'!J41,'Week 6'!J37,'Week 7'!J37,'Week 8'!J39,'Week 9'!J40,'Week 10'!J38,J35))</f>
        <v>27 - 19</v>
      </c>
      <c r="K38" s="73" t="str">
        <f>CONCATENATE(SUM('Week 1'!K39,'Week 2'!K39,'Week 3'!K39,'Week 4'!K39,'Week 5'!K40,'Week 6'!K36,'Week 7'!K36,'Week 8'!K38,'Week 9'!K39,'Week 10'!K37,K34)," - ",SUM('Week 1'!K40,'Week 2'!K40,'Week 3'!K40,'Week 4'!K40,'Week 5'!K41,'Week 6'!K37,'Week 7'!K37,'Week 8'!K39,'Week 9'!K40,'Week 10'!K38,K35))</f>
        <v>29 - 17</v>
      </c>
      <c r="L38" s="73" t="str">
        <f>CONCATENATE(SUM('Week 1'!L39,'Week 2'!L39,'Week 3'!L39,'Week 4'!L39,'Week 5'!L40,'Week 6'!L36,'Week 7'!L36,'Week 8'!L38,'Week 9'!L39,'Week 10'!L37,L34)," - ",SUM('Week 1'!L40,'Week 2'!L40,'Week 3'!L40,'Week 4'!L40,'Week 5'!L41,'Week 6'!L37,'Week 7'!L37,'Week 8'!L39,'Week 9'!L40,'Week 10'!L38,L35))</f>
        <v>26 - 20</v>
      </c>
      <c r="M38" s="73" t="str">
        <f>CONCATENATE(SUM('Week 1'!M39,'Week 2'!M39,'Week 3'!M39,'Week 4'!M39,'Week 5'!M40,'Week 6'!M36,'Week 7'!M36,'Week 8'!M38,'Week 9'!M39,'Week 10'!M37,M34)," - ",SUM('Week 1'!M40,'Week 2'!M40,'Week 3'!M40,'Week 4'!M40,'Week 5'!M41,'Week 6'!M37,'Week 7'!M37,'Week 8'!M39,'Week 9'!M40,'Week 10'!M38,M35))</f>
        <v>24 - 22</v>
      </c>
      <c r="N38" s="74" t="str">
        <f>CONCATENATE(SUM('Week 1'!N39,'Week 2'!N39,'Week 3'!N39,'Week 4'!N39,'Week 5'!N40,'Week 6'!N36,'Week 7'!N36,'Week 8'!N38,'Week 9'!N39,'Week 10'!N37,N34)," - ",SUM('Week 1'!N40,'Week 2'!N40,'Week 3'!N40,'Week 4'!N40,'Week 5'!N41,'Week 6'!N37,'Week 7'!N37,'Week 8'!N39,'Week 9'!N40,'Week 10'!N38,N35))</f>
        <v>20 - 26</v>
      </c>
      <c r="O38" s="75"/>
      <c r="P38" s="76"/>
      <c r="Q38" s="76"/>
      <c r="R38" s="76"/>
      <c r="S38" s="76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C40" s="29">
        <f t="array" ref="C40:E56">INDEX(H58:J74,0)</f>
        <v>1</v>
      </c>
      <c r="D40" s="29" t="s">
        <v>11</v>
      </c>
      <c r="E40" s="29">
        <v>480.0</v>
      </c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C41" s="29">
        <v>2.0</v>
      </c>
      <c r="D41" s="29" t="s">
        <v>13</v>
      </c>
      <c r="E41" s="29">
        <v>445.0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C42" s="29">
        <v>3.0</v>
      </c>
      <c r="D42" s="29" t="s">
        <v>10</v>
      </c>
      <c r="E42" s="29">
        <v>410.0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C43" s="29">
        <v>4.0</v>
      </c>
      <c r="D43" s="29" t="s">
        <v>9</v>
      </c>
      <c r="E43" s="29">
        <v>375.0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C44" s="29">
        <v>5.0</v>
      </c>
      <c r="D44" s="29" t="s">
        <v>14</v>
      </c>
      <c r="E44" s="29">
        <v>370.0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v>6.0</v>
      </c>
      <c r="D45" s="29" t="s">
        <v>16</v>
      </c>
      <c r="E45" s="29">
        <v>365.0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7.0</v>
      </c>
      <c r="D46" s="29" t="s">
        <v>6</v>
      </c>
      <c r="E46" s="29">
        <v>325.0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8.0</v>
      </c>
      <c r="D47" s="29" t="s">
        <v>12</v>
      </c>
      <c r="E47" s="29">
        <v>320.0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9.0</v>
      </c>
      <c r="D48" s="29" t="s">
        <v>8</v>
      </c>
      <c r="E48" s="29">
        <v>290.0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9.0</v>
      </c>
      <c r="D49" s="29" t="s">
        <v>17</v>
      </c>
      <c r="E49" s="29">
        <v>290.0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11.0</v>
      </c>
      <c r="D50" s="29" t="s">
        <v>15</v>
      </c>
      <c r="E50" s="29">
        <v>280.0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12.0</v>
      </c>
      <c r="D51" s="29" t="s">
        <v>7</v>
      </c>
      <c r="E51" s="29">
        <v>275.0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/>
      <c r="D52" s="29"/>
      <c r="E52" s="29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/>
      <c r="D53" s="29"/>
      <c r="E53" s="29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/>
      <c r="D54" s="29"/>
      <c r="E54" s="2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 hidden="1">
      <c r="A55" s="40"/>
      <c r="C55" s="29"/>
      <c r="D55" s="29"/>
      <c r="E55" s="2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 hidden="1">
      <c r="A56" s="40"/>
      <c r="C56" s="29"/>
      <c r="D56" s="29"/>
      <c r="E56" s="2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 hidden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 hidden="1">
      <c r="A58" s="40"/>
      <c r="B58" s="77" t="s">
        <v>6</v>
      </c>
      <c r="C58" s="41">
        <f t="array" ref="C58">INDEX(C37,0)</f>
        <v>325</v>
      </c>
      <c r="D58" s="40"/>
      <c r="G58" s="40"/>
      <c r="H58" s="40">
        <f t="shared" ref="H58:H69" si="74">RANK(J58,$J$58:$J$74,false)</f>
        <v>1</v>
      </c>
      <c r="I58" s="40" t="str">
        <f t="array" ref="I58:J74">SORT(B58:C74,2,false)</f>
        <v>Caleb</v>
      </c>
      <c r="J58" s="40">
        <v>480.0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 hidden="1">
      <c r="A59" s="40"/>
      <c r="B59" s="77" t="s">
        <v>7</v>
      </c>
      <c r="C59" s="41">
        <f t="array" ref="C59">INDEX(D37,0)</f>
        <v>275</v>
      </c>
      <c r="D59" s="40"/>
      <c r="G59" s="40"/>
      <c r="H59" s="40">
        <f t="shared" si="74"/>
        <v>2</v>
      </c>
      <c r="I59" s="40" t="s">
        <v>13</v>
      </c>
      <c r="J59" s="40">
        <v>445.0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B60" s="77" t="s">
        <v>8</v>
      </c>
      <c r="C60" s="41">
        <f t="array" ref="C60">INDEX(E37,0)</f>
        <v>290</v>
      </c>
      <c r="D60" s="40"/>
      <c r="G60" s="40"/>
      <c r="H60" s="40">
        <f t="shared" si="74"/>
        <v>3</v>
      </c>
      <c r="I60" s="40" t="s">
        <v>10</v>
      </c>
      <c r="J60" s="40">
        <v>410.0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B61" s="77" t="s">
        <v>9</v>
      </c>
      <c r="C61" s="41">
        <f t="array" ref="C61">INDEX(F37,0)</f>
        <v>375</v>
      </c>
      <c r="D61" s="40"/>
      <c r="G61" s="40"/>
      <c r="H61" s="40">
        <f t="shared" si="74"/>
        <v>4</v>
      </c>
      <c r="I61" s="40" t="s">
        <v>9</v>
      </c>
      <c r="J61" s="40">
        <v>375.0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77" t="s">
        <v>10</v>
      </c>
      <c r="C62" s="41">
        <f t="array" ref="C62">INDEX(G37,0)</f>
        <v>410</v>
      </c>
      <c r="D62" s="40"/>
      <c r="G62" s="40"/>
      <c r="H62" s="40">
        <f t="shared" si="74"/>
        <v>5</v>
      </c>
      <c r="I62" s="40" t="s">
        <v>14</v>
      </c>
      <c r="J62" s="40">
        <v>370.0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11</v>
      </c>
      <c r="C63" s="41">
        <f t="array" ref="C63">INDEX(H37,0)</f>
        <v>480</v>
      </c>
      <c r="D63" s="40"/>
      <c r="G63" s="40"/>
      <c r="H63" s="40">
        <f t="shared" si="74"/>
        <v>6</v>
      </c>
      <c r="I63" s="40" t="s">
        <v>16</v>
      </c>
      <c r="J63" s="40">
        <v>365.0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12</v>
      </c>
      <c r="C64" s="41">
        <f t="array" ref="C64">INDEX(I37,0)</f>
        <v>320</v>
      </c>
      <c r="D64" s="40"/>
      <c r="G64" s="40"/>
      <c r="H64" s="40">
        <f t="shared" si="74"/>
        <v>7</v>
      </c>
      <c r="I64" s="40" t="s">
        <v>6</v>
      </c>
      <c r="J64" s="40">
        <v>325.0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13</v>
      </c>
      <c r="C65" s="41">
        <f t="array" ref="C65">INDEX(J37,0)</f>
        <v>445</v>
      </c>
      <c r="D65" s="40"/>
      <c r="G65" s="40"/>
      <c r="H65" s="40">
        <f t="shared" si="74"/>
        <v>8</v>
      </c>
      <c r="I65" s="40" t="s">
        <v>12</v>
      </c>
      <c r="J65" s="40">
        <v>320.0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14</v>
      </c>
      <c r="C66" s="41">
        <f t="array" ref="C66">INDEX(K37,0)</f>
        <v>370</v>
      </c>
      <c r="D66" s="40"/>
      <c r="G66" s="40"/>
      <c r="H66" s="40">
        <f t="shared" si="74"/>
        <v>9</v>
      </c>
      <c r="I66" s="40" t="s">
        <v>8</v>
      </c>
      <c r="J66" s="40">
        <v>290.0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15</v>
      </c>
      <c r="C67" s="41">
        <f t="array" ref="C67">INDEX(L37,0)</f>
        <v>280</v>
      </c>
      <c r="D67" s="40"/>
      <c r="G67" s="40"/>
      <c r="H67" s="40">
        <f t="shared" si="74"/>
        <v>9</v>
      </c>
      <c r="I67" s="40" t="s">
        <v>17</v>
      </c>
      <c r="J67" s="40">
        <v>290.0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16</v>
      </c>
      <c r="C68" s="41">
        <f t="array" ref="C68">INDEX(M37,0)</f>
        <v>365</v>
      </c>
      <c r="D68" s="40"/>
      <c r="G68" s="40"/>
      <c r="H68" s="40">
        <f t="shared" si="74"/>
        <v>11</v>
      </c>
      <c r="I68" s="40" t="s">
        <v>15</v>
      </c>
      <c r="J68" s="40">
        <v>280.0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17</v>
      </c>
      <c r="C69" s="41">
        <f t="array" ref="C69">INDEX(N37,0)</f>
        <v>290</v>
      </c>
      <c r="D69" s="40"/>
      <c r="G69" s="40"/>
      <c r="H69" s="40">
        <f t="shared" si="74"/>
        <v>12</v>
      </c>
      <c r="I69" s="40" t="s">
        <v>7</v>
      </c>
      <c r="J69" s="40">
        <v>275.0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/>
      <c r="C70" s="41"/>
      <c r="D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/>
      <c r="C71" s="41"/>
      <c r="D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/>
      <c r="C72" s="41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/>
      <c r="C73" s="41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/>
      <c r="C74" s="41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4">
    <cfRule type="expression" dxfId="0" priority="1">
      <formula>AND($I17=$C17,$C17=0)</formula>
    </cfRule>
  </conditionalFormatting>
  <conditionalFormatting sqref="G2:K14">
    <cfRule type="expression" dxfId="7" priority="2">
      <formula>$I17=$C17</formula>
    </cfRule>
  </conditionalFormatting>
  <conditionalFormatting sqref="L2:L14">
    <cfRule type="expression" dxfId="2" priority="3">
      <formula>AND(C2&lt;&gt;"",C2&lt;&gt;L2)</formula>
    </cfRule>
  </conditionalFormatting>
  <conditionalFormatting sqref="M2:M14">
    <cfRule type="expression" dxfId="2" priority="4">
      <formula>AND(C2&lt;&gt;"",C2&lt;&gt;L2)</formula>
    </cfRule>
  </conditionalFormatting>
  <conditionalFormatting sqref="N2:N14">
    <cfRule type="expression" dxfId="2" priority="5">
      <formula>AND(C2&lt;&gt;"",C2&lt;&gt;L2)</formula>
    </cfRule>
  </conditionalFormatting>
  <conditionalFormatting sqref="O2:O14">
    <cfRule type="expression" dxfId="2" priority="6">
      <formula>AND(C2&lt;&gt;"",C2&lt;&gt;L2)</formula>
    </cfRule>
  </conditionalFormatting>
  <conditionalFormatting sqref="P2:P14">
    <cfRule type="expression" dxfId="2" priority="7">
      <formula>AND(C2&lt;&gt;"",C2&lt;&gt;L2)</formula>
    </cfRule>
  </conditionalFormatting>
  <conditionalFormatting sqref="L2:P14">
    <cfRule type="expression" dxfId="0" priority="8">
      <formula>AND($N17=$C17,$C17=0)</formula>
    </cfRule>
  </conditionalFormatting>
  <conditionalFormatting sqref="L2:P14">
    <cfRule type="expression" dxfId="7" priority="9">
      <formula>$N17=$C17</formula>
    </cfRule>
  </conditionalFormatting>
  <conditionalFormatting sqref="Q2:Q14">
    <cfRule type="expression" dxfId="2" priority="10">
      <formula>AND(C2&lt;&gt;"",C2&lt;&gt;Q2)</formula>
    </cfRule>
  </conditionalFormatting>
  <conditionalFormatting sqref="R2:R14">
    <cfRule type="expression" dxfId="2" priority="11">
      <formula>AND(C2&lt;&gt;"",C2&lt;&gt;Q2)</formula>
    </cfRule>
  </conditionalFormatting>
  <conditionalFormatting sqref="S2:S14">
    <cfRule type="expression" dxfId="2" priority="12">
      <formula>AND(C2&lt;&gt;"",C2&lt;&gt;Q2)</formula>
    </cfRule>
  </conditionalFormatting>
  <conditionalFormatting sqref="T2:T14">
    <cfRule type="expression" dxfId="2" priority="13">
      <formula>AND(C2&lt;&gt;"",C2&lt;&gt;Q2)</formula>
    </cfRule>
  </conditionalFormatting>
  <conditionalFormatting sqref="U2:U14">
    <cfRule type="expression" dxfId="2" priority="14">
      <formula>AND(C2&lt;&gt;"",C2&lt;&gt;Q2)</formula>
    </cfRule>
  </conditionalFormatting>
  <conditionalFormatting sqref="Q2:U14">
    <cfRule type="expression" dxfId="0" priority="15">
      <formula>AND($S17=$C17,$C17=0)</formula>
    </cfRule>
  </conditionalFormatting>
  <conditionalFormatting sqref="Q2:U14">
    <cfRule type="expression" dxfId="7" priority="16">
      <formula>$S17=$C17</formula>
    </cfRule>
  </conditionalFormatting>
  <conditionalFormatting sqref="V2:V14">
    <cfRule type="expression" dxfId="2" priority="17">
      <formula>AND(C2&lt;&gt;"",C2&lt;&gt;V2)</formula>
    </cfRule>
  </conditionalFormatting>
  <conditionalFormatting sqref="W2:W14">
    <cfRule type="expression" dxfId="2" priority="18">
      <formula>AND(C2&lt;&gt;"",C2&lt;&gt;V2)</formula>
    </cfRule>
  </conditionalFormatting>
  <conditionalFormatting sqref="X2:X14">
    <cfRule type="expression" dxfId="2" priority="19">
      <formula>AND(C2&lt;&gt;"",C2&lt;&gt;V2)</formula>
    </cfRule>
  </conditionalFormatting>
  <conditionalFormatting sqref="Y2:Y14">
    <cfRule type="expression" dxfId="2" priority="20">
      <formula>AND(C2&lt;&gt;"",C2&lt;&gt;V2)</formula>
    </cfRule>
  </conditionalFormatting>
  <conditionalFormatting sqref="Z2:Z14">
    <cfRule type="expression" dxfId="2" priority="21">
      <formula>AND(C2&lt;&gt;"",C2&lt;&gt;V2)</formula>
    </cfRule>
  </conditionalFormatting>
  <conditionalFormatting sqref="AA2:AA14">
    <cfRule type="expression" dxfId="2" priority="22">
      <formula>AND(C2&lt;&gt;"",C2&lt;&gt;AA2)</formula>
    </cfRule>
  </conditionalFormatting>
  <conditionalFormatting sqref="AB2:AB14">
    <cfRule type="expression" dxfId="2" priority="23">
      <formula>AND(C2&lt;&gt;"",C2&lt;&gt;AA2)</formula>
    </cfRule>
  </conditionalFormatting>
  <conditionalFormatting sqref="AC2:AC14">
    <cfRule type="expression" dxfId="2" priority="24">
      <formula>AND(C2&lt;&gt;"",C2&lt;&gt;AA2)</formula>
    </cfRule>
  </conditionalFormatting>
  <conditionalFormatting sqref="AD2:AD14">
    <cfRule type="expression" dxfId="2" priority="25">
      <formula>AND(C2&lt;&gt;"",C2&lt;&gt;AA2)</formula>
    </cfRule>
  </conditionalFormatting>
  <conditionalFormatting sqref="AE2:AE14">
    <cfRule type="expression" dxfId="2" priority="26">
      <formula>AND(C2&lt;&gt;"",C2&lt;&gt;AA2)</formula>
    </cfRule>
  </conditionalFormatting>
  <conditionalFormatting sqref="AF2:AF14">
    <cfRule type="expression" dxfId="2" priority="27">
      <formula>AND(C2&lt;&gt;"",C2&lt;&gt;AF2)</formula>
    </cfRule>
  </conditionalFormatting>
  <conditionalFormatting sqref="AG2:AG14">
    <cfRule type="expression" dxfId="2" priority="28">
      <formula>AND(C2&lt;&gt;"",C2&lt;&gt;AF2)</formula>
    </cfRule>
  </conditionalFormatting>
  <conditionalFormatting sqref="AH2:AH14">
    <cfRule type="expression" dxfId="2" priority="29">
      <formula>AND(C2&lt;&gt;"",C2&lt;&gt;AF2)</formula>
    </cfRule>
  </conditionalFormatting>
  <conditionalFormatting sqref="AI2:AI14">
    <cfRule type="expression" dxfId="2" priority="30">
      <formula>AND(C2&lt;&gt;"",C2&lt;&gt;AF2)</formula>
    </cfRule>
  </conditionalFormatting>
  <conditionalFormatting sqref="AJ2:AJ14">
    <cfRule type="expression" dxfId="2" priority="31">
      <formula>AND(C2&lt;&gt;"",C2&lt;&gt;AF2)</formula>
    </cfRule>
  </conditionalFormatting>
  <conditionalFormatting sqref="AK2:AK14">
    <cfRule type="expression" dxfId="2" priority="32">
      <formula>AND(C2&lt;&gt;"",C2&lt;&gt;AK2)</formula>
    </cfRule>
  </conditionalFormatting>
  <conditionalFormatting sqref="AL2:AL14">
    <cfRule type="expression" dxfId="2" priority="33">
      <formula>AND(C2&lt;&gt;"",C2&lt;&gt;AK2)</formula>
    </cfRule>
  </conditionalFormatting>
  <conditionalFormatting sqref="AM2:AM14">
    <cfRule type="expression" dxfId="2" priority="34">
      <formula>AND(C2&lt;&gt;"",C2&lt;&gt;AK2)</formula>
    </cfRule>
  </conditionalFormatting>
  <conditionalFormatting sqref="AN2:AN14">
    <cfRule type="expression" dxfId="2" priority="35">
      <formula>AND(C2&lt;&gt;"",C2&lt;&gt;AK2)</formula>
    </cfRule>
  </conditionalFormatting>
  <conditionalFormatting sqref="AO2:AO14">
    <cfRule type="expression" dxfId="2" priority="36">
      <formula>AND(C2&lt;&gt;"",C2&lt;&gt;AK2)</formula>
    </cfRule>
  </conditionalFormatting>
  <conditionalFormatting sqref="AP2:AP14">
    <cfRule type="expression" dxfId="2" priority="37">
      <formula>AND(C2&lt;&gt;"",C2&lt;&gt;AP2)</formula>
    </cfRule>
  </conditionalFormatting>
  <conditionalFormatting sqref="AQ2:AQ14">
    <cfRule type="expression" dxfId="2" priority="38">
      <formula>AND(C2&lt;&gt;"",C2&lt;&gt;AP2)</formula>
    </cfRule>
  </conditionalFormatting>
  <conditionalFormatting sqref="AR2:AR14">
    <cfRule type="expression" dxfId="2" priority="39">
      <formula>AND(C2&lt;&gt;"",C2&lt;&gt;AP2)</formula>
    </cfRule>
  </conditionalFormatting>
  <conditionalFormatting sqref="AS2:AS14">
    <cfRule type="expression" dxfId="2" priority="40">
      <formula>AND(C2&lt;&gt;"",C2&lt;&gt;AP2)</formula>
    </cfRule>
  </conditionalFormatting>
  <conditionalFormatting sqref="AT2:AT14">
    <cfRule type="expression" dxfId="2" priority="41">
      <formula>AND(C2&lt;&gt;"",C2&lt;&gt;AP2)</formula>
    </cfRule>
  </conditionalFormatting>
  <conditionalFormatting sqref="AU2:AU14">
    <cfRule type="expression" dxfId="2" priority="42">
      <formula>AND(C2&lt;&gt;"",C2&lt;&gt;AU2)</formula>
    </cfRule>
  </conditionalFormatting>
  <conditionalFormatting sqref="AV2:AV14">
    <cfRule type="expression" dxfId="2" priority="43">
      <formula>AND(C2&lt;&gt;"",C2&lt;&gt;AU2)</formula>
    </cfRule>
  </conditionalFormatting>
  <conditionalFormatting sqref="AW2:AW14">
    <cfRule type="expression" dxfId="2" priority="44">
      <formula>AND(C2&lt;&gt;"",C2&lt;&gt;AU2)</formula>
    </cfRule>
  </conditionalFormatting>
  <conditionalFormatting sqref="AX2:AX14">
    <cfRule type="expression" dxfId="2" priority="45">
      <formula>AND(C2&lt;&gt;"",C2&lt;&gt;AU2)</formula>
    </cfRule>
  </conditionalFormatting>
  <conditionalFormatting sqref="AY2:AY14">
    <cfRule type="expression" dxfId="2" priority="46">
      <formula>AND(C2&lt;&gt;"",C2&lt;&gt;AU2)</formula>
    </cfRule>
  </conditionalFormatting>
  <conditionalFormatting sqref="AZ2:AZ14">
    <cfRule type="expression" dxfId="2" priority="47">
      <formula>AND(C2&lt;&gt;"",C2&lt;&gt;AZ2)</formula>
    </cfRule>
  </conditionalFormatting>
  <conditionalFormatting sqref="BA2:BA14">
    <cfRule type="expression" dxfId="2" priority="48">
      <formula>AND(C2&lt;&gt;"",C2&lt;&gt;AZ2)</formula>
    </cfRule>
  </conditionalFormatting>
  <conditionalFormatting sqref="BB2:BB14">
    <cfRule type="expression" dxfId="2" priority="49">
      <formula>AND(C2&lt;&gt;"",C2&lt;&gt;AZ2)</formula>
    </cfRule>
  </conditionalFormatting>
  <conditionalFormatting sqref="BC2:BC14">
    <cfRule type="expression" dxfId="2" priority="50">
      <formula>AND(C2&lt;&gt;"",C2&lt;&gt;AZ2)</formula>
    </cfRule>
  </conditionalFormatting>
  <conditionalFormatting sqref="BD2:BD14">
    <cfRule type="expression" dxfId="2" priority="51">
      <formula>AND(C2&lt;&gt;"",C2&lt;&gt;AZ2)</formula>
    </cfRule>
  </conditionalFormatting>
  <conditionalFormatting sqref="BE2:BE14">
    <cfRule type="expression" dxfId="2" priority="52">
      <formula>AND(C2&lt;&gt;"",C2&lt;&gt;BE2)</formula>
    </cfRule>
  </conditionalFormatting>
  <conditionalFormatting sqref="BF2:BF14">
    <cfRule type="expression" dxfId="2" priority="53">
      <formula>AND(C2&lt;&gt;"",C2&lt;&gt;BE2)</formula>
    </cfRule>
  </conditionalFormatting>
  <conditionalFormatting sqref="BG2:BG14">
    <cfRule type="expression" dxfId="2" priority="54">
      <formula>AND(C2&lt;&gt;"",C2&lt;&gt;BE2)</formula>
    </cfRule>
  </conditionalFormatting>
  <conditionalFormatting sqref="BH2:BH14">
    <cfRule type="expression" dxfId="2" priority="55">
      <formula>AND(C2&lt;&gt;"",C2&lt;&gt;BE2)</formula>
    </cfRule>
  </conditionalFormatting>
  <conditionalFormatting sqref="BI2:BI14">
    <cfRule type="expression" dxfId="2" priority="56">
      <formula>AND(C2&lt;&gt;"",C2&lt;&gt;BE2)</formula>
    </cfRule>
  </conditionalFormatting>
  <conditionalFormatting sqref="BJ2:BJ14">
    <cfRule type="expression" dxfId="2" priority="57">
      <formula>AND(C2&lt;&gt;"",C2&lt;&gt;BJ2)</formula>
    </cfRule>
  </conditionalFormatting>
  <conditionalFormatting sqref="BK2:BK14">
    <cfRule type="expression" dxfId="2" priority="58">
      <formula>AND(C2&lt;&gt;"",C2&lt;&gt;BJ2)</formula>
    </cfRule>
  </conditionalFormatting>
  <conditionalFormatting sqref="BL2:BL14">
    <cfRule type="expression" dxfId="2" priority="59">
      <formula>AND(C2&lt;&gt;"",C2&lt;&gt;BJ2)</formula>
    </cfRule>
  </conditionalFormatting>
  <conditionalFormatting sqref="BM2:BM14">
    <cfRule type="expression" dxfId="2" priority="60">
      <formula>AND(C2&lt;&gt;"",C2&lt;&gt;BJ2)</formula>
    </cfRule>
  </conditionalFormatting>
  <conditionalFormatting sqref="BN2:BN14">
    <cfRule type="expression" dxfId="2" priority="61">
      <formula>AND(C2&lt;&gt;"",C2&lt;&gt;BJ2)</formula>
    </cfRule>
  </conditionalFormatting>
  <conditionalFormatting sqref="G2:G14">
    <cfRule type="expression" dxfId="3" priority="62">
      <formula>G2=C2</formula>
    </cfRule>
  </conditionalFormatting>
  <conditionalFormatting sqref="H2:H14">
    <cfRule type="expression" dxfId="3" priority="63">
      <formula>G2=C2</formula>
    </cfRule>
  </conditionalFormatting>
  <conditionalFormatting sqref="I2:I14">
    <cfRule type="expression" dxfId="3" priority="64">
      <formula>G2=C2</formula>
    </cfRule>
  </conditionalFormatting>
  <conditionalFormatting sqref="J2:J14">
    <cfRule type="expression" dxfId="3" priority="65">
      <formula>G2=C2</formula>
    </cfRule>
  </conditionalFormatting>
  <conditionalFormatting sqref="K2:K14">
    <cfRule type="expression" dxfId="3" priority="66">
      <formula>G2=C2</formula>
    </cfRule>
  </conditionalFormatting>
  <conditionalFormatting sqref="L2:L14">
    <cfRule type="expression" dxfId="3" priority="67">
      <formula>L2=C2</formula>
    </cfRule>
  </conditionalFormatting>
  <conditionalFormatting sqref="M2:M14">
    <cfRule type="expression" dxfId="3" priority="68">
      <formula>L2=C2</formula>
    </cfRule>
  </conditionalFormatting>
  <conditionalFormatting sqref="N2:N14">
    <cfRule type="expression" dxfId="3" priority="69">
      <formula>L2=C2</formula>
    </cfRule>
  </conditionalFormatting>
  <conditionalFormatting sqref="O2:O14">
    <cfRule type="expression" dxfId="3" priority="70">
      <formula>L2=C2</formula>
    </cfRule>
  </conditionalFormatting>
  <conditionalFormatting sqref="P2:P14">
    <cfRule type="expression" dxfId="3" priority="71">
      <formula>L2=C2</formula>
    </cfRule>
  </conditionalFormatting>
  <conditionalFormatting sqref="Q2:Q14">
    <cfRule type="expression" dxfId="3" priority="72">
      <formula>Q2=C2</formula>
    </cfRule>
  </conditionalFormatting>
  <conditionalFormatting sqref="R2:R14">
    <cfRule type="expression" dxfId="3" priority="73">
      <formula>Q2=C2</formula>
    </cfRule>
  </conditionalFormatting>
  <conditionalFormatting sqref="S2:S14">
    <cfRule type="expression" dxfId="3" priority="74">
      <formula>Q2=C2</formula>
    </cfRule>
  </conditionalFormatting>
  <conditionalFormatting sqref="T2:T14">
    <cfRule type="expression" dxfId="3" priority="75">
      <formula>Q2=C2</formula>
    </cfRule>
  </conditionalFormatting>
  <conditionalFormatting sqref="U2:U14">
    <cfRule type="expression" dxfId="3" priority="76">
      <formula>Q2=C2</formula>
    </cfRule>
  </conditionalFormatting>
  <conditionalFormatting sqref="V2:Z14">
    <cfRule type="expression" dxfId="0" priority="77">
      <formula>AND($X17=$C17,$C17=0)</formula>
    </cfRule>
  </conditionalFormatting>
  <conditionalFormatting sqref="V2:Z14">
    <cfRule type="expression" dxfId="7" priority="78">
      <formula>$X17=$C17</formula>
    </cfRule>
  </conditionalFormatting>
  <conditionalFormatting sqref="V2:Z14">
    <cfRule type="expression" dxfId="3" priority="79">
      <formula>$V2=$C2</formula>
    </cfRule>
  </conditionalFormatting>
  <conditionalFormatting sqref="AA2:AE14">
    <cfRule type="expression" dxfId="0" priority="80">
      <formula>AND($AC17=$C17,$C17=0)</formula>
    </cfRule>
  </conditionalFormatting>
  <conditionalFormatting sqref="AA2:AE14">
    <cfRule type="expression" dxfId="7" priority="81">
      <formula>$AC17=$C17</formula>
    </cfRule>
  </conditionalFormatting>
  <conditionalFormatting sqref="AA2:AE14">
    <cfRule type="expression" dxfId="3" priority="82">
      <formula>$AA2=$C2</formula>
    </cfRule>
  </conditionalFormatting>
  <conditionalFormatting sqref="AF2:AJ14">
    <cfRule type="expression" dxfId="0" priority="83">
      <formula>AND($AH17=$C17,$C17=0)</formula>
    </cfRule>
  </conditionalFormatting>
  <conditionalFormatting sqref="AF2:AJ14">
    <cfRule type="expression" dxfId="7" priority="84">
      <formula>$AH17=$C17</formula>
    </cfRule>
  </conditionalFormatting>
  <conditionalFormatting sqref="AF2:AJ14">
    <cfRule type="expression" dxfId="3" priority="85">
      <formula>$AF2=$C2</formula>
    </cfRule>
  </conditionalFormatting>
  <conditionalFormatting sqref="AK2:AO14">
    <cfRule type="expression" dxfId="0" priority="86">
      <formula>AND($AM17=$C17,$C17=0)</formula>
    </cfRule>
  </conditionalFormatting>
  <conditionalFormatting sqref="AK2:AO14">
    <cfRule type="expression" dxfId="7" priority="87">
      <formula>$AM17=$C17</formula>
    </cfRule>
  </conditionalFormatting>
  <conditionalFormatting sqref="AK2:AO14">
    <cfRule type="expression" dxfId="3" priority="88">
      <formula>$AK2=$C2</formula>
    </cfRule>
  </conditionalFormatting>
  <conditionalFormatting sqref="AP2:AT14">
    <cfRule type="expression" dxfId="0" priority="89">
      <formula>AND($AR17=$C17,$C17=0)</formula>
    </cfRule>
  </conditionalFormatting>
  <conditionalFormatting sqref="AP2:AT14">
    <cfRule type="expression" dxfId="7" priority="90">
      <formula>$AR17=$C17</formula>
    </cfRule>
  </conditionalFormatting>
  <conditionalFormatting sqref="AP2:AT14">
    <cfRule type="expression" dxfId="3" priority="91">
      <formula>$AP2=$C2</formula>
    </cfRule>
  </conditionalFormatting>
  <conditionalFormatting sqref="AU2:AY14">
    <cfRule type="expression" dxfId="0" priority="92">
      <formula>AND($AW17=$C17,$C17=0)</formula>
    </cfRule>
  </conditionalFormatting>
  <conditionalFormatting sqref="AU2:AY14">
    <cfRule type="expression" dxfId="7" priority="93">
      <formula>$AW17=$C17</formula>
    </cfRule>
  </conditionalFormatting>
  <conditionalFormatting sqref="AU2:AY14">
    <cfRule type="expression" dxfId="3" priority="94">
      <formula>$AU2=$C2</formula>
    </cfRule>
  </conditionalFormatting>
  <conditionalFormatting sqref="AZ2:BD14">
    <cfRule type="expression" dxfId="0" priority="95">
      <formula>AND($BB17=$C17,$C17=0)</formula>
    </cfRule>
  </conditionalFormatting>
  <conditionalFormatting sqref="AZ2:BD14">
    <cfRule type="expression" dxfId="7" priority="96">
      <formula>$BB17=$C17</formula>
    </cfRule>
  </conditionalFormatting>
  <conditionalFormatting sqref="AZ2:BD14">
    <cfRule type="expression" dxfId="3" priority="97">
      <formula>$AZ2=$C2</formula>
    </cfRule>
  </conditionalFormatting>
  <conditionalFormatting sqref="BE2:BI14">
    <cfRule type="expression" dxfId="0" priority="98">
      <formula>AND($BG17=$C17,$C17=0)</formula>
    </cfRule>
  </conditionalFormatting>
  <conditionalFormatting sqref="BE2:BI14">
    <cfRule type="expression" dxfId="7" priority="99">
      <formula>$BG17=$C17</formula>
    </cfRule>
  </conditionalFormatting>
  <conditionalFormatting sqref="BE2:BI14">
    <cfRule type="expression" dxfId="3" priority="100">
      <formula>$BE2=$C2</formula>
    </cfRule>
  </conditionalFormatting>
  <conditionalFormatting sqref="BJ2:BN14">
    <cfRule type="expression" dxfId="0" priority="101">
      <formula>AND($BL17=$C17,$C17=0)</formula>
    </cfRule>
  </conditionalFormatting>
  <conditionalFormatting sqref="BJ2:BN14">
    <cfRule type="expression" dxfId="7" priority="102">
      <formula>$BL17=$C17</formula>
    </cfRule>
  </conditionalFormatting>
  <conditionalFormatting sqref="BJ2:BN14">
    <cfRule type="expression" dxfId="3" priority="103">
      <formula>$BJ2=$C2</formula>
    </cfRule>
  </conditionalFormatting>
  <conditionalFormatting sqref="G2:K14">
    <cfRule type="expression" dxfId="2" priority="104">
      <formula>AND($C2&lt;&gt;"",$G2&lt;&gt;$C2)</formula>
    </cfRule>
  </conditionalFormatting>
  <conditionalFormatting sqref="C40:C56">
    <cfRule type="cellIs" dxfId="4" priority="105" operator="equal">
      <formula>1</formula>
    </cfRule>
  </conditionalFormatting>
  <conditionalFormatting sqref="C40:C56">
    <cfRule type="cellIs" dxfId="5" priority="106" operator="equal">
      <formula>2</formula>
    </cfRule>
  </conditionalFormatting>
  <conditionalFormatting sqref="C40:C56">
    <cfRule type="cellIs" dxfId="6" priority="107" operator="equal">
      <formula>3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255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257</v>
      </c>
      <c r="B2" s="17" t="s">
        <v>258</v>
      </c>
      <c r="C2" s="18" t="str">
        <f>IFERROR(__xludf.DUMMYFUNCTION("IMPORTRANGE(""https://docs.google.com/spreadsheets/d/1v9a6MxzpyXdVbef97sptWrOJUpuAu6ldKC6wbegqpyg/edit?gid=517007778#gid=517007778"",""Week 12!C3:F18"")"),"")</f>
        <v/>
      </c>
      <c r="D2" s="11" t="str">
        <f>IFERROR(__xludf.DUMMYFUNCTION("""COMPUTED_VALUE"""),"")</f>
        <v/>
      </c>
      <c r="E2" s="19"/>
      <c r="F2" s="20"/>
      <c r="G2" s="19" t="s">
        <v>39</v>
      </c>
      <c r="H2" s="11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14.0</v>
      </c>
      <c r="J2" s="19">
        <v>20.0</v>
      </c>
      <c r="K2" s="20" t="b">
        <v>0</v>
      </c>
      <c r="L2" s="24" t="s">
        <v>39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24.0</v>
      </c>
      <c r="O2" s="24">
        <v>27.0</v>
      </c>
      <c r="P2" s="24" t="b">
        <v>0</v>
      </c>
      <c r="Q2" s="27" t="s">
        <v>26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17.0</v>
      </c>
      <c r="T2" s="19">
        <v>14.0</v>
      </c>
      <c r="U2" s="20" t="b">
        <v>0</v>
      </c>
      <c r="V2" s="19" t="s">
        <v>39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17.0</v>
      </c>
      <c r="Y2" s="19">
        <v>24.0</v>
      </c>
      <c r="Z2" s="20" t="b">
        <v>0</v>
      </c>
      <c r="AA2" s="27" t="s">
        <v>39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26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23.0</v>
      </c>
      <c r="AI2" s="19">
        <v>20.0</v>
      </c>
      <c r="AJ2" s="20" t="b">
        <v>0</v>
      </c>
      <c r="AK2" s="19" t="s">
        <v>39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24.0</v>
      </c>
      <c r="AN2" s="19">
        <v>31.0</v>
      </c>
      <c r="AO2" s="20" t="b">
        <v>0</v>
      </c>
      <c r="AP2" s="27" t="s">
        <v>39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21.0</v>
      </c>
      <c r="AS2" s="19">
        <v>24.0</v>
      </c>
      <c r="AT2" s="20" t="b">
        <v>0</v>
      </c>
      <c r="AU2" s="27" t="s">
        <v>26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21.0</v>
      </c>
      <c r="AX2" s="19">
        <v>17.0</v>
      </c>
      <c r="AY2" s="20" t="b">
        <v>1</v>
      </c>
      <c r="AZ2" s="27" t="s">
        <v>39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26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20.0</v>
      </c>
      <c r="BH2" s="19">
        <v>17.0</v>
      </c>
      <c r="BI2" s="20" t="b">
        <v>0</v>
      </c>
      <c r="BJ2" s="27" t="s">
        <v>26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24.0</v>
      </c>
      <c r="BM2" s="19">
        <v>21.0</v>
      </c>
      <c r="BN2" s="20" t="b">
        <v>0</v>
      </c>
      <c r="BO2" s="19"/>
      <c r="BP2" s="19"/>
      <c r="BQ2" s="19"/>
    </row>
    <row r="3">
      <c r="A3" s="16" t="s">
        <v>303</v>
      </c>
      <c r="B3" s="30" t="s">
        <v>304</v>
      </c>
      <c r="C3" s="18"/>
      <c r="D3" s="11" t="str">
        <f>IFERROR(__xludf.DUMMYFUNCTION("""COMPUTED_VALUE"""),"")</f>
        <v/>
      </c>
      <c r="E3" s="17"/>
      <c r="F3" s="31"/>
      <c r="G3" s="19" t="s">
        <v>44</v>
      </c>
      <c r="H3" s="11" t="str">
        <f t="shared" si="1"/>
        <v/>
      </c>
      <c r="I3" s="19">
        <v>27.0</v>
      </c>
      <c r="J3" s="19">
        <v>24.0</v>
      </c>
      <c r="K3" s="20" t="b">
        <v>0</v>
      </c>
      <c r="L3" s="19" t="s">
        <v>27</v>
      </c>
      <c r="M3" s="11" t="str">
        <f t="shared" si="2"/>
        <v/>
      </c>
      <c r="N3" s="19">
        <v>24.0</v>
      </c>
      <c r="O3" s="19">
        <v>27.0</v>
      </c>
      <c r="P3" s="19" t="b">
        <v>0</v>
      </c>
      <c r="Q3" s="27" t="s">
        <v>27</v>
      </c>
      <c r="R3" s="11" t="str">
        <f t="shared" si="3"/>
        <v/>
      </c>
      <c r="S3" s="19">
        <v>24.0</v>
      </c>
      <c r="T3" s="19">
        <v>27.0</v>
      </c>
      <c r="U3" s="20" t="b">
        <v>0</v>
      </c>
      <c r="V3" s="19" t="s">
        <v>44</v>
      </c>
      <c r="W3" s="11" t="str">
        <f t="shared" si="4"/>
        <v/>
      </c>
      <c r="X3" s="19">
        <v>10.0</v>
      </c>
      <c r="Y3" s="19">
        <v>7.0</v>
      </c>
      <c r="Z3" s="20" t="b">
        <v>0</v>
      </c>
      <c r="AA3" s="27" t="s">
        <v>27</v>
      </c>
      <c r="AB3" s="11" t="str">
        <f t="shared" si="5"/>
        <v/>
      </c>
      <c r="AC3" s="19">
        <v>17.0</v>
      </c>
      <c r="AD3" s="19">
        <v>24.0</v>
      </c>
      <c r="AE3" s="19" t="b">
        <v>0</v>
      </c>
      <c r="AF3" s="27" t="s">
        <v>27</v>
      </c>
      <c r="AG3" s="11" t="str">
        <f t="shared" si="6"/>
        <v/>
      </c>
      <c r="AH3" s="19">
        <v>21.0</v>
      </c>
      <c r="AI3" s="19">
        <v>24.0</v>
      </c>
      <c r="AJ3" s="20" t="b">
        <v>0</v>
      </c>
      <c r="AK3" s="19" t="s">
        <v>27</v>
      </c>
      <c r="AL3" s="11" t="str">
        <f t="shared" si="7"/>
        <v/>
      </c>
      <c r="AM3" s="19">
        <v>20.0</v>
      </c>
      <c r="AN3" s="19">
        <v>23.0</v>
      </c>
      <c r="AO3" s="20" t="b">
        <v>0</v>
      </c>
      <c r="AP3" s="27" t="s">
        <v>27</v>
      </c>
      <c r="AQ3" s="11" t="str">
        <f t="shared" si="8"/>
        <v/>
      </c>
      <c r="AR3" s="19">
        <v>23.0</v>
      </c>
      <c r="AS3" s="19">
        <v>31.0</v>
      </c>
      <c r="AT3" s="20" t="b">
        <v>0</v>
      </c>
      <c r="AU3" s="27" t="s">
        <v>27</v>
      </c>
      <c r="AV3" s="11" t="str">
        <f t="shared" si="9"/>
        <v/>
      </c>
      <c r="AW3" s="19">
        <v>20.0</v>
      </c>
      <c r="AX3" s="19">
        <v>23.0</v>
      </c>
      <c r="AY3" s="20" t="b">
        <v>0</v>
      </c>
      <c r="AZ3" s="27" t="s">
        <v>27</v>
      </c>
      <c r="BA3" s="11" t="str">
        <f t="shared" si="10"/>
        <v/>
      </c>
      <c r="BB3" s="19">
        <v>20.0</v>
      </c>
      <c r="BC3" s="19">
        <v>23.0</v>
      </c>
      <c r="BD3" s="20" t="b">
        <v>0</v>
      </c>
      <c r="BE3" s="27" t="s">
        <v>27</v>
      </c>
      <c r="BF3" s="11" t="str">
        <f t="shared" si="11"/>
        <v/>
      </c>
      <c r="BG3" s="19">
        <v>24.0</v>
      </c>
      <c r="BH3" s="19">
        <v>27.0</v>
      </c>
      <c r="BI3" s="20" t="b">
        <v>0</v>
      </c>
      <c r="BJ3" s="27" t="s">
        <v>27</v>
      </c>
      <c r="BK3" s="11" t="str">
        <f t="shared" si="12"/>
        <v/>
      </c>
      <c r="BL3" s="19">
        <v>21.0</v>
      </c>
      <c r="BM3" s="19">
        <v>24.0</v>
      </c>
      <c r="BN3" s="20" t="b">
        <v>0</v>
      </c>
      <c r="BO3" s="17"/>
      <c r="BP3" s="17"/>
      <c r="BQ3" s="17"/>
    </row>
    <row r="4">
      <c r="A4" s="16" t="s">
        <v>305</v>
      </c>
      <c r="B4" s="30" t="s">
        <v>306</v>
      </c>
      <c r="C4" s="18"/>
      <c r="D4" s="11" t="str">
        <f>IFERROR(__xludf.DUMMYFUNCTION("""COMPUTED_VALUE"""),"")</f>
        <v/>
      </c>
      <c r="E4" s="19"/>
      <c r="F4" s="20"/>
      <c r="G4" s="19" t="s">
        <v>54</v>
      </c>
      <c r="H4" s="11" t="str">
        <f t="shared" si="1"/>
        <v/>
      </c>
      <c r="I4" s="19">
        <v>21.0</v>
      </c>
      <c r="J4" s="19">
        <v>17.0</v>
      </c>
      <c r="K4" s="20" t="b">
        <v>0</v>
      </c>
      <c r="L4" s="19" t="s">
        <v>54</v>
      </c>
      <c r="M4" s="11" t="str">
        <f t="shared" si="2"/>
        <v/>
      </c>
      <c r="N4" s="19">
        <v>21.0</v>
      </c>
      <c r="O4" s="19">
        <v>17.0</v>
      </c>
      <c r="P4" s="19"/>
      <c r="Q4" s="27" t="s">
        <v>54</v>
      </c>
      <c r="R4" s="11" t="str">
        <f t="shared" si="3"/>
        <v/>
      </c>
      <c r="S4" s="19">
        <v>27.0</v>
      </c>
      <c r="T4" s="19">
        <v>24.0</v>
      </c>
      <c r="U4" s="20" t="b">
        <v>0</v>
      </c>
      <c r="V4" s="19" t="s">
        <v>54</v>
      </c>
      <c r="W4" s="11" t="str">
        <f t="shared" si="4"/>
        <v/>
      </c>
      <c r="X4" s="19">
        <v>14.0</v>
      </c>
      <c r="Y4" s="19">
        <v>10.0</v>
      </c>
      <c r="Z4" s="20" t="b">
        <v>0</v>
      </c>
      <c r="AA4" s="27" t="s">
        <v>84</v>
      </c>
      <c r="AB4" s="11" t="str">
        <f t="shared" si="5"/>
        <v/>
      </c>
      <c r="AC4" s="19">
        <v>17.0</v>
      </c>
      <c r="AD4" s="19">
        <v>24.0</v>
      </c>
      <c r="AE4" s="19" t="b">
        <v>0</v>
      </c>
      <c r="AF4" s="27" t="s">
        <v>54</v>
      </c>
      <c r="AG4" s="11" t="str">
        <f t="shared" si="6"/>
        <v/>
      </c>
      <c r="AH4" s="19">
        <v>24.0</v>
      </c>
      <c r="AI4" s="19">
        <v>21.0</v>
      </c>
      <c r="AJ4" s="20" t="b">
        <v>0</v>
      </c>
      <c r="AK4" s="19" t="s">
        <v>84</v>
      </c>
      <c r="AL4" s="11" t="str">
        <f t="shared" si="7"/>
        <v/>
      </c>
      <c r="AM4" s="19">
        <v>24.0</v>
      </c>
      <c r="AN4" s="19">
        <v>27.0</v>
      </c>
      <c r="AO4" s="20" t="b">
        <v>1</v>
      </c>
      <c r="AP4" s="27" t="s">
        <v>54</v>
      </c>
      <c r="AQ4" s="11" t="str">
        <f t="shared" si="8"/>
        <v/>
      </c>
      <c r="AR4" s="19">
        <v>24.0</v>
      </c>
      <c r="AS4" s="19">
        <v>20.0</v>
      </c>
      <c r="AT4" s="20" t="b">
        <v>0</v>
      </c>
      <c r="AU4" s="27" t="s">
        <v>54</v>
      </c>
      <c r="AV4" s="11" t="str">
        <f t="shared" si="9"/>
        <v/>
      </c>
      <c r="AW4" s="19">
        <v>28.0</v>
      </c>
      <c r="AX4" s="19">
        <v>21.0</v>
      </c>
      <c r="AY4" s="20" t="b">
        <v>0</v>
      </c>
      <c r="AZ4" s="27" t="s">
        <v>54</v>
      </c>
      <c r="BA4" s="11" t="str">
        <f t="shared" si="10"/>
        <v/>
      </c>
      <c r="BB4" s="19">
        <v>23.0</v>
      </c>
      <c r="BC4" s="19">
        <v>20.0</v>
      </c>
      <c r="BD4" s="20" t="b">
        <v>0</v>
      </c>
      <c r="BE4" s="27" t="s">
        <v>54</v>
      </c>
      <c r="BF4" s="11" t="str">
        <f t="shared" si="11"/>
        <v/>
      </c>
      <c r="BG4" s="19">
        <v>10.0</v>
      </c>
      <c r="BH4" s="19">
        <v>7.0</v>
      </c>
      <c r="BI4" s="20" t="b">
        <v>0</v>
      </c>
      <c r="BJ4" s="27" t="s">
        <v>54</v>
      </c>
      <c r="BK4" s="11" t="str">
        <f t="shared" si="12"/>
        <v/>
      </c>
      <c r="BL4" s="19">
        <v>28.0</v>
      </c>
      <c r="BM4" s="19">
        <v>24.0</v>
      </c>
      <c r="BN4" s="20" t="b">
        <v>0</v>
      </c>
      <c r="BO4" s="17"/>
      <c r="BP4" s="17"/>
      <c r="BQ4" s="17"/>
    </row>
    <row r="5">
      <c r="A5" s="16" t="s">
        <v>307</v>
      </c>
      <c r="B5" s="17" t="s">
        <v>308</v>
      </c>
      <c r="C5" s="18"/>
      <c r="D5" s="11" t="str">
        <f>IFERROR(__xludf.DUMMYFUNCTION("""COMPUTED_VALUE"""),"")</f>
        <v/>
      </c>
      <c r="E5" s="19"/>
      <c r="F5" s="20"/>
      <c r="G5" s="19" t="s">
        <v>23</v>
      </c>
      <c r="H5" s="11" t="str">
        <f t="shared" si="1"/>
        <v/>
      </c>
      <c r="I5" s="19">
        <v>21.0</v>
      </c>
      <c r="J5" s="19">
        <v>28.0</v>
      </c>
      <c r="K5" s="20" t="b">
        <v>0</v>
      </c>
      <c r="L5" s="19" t="s">
        <v>23</v>
      </c>
      <c r="M5" s="11" t="str">
        <f t="shared" si="2"/>
        <v/>
      </c>
      <c r="N5" s="19">
        <v>7.0</v>
      </c>
      <c r="O5" s="19">
        <v>10.0</v>
      </c>
      <c r="P5" s="19" t="b">
        <v>0</v>
      </c>
      <c r="Q5" s="27" t="s">
        <v>23</v>
      </c>
      <c r="R5" s="11" t="str">
        <f t="shared" si="3"/>
        <v/>
      </c>
      <c r="S5" s="19">
        <v>24.0</v>
      </c>
      <c r="T5" s="19">
        <v>31.0</v>
      </c>
      <c r="U5" s="20" t="b">
        <v>0</v>
      </c>
      <c r="V5" s="19" t="s">
        <v>23</v>
      </c>
      <c r="W5" s="11" t="str">
        <f t="shared" si="4"/>
        <v/>
      </c>
      <c r="X5" s="19">
        <v>20.0</v>
      </c>
      <c r="Y5" s="19">
        <v>27.0</v>
      </c>
      <c r="Z5" s="20" t="b">
        <v>0</v>
      </c>
      <c r="AA5" s="27" t="s">
        <v>23</v>
      </c>
      <c r="AB5" s="11" t="str">
        <f t="shared" si="5"/>
        <v/>
      </c>
      <c r="AC5" s="19">
        <v>17.0</v>
      </c>
      <c r="AD5" s="19">
        <v>24.0</v>
      </c>
      <c r="AE5" s="19" t="b">
        <v>0</v>
      </c>
      <c r="AF5" s="27" t="s">
        <v>23</v>
      </c>
      <c r="AG5" s="11" t="str">
        <f t="shared" si="6"/>
        <v/>
      </c>
      <c r="AH5" s="19">
        <v>21.0</v>
      </c>
      <c r="AI5" s="19">
        <v>28.0</v>
      </c>
      <c r="AJ5" s="20" t="b">
        <v>1</v>
      </c>
      <c r="AK5" s="19" t="s">
        <v>88</v>
      </c>
      <c r="AL5" s="11" t="str">
        <f t="shared" si="7"/>
        <v/>
      </c>
      <c r="AM5" s="19">
        <v>31.0</v>
      </c>
      <c r="AN5" s="19">
        <v>24.0</v>
      </c>
      <c r="AO5" s="20" t="b">
        <v>0</v>
      </c>
      <c r="AP5" s="27" t="s">
        <v>23</v>
      </c>
      <c r="AQ5" s="11" t="str">
        <f t="shared" si="8"/>
        <v/>
      </c>
      <c r="AR5" s="19">
        <v>24.0</v>
      </c>
      <c r="AS5" s="19">
        <v>27.0</v>
      </c>
      <c r="AT5" s="20" t="b">
        <v>0</v>
      </c>
      <c r="AU5" s="27" t="s">
        <v>23</v>
      </c>
      <c r="AV5" s="11" t="str">
        <f t="shared" si="9"/>
        <v/>
      </c>
      <c r="AW5" s="19">
        <v>10.0</v>
      </c>
      <c r="AX5" s="19">
        <v>14.0</v>
      </c>
      <c r="AY5" s="20" t="b">
        <v>0</v>
      </c>
      <c r="AZ5" s="27" t="s">
        <v>23</v>
      </c>
      <c r="BA5" s="11" t="str">
        <f t="shared" si="10"/>
        <v/>
      </c>
      <c r="BB5" s="19">
        <v>20.0</v>
      </c>
      <c r="BC5" s="19">
        <v>23.0</v>
      </c>
      <c r="BD5" s="20" t="b">
        <v>1</v>
      </c>
      <c r="BE5" s="27" t="s">
        <v>88</v>
      </c>
      <c r="BF5" s="11" t="str">
        <f t="shared" si="11"/>
        <v/>
      </c>
      <c r="BG5" s="19">
        <v>17.0</v>
      </c>
      <c r="BH5" s="19">
        <v>14.0</v>
      </c>
      <c r="BI5" s="20" t="b">
        <v>0</v>
      </c>
      <c r="BJ5" s="27" t="s">
        <v>23</v>
      </c>
      <c r="BK5" s="11" t="str">
        <f t="shared" si="12"/>
        <v/>
      </c>
      <c r="BL5" s="19">
        <v>14.0</v>
      </c>
      <c r="BM5" s="19">
        <v>17.0</v>
      </c>
      <c r="BN5" s="20" t="b">
        <v>0</v>
      </c>
      <c r="BO5" s="17"/>
      <c r="BP5" s="17"/>
      <c r="BQ5" s="17"/>
    </row>
    <row r="6">
      <c r="A6" s="16" t="s">
        <v>309</v>
      </c>
      <c r="B6" s="17" t="s">
        <v>310</v>
      </c>
      <c r="C6" s="18"/>
      <c r="D6" s="11" t="str">
        <f>IFERROR(__xludf.DUMMYFUNCTION("""COMPUTED_VALUE"""),"")</f>
        <v/>
      </c>
      <c r="E6" s="19"/>
      <c r="F6" s="20"/>
      <c r="G6" s="19" t="s">
        <v>74</v>
      </c>
      <c r="H6" s="11" t="str">
        <f t="shared" si="1"/>
        <v/>
      </c>
      <c r="I6" s="19">
        <v>21.0</v>
      </c>
      <c r="J6" s="19">
        <v>17.0</v>
      </c>
      <c r="K6" s="20" t="b">
        <v>0</v>
      </c>
      <c r="L6" s="19" t="s">
        <v>74</v>
      </c>
      <c r="M6" s="11" t="str">
        <f t="shared" si="2"/>
        <v/>
      </c>
      <c r="N6" s="19">
        <v>31.0</v>
      </c>
      <c r="O6" s="19">
        <v>24.0</v>
      </c>
      <c r="P6" s="19" t="b">
        <v>0</v>
      </c>
      <c r="Q6" s="27" t="s">
        <v>74</v>
      </c>
      <c r="R6" s="11" t="str">
        <f t="shared" si="3"/>
        <v/>
      </c>
      <c r="S6" s="19">
        <v>17.0</v>
      </c>
      <c r="T6" s="19">
        <v>14.0</v>
      </c>
      <c r="U6" s="20" t="b">
        <v>0</v>
      </c>
      <c r="V6" s="19" t="s">
        <v>74</v>
      </c>
      <c r="W6" s="11" t="str">
        <f t="shared" si="4"/>
        <v/>
      </c>
      <c r="X6" s="19">
        <v>24.0</v>
      </c>
      <c r="Y6" s="19">
        <v>17.0</v>
      </c>
      <c r="Z6" s="20" t="b">
        <v>0</v>
      </c>
      <c r="AA6" s="27" t="s">
        <v>74</v>
      </c>
      <c r="AB6" s="11" t="str">
        <f t="shared" si="5"/>
        <v/>
      </c>
      <c r="AC6" s="19">
        <v>24.0</v>
      </c>
      <c r="AD6" s="19">
        <v>17.0</v>
      </c>
      <c r="AE6" s="19" t="b">
        <v>0</v>
      </c>
      <c r="AF6" s="27" t="s">
        <v>74</v>
      </c>
      <c r="AG6" s="11" t="str">
        <f t="shared" si="6"/>
        <v/>
      </c>
      <c r="AH6" s="19">
        <v>21.0</v>
      </c>
      <c r="AI6" s="19">
        <v>17.0</v>
      </c>
      <c r="AJ6" s="20" t="b">
        <v>0</v>
      </c>
      <c r="AK6" s="19" t="s">
        <v>74</v>
      </c>
      <c r="AL6" s="11" t="str">
        <f t="shared" si="7"/>
        <v/>
      </c>
      <c r="AM6" s="19">
        <v>17.0</v>
      </c>
      <c r="AN6" s="19">
        <v>14.0</v>
      </c>
      <c r="AO6" s="20" t="b">
        <v>0</v>
      </c>
      <c r="AP6" s="27" t="s">
        <v>33</v>
      </c>
      <c r="AQ6" s="11" t="str">
        <f t="shared" si="8"/>
        <v/>
      </c>
      <c r="AR6" s="19">
        <v>13.0</v>
      </c>
      <c r="AS6" s="19">
        <v>20.0</v>
      </c>
      <c r="AT6" s="20" t="b">
        <v>0</v>
      </c>
      <c r="AU6" s="27" t="s">
        <v>33</v>
      </c>
      <c r="AV6" s="11" t="str">
        <f t="shared" si="9"/>
        <v/>
      </c>
      <c r="AW6" s="19">
        <v>10.0</v>
      </c>
      <c r="AX6" s="19">
        <v>14.0</v>
      </c>
      <c r="AY6" s="20" t="b">
        <v>0</v>
      </c>
      <c r="AZ6" s="27" t="s">
        <v>74</v>
      </c>
      <c r="BA6" s="11" t="str">
        <f t="shared" si="10"/>
        <v/>
      </c>
      <c r="BB6" s="19">
        <v>23.0</v>
      </c>
      <c r="BC6" s="19">
        <v>20.0</v>
      </c>
      <c r="BD6" s="20" t="b">
        <v>0</v>
      </c>
      <c r="BE6" s="27" t="s">
        <v>74</v>
      </c>
      <c r="BF6" s="11" t="str">
        <f t="shared" si="11"/>
        <v/>
      </c>
      <c r="BG6" s="19">
        <v>20.0</v>
      </c>
      <c r="BH6" s="19">
        <v>17.0</v>
      </c>
      <c r="BI6" s="20" t="b">
        <v>0</v>
      </c>
      <c r="BJ6" s="27" t="s">
        <v>33</v>
      </c>
      <c r="BK6" s="11" t="str">
        <f t="shared" si="12"/>
        <v/>
      </c>
      <c r="BL6" s="19">
        <v>10.0</v>
      </c>
      <c r="BM6" s="19">
        <v>14.0</v>
      </c>
      <c r="BN6" s="20" t="b">
        <v>0</v>
      </c>
      <c r="BO6" s="17"/>
      <c r="BP6" s="17"/>
      <c r="BQ6" s="17"/>
    </row>
    <row r="7">
      <c r="A7" s="16" t="s">
        <v>311</v>
      </c>
      <c r="B7" s="17" t="s">
        <v>312</v>
      </c>
      <c r="C7" s="18"/>
      <c r="D7" s="11" t="str">
        <f>IFERROR(__xludf.DUMMYFUNCTION("""COMPUTED_VALUE"""),"")</f>
        <v/>
      </c>
      <c r="E7" s="19"/>
      <c r="F7" s="20"/>
      <c r="G7" s="19" t="s">
        <v>46</v>
      </c>
      <c r="H7" s="11" t="str">
        <f t="shared" si="1"/>
        <v/>
      </c>
      <c r="I7" s="19">
        <v>17.0</v>
      </c>
      <c r="J7" s="19">
        <v>21.0</v>
      </c>
      <c r="K7" s="20" t="b">
        <v>0</v>
      </c>
      <c r="L7" s="19" t="s">
        <v>46</v>
      </c>
      <c r="M7" s="11" t="str">
        <f t="shared" si="2"/>
        <v/>
      </c>
      <c r="N7" s="19">
        <v>7.0</v>
      </c>
      <c r="O7" s="19">
        <v>10.0</v>
      </c>
      <c r="P7" s="19" t="b">
        <v>0</v>
      </c>
      <c r="Q7" s="27" t="s">
        <v>46</v>
      </c>
      <c r="R7" s="11" t="str">
        <f t="shared" si="3"/>
        <v/>
      </c>
      <c r="S7" s="19">
        <v>21.0</v>
      </c>
      <c r="T7" s="19">
        <v>24.0</v>
      </c>
      <c r="U7" s="20" t="b">
        <v>1</v>
      </c>
      <c r="V7" s="19" t="s">
        <v>46</v>
      </c>
      <c r="W7" s="11" t="str">
        <f t="shared" si="4"/>
        <v/>
      </c>
      <c r="X7" s="19">
        <v>17.0</v>
      </c>
      <c r="Y7" s="19">
        <v>20.0</v>
      </c>
      <c r="Z7" s="20" t="b">
        <v>0</v>
      </c>
      <c r="AA7" s="27" t="s">
        <v>46</v>
      </c>
      <c r="AB7" s="11" t="str">
        <f t="shared" si="5"/>
        <v/>
      </c>
      <c r="AC7" s="19">
        <v>17.0</v>
      </c>
      <c r="AD7" s="19">
        <v>24.0</v>
      </c>
      <c r="AE7" s="19" t="b">
        <v>0</v>
      </c>
      <c r="AF7" s="27" t="s">
        <v>126</v>
      </c>
      <c r="AG7" s="11" t="str">
        <f t="shared" si="6"/>
        <v/>
      </c>
      <c r="AH7" s="19">
        <v>23.0</v>
      </c>
      <c r="AI7" s="19">
        <v>20.0</v>
      </c>
      <c r="AJ7" s="20" t="b">
        <v>0</v>
      </c>
      <c r="AK7" s="19" t="s">
        <v>46</v>
      </c>
      <c r="AL7" s="11" t="str">
        <f t="shared" si="7"/>
        <v/>
      </c>
      <c r="AM7" s="19">
        <v>20.0</v>
      </c>
      <c r="AN7" s="19">
        <v>23.0</v>
      </c>
      <c r="AO7" s="20" t="b">
        <v>0</v>
      </c>
      <c r="AP7" s="27" t="s">
        <v>46</v>
      </c>
      <c r="AQ7" s="11" t="str">
        <f t="shared" si="8"/>
        <v/>
      </c>
      <c r="AR7" s="19">
        <v>17.0</v>
      </c>
      <c r="AS7" s="19">
        <v>27.0</v>
      </c>
      <c r="AT7" s="20" t="b">
        <v>0</v>
      </c>
      <c r="AU7" s="27" t="s">
        <v>46</v>
      </c>
      <c r="AV7" s="11" t="str">
        <f t="shared" si="9"/>
        <v/>
      </c>
      <c r="AW7" s="19">
        <v>21.0</v>
      </c>
      <c r="AX7" s="19">
        <v>28.0</v>
      </c>
      <c r="AY7" s="20" t="b">
        <v>0</v>
      </c>
      <c r="AZ7" s="27" t="s">
        <v>46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46</v>
      </c>
      <c r="BF7" s="11" t="str">
        <f t="shared" si="11"/>
        <v/>
      </c>
      <c r="BG7" s="19">
        <v>21.0</v>
      </c>
      <c r="BH7" s="19">
        <v>24.0</v>
      </c>
      <c r="BI7" s="20" t="b">
        <v>0</v>
      </c>
      <c r="BJ7" s="27" t="s">
        <v>126</v>
      </c>
      <c r="BK7" s="11" t="str">
        <f t="shared" si="12"/>
        <v/>
      </c>
      <c r="BL7" s="19">
        <v>17.0</v>
      </c>
      <c r="BM7" s="19">
        <v>14.0</v>
      </c>
      <c r="BN7" s="20" t="b">
        <v>0</v>
      </c>
      <c r="BO7" s="17"/>
      <c r="BP7" s="17"/>
      <c r="BQ7" s="17"/>
    </row>
    <row r="8">
      <c r="A8" s="16" t="s">
        <v>311</v>
      </c>
      <c r="B8" s="17" t="s">
        <v>313</v>
      </c>
      <c r="C8" s="18"/>
      <c r="D8" s="11" t="str">
        <f>IFERROR(__xludf.DUMMYFUNCTION("""COMPUTED_VALUE"""),"")</f>
        <v/>
      </c>
      <c r="E8" s="19"/>
      <c r="F8" s="20"/>
      <c r="G8" s="19" t="s">
        <v>61</v>
      </c>
      <c r="H8" s="11" t="str">
        <f t="shared" si="1"/>
        <v/>
      </c>
      <c r="I8" s="19">
        <v>24.0</v>
      </c>
      <c r="J8" s="19">
        <v>21.0</v>
      </c>
      <c r="K8" s="20" t="b">
        <v>0</v>
      </c>
      <c r="L8" s="19" t="s">
        <v>69</v>
      </c>
      <c r="M8" s="11" t="str">
        <f t="shared" si="2"/>
        <v/>
      </c>
      <c r="N8" s="19">
        <v>21.0</v>
      </c>
      <c r="O8" s="19">
        <v>24.0</v>
      </c>
      <c r="P8" s="19" t="b">
        <v>0</v>
      </c>
      <c r="Q8" s="27" t="s">
        <v>69</v>
      </c>
      <c r="R8" s="11" t="str">
        <f t="shared" si="3"/>
        <v/>
      </c>
      <c r="S8" s="19">
        <v>24.0</v>
      </c>
      <c r="T8" s="19">
        <v>31.0</v>
      </c>
      <c r="U8" s="20" t="b">
        <v>0</v>
      </c>
      <c r="V8" s="19" t="s">
        <v>61</v>
      </c>
      <c r="W8" s="11" t="str">
        <f t="shared" si="4"/>
        <v/>
      </c>
      <c r="X8" s="19">
        <v>20.0</v>
      </c>
      <c r="Y8" s="19">
        <v>17.0</v>
      </c>
      <c r="Z8" s="20" t="b">
        <v>0</v>
      </c>
      <c r="AA8" s="27" t="s">
        <v>69</v>
      </c>
      <c r="AB8" s="11" t="str">
        <f t="shared" si="5"/>
        <v/>
      </c>
      <c r="AC8" s="19">
        <v>17.0</v>
      </c>
      <c r="AD8" s="19">
        <v>24.0</v>
      </c>
      <c r="AE8" s="19" t="b">
        <v>0</v>
      </c>
      <c r="AF8" s="27" t="s">
        <v>69</v>
      </c>
      <c r="AG8" s="11" t="str">
        <f t="shared" si="6"/>
        <v/>
      </c>
      <c r="AH8" s="19">
        <v>24.0</v>
      </c>
      <c r="AI8" s="19">
        <v>31.0</v>
      </c>
      <c r="AJ8" s="20" t="b">
        <v>0</v>
      </c>
      <c r="AK8" s="19" t="s">
        <v>61</v>
      </c>
      <c r="AL8" s="11" t="str">
        <f t="shared" si="7"/>
        <v/>
      </c>
      <c r="AM8" s="19">
        <v>23.0</v>
      </c>
      <c r="AN8" s="19">
        <v>20.0</v>
      </c>
      <c r="AO8" s="20" t="b">
        <v>0</v>
      </c>
      <c r="AP8" s="27" t="s">
        <v>69</v>
      </c>
      <c r="AQ8" s="11" t="str">
        <f t="shared" si="8"/>
        <v/>
      </c>
      <c r="AR8" s="19">
        <v>24.0</v>
      </c>
      <c r="AS8" s="19">
        <v>28.0</v>
      </c>
      <c r="AT8" s="20" t="b">
        <v>0</v>
      </c>
      <c r="AU8" s="27" t="s">
        <v>69</v>
      </c>
      <c r="AV8" s="11" t="str">
        <f t="shared" si="9"/>
        <v/>
      </c>
      <c r="AW8" s="19">
        <v>17.0</v>
      </c>
      <c r="AX8" s="19">
        <v>20.0</v>
      </c>
      <c r="AY8" s="20" t="b">
        <v>0</v>
      </c>
      <c r="AZ8" s="27" t="s">
        <v>69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61</v>
      </c>
      <c r="BF8" s="11" t="str">
        <f t="shared" si="11"/>
        <v/>
      </c>
      <c r="BG8" s="19">
        <v>20.0</v>
      </c>
      <c r="BH8" s="19">
        <v>17.0</v>
      </c>
      <c r="BI8" s="20" t="b">
        <v>0</v>
      </c>
      <c r="BJ8" s="27" t="s">
        <v>69</v>
      </c>
      <c r="BK8" s="11" t="str">
        <f t="shared" si="12"/>
        <v/>
      </c>
      <c r="BL8" s="19">
        <v>21.0</v>
      </c>
      <c r="BM8" s="19">
        <v>28.0</v>
      </c>
      <c r="BN8" s="20" t="b">
        <v>0</v>
      </c>
      <c r="BO8" s="19"/>
      <c r="BP8" s="19"/>
      <c r="BQ8" s="19"/>
    </row>
    <row r="9">
      <c r="A9" s="16" t="s">
        <v>311</v>
      </c>
      <c r="B9" s="17" t="s">
        <v>314</v>
      </c>
      <c r="C9" s="18"/>
      <c r="D9" s="11" t="str">
        <f>IFERROR(__xludf.DUMMYFUNCTION("""COMPUTED_VALUE"""),"")</f>
        <v/>
      </c>
      <c r="E9" s="19"/>
      <c r="F9" s="20"/>
      <c r="G9" s="19" t="s">
        <v>76</v>
      </c>
      <c r="H9" s="11" t="str">
        <f t="shared" si="1"/>
        <v/>
      </c>
      <c r="I9" s="19">
        <v>10.0</v>
      </c>
      <c r="J9" s="19">
        <v>14.0</v>
      </c>
      <c r="K9" s="20" t="b">
        <v>0</v>
      </c>
      <c r="L9" s="19" t="s">
        <v>76</v>
      </c>
      <c r="M9" s="11" t="str">
        <f t="shared" si="2"/>
        <v/>
      </c>
      <c r="N9" s="19">
        <v>24.0</v>
      </c>
      <c r="O9" s="19">
        <v>31.0</v>
      </c>
      <c r="P9" s="19" t="b">
        <v>0</v>
      </c>
      <c r="Q9" s="27" t="s">
        <v>76</v>
      </c>
      <c r="R9" s="11" t="str">
        <f t="shared" si="3"/>
        <v/>
      </c>
      <c r="S9" s="19">
        <v>7.0</v>
      </c>
      <c r="T9" s="19">
        <v>10.0</v>
      </c>
      <c r="U9" s="20" t="b">
        <v>0</v>
      </c>
      <c r="V9" s="19" t="s">
        <v>76</v>
      </c>
      <c r="W9" s="11" t="str">
        <f t="shared" si="4"/>
        <v/>
      </c>
      <c r="X9" s="19">
        <v>21.0</v>
      </c>
      <c r="Y9" s="19">
        <v>24.0</v>
      </c>
      <c r="Z9" s="20" t="b">
        <v>0</v>
      </c>
      <c r="AA9" s="27" t="s">
        <v>76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76</v>
      </c>
      <c r="AG9" s="11" t="str">
        <f t="shared" si="6"/>
        <v/>
      </c>
      <c r="AH9" s="19">
        <v>20.0</v>
      </c>
      <c r="AI9" s="19">
        <v>23.0</v>
      </c>
      <c r="AJ9" s="20" t="b">
        <v>0</v>
      </c>
      <c r="AK9" s="19" t="s">
        <v>76</v>
      </c>
      <c r="AL9" s="11" t="str">
        <f t="shared" si="7"/>
        <v/>
      </c>
      <c r="AM9" s="19">
        <v>14.0</v>
      </c>
      <c r="AN9" s="19">
        <v>17.0</v>
      </c>
      <c r="AO9" s="20" t="b">
        <v>0</v>
      </c>
      <c r="AP9" s="27" t="s">
        <v>76</v>
      </c>
      <c r="AQ9" s="11" t="str">
        <f t="shared" si="8"/>
        <v/>
      </c>
      <c r="AR9" s="19">
        <v>17.0</v>
      </c>
      <c r="AS9" s="19">
        <v>23.0</v>
      </c>
      <c r="AT9" s="20" t="b">
        <v>0</v>
      </c>
      <c r="AU9" s="27" t="s">
        <v>92</v>
      </c>
      <c r="AV9" s="11" t="str">
        <f t="shared" si="9"/>
        <v/>
      </c>
      <c r="AW9" s="19">
        <v>21.0</v>
      </c>
      <c r="AX9" s="19">
        <v>17.0</v>
      </c>
      <c r="AY9" s="20" t="b">
        <v>0</v>
      </c>
      <c r="AZ9" s="27" t="s">
        <v>76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92</v>
      </c>
      <c r="BF9" s="11" t="str">
        <f t="shared" si="11"/>
        <v/>
      </c>
      <c r="BG9" s="19">
        <v>21.0</v>
      </c>
      <c r="BH9" s="19">
        <v>17.0</v>
      </c>
      <c r="BI9" s="20" t="b">
        <v>0</v>
      </c>
      <c r="BJ9" s="27" t="s">
        <v>92</v>
      </c>
      <c r="BK9" s="11" t="str">
        <f t="shared" si="12"/>
        <v/>
      </c>
      <c r="BL9" s="19">
        <v>20.0</v>
      </c>
      <c r="BM9" s="19">
        <v>17.0</v>
      </c>
      <c r="BN9" s="20" t="b">
        <v>0</v>
      </c>
      <c r="BO9" s="17"/>
      <c r="BP9" s="17"/>
      <c r="BQ9" s="17"/>
    </row>
    <row r="10">
      <c r="A10" s="16" t="s">
        <v>311</v>
      </c>
      <c r="B10" s="17" t="s">
        <v>315</v>
      </c>
      <c r="C10" s="18"/>
      <c r="D10" s="11" t="str">
        <f>IFERROR(__xludf.DUMMYFUNCTION("""COMPUTED_VALUE"""),"")</f>
        <v/>
      </c>
      <c r="E10" s="19"/>
      <c r="F10" s="20"/>
      <c r="G10" s="19" t="s">
        <v>79</v>
      </c>
      <c r="H10" s="11" t="str">
        <f t="shared" si="1"/>
        <v/>
      </c>
      <c r="I10" s="19">
        <v>27.0</v>
      </c>
      <c r="J10" s="19">
        <v>24.0</v>
      </c>
      <c r="K10" s="20" t="b">
        <v>0</v>
      </c>
      <c r="L10" s="19" t="s">
        <v>34</v>
      </c>
      <c r="M10" s="11" t="str">
        <f t="shared" si="2"/>
        <v/>
      </c>
      <c r="N10" s="19">
        <v>21.0</v>
      </c>
      <c r="O10" s="19">
        <v>28.0</v>
      </c>
      <c r="P10" s="19" t="b">
        <v>0</v>
      </c>
      <c r="Q10" s="27" t="s">
        <v>79</v>
      </c>
      <c r="R10" s="11" t="str">
        <f t="shared" si="3"/>
        <v/>
      </c>
      <c r="S10" s="19">
        <v>14.0</v>
      </c>
      <c r="T10" s="19">
        <v>10.0</v>
      </c>
      <c r="U10" s="20" t="b">
        <v>0</v>
      </c>
      <c r="V10" s="19" t="s">
        <v>34</v>
      </c>
      <c r="W10" s="11" t="str">
        <f t="shared" si="4"/>
        <v/>
      </c>
      <c r="X10" s="19">
        <v>17.0</v>
      </c>
      <c r="Y10" s="19">
        <v>21.0</v>
      </c>
      <c r="Z10" s="20" t="b">
        <v>0</v>
      </c>
      <c r="AA10" s="27" t="s">
        <v>79</v>
      </c>
      <c r="AB10" s="11" t="str">
        <f t="shared" si="5"/>
        <v/>
      </c>
      <c r="AC10" s="19">
        <v>24.0</v>
      </c>
      <c r="AD10" s="19">
        <v>17.0</v>
      </c>
      <c r="AE10" s="19" t="b">
        <v>0</v>
      </c>
      <c r="AF10" s="27" t="s">
        <v>34</v>
      </c>
      <c r="AG10" s="11" t="str">
        <f t="shared" si="6"/>
        <v/>
      </c>
      <c r="AH10" s="19">
        <v>14.0</v>
      </c>
      <c r="AI10" s="19">
        <v>17.0</v>
      </c>
      <c r="AJ10" s="20" t="b">
        <v>0</v>
      </c>
      <c r="AK10" s="19" t="s">
        <v>79</v>
      </c>
      <c r="AL10" s="11" t="str">
        <f t="shared" si="7"/>
        <v/>
      </c>
      <c r="AM10" s="19">
        <v>27.0</v>
      </c>
      <c r="AN10" s="19">
        <v>24.0</v>
      </c>
      <c r="AO10" s="20" t="b">
        <v>0</v>
      </c>
      <c r="AP10" s="27" t="s">
        <v>34</v>
      </c>
      <c r="AQ10" s="11" t="str">
        <f t="shared" si="8"/>
        <v/>
      </c>
      <c r="AR10" s="19">
        <v>17.0</v>
      </c>
      <c r="AS10" s="19">
        <v>20.0</v>
      </c>
      <c r="AT10" s="20" t="b">
        <v>0</v>
      </c>
      <c r="AU10" s="27" t="s">
        <v>79</v>
      </c>
      <c r="AV10" s="11" t="str">
        <f t="shared" si="9"/>
        <v/>
      </c>
      <c r="AW10" s="19">
        <v>31.0</v>
      </c>
      <c r="AX10" s="19">
        <v>24.0</v>
      </c>
      <c r="AY10" s="20" t="b">
        <v>0</v>
      </c>
      <c r="AZ10" s="27" t="s">
        <v>34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34</v>
      </c>
      <c r="BF10" s="11" t="str">
        <f t="shared" si="11"/>
        <v/>
      </c>
      <c r="BG10" s="19">
        <v>10.0</v>
      </c>
      <c r="BH10" s="19">
        <v>14.0</v>
      </c>
      <c r="BI10" s="20" t="b">
        <v>0</v>
      </c>
      <c r="BJ10" s="27" t="s">
        <v>79</v>
      </c>
      <c r="BK10" s="11" t="str">
        <f t="shared" si="12"/>
        <v/>
      </c>
      <c r="BL10" s="19">
        <v>10.0</v>
      </c>
      <c r="BM10" s="19">
        <v>7.0</v>
      </c>
      <c r="BN10" s="20" t="b">
        <v>0</v>
      </c>
      <c r="BO10" s="17"/>
      <c r="BP10" s="17"/>
      <c r="BQ10" s="17"/>
    </row>
    <row r="11">
      <c r="A11" s="16" t="s">
        <v>311</v>
      </c>
      <c r="B11" s="17" t="s">
        <v>316</v>
      </c>
      <c r="C11" s="18"/>
      <c r="D11" s="11" t="str">
        <f>IFERROR(__xludf.DUMMYFUNCTION("""COMPUTED_VALUE"""),"")</f>
        <v/>
      </c>
      <c r="E11" s="19"/>
      <c r="F11" s="20"/>
      <c r="G11" s="19" t="s">
        <v>29</v>
      </c>
      <c r="H11" s="11" t="str">
        <f t="shared" si="1"/>
        <v/>
      </c>
      <c r="I11" s="19">
        <v>14.0</v>
      </c>
      <c r="J11" s="19">
        <v>10.0</v>
      </c>
      <c r="K11" s="20" t="b">
        <v>0</v>
      </c>
      <c r="L11" s="19" t="s">
        <v>51</v>
      </c>
      <c r="M11" s="11" t="str">
        <f t="shared" si="2"/>
        <v/>
      </c>
      <c r="N11" s="19">
        <v>17.0</v>
      </c>
      <c r="O11" s="19">
        <v>20.0</v>
      </c>
      <c r="P11" s="19" t="b">
        <v>0</v>
      </c>
      <c r="Q11" s="27" t="s">
        <v>51</v>
      </c>
      <c r="R11" s="11" t="str">
        <f t="shared" si="3"/>
        <v/>
      </c>
      <c r="S11" s="19">
        <v>21.0</v>
      </c>
      <c r="T11" s="19">
        <v>28.0</v>
      </c>
      <c r="U11" s="20" t="b">
        <v>0</v>
      </c>
      <c r="V11" s="19" t="s">
        <v>51</v>
      </c>
      <c r="W11" s="11" t="str">
        <f t="shared" si="4"/>
        <v/>
      </c>
      <c r="X11" s="19">
        <v>17.0</v>
      </c>
      <c r="Y11" s="19">
        <v>21.0</v>
      </c>
      <c r="Z11" s="20" t="b">
        <v>0</v>
      </c>
      <c r="AA11" s="27" t="s">
        <v>29</v>
      </c>
      <c r="AB11" s="11" t="str">
        <f t="shared" si="5"/>
        <v/>
      </c>
      <c r="AC11" s="19">
        <v>24.0</v>
      </c>
      <c r="AD11" s="19">
        <v>17.0</v>
      </c>
      <c r="AE11" s="19" t="b">
        <v>0</v>
      </c>
      <c r="AF11" s="27" t="s">
        <v>29</v>
      </c>
      <c r="AG11" s="11" t="str">
        <f t="shared" si="6"/>
        <v/>
      </c>
      <c r="AH11" s="19">
        <v>14.0</v>
      </c>
      <c r="AI11" s="19">
        <v>10.0</v>
      </c>
      <c r="AJ11" s="20" t="b">
        <v>0</v>
      </c>
      <c r="AK11" s="19" t="s">
        <v>29</v>
      </c>
      <c r="AL11" s="11" t="str">
        <f t="shared" si="7"/>
        <v/>
      </c>
      <c r="AM11" s="19">
        <v>10.0</v>
      </c>
      <c r="AN11" s="19">
        <v>7.0</v>
      </c>
      <c r="AO11" s="20" t="b">
        <v>0</v>
      </c>
      <c r="AP11" s="27" t="s">
        <v>51</v>
      </c>
      <c r="AQ11" s="11" t="str">
        <f t="shared" si="8"/>
        <v/>
      </c>
      <c r="AR11" s="19">
        <v>17.0</v>
      </c>
      <c r="AS11" s="19">
        <v>23.0</v>
      </c>
      <c r="AT11" s="20" t="b">
        <v>0</v>
      </c>
      <c r="AU11" s="27" t="s">
        <v>29</v>
      </c>
      <c r="AV11" s="11" t="str">
        <f t="shared" si="9"/>
        <v/>
      </c>
      <c r="AW11" s="19">
        <v>14.0</v>
      </c>
      <c r="AX11" s="19">
        <v>10.0</v>
      </c>
      <c r="AY11" s="20" t="b">
        <v>0</v>
      </c>
      <c r="AZ11" s="27" t="s">
        <v>51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51</v>
      </c>
      <c r="BF11" s="11" t="str">
        <f t="shared" si="11"/>
        <v/>
      </c>
      <c r="BG11" s="19">
        <v>24.0</v>
      </c>
      <c r="BH11" s="19">
        <v>27.0</v>
      </c>
      <c r="BI11" s="20" t="b">
        <v>0</v>
      </c>
      <c r="BJ11" s="27" t="s">
        <v>51</v>
      </c>
      <c r="BK11" s="11" t="str">
        <f t="shared" si="12"/>
        <v/>
      </c>
      <c r="BL11" s="19">
        <v>24.0</v>
      </c>
      <c r="BM11" s="19">
        <v>31.0</v>
      </c>
      <c r="BN11" s="20" t="b">
        <v>0</v>
      </c>
      <c r="BO11" s="19"/>
      <c r="BP11" s="19"/>
      <c r="BQ11" s="19"/>
    </row>
    <row r="12">
      <c r="A12" s="16" t="s">
        <v>311</v>
      </c>
      <c r="B12" s="30" t="s">
        <v>317</v>
      </c>
      <c r="C12" s="18"/>
      <c r="D12" s="11" t="str">
        <f>IFERROR(__xludf.DUMMYFUNCTION("""COMPUTED_VALUE"""),"")</f>
        <v/>
      </c>
      <c r="E12" s="19"/>
      <c r="F12" s="20"/>
      <c r="G12" s="19" t="s">
        <v>58</v>
      </c>
      <c r="H12" s="11" t="str">
        <f t="shared" si="1"/>
        <v/>
      </c>
      <c r="I12" s="19">
        <v>28.0</v>
      </c>
      <c r="J12" s="19">
        <v>21.0</v>
      </c>
      <c r="K12" s="20" t="b">
        <v>0</v>
      </c>
      <c r="L12" s="19" t="s">
        <v>58</v>
      </c>
      <c r="M12" s="11" t="str">
        <f t="shared" si="2"/>
        <v/>
      </c>
      <c r="N12" s="19">
        <v>20.0</v>
      </c>
      <c r="O12" s="19">
        <v>17.0</v>
      </c>
      <c r="P12" s="19" t="b">
        <v>0</v>
      </c>
      <c r="Q12" s="27" t="s">
        <v>58</v>
      </c>
      <c r="R12" s="11" t="str">
        <f t="shared" si="3"/>
        <v/>
      </c>
      <c r="S12" s="19">
        <v>21.0</v>
      </c>
      <c r="T12" s="19">
        <v>17.0</v>
      </c>
      <c r="U12" s="20" t="b">
        <v>0</v>
      </c>
      <c r="V12" s="19" t="s">
        <v>87</v>
      </c>
      <c r="W12" s="11" t="str">
        <f t="shared" si="4"/>
        <v/>
      </c>
      <c r="X12" s="19">
        <v>17.0</v>
      </c>
      <c r="Y12" s="19">
        <v>20.0</v>
      </c>
      <c r="Z12" s="20" t="b">
        <v>0</v>
      </c>
      <c r="AA12" s="27" t="s">
        <v>87</v>
      </c>
      <c r="AB12" s="11" t="str">
        <f t="shared" si="5"/>
        <v/>
      </c>
      <c r="AC12" s="19">
        <v>17.0</v>
      </c>
      <c r="AD12" s="19">
        <v>24.0</v>
      </c>
      <c r="AE12" s="19" t="b">
        <v>0</v>
      </c>
      <c r="AF12" s="27" t="s">
        <v>58</v>
      </c>
      <c r="AG12" s="11" t="str">
        <f t="shared" si="6"/>
        <v/>
      </c>
      <c r="AH12" s="19">
        <v>21.0</v>
      </c>
      <c r="AI12" s="19">
        <v>17.0</v>
      </c>
      <c r="AJ12" s="20" t="b">
        <v>0</v>
      </c>
      <c r="AK12" s="19" t="s">
        <v>58</v>
      </c>
      <c r="AL12" s="11" t="str">
        <f t="shared" si="7"/>
        <v/>
      </c>
      <c r="AM12" s="19">
        <v>28.0</v>
      </c>
      <c r="AN12" s="19">
        <v>21.0</v>
      </c>
      <c r="AO12" s="20" t="b">
        <v>0</v>
      </c>
      <c r="AP12" s="27" t="s">
        <v>87</v>
      </c>
      <c r="AQ12" s="11" t="str">
        <f t="shared" si="8"/>
        <v/>
      </c>
      <c r="AR12" s="19">
        <v>20.0</v>
      </c>
      <c r="AS12" s="19">
        <v>24.0</v>
      </c>
      <c r="AT12" s="20" t="b">
        <v>0</v>
      </c>
      <c r="AU12" s="27" t="s">
        <v>58</v>
      </c>
      <c r="AV12" s="11" t="str">
        <f t="shared" si="9"/>
        <v/>
      </c>
      <c r="AW12" s="19">
        <v>21.0</v>
      </c>
      <c r="AX12" s="19">
        <v>17.0</v>
      </c>
      <c r="AY12" s="20" t="b">
        <v>0</v>
      </c>
      <c r="AZ12" s="27" t="s">
        <v>58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58</v>
      </c>
      <c r="BF12" s="11" t="str">
        <f t="shared" si="11"/>
        <v/>
      </c>
      <c r="BG12" s="19">
        <v>17.0</v>
      </c>
      <c r="BH12" s="19">
        <v>14.0</v>
      </c>
      <c r="BI12" s="20" t="b">
        <v>1</v>
      </c>
      <c r="BJ12" s="27" t="s">
        <v>58</v>
      </c>
      <c r="BK12" s="11" t="str">
        <f t="shared" si="12"/>
        <v/>
      </c>
      <c r="BL12" s="19">
        <v>14.0</v>
      </c>
      <c r="BM12" s="19">
        <v>10.0</v>
      </c>
      <c r="BN12" s="20" t="b">
        <v>0</v>
      </c>
      <c r="BO12" s="17"/>
      <c r="BP12" s="17"/>
      <c r="BQ12" s="17"/>
    </row>
    <row r="13">
      <c r="A13" s="16" t="s">
        <v>318</v>
      </c>
      <c r="B13" s="30" t="s">
        <v>319</v>
      </c>
      <c r="C13" s="18"/>
      <c r="D13" s="11" t="str">
        <f>IFERROR(__xludf.DUMMYFUNCTION("""COMPUTED_VALUE"""),"")</f>
        <v/>
      </c>
      <c r="E13" s="19"/>
      <c r="F13" s="20"/>
      <c r="G13" s="19" t="s">
        <v>71</v>
      </c>
      <c r="H13" s="11" t="str">
        <f t="shared" si="1"/>
        <v/>
      </c>
      <c r="I13" s="19">
        <v>24.0</v>
      </c>
      <c r="J13" s="19">
        <v>27.0</v>
      </c>
      <c r="K13" s="20" t="b">
        <v>1</v>
      </c>
      <c r="L13" s="19" t="s">
        <v>71</v>
      </c>
      <c r="M13" s="11" t="str">
        <f t="shared" si="2"/>
        <v/>
      </c>
      <c r="N13" s="19">
        <v>21.0</v>
      </c>
      <c r="O13" s="19">
        <v>28.0</v>
      </c>
      <c r="P13" s="19" t="b">
        <v>1</v>
      </c>
      <c r="Q13" s="27" t="s">
        <v>71</v>
      </c>
      <c r="R13" s="11" t="str">
        <f t="shared" si="3"/>
        <v/>
      </c>
      <c r="S13" s="19">
        <v>7.0</v>
      </c>
      <c r="T13" s="19">
        <v>10.0</v>
      </c>
      <c r="U13" s="20" t="b">
        <v>0</v>
      </c>
      <c r="V13" s="19" t="s">
        <v>71</v>
      </c>
      <c r="W13" s="11" t="str">
        <f t="shared" si="4"/>
        <v/>
      </c>
      <c r="X13" s="19">
        <v>21.0</v>
      </c>
      <c r="Y13" s="19">
        <v>27.0</v>
      </c>
      <c r="Z13" s="20" t="b">
        <v>0</v>
      </c>
      <c r="AA13" s="27" t="s">
        <v>71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71</v>
      </c>
      <c r="AG13" s="11" t="str">
        <f t="shared" si="6"/>
        <v/>
      </c>
      <c r="AH13" s="19">
        <v>10.0</v>
      </c>
      <c r="AI13" s="19">
        <v>17.0</v>
      </c>
      <c r="AJ13" s="20" t="b">
        <v>0</v>
      </c>
      <c r="AK13" s="19" t="s">
        <v>71</v>
      </c>
      <c r="AL13" s="11" t="str">
        <f t="shared" si="7"/>
        <v/>
      </c>
      <c r="AM13" s="19">
        <v>21.0</v>
      </c>
      <c r="AN13" s="19">
        <v>24.0</v>
      </c>
      <c r="AO13" s="20" t="b">
        <v>0</v>
      </c>
      <c r="AP13" s="27" t="s">
        <v>71</v>
      </c>
      <c r="AQ13" s="11" t="str">
        <f t="shared" si="8"/>
        <v/>
      </c>
      <c r="AR13" s="19">
        <v>20.0</v>
      </c>
      <c r="AS13" s="19">
        <v>24.0</v>
      </c>
      <c r="AT13" s="20" t="b">
        <v>0</v>
      </c>
      <c r="AU13" s="27" t="s">
        <v>55</v>
      </c>
      <c r="AV13" s="11" t="str">
        <f t="shared" si="9"/>
        <v/>
      </c>
      <c r="AW13" s="19">
        <v>31.0</v>
      </c>
      <c r="AX13" s="19">
        <v>24.0</v>
      </c>
      <c r="AY13" s="20" t="b">
        <v>0</v>
      </c>
      <c r="AZ13" s="27" t="s">
        <v>71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55</v>
      </c>
      <c r="BF13" s="11" t="str">
        <f t="shared" si="11"/>
        <v/>
      </c>
      <c r="BG13" s="19">
        <v>17.0</v>
      </c>
      <c r="BH13" s="19">
        <v>14.0</v>
      </c>
      <c r="BI13" s="20" t="b">
        <v>0</v>
      </c>
      <c r="BJ13" s="27" t="s">
        <v>71</v>
      </c>
      <c r="BK13" s="11" t="str">
        <f t="shared" si="12"/>
        <v/>
      </c>
      <c r="BL13" s="19">
        <v>10.0</v>
      </c>
      <c r="BM13" s="19">
        <v>14.0</v>
      </c>
      <c r="BN13" s="20" t="b">
        <v>0</v>
      </c>
      <c r="BO13" s="17"/>
      <c r="BP13" s="17"/>
      <c r="BQ13" s="17"/>
    </row>
    <row r="14">
      <c r="A14" s="16" t="s">
        <v>320</v>
      </c>
      <c r="B14" s="30" t="s">
        <v>321</v>
      </c>
      <c r="C14" s="18"/>
      <c r="D14" s="11" t="str">
        <f>IFERROR(__xludf.DUMMYFUNCTION("""COMPUTED_VALUE"""),"")</f>
        <v/>
      </c>
      <c r="E14" s="19"/>
      <c r="F14" s="20"/>
      <c r="G14" s="19" t="s">
        <v>40</v>
      </c>
      <c r="H14" s="11" t="str">
        <f t="shared" si="1"/>
        <v/>
      </c>
      <c r="I14" s="19">
        <v>13.0</v>
      </c>
      <c r="J14" s="19">
        <v>20.0</v>
      </c>
      <c r="K14" s="20" t="b">
        <v>0</v>
      </c>
      <c r="L14" s="19" t="s">
        <v>24</v>
      </c>
      <c r="M14" s="11" t="str">
        <f t="shared" si="2"/>
        <v/>
      </c>
      <c r="N14" s="19">
        <v>28.0</v>
      </c>
      <c r="O14" s="19">
        <v>21.0</v>
      </c>
      <c r="P14" s="19" t="b">
        <v>0</v>
      </c>
      <c r="Q14" s="27" t="s">
        <v>24</v>
      </c>
      <c r="R14" s="11" t="str">
        <f t="shared" si="3"/>
        <v/>
      </c>
      <c r="S14" s="19">
        <v>14.0</v>
      </c>
      <c r="T14" s="19">
        <v>10.0</v>
      </c>
      <c r="U14" s="20" t="b">
        <v>0</v>
      </c>
      <c r="V14" s="19" t="s">
        <v>40</v>
      </c>
      <c r="W14" s="11" t="str">
        <f t="shared" si="4"/>
        <v/>
      </c>
      <c r="X14" s="19">
        <v>17.0</v>
      </c>
      <c r="Y14" s="19">
        <v>21.0</v>
      </c>
      <c r="Z14" s="20" t="b">
        <v>0</v>
      </c>
      <c r="AA14" s="27" t="s">
        <v>40</v>
      </c>
      <c r="AB14" s="11" t="str">
        <f t="shared" si="5"/>
        <v/>
      </c>
      <c r="AC14" s="19">
        <v>17.0</v>
      </c>
      <c r="AD14" s="19">
        <v>24.0</v>
      </c>
      <c r="AE14" s="19" t="b">
        <v>1</v>
      </c>
      <c r="AF14" s="27" t="s">
        <v>24</v>
      </c>
      <c r="AG14" s="11" t="str">
        <f t="shared" si="6"/>
        <v/>
      </c>
      <c r="AH14" s="19">
        <v>20.0</v>
      </c>
      <c r="AI14" s="19">
        <v>17.0</v>
      </c>
      <c r="AJ14" s="20" t="b">
        <v>0</v>
      </c>
      <c r="AK14" s="19" t="s">
        <v>40</v>
      </c>
      <c r="AL14" s="11" t="str">
        <f t="shared" si="7"/>
        <v/>
      </c>
      <c r="AM14" s="19">
        <v>21.0</v>
      </c>
      <c r="AN14" s="19">
        <v>24.0</v>
      </c>
      <c r="AO14" s="20" t="b">
        <v>0</v>
      </c>
      <c r="AP14" s="27" t="s">
        <v>40</v>
      </c>
      <c r="AQ14" s="11" t="str">
        <f t="shared" si="8"/>
        <v/>
      </c>
      <c r="AR14" s="19">
        <v>23.0</v>
      </c>
      <c r="AS14" s="19">
        <v>27.0</v>
      </c>
      <c r="AT14" s="20" t="b">
        <v>0</v>
      </c>
      <c r="AU14" s="27" t="s">
        <v>24</v>
      </c>
      <c r="AV14" s="11" t="str">
        <f t="shared" si="9"/>
        <v/>
      </c>
      <c r="AW14" s="19">
        <v>17.0</v>
      </c>
      <c r="AX14" s="19">
        <v>14.0</v>
      </c>
      <c r="AY14" s="20" t="b">
        <v>0</v>
      </c>
      <c r="AZ14" s="27" t="s">
        <v>24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24</v>
      </c>
      <c r="BF14" s="11" t="str">
        <f t="shared" si="11"/>
        <v/>
      </c>
      <c r="BG14" s="19">
        <v>17.0</v>
      </c>
      <c r="BH14" s="19">
        <v>14.0</v>
      </c>
      <c r="BI14" s="20" t="b">
        <v>0</v>
      </c>
      <c r="BJ14" s="27" t="s">
        <v>40</v>
      </c>
      <c r="BK14" s="11" t="str">
        <f t="shared" si="12"/>
        <v/>
      </c>
      <c r="BL14" s="19">
        <v>17.0</v>
      </c>
      <c r="BM14" s="19">
        <v>21.0</v>
      </c>
      <c r="BN14" s="20" t="b">
        <v>0</v>
      </c>
      <c r="BO14" s="17"/>
      <c r="BP14" s="17"/>
      <c r="BQ14" s="17"/>
    </row>
    <row r="15">
      <c r="A15" s="16" t="s">
        <v>320</v>
      </c>
      <c r="B15" s="17" t="s">
        <v>322</v>
      </c>
      <c r="C15" s="18"/>
      <c r="D15" s="11" t="str">
        <f>IFERROR(__xludf.DUMMYFUNCTION("""COMPUTED_VALUE"""),"")</f>
        <v/>
      </c>
      <c r="E15" s="19"/>
      <c r="F15" s="20"/>
      <c r="G15" s="19" t="s">
        <v>93</v>
      </c>
      <c r="H15" s="11" t="str">
        <f t="shared" si="1"/>
        <v/>
      </c>
      <c r="I15" s="19">
        <v>14.0</v>
      </c>
      <c r="J15" s="19">
        <v>20.0</v>
      </c>
      <c r="K15" s="20" t="b">
        <v>0</v>
      </c>
      <c r="L15" s="19" t="s">
        <v>93</v>
      </c>
      <c r="M15" s="11" t="str">
        <f t="shared" si="2"/>
        <v/>
      </c>
      <c r="N15" s="19">
        <v>20.0</v>
      </c>
      <c r="O15" s="19">
        <v>23.0</v>
      </c>
      <c r="P15" s="19" t="b">
        <v>0</v>
      </c>
      <c r="Q15" s="27" t="s">
        <v>85</v>
      </c>
      <c r="R15" s="11" t="str">
        <f t="shared" si="3"/>
        <v/>
      </c>
      <c r="S15" s="19">
        <v>14.0</v>
      </c>
      <c r="T15" s="19">
        <v>10.0</v>
      </c>
      <c r="U15" s="20" t="b">
        <v>0</v>
      </c>
      <c r="V15" s="19" t="s">
        <v>85</v>
      </c>
      <c r="W15" s="11" t="str">
        <f t="shared" si="4"/>
        <v/>
      </c>
      <c r="X15" s="19">
        <v>23.0</v>
      </c>
      <c r="Y15" s="19">
        <v>20.0</v>
      </c>
      <c r="Z15" s="20" t="b">
        <v>0</v>
      </c>
      <c r="AA15" s="27" t="s">
        <v>85</v>
      </c>
      <c r="AB15" s="11" t="str">
        <f t="shared" si="5"/>
        <v/>
      </c>
      <c r="AC15" s="19">
        <v>24.0</v>
      </c>
      <c r="AD15" s="19">
        <v>17.0</v>
      </c>
      <c r="AE15" s="19" t="b">
        <v>0</v>
      </c>
      <c r="AF15" s="27" t="s">
        <v>93</v>
      </c>
      <c r="AG15" s="11" t="str">
        <f t="shared" si="6"/>
        <v/>
      </c>
      <c r="AH15" s="19">
        <v>24.0</v>
      </c>
      <c r="AI15" s="19">
        <v>27.0</v>
      </c>
      <c r="AJ15" s="20" t="b">
        <v>0</v>
      </c>
      <c r="AK15" s="19" t="s">
        <v>93</v>
      </c>
      <c r="AL15" s="11" t="str">
        <f t="shared" si="7"/>
        <v/>
      </c>
      <c r="AM15" s="19">
        <v>14.0</v>
      </c>
      <c r="AN15" s="19">
        <v>17.0</v>
      </c>
      <c r="AO15" s="20" t="b">
        <v>0</v>
      </c>
      <c r="AP15" s="27" t="s">
        <v>85</v>
      </c>
      <c r="AQ15" s="11" t="str">
        <f t="shared" si="8"/>
        <v/>
      </c>
      <c r="AR15" s="19">
        <v>24.0</v>
      </c>
      <c r="AS15" s="19">
        <v>20.0</v>
      </c>
      <c r="AT15" s="20" t="b">
        <v>0</v>
      </c>
      <c r="AU15" s="27" t="s">
        <v>93</v>
      </c>
      <c r="AV15" s="11" t="str">
        <f t="shared" si="9"/>
        <v/>
      </c>
      <c r="AW15" s="19">
        <v>21.0</v>
      </c>
      <c r="AX15" s="19">
        <v>28.0</v>
      </c>
      <c r="AY15" s="20" t="b">
        <v>0</v>
      </c>
      <c r="AZ15" s="27" t="s">
        <v>85</v>
      </c>
      <c r="BA15" s="11" t="str">
        <f t="shared" si="10"/>
        <v/>
      </c>
      <c r="BB15" s="19">
        <v>23.0</v>
      </c>
      <c r="BC15" s="19">
        <v>20.0</v>
      </c>
      <c r="BD15" s="20" t="b">
        <v>0</v>
      </c>
      <c r="BE15" s="27" t="s">
        <v>85</v>
      </c>
      <c r="BF15" s="11" t="str">
        <f t="shared" si="11"/>
        <v/>
      </c>
      <c r="BG15" s="19">
        <v>20.0</v>
      </c>
      <c r="BH15" s="19">
        <v>17.0</v>
      </c>
      <c r="BI15" s="20" t="b">
        <v>0</v>
      </c>
      <c r="BJ15" s="27" t="s">
        <v>93</v>
      </c>
      <c r="BK15" s="11" t="str">
        <f t="shared" si="12"/>
        <v/>
      </c>
      <c r="BL15" s="19">
        <v>14.0</v>
      </c>
      <c r="BM15" s="19">
        <v>17.0</v>
      </c>
      <c r="BN15" s="20" t="b">
        <v>0</v>
      </c>
      <c r="BO15" s="17"/>
      <c r="BP15" s="17"/>
      <c r="BQ15" s="17"/>
    </row>
    <row r="16">
      <c r="A16" s="16" t="s">
        <v>323</v>
      </c>
      <c r="B16" s="17" t="s">
        <v>324</v>
      </c>
      <c r="C16" s="18"/>
      <c r="D16" s="11" t="str">
        <f>IFERROR(__xludf.DUMMYFUNCTION("""COMPUTED_VALUE"""),"")</f>
        <v/>
      </c>
      <c r="E16" s="19"/>
      <c r="F16" s="19"/>
      <c r="G16" s="27" t="s">
        <v>28</v>
      </c>
      <c r="H16" s="11" t="str">
        <f t="shared" si="1"/>
        <v/>
      </c>
      <c r="I16" s="19">
        <v>24.0</v>
      </c>
      <c r="J16" s="19">
        <v>21.0</v>
      </c>
      <c r="K16" s="20" t="b">
        <v>0</v>
      </c>
      <c r="L16" s="19" t="s">
        <v>28</v>
      </c>
      <c r="M16" s="11" t="str">
        <f t="shared" si="2"/>
        <v/>
      </c>
      <c r="N16" s="19">
        <v>21.0</v>
      </c>
      <c r="O16" s="19">
        <v>17.0</v>
      </c>
      <c r="P16" s="19" t="b">
        <v>0</v>
      </c>
      <c r="Q16" s="27" t="s">
        <v>28</v>
      </c>
      <c r="R16" s="11" t="str">
        <f t="shared" si="3"/>
        <v/>
      </c>
      <c r="S16" s="19">
        <v>27.0</v>
      </c>
      <c r="T16" s="19">
        <v>24.0</v>
      </c>
      <c r="U16" s="20" t="b">
        <v>0</v>
      </c>
      <c r="V16" s="19" t="s">
        <v>50</v>
      </c>
      <c r="W16" s="11" t="str">
        <f t="shared" si="4"/>
        <v/>
      </c>
      <c r="X16" s="19">
        <v>20.0</v>
      </c>
      <c r="Y16" s="19">
        <v>27.0</v>
      </c>
      <c r="Z16" s="19" t="b">
        <v>1</v>
      </c>
      <c r="AA16" s="27" t="s">
        <v>28</v>
      </c>
      <c r="AB16" s="11" t="str">
        <f t="shared" si="5"/>
        <v/>
      </c>
      <c r="AC16" s="19">
        <v>24.0</v>
      </c>
      <c r="AD16" s="19">
        <v>17.0</v>
      </c>
      <c r="AE16" s="20" t="b">
        <v>0</v>
      </c>
      <c r="AF16" s="19" t="s">
        <v>28</v>
      </c>
      <c r="AG16" s="11" t="str">
        <f t="shared" si="6"/>
        <v/>
      </c>
      <c r="AH16" s="19">
        <v>14.0</v>
      </c>
      <c r="AI16" s="19">
        <v>10.0</v>
      </c>
      <c r="AJ16" s="19" t="b">
        <v>0</v>
      </c>
      <c r="AK16" s="27" t="s">
        <v>50</v>
      </c>
      <c r="AL16" s="11" t="str">
        <f t="shared" si="7"/>
        <v/>
      </c>
      <c r="AM16" s="19">
        <v>24.0</v>
      </c>
      <c r="AN16" s="19">
        <v>27.0</v>
      </c>
      <c r="AO16" s="20" t="b">
        <v>0</v>
      </c>
      <c r="AP16" s="19" t="s">
        <v>50</v>
      </c>
      <c r="AQ16" s="11" t="str">
        <f t="shared" si="8"/>
        <v/>
      </c>
      <c r="AR16" s="19">
        <v>17.0</v>
      </c>
      <c r="AS16" s="19">
        <v>23.0</v>
      </c>
      <c r="AT16" s="19" t="b">
        <v>0</v>
      </c>
      <c r="AU16" s="27" t="s">
        <v>50</v>
      </c>
      <c r="AV16" s="11" t="str">
        <f t="shared" si="9"/>
        <v/>
      </c>
      <c r="AW16" s="19">
        <v>14.0</v>
      </c>
      <c r="AX16" s="19">
        <v>17.0</v>
      </c>
      <c r="AY16" s="20" t="b">
        <v>0</v>
      </c>
      <c r="AZ16" s="19" t="s">
        <v>50</v>
      </c>
      <c r="BA16" s="11" t="str">
        <f t="shared" si="10"/>
        <v/>
      </c>
      <c r="BB16" s="19">
        <v>20.0</v>
      </c>
      <c r="BC16" s="19">
        <v>23.0</v>
      </c>
      <c r="BD16" s="19" t="b">
        <v>0</v>
      </c>
      <c r="BE16" s="27" t="s">
        <v>50</v>
      </c>
      <c r="BF16" s="11" t="str">
        <f t="shared" si="11"/>
        <v/>
      </c>
      <c r="BG16" s="19">
        <v>21.0</v>
      </c>
      <c r="BH16" s="19">
        <v>28.0</v>
      </c>
      <c r="BI16" s="20" t="b">
        <v>0</v>
      </c>
      <c r="BJ16" s="19" t="s">
        <v>50</v>
      </c>
      <c r="BK16" s="11" t="str">
        <f t="shared" si="12"/>
        <v/>
      </c>
      <c r="BL16" s="19">
        <v>24.0</v>
      </c>
      <c r="BM16" s="19">
        <v>27.0</v>
      </c>
      <c r="BN16" s="20" t="b">
        <v>0</v>
      </c>
      <c r="BO16" s="17"/>
      <c r="BP16" s="17"/>
      <c r="BQ16" s="17"/>
    </row>
    <row r="17">
      <c r="A17" s="16" t="s">
        <v>325</v>
      </c>
      <c r="B17" s="30" t="s">
        <v>326</v>
      </c>
      <c r="C17" s="34"/>
      <c r="D17" s="35" t="str">
        <f>IFERROR(__xludf.DUMMYFUNCTION("""COMPUTED_VALUE"""),"")</f>
        <v/>
      </c>
      <c r="E17" s="36"/>
      <c r="F17" s="36"/>
      <c r="G17" s="38" t="s">
        <v>48</v>
      </c>
      <c r="H17" s="35" t="str">
        <f t="shared" si="1"/>
        <v/>
      </c>
      <c r="I17" s="36">
        <v>17.0</v>
      </c>
      <c r="J17" s="36">
        <v>21.0</v>
      </c>
      <c r="K17" s="37" t="b">
        <v>0</v>
      </c>
      <c r="L17" s="36" t="s">
        <v>48</v>
      </c>
      <c r="M17" s="35" t="str">
        <f t="shared" si="2"/>
        <v/>
      </c>
      <c r="N17" s="36">
        <v>21.0</v>
      </c>
      <c r="O17" s="36">
        <v>24.0</v>
      </c>
      <c r="P17" s="36" t="b">
        <v>0</v>
      </c>
      <c r="Q17" s="38" t="s">
        <v>48</v>
      </c>
      <c r="R17" s="35" t="str">
        <f t="shared" si="3"/>
        <v/>
      </c>
      <c r="S17" s="36">
        <v>10.0</v>
      </c>
      <c r="T17" s="36">
        <v>14.0</v>
      </c>
      <c r="U17" s="37" t="b">
        <v>0</v>
      </c>
      <c r="V17" s="36" t="s">
        <v>48</v>
      </c>
      <c r="W17" s="35" t="str">
        <f t="shared" si="4"/>
        <v/>
      </c>
      <c r="X17" s="36">
        <v>24.0</v>
      </c>
      <c r="Y17" s="36">
        <v>31.0</v>
      </c>
      <c r="Z17" s="36" t="b">
        <v>0</v>
      </c>
      <c r="AA17" s="38" t="s">
        <v>48</v>
      </c>
      <c r="AB17" s="35" t="str">
        <f t="shared" si="5"/>
        <v/>
      </c>
      <c r="AC17" s="36">
        <v>17.0</v>
      </c>
      <c r="AD17" s="36">
        <v>24.0</v>
      </c>
      <c r="AE17" s="37" t="b">
        <v>0</v>
      </c>
      <c r="AF17" s="36" t="s">
        <v>41</v>
      </c>
      <c r="AG17" s="35" t="str">
        <f t="shared" si="6"/>
        <v/>
      </c>
      <c r="AH17" s="36">
        <v>28.0</v>
      </c>
      <c r="AI17" s="36">
        <v>21.0</v>
      </c>
      <c r="AJ17" s="36" t="b">
        <v>0</v>
      </c>
      <c r="AK17" s="38" t="s">
        <v>41</v>
      </c>
      <c r="AL17" s="35" t="str">
        <f t="shared" si="7"/>
        <v/>
      </c>
      <c r="AM17" s="36">
        <v>10.0</v>
      </c>
      <c r="AN17" s="36">
        <v>7.0</v>
      </c>
      <c r="AO17" s="37" t="b">
        <v>0</v>
      </c>
      <c r="AP17" s="36" t="s">
        <v>48</v>
      </c>
      <c r="AQ17" s="35" t="str">
        <f t="shared" si="8"/>
        <v/>
      </c>
      <c r="AR17" s="36">
        <v>17.0</v>
      </c>
      <c r="AS17" s="36">
        <v>27.0</v>
      </c>
      <c r="AT17" s="36" t="b">
        <v>1</v>
      </c>
      <c r="AU17" s="38" t="s">
        <v>48</v>
      </c>
      <c r="AV17" s="35" t="str">
        <f t="shared" si="9"/>
        <v/>
      </c>
      <c r="AW17" s="36">
        <v>14.0</v>
      </c>
      <c r="AX17" s="36">
        <v>17.0</v>
      </c>
      <c r="AY17" s="37" t="b">
        <v>0</v>
      </c>
      <c r="AZ17" s="36" t="s">
        <v>48</v>
      </c>
      <c r="BA17" s="35" t="str">
        <f t="shared" si="10"/>
        <v/>
      </c>
      <c r="BB17" s="36">
        <v>20.0</v>
      </c>
      <c r="BC17" s="36">
        <v>23.0</v>
      </c>
      <c r="BD17" s="36" t="b">
        <v>0</v>
      </c>
      <c r="BE17" s="38" t="s">
        <v>48</v>
      </c>
      <c r="BF17" s="35" t="str">
        <f t="shared" si="11"/>
        <v/>
      </c>
      <c r="BG17" s="36">
        <v>21.0</v>
      </c>
      <c r="BH17" s="36">
        <v>24.0</v>
      </c>
      <c r="BI17" s="37" t="b">
        <v>0</v>
      </c>
      <c r="BJ17" s="36" t="s">
        <v>48</v>
      </c>
      <c r="BK17" s="35" t="str">
        <f t="shared" si="12"/>
        <v/>
      </c>
      <c r="BL17" s="36">
        <v>7.0</v>
      </c>
      <c r="BM17" s="36">
        <v>10.0</v>
      </c>
      <c r="BN17" s="37" t="b">
        <v>1</v>
      </c>
      <c r="BO17" s="17"/>
      <c r="BP17" s="17"/>
      <c r="BQ17" s="17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</row>
    <row r="20" hidden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</row>
    <row r="21" hidden="1">
      <c r="A21" s="41"/>
      <c r="B21" s="41"/>
      <c r="C21" s="46">
        <f t="shared" ref="C21:C36" si="13">MIN(I21,N21,S21,X21,AC21,AH21,AM21,AR21,AW21,BB21,BG21,BL21)</f>
        <v>0</v>
      </c>
      <c r="D21" s="49"/>
      <c r="E21" s="49"/>
      <c r="F21" s="49"/>
      <c r="G21" s="47" t="str">
        <f t="shared" ref="G21:G36" si="14">IF(G2=C2,ABS(I2-E2),"")</f>
        <v/>
      </c>
      <c r="H21" s="47" t="str">
        <f t="shared" ref="H21:H36" si="15">IF(G2=C2,ABS(J2-F2),"")</f>
        <v/>
      </c>
      <c r="I21" s="48" t="str">
        <f t="shared" ref="I21:I36" si="16">IF(G2=C2,SUM(G21,H21),"")</f>
        <v/>
      </c>
      <c r="J21" s="9">
        <f t="shared" ref="J21:J36" si="17">SUM(IF(AND(G2=$C2,I21=$C21,$C21=0,K2=TRUE,I21&lt;$N21,I21&lt;$S21,I21&lt;$X21,I21&lt;$AC21,I21&lt;$AH21,I21&lt;$AM21,I21&lt;$AR21,I21&lt;$AW21,I21&lt;$BB21,I21&lt;$BG21,I21&lt;$BL21),15,
IF(AND(G2=$C2,I21=$C21,$C21=0,K2=TRUE,OR(I21=$N21,I21=$S21,I21=$X21,I21=$AC21,I21=$AH21,I21=$AM21,I21=$AR21,I21=$AW21,I21=$BB21,I21=$BG21,I21=$BL21)),7.5,
IF(AND(G2=$C2,I21=$C21,$C21=0,I21&lt;$N21,I21&lt;$S21,I21&lt;$X21,I21&lt;$AC21,I21&lt;$AH21,I21&lt;$AM21,I21&lt;$AR21,I21&lt;$AW21,I21&lt;$BB21,I21&lt;$BG21,I21&lt;$BL21),5,
IF(AND(G2=$C2,I21=$C21,K2=TRUE,I21&lt;$N21,I21&lt;$S21,I21&lt;$X21,I21&lt;$AC21,I21&lt;$AH21,I21&lt;$AM21,I21&lt;$AR21,I21&lt;$AW21,I21&lt;$BB21,I21&lt;$BG21,I21&lt;$BL21),3,
IF(AND(G2=$C2,I21=$C21,$C21=0,OR(I21=$N21,I21=$S21,I21=$X21,I21=$AC21,I21=$AH21,I21=$AM21,I21=$AR21,I21=$AW21,I21=$BB21,I21=$BG21,I21=$BL21)),2.5,
IF(AND(G2=$C2,I21=$C21,K2=TRUE,OR(I21=$N21,I21=$S21,I21=$X21,I21=$AC21,I21=$AH21,I21=$AM21,I21=$AR21,I21=$AW21,I21=$BB21,I21=$BG21,I21=$BL21)),1.5,
IF(AND(G2=$C2,I21=$C21,I21&lt;$N21,I21&lt;$S21,I21&lt;$X21,I21&lt;$AC21,I21&lt;$AH21,I21&lt;$AM21,I21&lt;$AR21,I21&lt;$AW21,I21&lt;$BB21,I21&lt;$BG21,I21&lt;$BL21),1,
IF(AND(G2=$C2,I21=$C21,OR(I21=$N21,I21=$S21,I21=$X21,I21=$AC21,I21=$AH21,I21=$AM21,I21=$AR21,I21=$AW21,I21=$BB21,I21=$BG21,I21=$BL21)),0.5,
0)))))))),
IF(AND(K21=TRUE,K2=TRUE),3,
IF(AND(K21=TRUE,K2=FALSE),1,
IF(K21="",0)))
)</f>
        <v>0</v>
      </c>
      <c r="K21" s="49" t="str">
        <f t="shared" ref="K21:K36" si="18">IF($C2="","",
IF(G2=$C2,TRUE,FALSE))</f>
        <v/>
      </c>
      <c r="L21" s="47" t="str">
        <f t="shared" ref="L21:L36" si="19">IF(L2=C2,ABS(N2-E2),"")</f>
        <v/>
      </c>
      <c r="M21" s="47" t="str">
        <f t="shared" ref="M21:M36" si="20">IF(L2=C2,ABS(O2-F2),"")</f>
        <v/>
      </c>
      <c r="N21" s="48" t="str">
        <f t="shared" ref="N21:N36" si="21">IF(L2=C2,SUM(L21,M21),"")</f>
        <v/>
      </c>
      <c r="O21" s="9">
        <f t="shared" ref="O21:O36" si="22">SUM(IF(AND(L2=$C2,N21=$C21,$C21=0,P2=TRUE,N21&lt;$I21,N21&lt;$S21,N21&lt;$X21,N21&lt;$AC21,N21&lt;$AH21,N21&lt;$AM21,N21&lt;$AR21,N21&lt;$AW21,N21&lt;$BB21,N21&lt;$BG21,N21&lt;$BL21),15,
IF(AND(L2=$C2,N21=$C21,$C21=0,P2=TRUE,OR(N21=$I21,N21=$S21,N21=$X21,N21=$AC21,N21=$AH21,N21=$AM21,N21=$AR21,N21=$AW21,N21=$BB21,N21=$BG21,N21=$BL21)),7.5,
IF(AND(L2=$C2,N21=$C21,$C21=0,N21&lt;$I21,N21&lt;$S21,N21&lt;$X21,N21&lt;$AC21,N21&lt;$AH21,N21&lt;$AM21,N21&lt;$AR21,N21&lt;$AW21,N21&lt;$BB21,N21&lt;$BG21,N21&lt;$BL21),5,
IF(AND(L2=$C2,N21=$C21,P2=TRUE,N21&lt;$I21,N21&lt;$S21,N21&lt;$X21,N21&lt;$AC21,N21&lt;$AH21,N21&lt;$AM21,N21&lt;$AR21,N21&lt;$AW21,N21&lt;$BB21,N21&lt;$BG21,N21&lt;$BL21),3,
IF(AND(L2=$C2,N21=$C21,$C21=0,OR(N21=$I21,N21=$S21,N21=$X21,N21=$AC21,N21=$AH21,N21=$AM21,N21=$AR21,N21=$AW21,N21=$BB21,N21=$BG21,N21=$BL21)),2.5,
IF(AND(L2=$C2,N21=$C21,P2=TRUE,OR(N21=$I21,N21=$S21,N21=$X21,N21=$AC21,N21=$AH21,N21=$AM21,N21=$AR21,N21=$AW21,N21=$BB21,N21=$BG21,N21=$BL21)),1.5,
IF(AND(L2=$C2,N21=$C21,N21&lt;$I21,N21&lt;$S21,N21&lt;$X21,N21&lt;$AC21,N21&lt;$AH21,N21&lt;$AM21,N21&lt;$AR21,N21&lt;$AW21,N21&lt;$BB21,N21&lt;$BG21,N21&lt;$BL21),1,
IF(AND(L2=$C2,N21=$C21,OR(N21=$I21,N21=$S21,N21=$X21,N21=$AC21,N21=$AH21,N21=$AM21,N21=$AR21,N21=$AW21,N21=$BB21,N21=$BG21,N21=$BL21)),0.5,
0)))))))),
IF(AND(P21=TRUE,P2=TRUE),3,
IF(AND(P21=TRUE,P2=FALSE),1,
IF(P21="",0)))
)</f>
        <v>0</v>
      </c>
      <c r="P21" s="49" t="str">
        <f t="shared" ref="P21:P36" si="23">IF($C2="","",
IF(L2=$C2,TRUE,FALSE))</f>
        <v/>
      </c>
      <c r="Q21" s="47" t="str">
        <f t="shared" ref="Q21:Q36" si="24">IF(Q2=C2,ABS(S2-E2),"")</f>
        <v/>
      </c>
      <c r="R21" s="47" t="str">
        <f t="shared" ref="R21:R36" si="25">IF(Q2=C2,ABS(T2-F2),"")</f>
        <v/>
      </c>
      <c r="S21" s="48" t="str">
        <f t="shared" ref="S21:S36" si="26">IF(Q2=C2,SUM(Q21,R21),"")</f>
        <v/>
      </c>
      <c r="T21" s="9">
        <f t="shared" ref="T21:T36" si="27">SUM(IF(AND(Q2=$C2,S21=$C21,$C21=0,U2=TRUE,S21&lt;$I21,S21&lt;$N21,S21&lt;$X21,S21&lt;$AC21,S21&lt;$AH21,S21&lt;$AM21,S21&lt;$AR21,S21&lt;$AW21,S21&lt;$BB21,S21&lt;$BG21,S21&lt;$BL21),15,
IF(AND(Q2=$C2,S21=$C21,$C21=0,U2=TRUE,OR(S21=$I21,S21=$N21,S21=$X21,S21=$AC21,S21=$AH21,S21=$AM21,S21=$AR21,S21=$AW21,S21=$BB21,S21=$BG21,S21=$BL21)),7.5,
IF(AND(Q2=$C2,S21=$C21,$C21=0,S21&lt;$I21,S21&lt;$N21,S21&lt;$X21,S21&lt;$AC21,S21&lt;$AH21,S21&lt;$AM21,S21&lt;$AR21,S21&lt;$AW21,S21&lt;$BB21,S21&lt;$BG21,S21&lt;$BL21),5,
IF(AND(Q2=$C2,S21=$C21,U2=TRUE,S21&lt;$I21,S21&lt;$N21,S21&lt;$X21,S21&lt;$AC21,S21&lt;$AH21,S21&lt;$AM21,S21&lt;$AR21,S21&lt;$AW21,S21&lt;$BB21,S21&lt;$BG21,S21&lt;$BL21),3,
IF(AND(Q2=$C2,S21=$C21,$C21=0,OR(S21=$I21,S21=$N21,S21=$X21,S21=$AC21,S21=$AH21,S21=$AM21,S21=$AR21,S21=$AW21,S21=$BB21,S21=$BG21,S21=$BL21)),2.5,
IF(AND(Q2=$C2,S21=$C21,U2=TRUE,OR(S21=$I21,S21=$N21,S21=$X21,S21=$AC21,S21=$AH21,S21=$AM21,S21=$AR21,S21=$AW21,S21=$BB21,S21=$BG21,S21=$BL21)),1.5,
IF(AND(Q2=$C2,S21=$C21,S21&lt;$I21,S21&lt;$N21,S21&lt;$X21,S21&lt;$AC21,S21&lt;$AH21,S21&lt;$AM21,S21&lt;$AR21,S21&lt;$AW21,S21&lt;$BB21,S21&lt;$BG21,S21&lt;$BL21),1,
IF(AND(Q2=$C2,S21=$C21,OR(S21=$I21,S21=$N21,S21=$X21,S21=$AC21,S21=$AH21,S21=$AM21,S21=$AR21,S21=$AW21,S21=$BB21,S21=$BG21,S21=$BL21)),0.5,
0)))))))),
IF(AND(U21=TRUE,U2=TRUE),3,
IF(AND(U21=TRUE,U2=FALSE),1,
IF(U21="",0)))
)</f>
        <v>0</v>
      </c>
      <c r="U21" s="49" t="str">
        <f t="shared" ref="U21:U36" si="28">IF($C2="","",
IF(Q2=$C2,TRUE,FALSE))</f>
        <v/>
      </c>
      <c r="V21" s="47" t="str">
        <f t="shared" ref="V21:V36" si="29">IF(V2=C2,ABS(X2-E2),"")</f>
        <v/>
      </c>
      <c r="W21" s="47" t="str">
        <f t="shared" ref="W21:W36" si="30">IF(V2=C2,ABS(Y2-F2),"")</f>
        <v/>
      </c>
      <c r="X21" s="48" t="str">
        <f t="shared" ref="X21:X36" si="31">IF(V2=C2,SUM(V21,W21),"")</f>
        <v/>
      </c>
      <c r="Y21" s="9">
        <f t="shared" ref="Y21:Y36" si="32">SUM(IF(AND(V2=$C2,X21=$C21,$C21=0,Z2=TRUE,X21&lt;$I21,X21&lt;$N21,X21&lt;$S21,X21&lt;$AC21,X21&lt;$AH21,X21&lt;$AM21,X21&lt;$AR21,X21&lt;$AW21,X21&lt;$BB21,X21&lt;$BG21,X21&lt;$BL21),15,
IF(AND(V2=$C2,X21=$C21,$C21=0,Z2=TRUE,OR(X21=$I21,X21=$N21,X21=$S21,X21=$AC21,X21=$AH21,X21=$AM21,X21=$AR21,X21=$AW21,X21=$BB21,X21=$BG21,X21=$BL21)),7.5,
IF(AND(V2=$C2,X21=$C21,$C21=0,X21&lt;$I21,X21&lt;$N21,X21&lt;$S21,X21&lt;$AC21,X21&lt;$AH21,X21&lt;$AM21,X21&lt;$AR21,X21&lt;$AW21,X21&lt;$BB21,X21&lt;$BG21,X21&lt;$BL21),5,
IF(AND(V2=$C2,X21=$C21,Z2=TRUE,X21&lt;$I21,X21&lt;$N21,X21&lt;$S21,X21&lt;$AC21,X21&lt;$AH21,X21&lt;$AM21,X21&lt;$AR21,X21&lt;$AW21,X21&lt;$BB21,X21&lt;$BG21,X21&lt;$BL21),3,
IF(AND(V2=$C2,X21=$C21,$C21=0,OR(X21=$I21,X21=$N21,X21=$S21,X21=$AC21,X21=$AH21,X21=$AM21,X21=$AR21,X21=$AW21,X21=$BB21,X21=$BG21,X21=$BL21)),2.5,
IF(AND(V2=$C2,X21=$C21,Z2=TRUE,OR(X21=$I21,X21=$N21,X21=$S21,X21=$AC21,X21=$AH21,X21=$AM21,X21=$AR21,X21=$AW21,X21=$BB21,X21=$BG21,X21=$BL21)),1.5,
IF(AND(V2=$C2,X21=$C21,X21&lt;$I21,X21&lt;$N21,X21&lt;$S21,X21&lt;$AC21,X21&lt;$AH21,X21&lt;$AM21,X21&lt;$AR21,X21&lt;$AW21,X21&lt;$BB21,X21&lt;$BG21,X21&lt;$BL21),1,
IF(AND(V2=$C2,X21=$C21,OR(X21=$I21,X21=$N21,X21=$S21,X21=$AC21,X21=$AH21,X21=$AM21,X21=$AR21,X21=$AW21,X21=$BB21,X21=$BG21,X21=$BL21)),0.5,
0)))))))),
IF(AND(Z21=TRUE,Z2=TRUE),3,
IF(AND(Z21=TRUE,Z2=FALSE),1,
IF(Z21="",0)))
)</f>
        <v>0</v>
      </c>
      <c r="Z21" s="49" t="str">
        <f t="shared" ref="Z21:Z36" si="33">IF($C2="","",
IF(V2=$C2,TRUE,FALSE))</f>
        <v/>
      </c>
      <c r="AA21" s="47" t="str">
        <f t="shared" ref="AA21:AA36" si="34">IF(AA2=C2,ABS(AC2-E2),"")</f>
        <v/>
      </c>
      <c r="AB21" s="47" t="str">
        <f t="shared" ref="AB21:AB36" si="35">IF(AA2=C2,ABS(AD2-F2),"")</f>
        <v/>
      </c>
      <c r="AC21" s="48" t="str">
        <f t="shared" ref="AC21:AC36" si="36">IF(AA2=C2,SUM(AA21,AB21),"")</f>
        <v/>
      </c>
      <c r="AD21" s="9">
        <f t="shared" ref="AD21:AD36" si="37">SUM(IF(AND(AA2=$C2,AC21=$C21,$C21=0,AE2=TRUE,AC21&lt;$I21,AC21&lt;$N21,AC21&lt;$S21,AC21&lt;$X21,AC21&lt;$AH21,AC21&lt;$AM21,AC21&lt;$AR21,AC21&lt;$AW21,AC21&lt;$BB21,AC21&lt;$BG21,AC21&lt;$BL21),15,
IF(AND(AA2=$C2,AC21=$C21,$C21=0,AE2=TRUE,OR(AC21=$I21,AC21=$N21,AC21=$S21,AC21=$X21,AC21=$AH21,AC21=$AM21,AC21=$AR21,AC21=$AW21,AC21=$BB21,AC21=$BG21,AC21=$BL21)),7.5,
IF(AND(AA2=$C2,AC21=$C21,$C21=0,AC21&lt;$I21,AC21&lt;$N21,AC21&lt;$S21,AC21&lt;$X21,AC21&lt;$AH21,AC21&lt;$AM21,AC21&lt;$AR21,AC21&lt;$AW21,AC21&lt;$BB21,AC21&lt;$BG21,AC21&lt;$BL21),5,
IF(AND(AA2=$C2,AC21=$C21,AE2=TRUE,AC21&lt;$I21,AC21&lt;$N21,AC21&lt;$S21,AC21&lt;$X21,AC21&lt;$AH21,AC21&lt;$AM21,AC21&lt;$AR21,AC21&lt;$AW21,AC21&lt;$BB21,AC21&lt;$BG21,AC21&lt;$BL21),3,
IF(AND(AA2=$C2,AC21=$C21,$C21=0,OR(AC21=$I21,AC21=$N21,AC21=$S21,AC21=$X21,AC21=$AH21,AC21=$AM21,AC21=$AR21,AC21=$AW21,AC21=$BB21,AC21=$BG21,AC21=$BL21)),2.5,
IF(AND(AA2=$C2,AC21=$C21,AE2=TRUE,OR(AC21=$I21,AC21=$N21,AC21=$S21,AC21=$X21,AC21=$AH21,AC21=$AM21,AC21=$AR21,AC21=$AW21,AC21=$BB21,AC21=$BG21,AC21=$BL21)),1.5,
IF(AND(AA2=$C2,AC21=$C21,AC21&lt;$I21,AC21&lt;$N21,AC21&lt;$S21,AC21&lt;$X21,AC21&lt;$AH21,AC21&lt;$AM21,AC21&lt;$AR21,AC21&lt;$AW21,AC21&lt;$BB21,AC21&lt;$BG21,AC21&lt;$BL21),1,
IF(AND(AA2=$C2,AC21=$C21,OR(AC21=$I21,AC21=$N21,AC21=$S21,AC21=$X21,AC21=$AH21,AC21=$AM21,AC21=$AR21,AC21=$AW21,AC21=$BB21,AC21=$BG21,AC21=$BL21)),0.5,
0)))))))),
IF(AND(AE21=TRUE,AE2=TRUE),3,
IF(AND(AE21=TRUE,AE2=FALSE),1,
IF(AE21="",0)))
)</f>
        <v>0</v>
      </c>
      <c r="AE21" s="49" t="str">
        <f t="shared" ref="AE21:AE36" si="38">IF($C2="","",
IF(AA2=$C2,TRUE,FALSE))</f>
        <v/>
      </c>
      <c r="AF21" s="47" t="str">
        <f t="shared" ref="AF21:AF36" si="39">IF(AF2=C2,ABS(AH2-E2),"")</f>
        <v/>
      </c>
      <c r="AG21" s="47" t="str">
        <f t="shared" ref="AG21:AG36" si="40">IF(AF2=C2,ABS(AI2-F2),"")</f>
        <v/>
      </c>
      <c r="AH21" s="48" t="str">
        <f t="shared" ref="AH21:AH36" si="41">IF(AF2=C2,SUM(AF21,AG21),"")</f>
        <v/>
      </c>
      <c r="AI21" s="9">
        <f t="shared" ref="AI21:AI36" si="42">SUM(IF(AND(AF2=$C2,AH21=$C21,$C21=0,AJ2=TRUE,AH21&lt;$I21,AH21&lt;$N21,AH21&lt;$S21,AH21&lt;$X21,AH21&lt;$AC21,AH21&lt;$AM21,AH21&lt;$AR21,AH21&lt;$AW21,AH21&lt;$BB21,AH21&lt;$BG21,AH21&lt;$BL21),15,
IF(AND(AF2=$C2,AH21=$C21,$C21=0,AJ2=TRUE,OR(AH21=$I21,AH21=$N21,AH21=$S21,AH21=$X21,AH21=$AC21,AH21=$AM21,AH21=$AR21,AH21=$AW21,AH21=$BB21,AH21=$BG21,AH21=$BL21)),7.5,
IF(AND(AF2=$C2,AH21=$C21,$C21=0,AH21&lt;$I21,AH21&lt;$N21,AH21&lt;$S21,AH21&lt;$X21,AH21&lt;$AC21,AH21&lt;$AM21,AH21&lt;$AR21,AH21&lt;$AW21,AH21&lt;$BB21,AH21&lt;$BG21,AH21&lt;$BL21),5,
IF(AND(AF2=$C2,AH21=$C21,AJ2=TRUE,AH21&lt;$I21,AH21&lt;$N21,AH21&lt;$S21,AH21&lt;$X21,AH21&lt;$AC21,AH21&lt;$AM21,AH21&lt;$AR21,AH21&lt;$AW21,AH21&lt;$BB21,AH21&lt;$BG21,AH21&lt;$BL21),3,
IF(AND(AF2=$C2,AH21=$C21,$C21=0,OR(AH21=$I21,AH21=$N21,AH21=$S21,AH21=$X21,AH21=$AC21,AH21=$AM21,AH21=$AR21,AH21=$AW21,AH21=$BB21,AH21=$BG21,AH21=$BL21)),2.5,
IF(AND(AF2=$C2,AH21=$C21,AJ2=TRUE,OR(AH21=$I21,AH21=$N21,AH21=$S21,AH21=$X21,AH21=$AC21,AH21=$AM21,AH21=$AR21,AH21=$AW21,AH21=$BB21,AH21=$BG21,AH21=$BL21)),1.5,
IF(AND(AF2=$C2,AH21=$C21,AH21&lt;$I21,AH21&lt;$N21,AH21&lt;$S21,AH21&lt;$X21,AH21&lt;$AC21,AH21&lt;$AM21,AH21&lt;$AR21,AH21&lt;$AW21,AH21&lt;$BB21,AH21&lt;$BG21,AH21&lt;$BL21),1,
IF(AND(AF2=$C2,AH21=$C21,OR(AH21=$I21,AH21=$N21,AH21=$S21,AH21=$X21,AH21=$AC21,AH21=$AM21,AH21=$AR21,AH21=$AW21,AH21=$BB21,AH21=$BG21,AH21=$BL21)),0.5,
0)))))))),
IF(AND(AJ21=TRUE,AJ2=TRUE),3,
IF(AND(AJ21=TRUE,AJ2=FALSE),1,
IF(AJ21="",0)))
)</f>
        <v>0</v>
      </c>
      <c r="AJ21" s="49" t="str">
        <f t="shared" ref="AJ21:AJ36" si="43">IF($C2="","",
IF(AF2=$C2,TRUE,FALSE))</f>
        <v/>
      </c>
      <c r="AK21" s="47" t="str">
        <f t="shared" ref="AK21:AK36" si="44">IF(AK2=C2,ABS(AM2-E2),"")</f>
        <v/>
      </c>
      <c r="AL21" s="47" t="str">
        <f t="shared" ref="AL21:AL36" si="45">IF(AK2=C2,ABS(AN2-F2),"")</f>
        <v/>
      </c>
      <c r="AM21" s="48" t="str">
        <f t="shared" ref="AM21:AM36" si="46">IF(AK2=C2,SUM(AK21,AL21),"")</f>
        <v/>
      </c>
      <c r="AN21" s="9">
        <f t="shared" ref="AN21:AN36" si="47">SUM(IF(AND(AK2=$C2,AM21=$C21,$C21=0,AO2=TRUE,AM21&lt;$I21,AM21&lt;$N21,AM21&lt;$S21,AM21&lt;$X21,AM21&lt;$AC21,AM21&lt;$AH21,AM21&lt;$AR21,AM21&lt;$AW21,AM21&lt;$BB21,AM21&lt;$BG21,AM21&lt;$BL21),15,
IF(AND(AK2=$C2,AM21=$C21,$C21=0,AO2=TRUE,OR(AM21=$I21,AM21=$N21,AM21=$S21,AM21=$X21,AM21=$AC21,AM21=$AH21,AM21=$AR21,AM21=$AW21,AM21=$BB21,AM21=$BG21,AM21=$BL21)),7.5,
IF(AND(AK2=$C2,AM21=$C21,$C21=0,AM21&lt;$I21,AM21&lt;$N21,AM21&lt;$S21,AM21&lt;$X21,AM21&lt;$AC21,AM21&lt;$AH21,AM21&lt;$AR21,AM21&lt;$AW21,AM21&lt;$BB21,AM21&lt;$BG21,AM21&lt;$BL21),5,
IF(AND(AK2=$C2,AM21=$C21,AO2=TRUE,AM21&lt;$I21,AM21&lt;$N21,AM21&lt;$S21,AM21&lt;$X21,AM21&lt;$AC21,AM21&lt;$AH21,AM21&lt;$AR21,AM21&lt;$AW21,AM21&lt;$BB21,AM21&lt;$BG21,AM21&lt;$BL21),3,
IF(AND(AK2=$C2,AM21=$C21,$C21=0,OR(AM21=$I21,AM21=$N21,AM21=$S21,AM21=$X21,AM21=$AC21,AM21=$AH21,AM21=$AR21,AM21=$AW21,AM21=$BB21,AM21=$BG21,AM21=$BL21)),2.5,
IF(AND(AK2=$C2,AM21=$C21,AO2=TRUE,OR(AM21=$I21,AM21=$N21,AM21=$S21,AM21=$X21,AM21=$AC21,AM21=$AH21,AM21=$AR21,AM21=$AW21,AM21=$BB21,AM21=$BG21,AM21=$BL21)),1.5,
IF(AND(AK2=$C2,AM21=$C21,AM21&lt;$I21,AM21&lt;$N21,AM21&lt;$S21,AM21&lt;$X21,AM21&lt;$AC21,AM21&lt;$AH21,AM21&lt;$AR21,AM21&lt;$AW21,AM21&lt;$BB21,AM21&lt;$BG21,AM21&lt;$BL21),1,
IF(AND(AK2=$C2,AM21=$C21,OR(AM21=$I21,AM21=$N21,AM21=$S21,AM21=$X21,AM21=$AC21,AM21=$AH21,AM21=$AR21,AM21=$AW21,AM21=$BB21,AM21=$BG21,AM21=$BL21)),0.5,
0)))))))),
IF(AND(AO21=TRUE,AO2=TRUE),3,
IF(AND(AO21=TRUE,AO2=FALSE),1,
IF(AO21="",0)))
)</f>
        <v>0</v>
      </c>
      <c r="AO21" s="49" t="str">
        <f t="shared" ref="AO21:AO36" si="48">IF($C2="","",
IF(AK2=$C2,TRUE,FALSE))</f>
        <v/>
      </c>
      <c r="AP21" s="47" t="str">
        <f t="shared" ref="AP21:AP36" si="49">IF(AP2=C2,ABS(AR2-E2),"")</f>
        <v/>
      </c>
      <c r="AQ21" s="47" t="str">
        <f t="shared" ref="AQ21:AQ36" si="50">IF(AP2=C2,ABS(AS2-F2),"")</f>
        <v/>
      </c>
      <c r="AR21" s="48" t="str">
        <f t="shared" ref="AR21:AR36" si="51">IF(AP2=C2,SUM(AP21,AQ21),"")</f>
        <v/>
      </c>
      <c r="AS21" s="9">
        <f t="shared" ref="AS21:AS36" si="52">SUM(IF(AND(AP2=$C2,AR21=$C21,$C21=0,AT2=TRUE,AR21&lt;$I21,AR21&lt;$N21,AR21&lt;$S21,AR21&lt;$X21,AR21&lt;$AC21,AR21&lt;$AH21,AR21&lt;$AM21,AR21&lt;$AW21,AR21&lt;$BB21,AR21&lt;$BG21,AR21&lt;$BL21),15,
IF(AND(AP2=$C2,AR21=$C21,$C21=0,AT2=TRUE,OR(AR21=$I21,AR21=$N21,AR21=$S21,AR21=$X21,AR21=$AC21,AR21=$AH21,AR21=$AM21,AR21=$AW21,AR21=$BB21,AR21=$BG21,AR21=$BL21)),7.5,
IF(AND(AP2=$C2,AR21=$C21,$C21=0,AR21&lt;$I21,AR21&lt;$N21,AR21&lt;$S21,AR21&lt;$X21,AR21&lt;$AC21,AR21&lt;$AH21,AR21&lt;$AM21,AR21&lt;$AW21,AR21&lt;$BB21,AR21&lt;$BG21,AR21&lt;$BL21),5,
IF(AND(AP2=$C2,AR21=$C21,AT2=TRUE,AR21&lt;$I21,AR21&lt;$N21,AR21&lt;$S21,AR21&lt;$X21,AR21&lt;$AC21,AR21&lt;$AH21,AR21&lt;$AM21,AR21&lt;$AW21,AR21&lt;$BB21,AR21&lt;$BG21,AR21&lt;$BL21),3,
IF(AND(AP2=$C2,AR21=$C21,$C21=0,OR(AR21=$I21,AR21=$N21,AR21=$S21,AR21=$X21,AR21=$AC21,AR21=$AH21,AR21=$AM21,AR21=$AW21,AR21=$BB21,AR21=$BG21,AR21=$BL21)),2.5,
IF(AND(AP2=$C2,AR21=$C21,AT2=TRUE,OR(AR21=$I21,AR21=$N21,AR21=$S21,AR21=$X21,AR21=$AC21,AR21=$AH21,AR21=$AM21,AR21=$AW21,AR21=$BB21,AR21=$BG21,AR21=$BL21)),1.5,
IF(AND(AP2=$C2,AR21=$C21,AR21&lt;$I21,AR21&lt;$N21,AR21&lt;$S21,AR21&lt;$X21,AR21&lt;$AC21,AR21&lt;$AH21,AR21&lt;$AM21,AR21&lt;$AW21,AR21&lt;$BB21,AR21&lt;$BG21,AR21&lt;$BL21),1,
IF(AND(AP2=$C2,AR21=$C21,OR(AR21=$I21,AR21=$N21,AR21=$S21,AR21=$X21,AR21=$AC21,AR21=$AH21,AR21=$AM21,AR21=$AW21,AR21=$BB21,AR21=$BG21,AR21=$BL21)),0.5,
0)))))))),
IF(AND(AT21=TRUE,AT2=TRUE),3,
IF(AND(AT21=TRUE,AT2=FALSE),1,
IF(AT21="",0)))
)</f>
        <v>0</v>
      </c>
      <c r="AT21" s="49" t="str">
        <f t="shared" ref="AT21:AT36" si="53">IF($C2="","",
IF(AP2=$C2,TRUE,FALSE))</f>
        <v/>
      </c>
      <c r="AU21" s="47" t="str">
        <f t="shared" ref="AU21:AU36" si="54">IF(AU2=C2,ABS(AW2-E2),"")</f>
        <v/>
      </c>
      <c r="AV21" s="47" t="str">
        <f t="shared" ref="AV21:AV36" si="55">IF(AU2=C2,ABS(AX2-F2),"")</f>
        <v/>
      </c>
      <c r="AW21" s="48" t="str">
        <f t="shared" ref="AW21:AW36" si="56">IF(AU2=C2,SUM(AU21,AV21),"")</f>
        <v/>
      </c>
      <c r="AX21" s="9">
        <f t="shared" ref="AX21:AX36" si="57">SUM(IF(AND(AU2=$C2,AW21=$C21,$C21=0,AY2=TRUE,AW21&lt;$I21,AW21&lt;$N21,AW21&lt;$S21,AW21&lt;$X21,AW21&lt;$AC21,AW21&lt;$AH21,AW21&lt;$AM21,AW21&lt;$AR21,AW21&lt;$BB21,AW21&lt;$BG21,AW21&lt;$BL21),15,
IF(AND(AU2=$C2,AW21=$C21,$C21=0,AY2=TRUE,OR(AW21=$I21,AW21=$N21,AW21=$S21,AW21=$X21,AW21=$AC21,AW21=$AH21,AW21=$AM21,AW21=$AR21,AW21=$BB21,AW21=$BG21,AW21=$BL21)),7.5,
IF(AND(AU2=$C2,AW21=$C21,$C21=0,AW21&lt;$I21,AW21&lt;$N21,AW21&lt;$S21,AW21&lt;$X21,AW21&lt;$AC21,AW21&lt;$AH21,AW21&lt;$AM21,AW21&lt;$AR21,AW21&lt;$BB21,AW21&lt;$BG21,AW21&lt;$BL21),5,
IF(AND(AU2=$C2,AW21=$C21,AY2=TRUE,AW21&lt;$I21,AW21&lt;$N21,AW21&lt;$S21,AW21&lt;$X21,AW21&lt;$AC21,AW21&lt;$AH21,AW21&lt;$AM21,AW21&lt;$AR21,AW21&lt;$BB21,AW21&lt;$BG21,AW21&lt;$BL21),3,
IF(AND(AU2=$C2,AW21=$C21,$C21=0,OR(AW21=$I21,AW21=$N21,AW21=$S21,AW21=$X21,AW21=$AC21,AW21=$AH21,AW21=$AM21,AW21=$AR21,AW21=$BB21,AW21=$BG21,AW21=$BL21)),2.5,
IF(AND(AU2=$C2,AW21=$C21,AY2=TRUE,OR(AW21=$I21,AW21=$N21,AW21=$S21,AW21=$X21,AW21=$AC21,AW21=$AH21,AW21=$AM21,AW21=$AR21,AW21=$BB21,AW21=$BG21,AW21=$BL21)),1.5,
IF(AND(AU2=$C2,AW21=$C21,AW21&lt;$I21,AW21&lt;$N21,AW21&lt;$S21,AW21&lt;$X21,AW21&lt;$AC21,AW21&lt;$AH21,AW21&lt;$AM21,AW21&lt;$AR21,AW21&lt;$BB21,AW21&lt;$BG21,AW21&lt;$BL21),1,
IF(AND(AU2=$C2,AW21=$C21,OR(AW21=$I21,AW21=$N21,AW21=$S21,AW21=$X21,AW21=$AC21,AW21=$AH21,AW21=$AM21,AW21=$AR21,AW21=$BB21,AW21=$BG21,AW21=$BL21)),0.5,
0)))))))),
IF(AND(AY21=TRUE,AY2=TRUE),3,
IF(AND(AY21=TRUE,AY2=FALSE),1,
IF(AY21="",0)))
)</f>
        <v>0</v>
      </c>
      <c r="AY21" s="49" t="str">
        <f t="shared" ref="AY21:AY36" si="58">IF($C2="","",
IF(AU2=$C2,TRUE,FALSE))</f>
        <v/>
      </c>
      <c r="AZ21" s="47" t="str">
        <f t="shared" ref="AZ21:AZ36" si="59">IF(AZ2=C2,ABS(BB2-E2),"")</f>
        <v/>
      </c>
      <c r="BA21" s="47" t="str">
        <f t="shared" ref="BA21:BA36" si="60">IF(AZ2=C2,ABS(BC2-F2),"")</f>
        <v/>
      </c>
      <c r="BB21" s="48" t="str">
        <f t="shared" ref="BB21:BB36" si="61">IF(AZ2=C2,SUM(AZ21,BA21),"")</f>
        <v/>
      </c>
      <c r="BC21" s="9">
        <f t="shared" ref="BC21:BC36" si="62">SUM(IF(AND(AZ2=$C2,BB21=$C21,$C21=0,BD2=TRUE,BB21&lt;$I21,BB21&lt;$N21,BB21&lt;$S21,BB21&lt;$X21,BB21&lt;$AC21,BB21&lt;$AH21,BB21&lt;$AM21,BB21&lt;$AR21,BB21&lt;$AW21,BB21&lt;$BG21,BB21&lt;$BL21),15,
IF(AND(AZ2=$C2,BB21=$C21,$C21=0,BD2=TRUE,OR(BB21=$I21,BB21=$N21,BB21=$S21,BB21=$X21,BB21=$AC21,BB21=$AH21,BB21=$AM21,BB21=$AR21,BB21=$AW21,BB21=$BG21,BB21=$BL21)),7.5,
IF(AND(AZ2=$C2,BB21=$C21,$C21=0,BB21&lt;$I21,BB21&lt;$N21,BB21&lt;$S21,BB21&lt;$X21,BB21&lt;$AC21,BB21&lt;$AH21,BB21&lt;$AM21,BB21&lt;$AR21,BB21&lt;$AW21,BB21&lt;$BG21,BB21&lt;$BL21),5,
IF(AND(AZ2=$C2,BB21=$C21,BD2=TRUE,BB21&lt;$I21,BB21&lt;$N21,BB21&lt;$S21,BB21&lt;$X21,BB21&lt;$AC21,BB21&lt;$AH21,BB21&lt;$AM21,BB21&lt;$AR21,BB21&lt;$AW21,BB21&lt;$BG21,BB21&lt;$BL21),3,
IF(AND(AZ2=$C2,BB21=$C21,$C21=0,OR(BB21=$I21,BB21=$N21,BB21=$S21,BB21=$X21,BB21=$AC21,BB21=$AH21,BB21=$AM21,BB21=$AR21,BB21=$AW21,BB21=$BG21,BB21=$BL21)),2.5,
IF(AND(AZ2=$C2,BB21=$C21,BD2=TRUE,OR(BB21=$I21,BB21=$N21,BB21=$S21,BB21=$X21,BB21=$AC21,BB21=$AH21,BB21=$AM21,BB21=$AR21,BB21=$AW21,BB21=$BG21,BB21=$BL21)),1.5,
IF(AND(AZ2=$C2,BB21=$C21,BB21&lt;$I21,BB21&lt;$N21,BB21&lt;$S21,BB21&lt;$X21,BB21&lt;$AC21,BB21&lt;$AH21,BB21&lt;$AM21,BB21&lt;$AR21,BB21&lt;$AW21,BB21&lt;$BG21,BB21&lt;$BL21),1,
IF(AND(AZ2=$C2,BB21=$C21,OR(BB21=$I21,BB21=$N21,BB21=$S21,BB21=$X21,BB21=$AC21,BB21=$AH21,BB21=$AM21,BB21=$AR21,BB21=$AW21,BB21=$BG21,BB21=$BL21)),0.5,
0)))))))),
IF(AND(BD21=TRUE,BD2=TRUE),3,
IF(AND(BD21=TRUE,BD2=FALSE),1,
IF(BD21="",0)))
)</f>
        <v>0</v>
      </c>
      <c r="BD21" s="49" t="str">
        <f t="shared" ref="BD21:BD36" si="63">IF($C2="","",
IF(AZ2=$C2,TRUE,FALSE))</f>
        <v/>
      </c>
      <c r="BE21" s="47" t="str">
        <f t="shared" ref="BE21:BE36" si="64">IF(BE2=C2,ABS(BG2-E2),"")</f>
        <v/>
      </c>
      <c r="BF21" s="47" t="str">
        <f t="shared" ref="BF21:BF36" si="65">IF(BE2=C2,ABS(BH2-F2),"")</f>
        <v/>
      </c>
      <c r="BG21" s="48" t="str">
        <f t="shared" ref="BG21:BG36" si="66">IF(BE2=C2,SUM(BE21,BF21),"")</f>
        <v/>
      </c>
      <c r="BH21" s="9">
        <f t="shared" ref="BH21:BH36" si="67">SUM(IF(AND(BE2=$C2,BG21=$C21,$C21=0,BI2=TRUE,BG21&lt;$I21,BG21&lt;$N21,BG21&lt;$S21,BG21&lt;$X21,BG21&lt;$AC21,BG21&lt;$AH21,BG21&lt;$AM21,BG21&lt;$AR21,BG21&lt;$AW21,BG21&lt;$BB21,BG21&lt;$BL21),15,
IF(AND(BE2=$C2,BG21=$C21,$C21=0,BI2=TRUE,OR(BG21=$I21,BG21=$N21,BG21=$S21,BG21=$X21,BG21=$AC21,BG21=$AH21,BG21=$AM21,BG21=$AR21,BG21=$AW21,BG21=$BB21,BG21=$BL21)),7.5,
IF(AND(BE2=$C2,BG21=$C21,$C21=0,BG21&lt;$I21,BG21&lt;$N21,BG21&lt;$S21,BG21&lt;$X21,BG21&lt;$AC21,BG21&lt;$AH21,BG21&lt;$AM21,BG21&lt;$AR21,BG21&lt;$AW21,BG21&lt;$BB21,BG21&lt;$BL21),5,
IF(AND(BE2=$C2,BG21=$C21,BI2=TRUE,BG21&lt;$I21,BG21&lt;$N21,BG21&lt;$S21,BG21&lt;$X21,BG21&lt;$AC21,BG21&lt;$AH21,BG21&lt;$AM21,BG21&lt;$AR21,BG21&lt;$AW21,BG21&lt;$BB21,BG21&lt;$BL21),3,
IF(AND(BE2=$C2,BG21=$C21,$C21=0,OR(BG21=$I21,BG21=$N21,BG21=$S21,BG21=$X21,BG21=$AC21,BG21=$AH21,BG21=$AM21,BG21=$AR21,BG21=$AW21,BG21=$BB21,BG21=$BL21)),2.5,
IF(AND(BE2=$C2,BG21=$C21,BI2=TRUE,OR(BG21=$I21,BG21=$N21,BG21=$S21,BG21=$X21,BG21=$AC21,BG21=$AH21,BG21=$AM21,BG21=$AR21,BG21=$AW21,BG21=$BB21,BG21=$BL21)),1.5,
IF(AND(BE2=$C2,BG21=$C21,BG21&lt;$I21,BG21&lt;$N21,BG21&lt;$S21,BG21&lt;$X21,BG21&lt;$AC21,BG21&lt;$AH21,BG21&lt;$AM21,BG21&lt;$AR21,BG21&lt;$AW21,BG21&lt;$BB21,BG21&lt;$BL21),1,
IF(AND(BE2=$C2,BG21=$C21,OR(BG21=$I21,BG21=$N21,BG21=$S21,BG21=$X21,BG21=$AC21,BG21=$AH21,BG21=$AM21,BG21=$AR21,BG21=$AW21,BG21=$BB21,BG21=$BL21)),0.5,
0)))))))),
IF(AND(BI21=TRUE,BI2=TRUE),3,
IF(AND(BI21=TRUE,BI2=FALSE),1,
IF(BI21="",0)))
)</f>
        <v>0</v>
      </c>
      <c r="BI21" s="49" t="str">
        <f t="shared" ref="BI21:BI36" si="68">IF($C2="","",
IF(BE2=$C2,TRUE,FALSE))</f>
        <v/>
      </c>
      <c r="BJ21" s="47" t="str">
        <f t="shared" ref="BJ21:BJ36" si="69">IF(BJ2=C2,ABS(BL2-E2),"")</f>
        <v/>
      </c>
      <c r="BK21" s="47" t="str">
        <f t="shared" ref="BK21:BK36" si="70">IF(BJ2=C2,ABS(BM2-F2),"")</f>
        <v/>
      </c>
      <c r="BL21" s="48" t="str">
        <f t="shared" ref="BL21:BL36" si="71">IF(BJ2=C2,SUM(BJ21,BK21),"")</f>
        <v/>
      </c>
      <c r="BM21" s="9">
        <f t="shared" ref="BM21:BM36" si="72">SUM(IF(AND(BJ2=$C2,BL21=$C21,$C21=0,BN2=TRUE,BL21&lt;$I21,BL21&lt;$N21,BL21&lt;$S21,BL21&lt;$X21,BL21&lt;$AC21,BL21&lt;$AH21,BL21&lt;$AM21,BL21&lt;$AR21,BL21&lt;$AW21,BL21&lt;$BB21,BL21&lt;$BG21),15,
IF(AND(BJ2=$C2,BL21=$C21,$C21=0,BN2=TRUE,OR(BL21=$I21,BL21=$N21,BL21=$S21,BL21=$X21,BL21=$AC21,BL21=$AH21,BL21=$AM21,BL21=$AR21,BL21=$AW21,BL21=$BB21,BL21=$BG21)),7.5,
IF(AND(BJ2=$C2,BL21=$C21,$C21=0,BL21&lt;$I21,BL21&lt;$N21,BL21&lt;$S21,BL21&lt;$X21,BL21&lt;$AC21,BL21&lt;$AH21,BL21&lt;$AM21,BL21&lt;$AR21,BL21&lt;$AW21,BL21&lt;$BB21,BL21&lt;$BG21),5,
IF(AND(BJ2=$C2,BL21=$C21,BN2=TRUE,BL21&lt;$I21,BL21&lt;$N21,BL21&lt;$S21,BL21&lt;$X21,BL21&lt;$AC21,BL21&lt;$AH21,BL21&lt;$AM21,BL21&lt;$AR21,BL21&lt;$AW21,BL21&lt;$BB21,BL21&lt;$BG21),3,
IF(AND(BJ2=$C2,BL21=$C21,$C21=0,OR(BL21=$I21,BL21=$N21,BL21=$S21,BL21=$X21,BL21=$AC21,BL21=$AH21,BL21=$AM21,BL21=$AR21,BL21=$AW21,BL21=$BB21,BL21=$BG21)),2.5,
IF(AND(BJ2=$C2,BL21=$C21,BN2=TRUE,OR(BL21=$I21,BL21=$N21,BL21=$S21,BL21=$X21,BL21=$AC21,BL21=$AH21,BL21=$AM21,BL21=$AR21,BL21=$AW21,BL21=$BB21,BL21=$BG21)),1.5,
IF(AND(BJ2=$C2,BL21=$C21,BL21&lt;$I21,BL21&lt;$N21,BL21&lt;$S21,BL21&lt;$X21,BL21&lt;$AC21,BL21&lt;$AH21,BL21&lt;$AM21,BL21&lt;$AR21,BL21&lt;$AW21,BL21&lt;$BB21,BL21&lt;$BG21),1,
IF(AND(BJ2=$C2,BL21=$C21,OR(BL21=$I21,BL21=$N21,BL21=$S21,BL21=$X21,BL21=$AC21,BL21=$AH21,BL21=$AM21,BL21=$AR21,BL21=$AW21,BL21=$BB21,BL21=$BG21)),0.5,
0)))))))),
IF(AND(BN21=TRUE,BN2=TRUE),3,
IF(AND(BN21=TRUE,BN2=FALSE),1,
IF(BN21="",0)))
)</f>
        <v>0</v>
      </c>
      <c r="BN21" s="49" t="str">
        <f t="shared" ref="BN21:BN36" si="73">IF($C2="","",
IF(BJ2=$C2,TRUE,FALSE))</f>
        <v/>
      </c>
      <c r="BO21" s="41"/>
      <c r="BP21" s="41"/>
      <c r="BQ21" s="41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9"/>
      <c r="E33" s="49"/>
      <c r="F33" s="49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1"/>
      <c r="B34" s="41"/>
      <c r="C34" s="46">
        <f t="shared" si="13"/>
        <v>0</v>
      </c>
      <c r="D34" s="49"/>
      <c r="E34" s="49"/>
      <c r="F34" s="49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1"/>
      <c r="BP34" s="41"/>
      <c r="BQ34" s="41"/>
    </row>
    <row r="35" hidden="1">
      <c r="A35" s="40"/>
      <c r="B35" s="40"/>
      <c r="C35" s="46">
        <f t="shared" si="13"/>
        <v>0</v>
      </c>
      <c r="D35" s="49"/>
      <c r="E35" s="49"/>
      <c r="F35" s="49"/>
      <c r="G35" s="47" t="str">
        <f t="shared" si="14"/>
        <v/>
      </c>
      <c r="H35" s="47" t="str">
        <f t="shared" si="15"/>
        <v/>
      </c>
      <c r="I35" s="48" t="str">
        <f t="shared" si="16"/>
        <v/>
      </c>
      <c r="J35" s="9">
        <f t="shared" si="17"/>
        <v>0</v>
      </c>
      <c r="K35" s="49" t="str">
        <f t="shared" si="18"/>
        <v/>
      </c>
      <c r="L35" s="47" t="str">
        <f t="shared" si="19"/>
        <v/>
      </c>
      <c r="M35" s="47" t="str">
        <f t="shared" si="20"/>
        <v/>
      </c>
      <c r="N35" s="48" t="str">
        <f t="shared" si="21"/>
        <v/>
      </c>
      <c r="O35" s="9">
        <f t="shared" si="22"/>
        <v>0</v>
      </c>
      <c r="P35" s="49" t="str">
        <f t="shared" si="23"/>
        <v/>
      </c>
      <c r="Q35" s="47" t="str">
        <f t="shared" si="24"/>
        <v/>
      </c>
      <c r="R35" s="47" t="str">
        <f t="shared" si="25"/>
        <v/>
      </c>
      <c r="S35" s="48" t="str">
        <f t="shared" si="26"/>
        <v/>
      </c>
      <c r="T35" s="9">
        <f t="shared" si="27"/>
        <v>0</v>
      </c>
      <c r="U35" s="49" t="str">
        <f t="shared" si="28"/>
        <v/>
      </c>
      <c r="V35" s="47" t="str">
        <f t="shared" si="29"/>
        <v/>
      </c>
      <c r="W35" s="47" t="str">
        <f t="shared" si="30"/>
        <v/>
      </c>
      <c r="X35" s="48" t="str">
        <f t="shared" si="31"/>
        <v/>
      </c>
      <c r="Y35" s="9">
        <f t="shared" si="32"/>
        <v>0</v>
      </c>
      <c r="Z35" s="49" t="str">
        <f t="shared" si="33"/>
        <v/>
      </c>
      <c r="AA35" s="47" t="str">
        <f t="shared" si="34"/>
        <v/>
      </c>
      <c r="AB35" s="47" t="str">
        <f t="shared" si="35"/>
        <v/>
      </c>
      <c r="AC35" s="48" t="str">
        <f t="shared" si="36"/>
        <v/>
      </c>
      <c r="AD35" s="9">
        <f t="shared" si="37"/>
        <v>0</v>
      </c>
      <c r="AE35" s="49" t="str">
        <f t="shared" si="38"/>
        <v/>
      </c>
      <c r="AF35" s="47" t="str">
        <f t="shared" si="39"/>
        <v/>
      </c>
      <c r="AG35" s="47" t="str">
        <f t="shared" si="40"/>
        <v/>
      </c>
      <c r="AH35" s="48" t="str">
        <f t="shared" si="41"/>
        <v/>
      </c>
      <c r="AI35" s="9">
        <f t="shared" si="42"/>
        <v>0</v>
      </c>
      <c r="AJ35" s="49" t="str">
        <f t="shared" si="43"/>
        <v/>
      </c>
      <c r="AK35" s="47" t="str">
        <f t="shared" si="44"/>
        <v/>
      </c>
      <c r="AL35" s="47" t="str">
        <f t="shared" si="45"/>
        <v/>
      </c>
      <c r="AM35" s="48" t="str">
        <f t="shared" si="46"/>
        <v/>
      </c>
      <c r="AN35" s="9">
        <f t="shared" si="47"/>
        <v>0</v>
      </c>
      <c r="AO35" s="49" t="str">
        <f t="shared" si="48"/>
        <v/>
      </c>
      <c r="AP35" s="47" t="str">
        <f t="shared" si="49"/>
        <v/>
      </c>
      <c r="AQ35" s="47" t="str">
        <f t="shared" si="50"/>
        <v/>
      </c>
      <c r="AR35" s="48" t="str">
        <f t="shared" si="51"/>
        <v/>
      </c>
      <c r="AS35" s="9">
        <f t="shared" si="52"/>
        <v>0</v>
      </c>
      <c r="AT35" s="49" t="str">
        <f t="shared" si="53"/>
        <v/>
      </c>
      <c r="AU35" s="47" t="str">
        <f t="shared" si="54"/>
        <v/>
      </c>
      <c r="AV35" s="47" t="str">
        <f t="shared" si="55"/>
        <v/>
      </c>
      <c r="AW35" s="48" t="str">
        <f t="shared" si="56"/>
        <v/>
      </c>
      <c r="AX35" s="9">
        <f t="shared" si="57"/>
        <v>0</v>
      </c>
      <c r="AY35" s="49" t="str">
        <f t="shared" si="58"/>
        <v/>
      </c>
      <c r="AZ35" s="47" t="str">
        <f t="shared" si="59"/>
        <v/>
      </c>
      <c r="BA35" s="47" t="str">
        <f t="shared" si="60"/>
        <v/>
      </c>
      <c r="BB35" s="48" t="str">
        <f t="shared" si="61"/>
        <v/>
      </c>
      <c r="BC35" s="9">
        <f t="shared" si="62"/>
        <v>0</v>
      </c>
      <c r="BD35" s="49" t="str">
        <f t="shared" si="63"/>
        <v/>
      </c>
      <c r="BE35" s="47" t="str">
        <f t="shared" si="64"/>
        <v/>
      </c>
      <c r="BF35" s="47" t="str">
        <f t="shared" si="65"/>
        <v/>
      </c>
      <c r="BG35" s="48" t="str">
        <f t="shared" si="66"/>
        <v/>
      </c>
      <c r="BH35" s="9">
        <f t="shared" si="67"/>
        <v>0</v>
      </c>
      <c r="BI35" s="49" t="str">
        <f t="shared" si="68"/>
        <v/>
      </c>
      <c r="BJ35" s="47" t="str">
        <f t="shared" si="69"/>
        <v/>
      </c>
      <c r="BK35" s="47" t="str">
        <f t="shared" si="70"/>
        <v/>
      </c>
      <c r="BL35" s="48" t="str">
        <f t="shared" si="71"/>
        <v/>
      </c>
      <c r="BM35" s="9">
        <f t="shared" si="72"/>
        <v>0</v>
      </c>
      <c r="BN35" s="49" t="str">
        <f t="shared" si="73"/>
        <v/>
      </c>
      <c r="BO35" s="40"/>
      <c r="BP35" s="41"/>
      <c r="BQ35" s="41"/>
    </row>
    <row r="36" hidden="1">
      <c r="A36" s="41"/>
      <c r="B36" s="41"/>
      <c r="C36" s="46">
        <f t="shared" si="13"/>
        <v>0</v>
      </c>
      <c r="D36" s="49"/>
      <c r="E36" s="49"/>
      <c r="F36" s="49"/>
      <c r="G36" s="47" t="str">
        <f t="shared" si="14"/>
        <v/>
      </c>
      <c r="H36" s="47" t="str">
        <f t="shared" si="15"/>
        <v/>
      </c>
      <c r="I36" s="48" t="str">
        <f t="shared" si="16"/>
        <v/>
      </c>
      <c r="J36" s="9">
        <f t="shared" si="17"/>
        <v>0</v>
      </c>
      <c r="K36" s="49" t="str">
        <f t="shared" si="18"/>
        <v/>
      </c>
      <c r="L36" s="47" t="str">
        <f t="shared" si="19"/>
        <v/>
      </c>
      <c r="M36" s="47" t="str">
        <f t="shared" si="20"/>
        <v/>
      </c>
      <c r="N36" s="48" t="str">
        <f t="shared" si="21"/>
        <v/>
      </c>
      <c r="O36" s="9">
        <f t="shared" si="22"/>
        <v>0</v>
      </c>
      <c r="P36" s="49" t="str">
        <f t="shared" si="23"/>
        <v/>
      </c>
      <c r="Q36" s="47" t="str">
        <f t="shared" si="24"/>
        <v/>
      </c>
      <c r="R36" s="47" t="str">
        <f t="shared" si="25"/>
        <v/>
      </c>
      <c r="S36" s="48" t="str">
        <f t="shared" si="26"/>
        <v/>
      </c>
      <c r="T36" s="9">
        <f t="shared" si="27"/>
        <v>0</v>
      </c>
      <c r="U36" s="49" t="str">
        <f t="shared" si="28"/>
        <v/>
      </c>
      <c r="V36" s="47" t="str">
        <f t="shared" si="29"/>
        <v/>
      </c>
      <c r="W36" s="47" t="str">
        <f t="shared" si="30"/>
        <v/>
      </c>
      <c r="X36" s="48" t="str">
        <f t="shared" si="31"/>
        <v/>
      </c>
      <c r="Y36" s="9">
        <f t="shared" si="32"/>
        <v>0</v>
      </c>
      <c r="Z36" s="49" t="str">
        <f t="shared" si="33"/>
        <v/>
      </c>
      <c r="AA36" s="47" t="str">
        <f t="shared" si="34"/>
        <v/>
      </c>
      <c r="AB36" s="47" t="str">
        <f t="shared" si="35"/>
        <v/>
      </c>
      <c r="AC36" s="48" t="str">
        <f t="shared" si="36"/>
        <v/>
      </c>
      <c r="AD36" s="9">
        <f t="shared" si="37"/>
        <v>0</v>
      </c>
      <c r="AE36" s="49" t="str">
        <f t="shared" si="38"/>
        <v/>
      </c>
      <c r="AF36" s="47" t="str">
        <f t="shared" si="39"/>
        <v/>
      </c>
      <c r="AG36" s="47" t="str">
        <f t="shared" si="40"/>
        <v/>
      </c>
      <c r="AH36" s="48" t="str">
        <f t="shared" si="41"/>
        <v/>
      </c>
      <c r="AI36" s="9">
        <f t="shared" si="42"/>
        <v>0</v>
      </c>
      <c r="AJ36" s="49" t="str">
        <f t="shared" si="43"/>
        <v/>
      </c>
      <c r="AK36" s="47" t="str">
        <f t="shared" si="44"/>
        <v/>
      </c>
      <c r="AL36" s="47" t="str">
        <f t="shared" si="45"/>
        <v/>
      </c>
      <c r="AM36" s="48" t="str">
        <f t="shared" si="46"/>
        <v/>
      </c>
      <c r="AN36" s="9">
        <f t="shared" si="47"/>
        <v>0</v>
      </c>
      <c r="AO36" s="49" t="str">
        <f t="shared" si="48"/>
        <v/>
      </c>
      <c r="AP36" s="47" t="str">
        <f t="shared" si="49"/>
        <v/>
      </c>
      <c r="AQ36" s="47" t="str">
        <f t="shared" si="50"/>
        <v/>
      </c>
      <c r="AR36" s="48" t="str">
        <f t="shared" si="51"/>
        <v/>
      </c>
      <c r="AS36" s="9">
        <f t="shared" si="52"/>
        <v>0</v>
      </c>
      <c r="AT36" s="49" t="str">
        <f t="shared" si="53"/>
        <v/>
      </c>
      <c r="AU36" s="47" t="str">
        <f t="shared" si="54"/>
        <v/>
      </c>
      <c r="AV36" s="47" t="str">
        <f t="shared" si="55"/>
        <v/>
      </c>
      <c r="AW36" s="48" t="str">
        <f t="shared" si="56"/>
        <v/>
      </c>
      <c r="AX36" s="9">
        <f t="shared" si="57"/>
        <v>0</v>
      </c>
      <c r="AY36" s="49" t="str">
        <f t="shared" si="58"/>
        <v/>
      </c>
      <c r="AZ36" s="47" t="str">
        <f t="shared" si="59"/>
        <v/>
      </c>
      <c r="BA36" s="47" t="str">
        <f t="shared" si="60"/>
        <v/>
      </c>
      <c r="BB36" s="48" t="str">
        <f t="shared" si="61"/>
        <v/>
      </c>
      <c r="BC36" s="9">
        <f t="shared" si="62"/>
        <v>0</v>
      </c>
      <c r="BD36" s="49" t="str">
        <f t="shared" si="63"/>
        <v/>
      </c>
      <c r="BE36" s="47" t="str">
        <f t="shared" si="64"/>
        <v/>
      </c>
      <c r="BF36" s="47" t="str">
        <f t="shared" si="65"/>
        <v/>
      </c>
      <c r="BG36" s="48" t="str">
        <f t="shared" si="66"/>
        <v/>
      </c>
      <c r="BH36" s="9">
        <f t="shared" si="67"/>
        <v>0</v>
      </c>
      <c r="BI36" s="49" t="str">
        <f t="shared" si="68"/>
        <v/>
      </c>
      <c r="BJ36" s="47" t="str">
        <f t="shared" si="69"/>
        <v/>
      </c>
      <c r="BK36" s="47" t="str">
        <f t="shared" si="70"/>
        <v/>
      </c>
      <c r="BL36" s="48" t="str">
        <f t="shared" si="71"/>
        <v/>
      </c>
      <c r="BM36" s="9">
        <f t="shared" si="72"/>
        <v>0</v>
      </c>
      <c r="BN36" s="49" t="str">
        <f t="shared" si="73"/>
        <v/>
      </c>
      <c r="BO36" s="41"/>
      <c r="BP36" s="41"/>
      <c r="BQ36" s="41"/>
    </row>
    <row r="37" hidden="1">
      <c r="A37" s="40"/>
      <c r="B37" s="40"/>
      <c r="C37" s="49"/>
      <c r="D37" s="49"/>
      <c r="E37" s="49"/>
      <c r="F37" s="49"/>
      <c r="G37" s="49"/>
      <c r="H37" s="49"/>
      <c r="I37" s="49"/>
      <c r="J37" s="59">
        <f>MULTIPLY(SUM(J21:J36),10)</f>
        <v>0</v>
      </c>
      <c r="K37" s="62">
        <f>COUNTIF(K21:K36,"TRUE")</f>
        <v>0</v>
      </c>
      <c r="L37" s="49"/>
      <c r="M37" s="49"/>
      <c r="N37" s="49"/>
      <c r="O37" s="59">
        <f>MULTIPLY(SUM(O21:O36),10)</f>
        <v>0</v>
      </c>
      <c r="P37" s="62">
        <f>COUNTIF(P21:P36,"TRUE")</f>
        <v>0</v>
      </c>
      <c r="Q37" s="49"/>
      <c r="R37" s="49"/>
      <c r="S37" s="49"/>
      <c r="T37" s="59">
        <f>MULTIPLY(SUM(T21:T36),10)</f>
        <v>0</v>
      </c>
      <c r="U37" s="62">
        <f>COUNTIF(U21:U36,"TRUE")</f>
        <v>0</v>
      </c>
      <c r="V37" s="49"/>
      <c r="W37" s="49"/>
      <c r="X37" s="49"/>
      <c r="Y37" s="59">
        <f>MULTIPLY(SUM(Y21:Y36),10)</f>
        <v>0</v>
      </c>
      <c r="Z37" s="62">
        <f>COUNTIF(Z21:Z36,"TRUE")</f>
        <v>0</v>
      </c>
      <c r="AA37" s="49"/>
      <c r="AB37" s="49"/>
      <c r="AC37" s="49"/>
      <c r="AD37" s="59">
        <f>MULTIPLY(SUM(AD21:AD36),10)</f>
        <v>0</v>
      </c>
      <c r="AE37" s="62">
        <f>COUNTIF(AE21:AE36,"TRUE")</f>
        <v>0</v>
      </c>
      <c r="AF37" s="49"/>
      <c r="AG37" s="49"/>
      <c r="AH37" s="49"/>
      <c r="AI37" s="59">
        <f>MULTIPLY(SUM(AI21:AI36),10)</f>
        <v>0</v>
      </c>
      <c r="AJ37" s="62">
        <f>COUNTIF(AJ21:AJ36,"TRUE")</f>
        <v>0</v>
      </c>
      <c r="AK37" s="49"/>
      <c r="AL37" s="49"/>
      <c r="AM37" s="49"/>
      <c r="AN37" s="59">
        <f>MULTIPLY(SUM(AN21:AN36),10)</f>
        <v>0</v>
      </c>
      <c r="AO37" s="62">
        <f>COUNTIF(AO21:AO36,"TRUE")</f>
        <v>0</v>
      </c>
      <c r="AP37" s="49"/>
      <c r="AQ37" s="49"/>
      <c r="AR37" s="49"/>
      <c r="AS37" s="59">
        <f>MULTIPLY(SUM(AS21:AS36),10)</f>
        <v>0</v>
      </c>
      <c r="AT37" s="62">
        <f>COUNTIF(AT21:AT36,"TRUE")</f>
        <v>0</v>
      </c>
      <c r="AU37" s="49"/>
      <c r="AV37" s="49"/>
      <c r="AW37" s="49"/>
      <c r="AX37" s="59">
        <f>MULTIPLY(SUM(AX21:AX36),10)</f>
        <v>0</v>
      </c>
      <c r="AY37" s="62">
        <f>COUNTIF(AY21:AY36,"TRUE")</f>
        <v>0</v>
      </c>
      <c r="AZ37" s="49"/>
      <c r="BA37" s="49"/>
      <c r="BB37" s="49"/>
      <c r="BC37" s="59">
        <f>MULTIPLY(SUM(BC21:BC36),10)</f>
        <v>0</v>
      </c>
      <c r="BD37" s="62">
        <f>COUNTIF(BD21:BD36,"TRUE")</f>
        <v>0</v>
      </c>
      <c r="BE37" s="49"/>
      <c r="BF37" s="49"/>
      <c r="BG37" s="49"/>
      <c r="BH37" s="59">
        <f>MULTIPLY(SUM(BH21:BH36),10)</f>
        <v>0</v>
      </c>
      <c r="BI37" s="62">
        <f>COUNTIF(BI21:BI36,"TRUE")</f>
        <v>0</v>
      </c>
      <c r="BJ37" s="49"/>
      <c r="BK37" s="49"/>
      <c r="BL37" s="49"/>
      <c r="BM37" s="59">
        <f>MULTIPLY(SUM(BM21:BM36),10)</f>
        <v>0</v>
      </c>
      <c r="BN37" s="62">
        <f>COUNTIF(BN21:BN36,"TRUE")</f>
        <v>0</v>
      </c>
      <c r="BO37" s="40"/>
      <c r="BP37" s="40"/>
      <c r="BQ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86"/>
      <c r="B39" s="52"/>
      <c r="C39" s="53" t="s">
        <v>6</v>
      </c>
      <c r="D39" s="53" t="s">
        <v>7</v>
      </c>
      <c r="E39" s="53" t="s">
        <v>8</v>
      </c>
      <c r="F39" s="53" t="s">
        <v>9</v>
      </c>
      <c r="G39" s="53" t="s">
        <v>10</v>
      </c>
      <c r="H39" s="53" t="s">
        <v>11</v>
      </c>
      <c r="I39" s="53" t="s">
        <v>12</v>
      </c>
      <c r="J39" s="53" t="s">
        <v>13</v>
      </c>
      <c r="K39" s="53" t="s">
        <v>14</v>
      </c>
      <c r="L39" s="53" t="s">
        <v>15</v>
      </c>
      <c r="M39" s="53" t="s">
        <v>16</v>
      </c>
      <c r="N39" s="54" t="s">
        <v>17</v>
      </c>
      <c r="O39" s="55"/>
      <c r="P39" s="56"/>
      <c r="Q39" s="56"/>
      <c r="R39" s="56"/>
      <c r="S39" s="56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19"/>
      <c r="B40" s="57" t="s">
        <v>141</v>
      </c>
      <c r="C40" s="58">
        <f t="array" ref="C40">INDEX(J37,0)</f>
        <v>0</v>
      </c>
      <c r="D40" s="58">
        <f t="array" ref="D40">INDEX(O37,0)</f>
        <v>0</v>
      </c>
      <c r="E40" s="58">
        <f t="array" ref="E40">INDEX(T37,0)</f>
        <v>0</v>
      </c>
      <c r="F40" s="58">
        <f t="array" ref="F40">INDEX(Y37,0)</f>
        <v>0</v>
      </c>
      <c r="G40" s="58">
        <f t="array" ref="G40">INDEX(AD37,0)</f>
        <v>0</v>
      </c>
      <c r="H40" s="58">
        <f t="array" ref="H40">INDEX(AI37,0)</f>
        <v>0</v>
      </c>
      <c r="I40" s="58">
        <f t="array" ref="I40">INDEX(AN37,0)</f>
        <v>0</v>
      </c>
      <c r="J40" s="58">
        <f t="array" ref="J40">INDEX(AS37,0)</f>
        <v>0</v>
      </c>
      <c r="K40" s="58">
        <f t="array" ref="K40">INDEX(AX37,0)</f>
        <v>0</v>
      </c>
      <c r="L40" s="58">
        <f t="array" ref="L40">INDEX(BC37,0)</f>
        <v>0</v>
      </c>
      <c r="M40" s="58">
        <f t="array" ref="M40">INDEX(BH37,0)</f>
        <v>0</v>
      </c>
      <c r="N40" s="60">
        <f t="array" ref="N40">INDEX(BM37,0)</f>
        <v>0</v>
      </c>
      <c r="O40" s="61"/>
      <c r="P40" s="11"/>
      <c r="Q40" s="11"/>
      <c r="R40" s="11"/>
      <c r="S40" s="11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19"/>
      <c r="B41" s="63" t="s">
        <v>142</v>
      </c>
      <c r="C41" s="64">
        <f>COUNTIF(K21:K34,true)</f>
        <v>0</v>
      </c>
      <c r="D41" s="64">
        <f>COUNTIF(P21:P34,true)</f>
        <v>0</v>
      </c>
      <c r="E41" s="64">
        <f>COUNTIF(U21:U34,true)</f>
        <v>0</v>
      </c>
      <c r="F41" s="64">
        <f>COUNTIF(Z21:Z34,true)</f>
        <v>0</v>
      </c>
      <c r="G41" s="64">
        <f>COUNTIF(AE21:AE34,true)</f>
        <v>0</v>
      </c>
      <c r="H41" s="64">
        <f>COUNTIF(AJ21:AJ34,true)</f>
        <v>0</v>
      </c>
      <c r="I41" s="64">
        <f>COUNTIF(AO21:AO34,true)</f>
        <v>0</v>
      </c>
      <c r="J41" s="64">
        <f>COUNTIF(AT21:AT34,true)</f>
        <v>0</v>
      </c>
      <c r="K41" s="64">
        <f>COUNTIF(AY21:AY34,true)</f>
        <v>0</v>
      </c>
      <c r="L41" s="64">
        <f>COUNTIF(BD21:BD34,true)</f>
        <v>0</v>
      </c>
      <c r="M41" s="64">
        <f>COUNTIF(BI21:BI34,true)</f>
        <v>0</v>
      </c>
      <c r="N41" s="65">
        <f>COUNTIF(BN21:BN34,true)</f>
        <v>0</v>
      </c>
      <c r="O41" s="66"/>
      <c r="P41" s="67"/>
      <c r="Q41" s="67"/>
      <c r="R41" s="67"/>
      <c r="S41" s="67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19"/>
      <c r="B42" s="63" t="s">
        <v>143</v>
      </c>
      <c r="C42" s="68">
        <f>COUNTIF(K21:K34,FALSE)</f>
        <v>0</v>
      </c>
      <c r="D42" s="68">
        <f>COUNTIF(P21:P34,FALSE)</f>
        <v>0</v>
      </c>
      <c r="E42" s="68">
        <f>COUNTIF(U21:U34,FALSE)</f>
        <v>0</v>
      </c>
      <c r="F42" s="68">
        <f>COUNTIF(Z21:Z34,FALSE)</f>
        <v>0</v>
      </c>
      <c r="G42" s="68">
        <f>COUNTIF(AE21:AE34,FALSE)</f>
        <v>0</v>
      </c>
      <c r="H42" s="68">
        <f>COUNTIF(AJ21:AJ34,FALSE)</f>
        <v>0</v>
      </c>
      <c r="I42" s="68">
        <f>COUNTIF(AO21:AO34,FALSE)</f>
        <v>0</v>
      </c>
      <c r="J42" s="68">
        <f>COUNTIF(AT21:AT34,FALSE)</f>
        <v>0</v>
      </c>
      <c r="K42" s="68">
        <f>COUNTIF(AY21:AY34,FALSE)</f>
        <v>0</v>
      </c>
      <c r="L42" s="68">
        <f>COUNTIF(BD21:BD34,FALSE)</f>
        <v>0</v>
      </c>
      <c r="M42" s="68">
        <f>COUNTIF(BI21:BI34,FALSE)</f>
        <v>0</v>
      </c>
      <c r="N42" s="69">
        <f>COUNTIF(BN21:BN34,FALSE)</f>
        <v>0</v>
      </c>
      <c r="O42" s="66"/>
      <c r="P42" s="67"/>
      <c r="Q42" s="67"/>
      <c r="R42" s="67"/>
      <c r="S42" s="67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19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19"/>
      <c r="B44" s="70" t="s">
        <v>144</v>
      </c>
      <c r="C44" s="71">
        <f>SUM('Week 1'!C38,'Week 2'!C38,'Week 3'!C38,'Week 4'!C38,'Week 5'!C39,'Week 6'!C35,'Week 7'!C35,'Week 8'!C37,'Week 9'!C38,'Week 10'!C36,'Week 11'!C33,C40)</f>
        <v>325</v>
      </c>
      <c r="D44" s="71">
        <f>SUM('Week 1'!D38,'Week 2'!D38,'Week 3'!D38,'Week 4'!D38,'Week 5'!D39,'Week 6'!D35,'Week 7'!D35,'Week 8'!D37,'Week 9'!D38,'Week 10'!D36,'Week 11'!D33,D40)</f>
        <v>275</v>
      </c>
      <c r="E44" s="71">
        <f>SUM('Week 1'!E38,'Week 2'!E38,'Week 3'!E38,'Week 4'!E38,'Week 5'!E39,'Week 6'!E35,'Week 7'!E35,'Week 8'!E37,'Week 9'!E38,'Week 10'!E36,'Week 11'!E33,E40)</f>
        <v>290</v>
      </c>
      <c r="F44" s="71">
        <f>SUM('Week 1'!F38,'Week 2'!F38,'Week 3'!F38,'Week 4'!F38,'Week 5'!F39,'Week 6'!F35,'Week 7'!F35,'Week 8'!F37,'Week 9'!F38,'Week 10'!F36,'Week 11'!F33,F40)</f>
        <v>375</v>
      </c>
      <c r="G44" s="71">
        <f>SUM('Week 1'!G38,'Week 2'!G38,'Week 3'!G38,'Week 4'!G38,'Week 5'!G39,'Week 6'!G35,'Week 7'!G35,'Week 8'!G37,'Week 9'!G38,'Week 10'!G36,'Week 11'!G33,G40)</f>
        <v>410</v>
      </c>
      <c r="H44" s="71">
        <f>SUM('Week 1'!H38,'Week 2'!H38,'Week 3'!H38,'Week 4'!H38,'Week 5'!H39,'Week 6'!H35,'Week 7'!H35,'Week 8'!H37,'Week 9'!H38,'Week 10'!H36,'Week 11'!H33,H40)</f>
        <v>480</v>
      </c>
      <c r="I44" s="71">
        <f>SUM('Week 1'!I38,'Week 2'!I38,'Week 3'!I38,'Week 4'!I38,'Week 5'!I39,'Week 6'!I35,'Week 7'!I35,'Week 8'!I37,'Week 9'!I38,'Week 10'!I36,'Week 11'!I33,I40)</f>
        <v>320</v>
      </c>
      <c r="J44" s="71">
        <f>SUM('Week 1'!J38,'Week 2'!J38,'Week 3'!J38,'Week 4'!J38,'Week 5'!J39,'Week 6'!J35,'Week 7'!J35,'Week 8'!J37,'Week 9'!J38,'Week 10'!J36,'Week 11'!J33,J40)</f>
        <v>445</v>
      </c>
      <c r="K44" s="71">
        <f>SUM('Week 1'!K38,'Week 2'!K38,'Week 3'!K38,'Week 4'!K38,'Week 5'!K39,'Week 6'!K35,'Week 7'!K35,'Week 8'!K37,'Week 9'!K38,'Week 10'!K36,'Week 11'!K33,K40)</f>
        <v>370</v>
      </c>
      <c r="L44" s="71">
        <f>SUM('Week 1'!L38,'Week 2'!L38,'Week 3'!L38,'Week 4'!L38,'Week 5'!L39,'Week 6'!L35,'Week 7'!L35,'Week 8'!L37,'Week 9'!L38,'Week 10'!L36,'Week 11'!L33,L40)</f>
        <v>280</v>
      </c>
      <c r="M44" s="71">
        <f>SUM('Week 1'!M38,'Week 2'!M38,'Week 3'!M38,'Week 4'!M38,'Week 5'!M39,'Week 6'!M35,'Week 7'!M35,'Week 8'!M37,'Week 9'!M38,'Week 10'!M36,'Week 11'!M33,M40)</f>
        <v>365</v>
      </c>
      <c r="N44" s="72">
        <f>SUM('Week 1'!N38,'Week 2'!N38,'Week 3'!N38,'Week 4'!N38,'Week 5'!N39,'Week 6'!N35,'Week 7'!N35,'Week 8'!N37,'Week 9'!N38,'Week 10'!N36,'Week 11'!N33,N40)</f>
        <v>290</v>
      </c>
      <c r="O44" s="61"/>
      <c r="P44" s="11"/>
      <c r="Q44" s="11"/>
      <c r="R44" s="11"/>
      <c r="S44" s="11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19"/>
      <c r="B45" s="57" t="s">
        <v>145</v>
      </c>
      <c r="C45" s="73" t="str">
        <f>CONCATENATE(SUM('Week 1'!C39,'Week 2'!C39,'Week 3'!C39,'Week 4'!C39,'Week 5'!C40,'Week 6'!C36,'Week 7'!C36,'Week 8'!C38,'Week 9'!C39,'Week 10'!C37,'Week 11'!C34,C41)," - ",SUM('Week 1'!C40,'Week 2'!C40,'Week 3'!C40,'Week 4'!C40,'Week 5'!C41,'Week 6'!C37,'Week 7'!C37,'Week 8'!C39,'Week 9'!C40,'Week 10'!C38,'Week 11'!C35,C42))</f>
        <v>25 - 21</v>
      </c>
      <c r="D45" s="73" t="str">
        <f>CONCATENATE(SUM('Week 1'!D39,'Week 2'!D39,'Week 3'!D39,'Week 4'!D39,'Week 5'!D40,'Week 6'!D36,'Week 7'!D36,'Week 8'!D38,'Week 9'!D39,'Week 10'!D37,'Week 11'!D34,D41)," - ",SUM('Week 1'!D40,'Week 2'!D40,'Week 3'!D40,'Week 4'!D40,'Week 5'!D41,'Week 6'!D37,'Week 7'!D37,'Week 8'!D39,'Week 9'!D40,'Week 10'!D38,'Week 11'!D35,D42))</f>
        <v>24 - 22</v>
      </c>
      <c r="E45" s="73" t="str">
        <f>CONCATENATE(SUM('Week 1'!E39,'Week 2'!E39,'Week 3'!E39,'Week 4'!E39,'Week 5'!E40,'Week 6'!E36,'Week 7'!E36,'Week 8'!E38,'Week 9'!E39,'Week 10'!E37,'Week 11'!E34,E41)," - ",SUM('Week 1'!E40,'Week 2'!E40,'Week 3'!E40,'Week 4'!E40,'Week 5'!E41,'Week 6'!E37,'Week 7'!E37,'Week 8'!E39,'Week 9'!E40,'Week 10'!E38,'Week 11'!E35,E42))</f>
        <v>23 - 23</v>
      </c>
      <c r="F45" s="73" t="str">
        <f>CONCATENATE(SUM('Week 1'!F39,'Week 2'!F39,'Week 3'!F39,'Week 4'!F39,'Week 5'!F40,'Week 6'!F36,'Week 7'!F36,'Week 8'!F38,'Week 9'!F39,'Week 10'!F37,'Week 11'!F34,F41)," - ",SUM('Week 1'!F40,'Week 2'!F40,'Week 3'!F40,'Week 4'!F40,'Week 5'!F41,'Week 6'!F37,'Week 7'!F37,'Week 8'!F39,'Week 9'!F40,'Week 10'!F38,'Week 11'!F35,F42))</f>
        <v>26 - 20</v>
      </c>
      <c r="G45" s="73" t="str">
        <f>CONCATENATE(SUM('Week 1'!G39,'Week 2'!G39,'Week 3'!G39,'Week 4'!G39,'Week 5'!G40,'Week 6'!G36,'Week 7'!G36,'Week 8'!G38,'Week 9'!G39,'Week 10'!G37,'Week 11'!G34,G41)," - ",SUM('Week 1'!G40,'Week 2'!G40,'Week 3'!G40,'Week 4'!G40,'Week 5'!G41,'Week 6'!G37,'Week 7'!G37,'Week 8'!G39,'Week 9'!G40,'Week 10'!G38,'Week 11'!G35,G42))</f>
        <v>30 - 16</v>
      </c>
      <c r="H45" s="73" t="str">
        <f>CONCATENATE(SUM('Week 1'!H39,'Week 2'!H39,'Week 3'!H39,'Week 4'!H39,'Week 5'!H40,'Week 6'!H36,'Week 7'!H36,'Week 8'!H38,'Week 9'!H39,'Week 10'!H37,'Week 11'!H34,H41)," - ",SUM('Week 1'!H40,'Week 2'!H40,'Week 3'!H40,'Week 4'!H40,'Week 5'!H41,'Week 6'!H37,'Week 7'!H37,'Week 8'!H39,'Week 9'!H40,'Week 10'!H38,'Week 11'!H35,H42))</f>
        <v>33 - 13</v>
      </c>
      <c r="I45" s="73" t="str">
        <f>CONCATENATE(SUM('Week 1'!I39,'Week 2'!I39,'Week 3'!I39,'Week 4'!I39,'Week 5'!I40,'Week 6'!I36,'Week 7'!I36,'Week 8'!I38,'Week 9'!I39,'Week 10'!I37,'Week 11'!I34,I41)," - ",SUM('Week 1'!I40,'Week 2'!I40,'Week 3'!I40,'Week 4'!I40,'Week 5'!I41,'Week 6'!I37,'Week 7'!I37,'Week 8'!I39,'Week 9'!I40,'Week 10'!I38,'Week 11'!I35,I42))</f>
        <v>26 - 20</v>
      </c>
      <c r="J45" s="73" t="str">
        <f>CONCATENATE(SUM('Week 1'!J39,'Week 2'!J39,'Week 3'!J39,'Week 4'!J39,'Week 5'!J40,'Week 6'!J36,'Week 7'!J36,'Week 8'!J38,'Week 9'!J39,'Week 10'!J37,'Week 11'!J34,J41)," - ",SUM('Week 1'!J40,'Week 2'!J40,'Week 3'!J40,'Week 4'!J40,'Week 5'!J41,'Week 6'!J37,'Week 7'!J37,'Week 8'!J39,'Week 9'!J40,'Week 10'!J38,'Week 11'!J35,J42))</f>
        <v>27 - 19</v>
      </c>
      <c r="K45" s="73" t="str">
        <f>CONCATENATE(SUM('Week 1'!K39,'Week 2'!K39,'Week 3'!K39,'Week 4'!K39,'Week 5'!K40,'Week 6'!K36,'Week 7'!K36,'Week 8'!K38,'Week 9'!K39,'Week 10'!K37,'Week 11'!K34,K41)," - ",SUM('Week 1'!K40,'Week 2'!K40,'Week 3'!K40,'Week 4'!K40,'Week 5'!K41,'Week 6'!K37,'Week 7'!K37,'Week 8'!K39,'Week 9'!K40,'Week 10'!K38,'Week 11'!K35,K42))</f>
        <v>29 - 17</v>
      </c>
      <c r="L45" s="73" t="str">
        <f>CONCATENATE(SUM('Week 1'!L39,'Week 2'!L39,'Week 3'!L39,'Week 4'!L39,'Week 5'!L40,'Week 6'!L36,'Week 7'!L36,'Week 8'!L38,'Week 9'!L39,'Week 10'!L37,'Week 11'!L34,L41)," - ",SUM('Week 1'!L40,'Week 2'!L40,'Week 3'!L40,'Week 4'!L40,'Week 5'!L41,'Week 6'!L37,'Week 7'!L37,'Week 8'!L39,'Week 9'!L40,'Week 10'!L38,'Week 11'!L35,L42))</f>
        <v>26 - 20</v>
      </c>
      <c r="M45" s="73" t="str">
        <f>CONCATENATE(SUM('Week 1'!M39,'Week 2'!M39,'Week 3'!M39,'Week 4'!M39,'Week 5'!M40,'Week 6'!M36,'Week 7'!M36,'Week 8'!M38,'Week 9'!M39,'Week 10'!M37,'Week 11'!M34,M41)," - ",SUM('Week 1'!M40,'Week 2'!M40,'Week 3'!M40,'Week 4'!M40,'Week 5'!M41,'Week 6'!M37,'Week 7'!M37,'Week 8'!M39,'Week 9'!M40,'Week 10'!M38,'Week 11'!M35,M42))</f>
        <v>24 - 22</v>
      </c>
      <c r="N45" s="74" t="str">
        <f>CONCATENATE(SUM('Week 1'!N39,'Week 2'!N39,'Week 3'!N39,'Week 4'!N39,'Week 5'!N40,'Week 6'!N36,'Week 7'!N36,'Week 8'!N38,'Week 9'!N39,'Week 10'!N37,'Week 11'!N34,N41)," - ",SUM('Week 1'!N40,'Week 2'!N40,'Week 3'!N40,'Week 4'!N40,'Week 5'!N41,'Week 6'!N37,'Week 7'!N37,'Week 8'!N39,'Week 9'!N40,'Week 10'!N38,'Week 11'!N35,N42))</f>
        <v>20 - 26</v>
      </c>
      <c r="O45" s="75"/>
      <c r="P45" s="76"/>
      <c r="Q45" s="76"/>
      <c r="R45" s="76"/>
      <c r="S45" s="76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f t="array" ref="C47:E63">INDEX(H65:J81,0)</f>
        <v>1</v>
      </c>
      <c r="D47" s="29" t="s">
        <v>11</v>
      </c>
      <c r="E47" s="29">
        <v>480.0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2.0</v>
      </c>
      <c r="D48" s="29" t="s">
        <v>13</v>
      </c>
      <c r="E48" s="29">
        <v>445.0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3.0</v>
      </c>
      <c r="D49" s="29" t="s">
        <v>10</v>
      </c>
      <c r="E49" s="29">
        <v>410.0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4.0</v>
      </c>
      <c r="D50" s="29" t="s">
        <v>9</v>
      </c>
      <c r="E50" s="29">
        <v>375.0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5.0</v>
      </c>
      <c r="D51" s="29" t="s">
        <v>14</v>
      </c>
      <c r="E51" s="29">
        <v>370.0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6.0</v>
      </c>
      <c r="D52" s="29" t="s">
        <v>16</v>
      </c>
      <c r="E52" s="29">
        <v>365.0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7.0</v>
      </c>
      <c r="D53" s="29" t="s">
        <v>6</v>
      </c>
      <c r="E53" s="29">
        <v>325.0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8.0</v>
      </c>
      <c r="D54" s="29" t="s">
        <v>12</v>
      </c>
      <c r="E54" s="29">
        <v>320.0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9.0</v>
      </c>
      <c r="D55" s="29" t="s">
        <v>8</v>
      </c>
      <c r="E55" s="29">
        <v>290.0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9.0</v>
      </c>
      <c r="D56" s="29" t="s">
        <v>17</v>
      </c>
      <c r="E56" s="29">
        <v>290.0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>
        <v>11.0</v>
      </c>
      <c r="D57" s="29" t="s">
        <v>15</v>
      </c>
      <c r="E57" s="29">
        <v>280.0</v>
      </c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>
        <v>12.0</v>
      </c>
      <c r="D58" s="29" t="s">
        <v>7</v>
      </c>
      <c r="E58" s="29">
        <v>275.0</v>
      </c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C62" s="29"/>
      <c r="D62" s="29"/>
      <c r="E62" s="29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C63" s="29"/>
      <c r="D63" s="29"/>
      <c r="E63" s="29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6</v>
      </c>
      <c r="C65" s="41">
        <f t="array" ref="C65">INDEX(C44,0)</f>
        <v>325</v>
      </c>
      <c r="D65" s="40"/>
      <c r="G65" s="40"/>
      <c r="H65" s="40">
        <f t="shared" ref="H65:H76" si="74">RANK(J65,$J$65:$J$81,false)</f>
        <v>1</v>
      </c>
      <c r="I65" s="40" t="str">
        <f t="array" ref="I65:J81">SORT(B65:C81,2,false)</f>
        <v>Caleb</v>
      </c>
      <c r="J65" s="40">
        <v>480.0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7</v>
      </c>
      <c r="C66" s="41">
        <f t="array" ref="C66">INDEX(D44,0)</f>
        <v>275</v>
      </c>
      <c r="D66" s="40"/>
      <c r="G66" s="40"/>
      <c r="H66" s="40">
        <f t="shared" si="74"/>
        <v>2</v>
      </c>
      <c r="I66" s="40" t="s">
        <v>13</v>
      </c>
      <c r="J66" s="40">
        <v>445.0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8</v>
      </c>
      <c r="C67" s="41">
        <f t="array" ref="C67">INDEX(E44,0)</f>
        <v>290</v>
      </c>
      <c r="D67" s="40"/>
      <c r="G67" s="40"/>
      <c r="H67" s="40">
        <f t="shared" si="74"/>
        <v>3</v>
      </c>
      <c r="I67" s="40" t="s">
        <v>10</v>
      </c>
      <c r="J67" s="40">
        <v>410.0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9</v>
      </c>
      <c r="C68" s="41">
        <f t="array" ref="C68">INDEX(F44,0)</f>
        <v>375</v>
      </c>
      <c r="D68" s="40"/>
      <c r="G68" s="40"/>
      <c r="H68" s="40">
        <f t="shared" si="74"/>
        <v>4</v>
      </c>
      <c r="I68" s="40" t="s">
        <v>9</v>
      </c>
      <c r="J68" s="40">
        <v>375.0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10</v>
      </c>
      <c r="C69" s="41">
        <f t="array" ref="C69">INDEX(G44,0)</f>
        <v>410</v>
      </c>
      <c r="D69" s="40"/>
      <c r="G69" s="40"/>
      <c r="H69" s="40">
        <f t="shared" si="74"/>
        <v>5</v>
      </c>
      <c r="I69" s="40" t="s">
        <v>14</v>
      </c>
      <c r="J69" s="40">
        <v>370.0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11</v>
      </c>
      <c r="C70" s="41">
        <f t="array" ref="C70">INDEX(H44,0)</f>
        <v>480</v>
      </c>
      <c r="D70" s="40"/>
      <c r="G70" s="40"/>
      <c r="H70" s="40">
        <f t="shared" si="74"/>
        <v>6</v>
      </c>
      <c r="I70" s="40" t="s">
        <v>16</v>
      </c>
      <c r="J70" s="40">
        <v>365.0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12</v>
      </c>
      <c r="C71" s="41">
        <f t="array" ref="C71">INDEX(I44,0)</f>
        <v>320</v>
      </c>
      <c r="D71" s="40"/>
      <c r="G71" s="40"/>
      <c r="H71" s="40">
        <f t="shared" si="74"/>
        <v>7</v>
      </c>
      <c r="I71" s="40" t="s">
        <v>6</v>
      </c>
      <c r="J71" s="40">
        <v>325.0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13</v>
      </c>
      <c r="C72" s="41">
        <f t="array" ref="C72">INDEX(J44,0)</f>
        <v>445</v>
      </c>
      <c r="D72" s="40"/>
      <c r="G72" s="40"/>
      <c r="H72" s="40">
        <f t="shared" si="74"/>
        <v>8</v>
      </c>
      <c r="I72" s="40" t="s">
        <v>12</v>
      </c>
      <c r="J72" s="40">
        <v>320.0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14</v>
      </c>
      <c r="C73" s="41">
        <f t="array" ref="C73">INDEX(K44,0)</f>
        <v>370</v>
      </c>
      <c r="D73" s="40"/>
      <c r="G73" s="40"/>
      <c r="H73" s="40">
        <f t="shared" si="74"/>
        <v>9</v>
      </c>
      <c r="I73" s="40" t="s">
        <v>8</v>
      </c>
      <c r="J73" s="40">
        <v>290.0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15</v>
      </c>
      <c r="C74" s="41">
        <f t="array" ref="C74">INDEX(L44,0)</f>
        <v>280</v>
      </c>
      <c r="D74" s="40"/>
      <c r="G74" s="40"/>
      <c r="H74" s="40">
        <f t="shared" si="74"/>
        <v>9</v>
      </c>
      <c r="I74" s="40" t="s">
        <v>17</v>
      </c>
      <c r="J74" s="40">
        <v>290.0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 t="s">
        <v>16</v>
      </c>
      <c r="C75" s="41">
        <f t="array" ref="C75">INDEX(M44,0)</f>
        <v>365</v>
      </c>
      <c r="D75" s="40"/>
      <c r="G75" s="40"/>
      <c r="H75" s="40">
        <f t="shared" si="74"/>
        <v>11</v>
      </c>
      <c r="I75" s="40" t="s">
        <v>15</v>
      </c>
      <c r="J75" s="40">
        <v>280.0</v>
      </c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 t="s">
        <v>17</v>
      </c>
      <c r="C76" s="41">
        <f t="array" ref="C76">INDEX(N44,0)</f>
        <v>290</v>
      </c>
      <c r="D76" s="40"/>
      <c r="G76" s="40"/>
      <c r="H76" s="40">
        <f t="shared" si="74"/>
        <v>12</v>
      </c>
      <c r="I76" s="40" t="s">
        <v>7</v>
      </c>
      <c r="J76" s="40">
        <v>275.0</v>
      </c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77"/>
      <c r="C80" s="41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  <row r="81" hidden="1">
      <c r="A81" s="40"/>
      <c r="B81" s="77"/>
      <c r="C81" s="41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</row>
    <row r="82" hidden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AND($I21=$C21,$C21=0)</formula>
    </cfRule>
  </conditionalFormatting>
  <conditionalFormatting sqref="G2:K17">
    <cfRule type="expression" dxfId="7" priority="2">
      <formula>$I21=$C21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AND($N21=$C21,$C21=0)</formula>
    </cfRule>
  </conditionalFormatting>
  <conditionalFormatting sqref="L2:P17">
    <cfRule type="expression" dxfId="7" priority="9">
      <formula>$N21=$C21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AND($S21=$C21,$C21=0)</formula>
    </cfRule>
  </conditionalFormatting>
  <conditionalFormatting sqref="Q2:U17">
    <cfRule type="expression" dxfId="7" priority="16">
      <formula>$S21=$C21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AND($X21=$C21,$C21=0)</formula>
    </cfRule>
  </conditionalFormatting>
  <conditionalFormatting sqref="V2:Z17">
    <cfRule type="expression" dxfId="7" priority="78">
      <formula>$X21=$C21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AND($AC21=$C21,$C21=0)</formula>
    </cfRule>
  </conditionalFormatting>
  <conditionalFormatting sqref="AA2:AE17">
    <cfRule type="expression" dxfId="7" priority="81">
      <formula>$AC21=$C21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AND($AH21=$C21,$C21=0)</formula>
    </cfRule>
  </conditionalFormatting>
  <conditionalFormatting sqref="AF2:AJ17">
    <cfRule type="expression" dxfId="7" priority="84">
      <formula>$AH21=$C21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AND($AM21=$C21,$C21=0)</formula>
    </cfRule>
  </conditionalFormatting>
  <conditionalFormatting sqref="AK2:AO17">
    <cfRule type="expression" dxfId="7" priority="87">
      <formula>$AM21=$C21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AND($AR21=$C21,$C21=0)</formula>
    </cfRule>
  </conditionalFormatting>
  <conditionalFormatting sqref="AP2:AT17">
    <cfRule type="expression" dxfId="7" priority="90">
      <formula>$AR21=$C21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AND($AW21=$C21,$C21=0)</formula>
    </cfRule>
  </conditionalFormatting>
  <conditionalFormatting sqref="AU2:AY17">
    <cfRule type="expression" dxfId="7" priority="93">
      <formula>$AW21=$C21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AND($BB21=$C21,$C21=0)</formula>
    </cfRule>
  </conditionalFormatting>
  <conditionalFormatting sqref="AZ2:BD17">
    <cfRule type="expression" dxfId="7" priority="96">
      <formula>$BB21=$C21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AND($BG21=$C21,$C21=0)</formula>
    </cfRule>
  </conditionalFormatting>
  <conditionalFormatting sqref="BE2:BI17">
    <cfRule type="expression" dxfId="7" priority="99">
      <formula>$BG21=$C21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AND($BL21=$C21,$C21=0)</formula>
    </cfRule>
  </conditionalFormatting>
  <conditionalFormatting sqref="BJ2:BN17">
    <cfRule type="expression" dxfId="7" priority="102">
      <formula>$BL21=$C21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7:C63">
    <cfRule type="cellIs" dxfId="4" priority="105" operator="equal">
      <formula>1</formula>
    </cfRule>
  </conditionalFormatting>
  <conditionalFormatting sqref="C47:C63">
    <cfRule type="cellIs" dxfId="5" priority="106" operator="equal">
      <formula>2</formula>
    </cfRule>
  </conditionalFormatting>
  <conditionalFormatting sqref="C47:C63">
    <cfRule type="cellIs" dxfId="6" priority="107" operator="equal">
      <formula>3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327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328</v>
      </c>
      <c r="B2" s="17" t="s">
        <v>329</v>
      </c>
      <c r="C2" s="18" t="str">
        <f>IFERROR(__xludf.DUMMYFUNCTION("IMPORTRANGE(""https://docs.google.com/spreadsheets/d/1v9a6MxzpyXdVbef97sptWrOJUpuAu6ldKC6wbegqpyg/edit?gid=16804363#gid=16804363"",""Week 13!C3:F16"")"),"")</f>
        <v/>
      </c>
      <c r="D2" s="11" t="str">
        <f>IFERROR(__xludf.DUMMYFUNCTION("""COMPUTED_VALUE"""),"")</f>
        <v/>
      </c>
      <c r="E2" s="19"/>
      <c r="F2" s="20"/>
      <c r="G2" s="19" t="s">
        <v>39</v>
      </c>
      <c r="H2" s="11" t="str">
        <f t="shared" ref="H2:H15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10.0</v>
      </c>
      <c r="J2" s="19">
        <v>14.0</v>
      </c>
      <c r="K2" s="20" t="b">
        <v>0</v>
      </c>
      <c r="L2" s="24" t="s">
        <v>88</v>
      </c>
      <c r="M2" s="26" t="str">
        <f t="shared" ref="M2:M15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20.0</v>
      </c>
      <c r="O2" s="24">
        <v>17.0</v>
      </c>
      <c r="P2" s="24" t="b">
        <v>0</v>
      </c>
      <c r="Q2" s="27" t="s">
        <v>39</v>
      </c>
      <c r="R2" s="11" t="str">
        <f t="shared" ref="R2:R15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20.0</v>
      </c>
      <c r="T2" s="19">
        <v>23.0</v>
      </c>
      <c r="U2" s="20" t="b">
        <v>0</v>
      </c>
      <c r="V2" s="19" t="s">
        <v>39</v>
      </c>
      <c r="W2" s="11" t="str">
        <f t="shared" ref="W2:W15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17.0</v>
      </c>
      <c r="Y2" s="19">
        <v>23.0</v>
      </c>
      <c r="Z2" s="20" t="b">
        <v>0</v>
      </c>
      <c r="AA2" s="27" t="s">
        <v>39</v>
      </c>
      <c r="AB2" s="11" t="str">
        <f t="shared" ref="AB2:AB15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1</v>
      </c>
      <c r="AF2" s="27" t="s">
        <v>39</v>
      </c>
      <c r="AG2" s="11" t="str">
        <f t="shared" ref="AG2:AG15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17.0</v>
      </c>
      <c r="AI2" s="19">
        <v>20.0</v>
      </c>
      <c r="AJ2" s="20" t="b">
        <v>0</v>
      </c>
      <c r="AK2" s="19" t="s">
        <v>88</v>
      </c>
      <c r="AL2" s="11" t="str">
        <f t="shared" ref="AL2:AL15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23.0</v>
      </c>
      <c r="AN2" s="19">
        <v>20.0</v>
      </c>
      <c r="AO2" s="20" t="b">
        <v>1</v>
      </c>
      <c r="AP2" s="27" t="s">
        <v>39</v>
      </c>
      <c r="AQ2" s="11" t="str">
        <f t="shared" ref="AQ2:AQ15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21.0</v>
      </c>
      <c r="AS2" s="19">
        <v>24.0</v>
      </c>
      <c r="AT2" s="20" t="b">
        <v>0</v>
      </c>
      <c r="AU2" s="27" t="s">
        <v>39</v>
      </c>
      <c r="AV2" s="11" t="str">
        <f t="shared" ref="AV2:AV15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20.0</v>
      </c>
      <c r="AX2" s="19">
        <v>23.0</v>
      </c>
      <c r="AY2" s="20" t="b">
        <v>0</v>
      </c>
      <c r="AZ2" s="27" t="s">
        <v>39</v>
      </c>
      <c r="BA2" s="11" t="str">
        <f t="shared" ref="BA2:BA15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39</v>
      </c>
      <c r="BF2" s="11" t="str">
        <f t="shared" ref="BF2:BF15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20.0</v>
      </c>
      <c r="BH2" s="19">
        <v>23.0</v>
      </c>
      <c r="BI2" s="20" t="b">
        <v>0</v>
      </c>
      <c r="BJ2" s="27" t="s">
        <v>39</v>
      </c>
      <c r="BK2" s="11" t="str">
        <f t="shared" ref="BK2:BK15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24.0</v>
      </c>
      <c r="BM2" s="19">
        <v>31.0</v>
      </c>
      <c r="BN2" s="20" t="b">
        <v>0</v>
      </c>
      <c r="BO2" s="19"/>
      <c r="BP2" s="19"/>
      <c r="BQ2" s="19"/>
    </row>
    <row r="3">
      <c r="A3" s="16" t="s">
        <v>336</v>
      </c>
      <c r="B3" s="17" t="s">
        <v>337</v>
      </c>
      <c r="C3" s="18"/>
      <c r="D3" s="11" t="str">
        <f>IFERROR(__xludf.DUMMYFUNCTION("""COMPUTED_VALUE"""),"")</f>
        <v/>
      </c>
      <c r="E3" s="17"/>
      <c r="F3" s="31"/>
      <c r="G3" s="19" t="s">
        <v>27</v>
      </c>
      <c r="H3" s="11" t="str">
        <f t="shared" si="1"/>
        <v/>
      </c>
      <c r="I3" s="19">
        <v>17.0</v>
      </c>
      <c r="J3" s="19">
        <v>14.0</v>
      </c>
      <c r="K3" s="20" t="b">
        <v>0</v>
      </c>
      <c r="L3" s="19" t="s">
        <v>27</v>
      </c>
      <c r="M3" s="11" t="str">
        <f t="shared" si="2"/>
        <v/>
      </c>
      <c r="N3" s="19">
        <v>14.0</v>
      </c>
      <c r="O3" s="19">
        <v>10.0</v>
      </c>
      <c r="P3" s="19" t="b">
        <v>0</v>
      </c>
      <c r="Q3" s="27" t="s">
        <v>27</v>
      </c>
      <c r="R3" s="11" t="str">
        <f t="shared" si="3"/>
        <v/>
      </c>
      <c r="S3" s="19">
        <v>28.0</v>
      </c>
      <c r="T3" s="19">
        <v>21.0</v>
      </c>
      <c r="U3" s="20" t="b">
        <v>0</v>
      </c>
      <c r="V3" s="19" t="s">
        <v>27</v>
      </c>
      <c r="W3" s="11" t="str">
        <f t="shared" si="4"/>
        <v/>
      </c>
      <c r="X3" s="19">
        <v>28.0</v>
      </c>
      <c r="Y3" s="19">
        <v>21.0</v>
      </c>
      <c r="Z3" s="20" t="b">
        <v>0</v>
      </c>
      <c r="AA3" s="27" t="s">
        <v>27</v>
      </c>
      <c r="AB3" s="11" t="str">
        <f t="shared" si="5"/>
        <v/>
      </c>
      <c r="AC3" s="19">
        <v>24.0</v>
      </c>
      <c r="AD3" s="19">
        <v>17.0</v>
      </c>
      <c r="AE3" s="19" t="b">
        <v>0</v>
      </c>
      <c r="AF3" s="27" t="s">
        <v>27</v>
      </c>
      <c r="AG3" s="11" t="str">
        <f t="shared" si="6"/>
        <v/>
      </c>
      <c r="AH3" s="19">
        <v>14.0</v>
      </c>
      <c r="AI3" s="19">
        <v>10.0</v>
      </c>
      <c r="AJ3" s="20" t="b">
        <v>1</v>
      </c>
      <c r="AK3" s="19" t="s">
        <v>29</v>
      </c>
      <c r="AL3" s="11" t="str">
        <f t="shared" si="7"/>
        <v/>
      </c>
      <c r="AM3" s="19">
        <v>24.0</v>
      </c>
      <c r="AN3" s="19">
        <v>31.0</v>
      </c>
      <c r="AO3" s="20" t="b">
        <v>0</v>
      </c>
      <c r="AP3" s="27" t="s">
        <v>27</v>
      </c>
      <c r="AQ3" s="11" t="str">
        <f t="shared" si="8"/>
        <v/>
      </c>
      <c r="AR3" s="19">
        <v>31.0</v>
      </c>
      <c r="AS3" s="19">
        <v>24.0</v>
      </c>
      <c r="AT3" s="20" t="b">
        <v>0</v>
      </c>
      <c r="AU3" s="27" t="s">
        <v>29</v>
      </c>
      <c r="AV3" s="11" t="str">
        <f t="shared" si="9"/>
        <v/>
      </c>
      <c r="AW3" s="19">
        <v>21.0</v>
      </c>
      <c r="AX3" s="19">
        <v>24.0</v>
      </c>
      <c r="AY3" s="20" t="b">
        <v>0</v>
      </c>
      <c r="AZ3" s="27" t="s">
        <v>27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27</v>
      </c>
      <c r="BF3" s="11" t="str">
        <f t="shared" si="11"/>
        <v/>
      </c>
      <c r="BG3" s="19">
        <v>20.0</v>
      </c>
      <c r="BH3" s="19">
        <v>17.0</v>
      </c>
      <c r="BI3" s="20" t="b">
        <v>0</v>
      </c>
      <c r="BJ3" s="27" t="s">
        <v>27</v>
      </c>
      <c r="BK3" s="11" t="str">
        <f t="shared" si="12"/>
        <v/>
      </c>
      <c r="BL3" s="19">
        <v>21.0</v>
      </c>
      <c r="BM3" s="19">
        <v>17.0</v>
      </c>
      <c r="BN3" s="20" t="b">
        <v>0</v>
      </c>
      <c r="BO3" s="17"/>
      <c r="BP3" s="17"/>
      <c r="BQ3" s="17"/>
    </row>
    <row r="4">
      <c r="A4" s="16" t="s">
        <v>336</v>
      </c>
      <c r="B4" s="17" t="s">
        <v>338</v>
      </c>
      <c r="C4" s="18"/>
      <c r="D4" s="11" t="str">
        <f>IFERROR(__xludf.DUMMYFUNCTION("""COMPUTED_VALUE"""),"")</f>
        <v/>
      </c>
      <c r="E4" s="19"/>
      <c r="F4" s="20"/>
      <c r="G4" s="19" t="s">
        <v>71</v>
      </c>
      <c r="H4" s="11" t="str">
        <f t="shared" si="1"/>
        <v/>
      </c>
      <c r="I4" s="19">
        <v>24.0</v>
      </c>
      <c r="J4" s="19">
        <v>21.0</v>
      </c>
      <c r="K4" s="20" t="b">
        <v>0</v>
      </c>
      <c r="L4" s="19" t="s">
        <v>44</v>
      </c>
      <c r="M4" s="11" t="str">
        <f t="shared" si="2"/>
        <v/>
      </c>
      <c r="N4" s="19">
        <v>21.0</v>
      </c>
      <c r="O4" s="19">
        <v>28.0</v>
      </c>
      <c r="P4" s="19" t="b">
        <v>0</v>
      </c>
      <c r="Q4" s="27" t="s">
        <v>71</v>
      </c>
      <c r="R4" s="11" t="str">
        <f t="shared" si="3"/>
        <v/>
      </c>
      <c r="S4" s="19">
        <v>21.0</v>
      </c>
      <c r="T4" s="19">
        <v>17.0</v>
      </c>
      <c r="U4" s="20" t="b">
        <v>0</v>
      </c>
      <c r="V4" s="19" t="s">
        <v>71</v>
      </c>
      <c r="W4" s="11" t="str">
        <f t="shared" si="4"/>
        <v/>
      </c>
      <c r="X4" s="19">
        <v>23.0</v>
      </c>
      <c r="Y4" s="19">
        <v>20.0</v>
      </c>
      <c r="Z4" s="20" t="b">
        <v>0</v>
      </c>
      <c r="AA4" s="27" t="s">
        <v>44</v>
      </c>
      <c r="AB4" s="11" t="str">
        <f t="shared" si="5"/>
        <v/>
      </c>
      <c r="AC4" s="19">
        <v>17.0</v>
      </c>
      <c r="AD4" s="19">
        <v>24.0</v>
      </c>
      <c r="AE4" s="19" t="b">
        <v>0</v>
      </c>
      <c r="AF4" s="27" t="s">
        <v>44</v>
      </c>
      <c r="AG4" s="11" t="str">
        <f t="shared" si="6"/>
        <v/>
      </c>
      <c r="AH4" s="19">
        <v>14.0</v>
      </c>
      <c r="AI4" s="19">
        <v>21.0</v>
      </c>
      <c r="AJ4" s="20" t="b">
        <v>0</v>
      </c>
      <c r="AK4" s="19" t="s">
        <v>44</v>
      </c>
      <c r="AL4" s="11" t="str">
        <f t="shared" si="7"/>
        <v/>
      </c>
      <c r="AM4" s="19">
        <v>24.0</v>
      </c>
      <c r="AN4" s="19">
        <v>31.0</v>
      </c>
      <c r="AO4" s="20" t="b">
        <v>0</v>
      </c>
      <c r="AP4" s="27" t="s">
        <v>44</v>
      </c>
      <c r="AQ4" s="11" t="str">
        <f t="shared" si="8"/>
        <v/>
      </c>
      <c r="AR4" s="19">
        <v>21.0</v>
      </c>
      <c r="AS4" s="19">
        <v>24.0</v>
      </c>
      <c r="AT4" s="20" t="b">
        <v>0</v>
      </c>
      <c r="AU4" s="27" t="s">
        <v>71</v>
      </c>
      <c r="AV4" s="11" t="str">
        <f t="shared" si="9"/>
        <v/>
      </c>
      <c r="AW4" s="19">
        <v>27.0</v>
      </c>
      <c r="AX4" s="19">
        <v>24.0</v>
      </c>
      <c r="AY4" s="20" t="b">
        <v>0</v>
      </c>
      <c r="AZ4" s="27" t="s">
        <v>71</v>
      </c>
      <c r="BA4" s="11" t="str">
        <f t="shared" si="10"/>
        <v/>
      </c>
      <c r="BB4" s="19">
        <v>23.0</v>
      </c>
      <c r="BC4" s="19">
        <v>20.0</v>
      </c>
      <c r="BD4" s="20" t="b">
        <v>0</v>
      </c>
      <c r="BE4" s="27" t="s">
        <v>44</v>
      </c>
      <c r="BF4" s="11" t="str">
        <f t="shared" si="11"/>
        <v/>
      </c>
      <c r="BG4" s="19">
        <v>17.0</v>
      </c>
      <c r="BH4" s="19">
        <v>21.0</v>
      </c>
      <c r="BI4" s="20" t="b">
        <v>0</v>
      </c>
      <c r="BJ4" s="27" t="s">
        <v>71</v>
      </c>
      <c r="BK4" s="11" t="str">
        <f t="shared" si="12"/>
        <v/>
      </c>
      <c r="BL4" s="19">
        <v>24.0</v>
      </c>
      <c r="BM4" s="19">
        <v>21.0</v>
      </c>
      <c r="BN4" s="20" t="b">
        <v>0</v>
      </c>
      <c r="BO4" s="17"/>
      <c r="BP4" s="17"/>
      <c r="BQ4" s="17"/>
    </row>
    <row r="5">
      <c r="A5" s="16" t="s">
        <v>336</v>
      </c>
      <c r="B5" s="30" t="s">
        <v>343</v>
      </c>
      <c r="C5" s="18"/>
      <c r="D5" s="11" t="str">
        <f>IFERROR(__xludf.DUMMYFUNCTION("""COMPUTED_VALUE"""),"")</f>
        <v/>
      </c>
      <c r="E5" s="19"/>
      <c r="F5" s="20"/>
      <c r="G5" s="19" t="s">
        <v>46</v>
      </c>
      <c r="H5" s="11" t="str">
        <f t="shared" si="1"/>
        <v/>
      </c>
      <c r="I5" s="19">
        <v>20.0</v>
      </c>
      <c r="J5" s="19">
        <v>17.0</v>
      </c>
      <c r="K5" s="20" t="b">
        <v>0</v>
      </c>
      <c r="L5" s="19" t="s">
        <v>46</v>
      </c>
      <c r="M5" s="11" t="str">
        <f t="shared" si="2"/>
        <v/>
      </c>
      <c r="N5" s="19">
        <v>20.0</v>
      </c>
      <c r="O5" s="19">
        <v>17.0</v>
      </c>
      <c r="P5" s="19" t="b">
        <v>0</v>
      </c>
      <c r="Q5" s="27" t="s">
        <v>46</v>
      </c>
      <c r="R5" s="11" t="str">
        <f t="shared" si="3"/>
        <v/>
      </c>
      <c r="S5" s="19">
        <v>17.0</v>
      </c>
      <c r="T5" s="19">
        <v>14.0</v>
      </c>
      <c r="U5" s="20" t="b">
        <v>0</v>
      </c>
      <c r="V5" s="19" t="s">
        <v>46</v>
      </c>
      <c r="W5" s="11" t="str">
        <f t="shared" si="4"/>
        <v/>
      </c>
      <c r="X5" s="19">
        <v>24.0</v>
      </c>
      <c r="Y5" s="19">
        <v>23.0</v>
      </c>
      <c r="Z5" s="20" t="b">
        <v>1</v>
      </c>
      <c r="AA5" s="27" t="s">
        <v>46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34</v>
      </c>
      <c r="AG5" s="11" t="str">
        <f t="shared" si="6"/>
        <v/>
      </c>
      <c r="AH5" s="19">
        <v>21.0</v>
      </c>
      <c r="AI5" s="19">
        <v>28.0</v>
      </c>
      <c r="AJ5" s="20" t="b">
        <v>0</v>
      </c>
      <c r="AK5" s="19" t="s">
        <v>46</v>
      </c>
      <c r="AL5" s="11" t="str">
        <f t="shared" si="7"/>
        <v/>
      </c>
      <c r="AM5" s="19">
        <v>21.0</v>
      </c>
      <c r="AN5" s="19">
        <v>17.0</v>
      </c>
      <c r="AO5" s="20" t="b">
        <v>0</v>
      </c>
      <c r="AP5" s="27" t="s">
        <v>46</v>
      </c>
      <c r="AQ5" s="11" t="str">
        <f t="shared" si="8"/>
        <v/>
      </c>
      <c r="AR5" s="19">
        <v>24.0</v>
      </c>
      <c r="AS5" s="19">
        <v>20.0</v>
      </c>
      <c r="AT5" s="20" t="b">
        <v>0</v>
      </c>
      <c r="AU5" s="27" t="s">
        <v>34</v>
      </c>
      <c r="AV5" s="11" t="str">
        <f t="shared" si="9"/>
        <v/>
      </c>
      <c r="AW5" s="19">
        <v>10.0</v>
      </c>
      <c r="AX5" s="19">
        <v>14.0</v>
      </c>
      <c r="AY5" s="20" t="b">
        <v>0</v>
      </c>
      <c r="AZ5" s="27" t="s">
        <v>46</v>
      </c>
      <c r="BA5" s="11" t="str">
        <f t="shared" si="10"/>
        <v/>
      </c>
      <c r="BB5" s="19">
        <v>23.0</v>
      </c>
      <c r="BC5" s="19">
        <v>20.0</v>
      </c>
      <c r="BD5" s="20" t="b">
        <v>0</v>
      </c>
      <c r="BE5" s="27" t="s">
        <v>46</v>
      </c>
      <c r="BF5" s="11" t="str">
        <f t="shared" si="11"/>
        <v/>
      </c>
      <c r="BG5" s="19">
        <v>28.0</v>
      </c>
      <c r="BH5" s="19">
        <v>21.0</v>
      </c>
      <c r="BI5" s="20" t="b">
        <v>0</v>
      </c>
      <c r="BJ5" s="27" t="s">
        <v>34</v>
      </c>
      <c r="BK5" s="11" t="str">
        <f t="shared" si="12"/>
        <v/>
      </c>
      <c r="BL5" s="19">
        <v>14.0</v>
      </c>
      <c r="BM5" s="19">
        <v>17.0</v>
      </c>
      <c r="BN5" s="20" t="b">
        <v>0</v>
      </c>
      <c r="BO5" s="17"/>
      <c r="BP5" s="17"/>
      <c r="BQ5" s="17"/>
    </row>
    <row r="6">
      <c r="A6" s="16" t="s">
        <v>336</v>
      </c>
      <c r="B6" s="17" t="s">
        <v>348</v>
      </c>
      <c r="C6" s="18"/>
      <c r="D6" s="11" t="str">
        <f>IFERROR(__xludf.DUMMYFUNCTION("""COMPUTED_VALUE"""),"")</f>
        <v/>
      </c>
      <c r="E6" s="19"/>
      <c r="F6" s="20"/>
      <c r="G6" s="19" t="s">
        <v>26</v>
      </c>
      <c r="H6" s="11" t="str">
        <f t="shared" si="1"/>
        <v/>
      </c>
      <c r="I6" s="19">
        <v>20.0</v>
      </c>
      <c r="J6" s="19">
        <v>14.0</v>
      </c>
      <c r="K6" s="20" t="b">
        <v>0</v>
      </c>
      <c r="L6" s="19" t="s">
        <v>26</v>
      </c>
      <c r="M6" s="11" t="str">
        <f t="shared" si="2"/>
        <v/>
      </c>
      <c r="N6" s="19">
        <v>10.0</v>
      </c>
      <c r="O6" s="19">
        <v>7.0</v>
      </c>
      <c r="P6" s="19" t="b">
        <v>0</v>
      </c>
      <c r="Q6" s="27" t="s">
        <v>26</v>
      </c>
      <c r="R6" s="11" t="str">
        <f t="shared" si="3"/>
        <v/>
      </c>
      <c r="S6" s="19">
        <v>31.0</v>
      </c>
      <c r="T6" s="19">
        <v>24.0</v>
      </c>
      <c r="U6" s="20" t="b">
        <v>0</v>
      </c>
      <c r="V6" s="19" t="s">
        <v>126</v>
      </c>
      <c r="W6" s="11" t="str">
        <f t="shared" si="4"/>
        <v/>
      </c>
      <c r="X6" s="19">
        <v>7.0</v>
      </c>
      <c r="Y6" s="19">
        <v>10.0</v>
      </c>
      <c r="Z6" s="20" t="b">
        <v>0</v>
      </c>
      <c r="AA6" s="27" t="s">
        <v>26</v>
      </c>
      <c r="AB6" s="11" t="str">
        <f t="shared" si="5"/>
        <v/>
      </c>
      <c r="AC6" s="19">
        <v>24.0</v>
      </c>
      <c r="AD6" s="19">
        <v>17.0</v>
      </c>
      <c r="AE6" s="19" t="b">
        <v>0</v>
      </c>
      <c r="AF6" s="27" t="s">
        <v>126</v>
      </c>
      <c r="AG6" s="11" t="str">
        <f t="shared" si="6"/>
        <v/>
      </c>
      <c r="AH6" s="19">
        <v>21.0</v>
      </c>
      <c r="AI6" s="19">
        <v>24.0</v>
      </c>
      <c r="AJ6" s="20" t="b">
        <v>0</v>
      </c>
      <c r="AK6" s="19" t="s">
        <v>126</v>
      </c>
      <c r="AL6" s="11" t="str">
        <f t="shared" si="7"/>
        <v/>
      </c>
      <c r="AM6" s="19">
        <v>21.0</v>
      </c>
      <c r="AN6" s="19">
        <v>28.0</v>
      </c>
      <c r="AO6" s="20" t="b">
        <v>0</v>
      </c>
      <c r="AP6" s="27" t="s">
        <v>126</v>
      </c>
      <c r="AQ6" s="11" t="str">
        <f t="shared" si="8"/>
        <v/>
      </c>
      <c r="AR6" s="19">
        <v>21.0</v>
      </c>
      <c r="AS6" s="19">
        <v>23.0</v>
      </c>
      <c r="AT6" s="20" t="b">
        <v>0</v>
      </c>
      <c r="AU6" s="27" t="s">
        <v>126</v>
      </c>
      <c r="AV6" s="11" t="str">
        <f t="shared" si="9"/>
        <v/>
      </c>
      <c r="AW6" s="19">
        <v>17.0</v>
      </c>
      <c r="AX6" s="19">
        <v>21.0</v>
      </c>
      <c r="AY6" s="20" t="b">
        <v>0</v>
      </c>
      <c r="AZ6" s="27" t="s">
        <v>26</v>
      </c>
      <c r="BA6" s="11" t="str">
        <f t="shared" si="10"/>
        <v/>
      </c>
      <c r="BB6" s="19">
        <v>23.0</v>
      </c>
      <c r="BC6" s="19">
        <v>20.0</v>
      </c>
      <c r="BD6" s="20" t="b">
        <v>0</v>
      </c>
      <c r="BE6" s="27" t="s">
        <v>126</v>
      </c>
      <c r="BF6" s="11" t="str">
        <f t="shared" si="11"/>
        <v/>
      </c>
      <c r="BG6" s="19">
        <v>17.0</v>
      </c>
      <c r="BH6" s="19">
        <v>20.0</v>
      </c>
      <c r="BI6" s="20" t="b">
        <v>0</v>
      </c>
      <c r="BJ6" s="27" t="s">
        <v>26</v>
      </c>
      <c r="BK6" s="11" t="str">
        <f t="shared" si="12"/>
        <v/>
      </c>
      <c r="BL6" s="19">
        <v>28.0</v>
      </c>
      <c r="BM6" s="19">
        <v>21.0</v>
      </c>
      <c r="BN6" s="20" t="b">
        <v>0</v>
      </c>
      <c r="BO6" s="17"/>
      <c r="BP6" s="17"/>
      <c r="BQ6" s="17"/>
    </row>
    <row r="7">
      <c r="A7" s="16" t="s">
        <v>336</v>
      </c>
      <c r="B7" s="17" t="s">
        <v>354</v>
      </c>
      <c r="C7" s="18"/>
      <c r="D7" s="11" t="str">
        <f>IFERROR(__xludf.DUMMYFUNCTION("""COMPUTED_VALUE"""),"")</f>
        <v/>
      </c>
      <c r="E7" s="19"/>
      <c r="F7" s="20"/>
      <c r="G7" s="19" t="s">
        <v>40</v>
      </c>
      <c r="H7" s="11" t="str">
        <f t="shared" si="1"/>
        <v/>
      </c>
      <c r="I7" s="19">
        <v>24.0</v>
      </c>
      <c r="J7" s="19">
        <v>21.0</v>
      </c>
      <c r="K7" s="20" t="b">
        <v>0</v>
      </c>
      <c r="L7" s="19" t="s">
        <v>40</v>
      </c>
      <c r="M7" s="11" t="str">
        <f t="shared" si="2"/>
        <v/>
      </c>
      <c r="N7" s="19">
        <v>28.0</v>
      </c>
      <c r="O7" s="19">
        <v>21.0</v>
      </c>
      <c r="P7" s="19" t="b">
        <v>1</v>
      </c>
      <c r="Q7" s="27" t="s">
        <v>40</v>
      </c>
      <c r="R7" s="11" t="str">
        <f t="shared" si="3"/>
        <v/>
      </c>
      <c r="S7" s="19">
        <v>14.0</v>
      </c>
      <c r="T7" s="19">
        <v>10.0</v>
      </c>
      <c r="U7" s="20" t="b">
        <v>0</v>
      </c>
      <c r="V7" s="19" t="s">
        <v>40</v>
      </c>
      <c r="W7" s="11" t="str">
        <f t="shared" si="4"/>
        <v/>
      </c>
      <c r="X7" s="19">
        <v>23.0</v>
      </c>
      <c r="Y7" s="19">
        <v>20.0</v>
      </c>
      <c r="Z7" s="20" t="b">
        <v>0</v>
      </c>
      <c r="AA7" s="27" t="s">
        <v>40</v>
      </c>
      <c r="AB7" s="11" t="str">
        <f t="shared" si="5"/>
        <v/>
      </c>
      <c r="AC7" s="19">
        <v>24.0</v>
      </c>
      <c r="AD7" s="19">
        <v>17.0</v>
      </c>
      <c r="AE7" s="19" t="b">
        <v>0</v>
      </c>
      <c r="AF7" s="27" t="s">
        <v>92</v>
      </c>
      <c r="AG7" s="11" t="str">
        <f t="shared" si="6"/>
        <v/>
      </c>
      <c r="AH7" s="19">
        <v>20.0</v>
      </c>
      <c r="AI7" s="19">
        <v>23.0</v>
      </c>
      <c r="AJ7" s="20" t="b">
        <v>0</v>
      </c>
      <c r="AK7" s="19" t="s">
        <v>40</v>
      </c>
      <c r="AL7" s="11" t="str">
        <f t="shared" si="7"/>
        <v/>
      </c>
      <c r="AM7" s="19">
        <v>28.0</v>
      </c>
      <c r="AN7" s="19">
        <v>21.0</v>
      </c>
      <c r="AO7" s="20" t="b">
        <v>0</v>
      </c>
      <c r="AP7" s="27" t="s">
        <v>40</v>
      </c>
      <c r="AQ7" s="11" t="str">
        <f t="shared" si="8"/>
        <v/>
      </c>
      <c r="AR7" s="19">
        <v>27.0</v>
      </c>
      <c r="AS7" s="19">
        <v>17.0</v>
      </c>
      <c r="AT7" s="20" t="b">
        <v>1</v>
      </c>
      <c r="AU7" s="27" t="s">
        <v>40</v>
      </c>
      <c r="AV7" s="11" t="str">
        <f t="shared" si="9"/>
        <v/>
      </c>
      <c r="AW7" s="19">
        <v>20.0</v>
      </c>
      <c r="AX7" s="19">
        <v>17.0</v>
      </c>
      <c r="AY7" s="20" t="b">
        <v>1</v>
      </c>
      <c r="AZ7" s="27" t="s">
        <v>40</v>
      </c>
      <c r="BA7" s="11" t="str">
        <f t="shared" si="10"/>
        <v/>
      </c>
      <c r="BB7" s="19">
        <v>23.0</v>
      </c>
      <c r="BC7" s="19">
        <v>20.0</v>
      </c>
      <c r="BD7" s="20" t="b">
        <v>0</v>
      </c>
      <c r="BE7" s="27" t="s">
        <v>92</v>
      </c>
      <c r="BF7" s="11" t="str">
        <f t="shared" si="11"/>
        <v/>
      </c>
      <c r="BG7" s="19">
        <v>24.0</v>
      </c>
      <c r="BH7" s="19">
        <v>27.0</v>
      </c>
      <c r="BI7" s="20" t="b">
        <v>0</v>
      </c>
      <c r="BJ7" s="27" t="s">
        <v>92</v>
      </c>
      <c r="BK7" s="11" t="str">
        <f t="shared" si="12"/>
        <v/>
      </c>
      <c r="BL7" s="19">
        <v>10.0</v>
      </c>
      <c r="BM7" s="19">
        <v>14.0</v>
      </c>
      <c r="BN7" s="20" t="b">
        <v>0</v>
      </c>
      <c r="BO7" s="17"/>
      <c r="BP7" s="17"/>
      <c r="BQ7" s="17"/>
    </row>
    <row r="8">
      <c r="A8" s="16" t="s">
        <v>336</v>
      </c>
      <c r="B8" s="17" t="s">
        <v>356</v>
      </c>
      <c r="C8" s="18"/>
      <c r="D8" s="11" t="str">
        <f>IFERROR(__xludf.DUMMYFUNCTION("""COMPUTED_VALUE"""),"")</f>
        <v/>
      </c>
      <c r="E8" s="19"/>
      <c r="F8" s="20"/>
      <c r="G8" s="19" t="s">
        <v>48</v>
      </c>
      <c r="H8" s="11" t="str">
        <f t="shared" si="1"/>
        <v/>
      </c>
      <c r="I8" s="19">
        <v>21.0</v>
      </c>
      <c r="J8" s="19">
        <v>24.0</v>
      </c>
      <c r="K8" s="20" t="b">
        <v>0</v>
      </c>
      <c r="L8" s="19" t="s">
        <v>50</v>
      </c>
      <c r="M8" s="11" t="str">
        <f t="shared" si="2"/>
        <v/>
      </c>
      <c r="N8" s="19">
        <v>17.0</v>
      </c>
      <c r="O8" s="19">
        <v>14.0</v>
      </c>
      <c r="P8" s="19" t="b">
        <v>0</v>
      </c>
      <c r="Q8" s="27" t="s">
        <v>50</v>
      </c>
      <c r="R8" s="11" t="str">
        <f t="shared" si="3"/>
        <v/>
      </c>
      <c r="S8" s="19">
        <v>27.0</v>
      </c>
      <c r="T8" s="19">
        <v>24.0</v>
      </c>
      <c r="U8" s="20" t="b">
        <v>0</v>
      </c>
      <c r="V8" s="19" t="s">
        <v>48</v>
      </c>
      <c r="W8" s="11" t="str">
        <f t="shared" si="4"/>
        <v/>
      </c>
      <c r="X8" s="19">
        <v>10.0</v>
      </c>
      <c r="Y8" s="19">
        <v>14.0</v>
      </c>
      <c r="Z8" s="20" t="b">
        <v>0</v>
      </c>
      <c r="AA8" s="27" t="s">
        <v>50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50</v>
      </c>
      <c r="AG8" s="11" t="str">
        <f t="shared" si="6"/>
        <v/>
      </c>
      <c r="AH8" s="19">
        <v>10.0</v>
      </c>
      <c r="AI8" s="19">
        <v>7.0</v>
      </c>
      <c r="AJ8" s="20" t="b">
        <v>0</v>
      </c>
      <c r="AK8" s="19" t="s">
        <v>50</v>
      </c>
      <c r="AL8" s="11" t="str">
        <f t="shared" si="7"/>
        <v/>
      </c>
      <c r="AM8" s="19">
        <v>20.0</v>
      </c>
      <c r="AN8" s="19">
        <v>17.0</v>
      </c>
      <c r="AO8" s="20" t="b">
        <v>0</v>
      </c>
      <c r="AP8" s="27" t="s">
        <v>50</v>
      </c>
      <c r="AQ8" s="11" t="str">
        <f t="shared" si="8"/>
        <v/>
      </c>
      <c r="AR8" s="19">
        <v>24.0</v>
      </c>
      <c r="AS8" s="19">
        <v>20.0</v>
      </c>
      <c r="AT8" s="20" t="b">
        <v>0</v>
      </c>
      <c r="AU8" s="27" t="s">
        <v>48</v>
      </c>
      <c r="AV8" s="11" t="str">
        <f t="shared" si="9"/>
        <v/>
      </c>
      <c r="AW8" s="19">
        <v>10.0</v>
      </c>
      <c r="AX8" s="19">
        <v>14.0</v>
      </c>
      <c r="AY8" s="20" t="b">
        <v>0</v>
      </c>
      <c r="AZ8" s="27" t="s">
        <v>50</v>
      </c>
      <c r="BA8" s="11" t="str">
        <f t="shared" si="10"/>
        <v/>
      </c>
      <c r="BB8" s="19">
        <v>23.0</v>
      </c>
      <c r="BC8" s="19">
        <v>20.0</v>
      </c>
      <c r="BD8" s="20" t="b">
        <v>0</v>
      </c>
      <c r="BE8" s="27" t="s">
        <v>48</v>
      </c>
      <c r="BF8" s="11" t="str">
        <f t="shared" si="11"/>
        <v/>
      </c>
      <c r="BG8" s="19">
        <v>7.0</v>
      </c>
      <c r="BH8" s="19">
        <v>10.0</v>
      </c>
      <c r="BI8" s="20" t="b">
        <v>0</v>
      </c>
      <c r="BJ8" s="27" t="s">
        <v>50</v>
      </c>
      <c r="BK8" s="11" t="str">
        <f t="shared" si="12"/>
        <v/>
      </c>
      <c r="BL8" s="19">
        <v>24.0</v>
      </c>
      <c r="BM8" s="19">
        <v>21.0</v>
      </c>
      <c r="BN8" s="20" t="b">
        <v>0</v>
      </c>
      <c r="BO8" s="19"/>
      <c r="BP8" s="19"/>
      <c r="BQ8" s="19"/>
    </row>
    <row r="9">
      <c r="A9" s="16" t="s">
        <v>336</v>
      </c>
      <c r="B9" s="17" t="s">
        <v>359</v>
      </c>
      <c r="C9" s="18"/>
      <c r="D9" s="11" t="str">
        <f>IFERROR(__xludf.DUMMYFUNCTION("""COMPUTED_VALUE"""),"")</f>
        <v/>
      </c>
      <c r="E9" s="19"/>
      <c r="F9" s="20"/>
      <c r="G9" s="19" t="s">
        <v>55</v>
      </c>
      <c r="H9" s="11" t="str">
        <f t="shared" si="1"/>
        <v/>
      </c>
      <c r="I9" s="19">
        <v>21.0</v>
      </c>
      <c r="J9" s="19">
        <v>24.0</v>
      </c>
      <c r="K9" s="20" t="b">
        <v>0</v>
      </c>
      <c r="L9" s="19" t="s">
        <v>55</v>
      </c>
      <c r="M9" s="11" t="str">
        <f t="shared" si="2"/>
        <v/>
      </c>
      <c r="N9" s="19">
        <v>20.0</v>
      </c>
      <c r="O9" s="19">
        <v>23.0</v>
      </c>
      <c r="P9" s="19" t="b">
        <v>0</v>
      </c>
      <c r="Q9" s="27" t="s">
        <v>85</v>
      </c>
      <c r="R9" s="11" t="str">
        <f t="shared" si="3"/>
        <v/>
      </c>
      <c r="S9" s="19">
        <v>27.0</v>
      </c>
      <c r="T9" s="19">
        <v>24.0</v>
      </c>
      <c r="U9" s="20" t="b">
        <v>0</v>
      </c>
      <c r="V9" s="19" t="s">
        <v>55</v>
      </c>
      <c r="W9" s="11" t="str">
        <f t="shared" si="4"/>
        <v/>
      </c>
      <c r="X9" s="19">
        <v>10.0</v>
      </c>
      <c r="Y9" s="19">
        <v>14.0</v>
      </c>
      <c r="Z9" s="20" t="b">
        <v>0</v>
      </c>
      <c r="AA9" s="27" t="s">
        <v>85</v>
      </c>
      <c r="AB9" s="11" t="str">
        <f t="shared" si="5"/>
        <v/>
      </c>
      <c r="AC9" s="19">
        <v>24.0</v>
      </c>
      <c r="AD9" s="19">
        <v>17.0</v>
      </c>
      <c r="AE9" s="19" t="b">
        <v>0</v>
      </c>
      <c r="AF9" s="27" t="s">
        <v>55</v>
      </c>
      <c r="AG9" s="11" t="str">
        <f t="shared" si="6"/>
        <v/>
      </c>
      <c r="AH9" s="19">
        <v>14.0</v>
      </c>
      <c r="AI9" s="19">
        <v>17.0</v>
      </c>
      <c r="AJ9" s="20" t="b">
        <v>0</v>
      </c>
      <c r="AK9" s="19" t="s">
        <v>85</v>
      </c>
      <c r="AL9" s="11" t="str">
        <f t="shared" si="7"/>
        <v/>
      </c>
      <c r="AM9" s="19">
        <v>10.0</v>
      </c>
      <c r="AN9" s="19">
        <v>7.0</v>
      </c>
      <c r="AO9" s="20" t="b">
        <v>0</v>
      </c>
      <c r="AP9" s="27" t="s">
        <v>85</v>
      </c>
      <c r="AQ9" s="11" t="str">
        <f t="shared" si="8"/>
        <v/>
      </c>
      <c r="AR9" s="19">
        <v>23.0</v>
      </c>
      <c r="AS9" s="19">
        <v>17.0</v>
      </c>
      <c r="AT9" s="20" t="b">
        <v>0</v>
      </c>
      <c r="AU9" s="27" t="s">
        <v>55</v>
      </c>
      <c r="AV9" s="11" t="str">
        <f t="shared" si="9"/>
        <v/>
      </c>
      <c r="AW9" s="19">
        <v>21.0</v>
      </c>
      <c r="AX9" s="19">
        <v>28.0</v>
      </c>
      <c r="AY9" s="20" t="b">
        <v>0</v>
      </c>
      <c r="AZ9" s="27" t="s">
        <v>85</v>
      </c>
      <c r="BA9" s="11" t="str">
        <f t="shared" si="10"/>
        <v/>
      </c>
      <c r="BB9" s="19">
        <v>23.0</v>
      </c>
      <c r="BC9" s="19">
        <v>20.0</v>
      </c>
      <c r="BD9" s="20" t="b">
        <v>0</v>
      </c>
      <c r="BE9" s="27" t="s">
        <v>85</v>
      </c>
      <c r="BF9" s="11" t="str">
        <f t="shared" si="11"/>
        <v/>
      </c>
      <c r="BG9" s="19">
        <v>20.0</v>
      </c>
      <c r="BH9" s="19">
        <v>17.0</v>
      </c>
      <c r="BI9" s="20" t="b">
        <v>1</v>
      </c>
      <c r="BJ9" s="27" t="s">
        <v>85</v>
      </c>
      <c r="BK9" s="11" t="str">
        <f t="shared" si="12"/>
        <v/>
      </c>
      <c r="BL9" s="19">
        <v>28.0</v>
      </c>
      <c r="BM9" s="19">
        <v>21.0</v>
      </c>
      <c r="BN9" s="20" t="b">
        <v>0</v>
      </c>
      <c r="BO9" s="17"/>
      <c r="BP9" s="17"/>
      <c r="BQ9" s="17"/>
    </row>
    <row r="10">
      <c r="A10" s="16" t="s">
        <v>362</v>
      </c>
      <c r="B10" s="17" t="s">
        <v>363</v>
      </c>
      <c r="C10" s="18"/>
      <c r="D10" s="11" t="str">
        <f>IFERROR(__xludf.DUMMYFUNCTION("""COMPUTED_VALUE"""),"")</f>
        <v/>
      </c>
      <c r="E10" s="19"/>
      <c r="F10" s="20"/>
      <c r="G10" s="19" t="s">
        <v>54</v>
      </c>
      <c r="H10" s="11" t="str">
        <f t="shared" si="1"/>
        <v/>
      </c>
      <c r="I10" s="19">
        <v>21.0</v>
      </c>
      <c r="J10" s="19">
        <v>17.0</v>
      </c>
      <c r="K10" s="20" t="b">
        <v>0</v>
      </c>
      <c r="L10" s="19" t="s">
        <v>54</v>
      </c>
      <c r="M10" s="11" t="str">
        <f t="shared" si="2"/>
        <v/>
      </c>
      <c r="N10" s="19">
        <v>23.0</v>
      </c>
      <c r="O10" s="19">
        <v>20.0</v>
      </c>
      <c r="P10" s="19" t="b">
        <v>0</v>
      </c>
      <c r="Q10" s="27" t="s">
        <v>54</v>
      </c>
      <c r="R10" s="11" t="str">
        <f t="shared" si="3"/>
        <v/>
      </c>
      <c r="S10" s="19">
        <v>23.0</v>
      </c>
      <c r="T10" s="19">
        <v>20.0</v>
      </c>
      <c r="U10" s="20" t="b">
        <v>0</v>
      </c>
      <c r="V10" s="19" t="s">
        <v>54</v>
      </c>
      <c r="W10" s="11" t="str">
        <f t="shared" si="4"/>
        <v/>
      </c>
      <c r="X10" s="19">
        <v>30.0</v>
      </c>
      <c r="Y10" s="19">
        <v>17.0</v>
      </c>
      <c r="Z10" s="20" t="b">
        <v>0</v>
      </c>
      <c r="AA10" s="27" t="s">
        <v>54</v>
      </c>
      <c r="AB10" s="11" t="str">
        <f t="shared" si="5"/>
        <v/>
      </c>
      <c r="AC10" s="19">
        <v>24.0</v>
      </c>
      <c r="AD10" s="19">
        <v>17.0</v>
      </c>
      <c r="AE10" s="19" t="b">
        <v>0</v>
      </c>
      <c r="AF10" s="27" t="s">
        <v>54</v>
      </c>
      <c r="AG10" s="11" t="str">
        <f t="shared" si="6"/>
        <v/>
      </c>
      <c r="AH10" s="19">
        <v>10.0</v>
      </c>
      <c r="AI10" s="19">
        <v>7.0</v>
      </c>
      <c r="AJ10" s="20" t="b">
        <v>0</v>
      </c>
      <c r="AK10" s="19" t="s">
        <v>54</v>
      </c>
      <c r="AL10" s="11" t="str">
        <f t="shared" si="7"/>
        <v/>
      </c>
      <c r="AM10" s="19">
        <v>31.0</v>
      </c>
      <c r="AN10" s="19">
        <v>24.0</v>
      </c>
      <c r="AO10" s="20" t="b">
        <v>0</v>
      </c>
      <c r="AP10" s="27" t="s">
        <v>54</v>
      </c>
      <c r="AQ10" s="11" t="str">
        <f t="shared" si="8"/>
        <v/>
      </c>
      <c r="AR10" s="19">
        <v>28.0</v>
      </c>
      <c r="AS10" s="19">
        <v>17.0</v>
      </c>
      <c r="AT10" s="20" t="b">
        <v>0</v>
      </c>
      <c r="AU10" s="27" t="s">
        <v>54</v>
      </c>
      <c r="AV10" s="11" t="str">
        <f t="shared" si="9"/>
        <v/>
      </c>
      <c r="AW10" s="19">
        <v>27.0</v>
      </c>
      <c r="AX10" s="19">
        <v>24.0</v>
      </c>
      <c r="AY10" s="20" t="b">
        <v>0</v>
      </c>
      <c r="AZ10" s="27" t="s">
        <v>54</v>
      </c>
      <c r="BA10" s="11" t="str">
        <f t="shared" si="10"/>
        <v/>
      </c>
      <c r="BB10" s="19">
        <v>23.0</v>
      </c>
      <c r="BC10" s="19">
        <v>20.0</v>
      </c>
      <c r="BD10" s="20" t="b">
        <v>0</v>
      </c>
      <c r="BE10" s="27" t="s">
        <v>54</v>
      </c>
      <c r="BF10" s="11" t="str">
        <f t="shared" si="11"/>
        <v/>
      </c>
      <c r="BG10" s="19">
        <v>31.0</v>
      </c>
      <c r="BH10" s="19">
        <v>24.0</v>
      </c>
      <c r="BI10" s="20" t="b">
        <v>0</v>
      </c>
      <c r="BJ10" s="27" t="s">
        <v>54</v>
      </c>
      <c r="BK10" s="11" t="str">
        <f t="shared" si="12"/>
        <v/>
      </c>
      <c r="BL10" s="19">
        <v>23.0</v>
      </c>
      <c r="BM10" s="19">
        <v>20.0</v>
      </c>
      <c r="BN10" s="20" t="b">
        <v>0</v>
      </c>
      <c r="BO10" s="17"/>
      <c r="BP10" s="17"/>
      <c r="BQ10" s="17"/>
    </row>
    <row r="11">
      <c r="A11" s="16" t="s">
        <v>362</v>
      </c>
      <c r="B11" s="17" t="s">
        <v>366</v>
      </c>
      <c r="C11" s="18"/>
      <c r="D11" s="11" t="str">
        <f>IFERROR(__xludf.DUMMYFUNCTION("""COMPUTED_VALUE"""),"")</f>
        <v/>
      </c>
      <c r="E11" s="19"/>
      <c r="F11" s="20"/>
      <c r="G11" s="19" t="s">
        <v>74</v>
      </c>
      <c r="H11" s="11" t="str">
        <f t="shared" si="1"/>
        <v/>
      </c>
      <c r="I11" s="19">
        <v>24.0</v>
      </c>
      <c r="J11" s="19">
        <v>31.0</v>
      </c>
      <c r="K11" s="20" t="b">
        <v>1</v>
      </c>
      <c r="L11" s="19" t="s">
        <v>74</v>
      </c>
      <c r="M11" s="11" t="str">
        <f t="shared" si="2"/>
        <v/>
      </c>
      <c r="N11" s="19">
        <v>7.0</v>
      </c>
      <c r="O11" s="19">
        <v>10.0</v>
      </c>
      <c r="P11" s="19" t="b">
        <v>0</v>
      </c>
      <c r="Q11" s="27" t="s">
        <v>74</v>
      </c>
      <c r="R11" s="11" t="str">
        <f t="shared" si="3"/>
        <v/>
      </c>
      <c r="S11" s="19">
        <v>7.0</v>
      </c>
      <c r="T11" s="19">
        <v>10.0</v>
      </c>
      <c r="U11" s="20" t="b">
        <v>1</v>
      </c>
      <c r="V11" s="19" t="s">
        <v>74</v>
      </c>
      <c r="W11" s="11" t="str">
        <f t="shared" si="4"/>
        <v/>
      </c>
      <c r="X11" s="19">
        <v>24.0</v>
      </c>
      <c r="Y11" s="19">
        <v>31.0</v>
      </c>
      <c r="Z11" s="20" t="b">
        <v>0</v>
      </c>
      <c r="AA11" s="27" t="s">
        <v>74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74</v>
      </c>
      <c r="AG11" s="11" t="str">
        <f t="shared" si="6"/>
        <v/>
      </c>
      <c r="AH11" s="19">
        <v>24.0</v>
      </c>
      <c r="AI11" s="19">
        <v>27.0</v>
      </c>
      <c r="AJ11" s="20" t="b">
        <v>0</v>
      </c>
      <c r="AK11" s="19" t="s">
        <v>74</v>
      </c>
      <c r="AL11" s="11" t="str">
        <f t="shared" si="7"/>
        <v/>
      </c>
      <c r="AM11" s="19">
        <v>17.0</v>
      </c>
      <c r="AN11" s="19">
        <v>21.0</v>
      </c>
      <c r="AO11" s="20" t="b">
        <v>0</v>
      </c>
      <c r="AP11" s="27" t="s">
        <v>74</v>
      </c>
      <c r="AQ11" s="11" t="str">
        <f t="shared" si="8"/>
        <v/>
      </c>
      <c r="AR11" s="19">
        <v>21.0</v>
      </c>
      <c r="AS11" s="19">
        <v>27.0</v>
      </c>
      <c r="AT11" s="20" t="b">
        <v>0</v>
      </c>
      <c r="AU11" s="27" t="s">
        <v>74</v>
      </c>
      <c r="AV11" s="11" t="str">
        <f t="shared" si="9"/>
        <v/>
      </c>
      <c r="AW11" s="19">
        <v>17.0</v>
      </c>
      <c r="AX11" s="19">
        <v>20.0</v>
      </c>
      <c r="AY11" s="20" t="b">
        <v>0</v>
      </c>
      <c r="AZ11" s="27" t="s">
        <v>74</v>
      </c>
      <c r="BA11" s="11" t="str">
        <f t="shared" si="10"/>
        <v/>
      </c>
      <c r="BB11" s="19">
        <v>20.0</v>
      </c>
      <c r="BC11" s="19">
        <v>23.0</v>
      </c>
      <c r="BD11" s="20" t="b">
        <v>1</v>
      </c>
      <c r="BE11" s="27" t="s">
        <v>74</v>
      </c>
      <c r="BF11" s="11" t="str">
        <f t="shared" si="11"/>
        <v/>
      </c>
      <c r="BG11" s="19">
        <v>14.0</v>
      </c>
      <c r="BH11" s="19">
        <v>17.0</v>
      </c>
      <c r="BI11" s="20" t="b">
        <v>0</v>
      </c>
      <c r="BJ11" s="27" t="s">
        <v>87</v>
      </c>
      <c r="BK11" s="11" t="str">
        <f t="shared" si="12"/>
        <v/>
      </c>
      <c r="BL11" s="19">
        <v>21.0</v>
      </c>
      <c r="BM11" s="19">
        <v>17.0</v>
      </c>
      <c r="BN11" s="20" t="b">
        <v>1</v>
      </c>
      <c r="BO11" s="19"/>
      <c r="BP11" s="19"/>
      <c r="BQ11" s="19"/>
    </row>
    <row r="12">
      <c r="A12" s="16" t="s">
        <v>368</v>
      </c>
      <c r="B12" s="17" t="s">
        <v>369</v>
      </c>
      <c r="C12" s="18"/>
      <c r="D12" s="11" t="str">
        <f>IFERROR(__xludf.DUMMYFUNCTION("""COMPUTED_VALUE"""),"")</f>
        <v/>
      </c>
      <c r="E12" s="19"/>
      <c r="F12" s="20"/>
      <c r="G12" s="19" t="s">
        <v>51</v>
      </c>
      <c r="H12" s="11" t="str">
        <f t="shared" si="1"/>
        <v/>
      </c>
      <c r="I12" s="19">
        <v>17.0</v>
      </c>
      <c r="J12" s="19">
        <v>20.0</v>
      </c>
      <c r="K12" s="20" t="b">
        <v>0</v>
      </c>
      <c r="L12" s="19" t="s">
        <v>51</v>
      </c>
      <c r="M12" s="11" t="str">
        <f t="shared" si="2"/>
        <v/>
      </c>
      <c r="N12" s="19">
        <v>20.0</v>
      </c>
      <c r="O12" s="19">
        <v>23.0</v>
      </c>
      <c r="P12" s="19" t="b">
        <v>0</v>
      </c>
      <c r="Q12" s="27" t="s">
        <v>41</v>
      </c>
      <c r="R12" s="11" t="str">
        <f t="shared" si="3"/>
        <v/>
      </c>
      <c r="S12" s="19">
        <v>24.0</v>
      </c>
      <c r="T12" s="19">
        <v>21.0</v>
      </c>
      <c r="U12" s="20" t="b">
        <v>0</v>
      </c>
      <c r="V12" s="19" t="s">
        <v>51</v>
      </c>
      <c r="W12" s="11" t="str">
        <f t="shared" si="4"/>
        <v/>
      </c>
      <c r="X12" s="19">
        <v>21.0</v>
      </c>
      <c r="Y12" s="19">
        <v>28.0</v>
      </c>
      <c r="Z12" s="20" t="b">
        <v>0</v>
      </c>
      <c r="AA12" s="27" t="s">
        <v>41</v>
      </c>
      <c r="AB12" s="11" t="str">
        <f t="shared" si="5"/>
        <v/>
      </c>
      <c r="AC12" s="19">
        <v>24.0</v>
      </c>
      <c r="AD12" s="19">
        <v>17.0</v>
      </c>
      <c r="AE12" s="19" t="b">
        <v>0</v>
      </c>
      <c r="AF12" s="27" t="s">
        <v>41</v>
      </c>
      <c r="AG12" s="11" t="str">
        <f t="shared" si="6"/>
        <v/>
      </c>
      <c r="AH12" s="19">
        <v>23.0</v>
      </c>
      <c r="AI12" s="19">
        <v>20.0</v>
      </c>
      <c r="AJ12" s="20" t="b">
        <v>0</v>
      </c>
      <c r="AK12" s="19" t="s">
        <v>41</v>
      </c>
      <c r="AL12" s="11" t="str">
        <f t="shared" si="7"/>
        <v/>
      </c>
      <c r="AM12" s="19">
        <v>10.0</v>
      </c>
      <c r="AN12" s="19">
        <v>7.0</v>
      </c>
      <c r="AO12" s="20" t="b">
        <v>0</v>
      </c>
      <c r="AP12" s="27" t="s">
        <v>51</v>
      </c>
      <c r="AQ12" s="11" t="str">
        <f t="shared" si="8"/>
        <v/>
      </c>
      <c r="AR12" s="19">
        <v>17.0</v>
      </c>
      <c r="AS12" s="19">
        <v>23.0</v>
      </c>
      <c r="AT12" s="20" t="b">
        <v>0</v>
      </c>
      <c r="AU12" s="27" t="s">
        <v>51</v>
      </c>
      <c r="AV12" s="11" t="str">
        <f t="shared" si="9"/>
        <v/>
      </c>
      <c r="AW12" s="19">
        <v>17.0</v>
      </c>
      <c r="AX12" s="19">
        <v>20.0</v>
      </c>
      <c r="AY12" s="20" t="b">
        <v>0</v>
      </c>
      <c r="AZ12" s="27" t="s">
        <v>51</v>
      </c>
      <c r="BA12" s="11" t="str">
        <f t="shared" si="10"/>
        <v/>
      </c>
      <c r="BB12" s="19">
        <v>20.0</v>
      </c>
      <c r="BC12" s="19">
        <v>23.0</v>
      </c>
      <c r="BD12" s="20" t="b">
        <v>0</v>
      </c>
      <c r="BE12" s="27" t="s">
        <v>51</v>
      </c>
      <c r="BF12" s="11" t="str">
        <f t="shared" si="11"/>
        <v/>
      </c>
      <c r="BG12" s="19">
        <v>10.0</v>
      </c>
      <c r="BH12" s="19">
        <v>14.0</v>
      </c>
      <c r="BI12" s="20" t="b">
        <v>0</v>
      </c>
      <c r="BJ12" s="27" t="s">
        <v>41</v>
      </c>
      <c r="BK12" s="11" t="str">
        <f t="shared" si="12"/>
        <v/>
      </c>
      <c r="BL12" s="19">
        <v>21.0</v>
      </c>
      <c r="BM12" s="19">
        <v>20.0</v>
      </c>
      <c r="BN12" s="20" t="b">
        <v>0</v>
      </c>
      <c r="BO12" s="17"/>
      <c r="BP12" s="17"/>
      <c r="BQ12" s="17"/>
    </row>
    <row r="13">
      <c r="A13" s="16" t="s">
        <v>368</v>
      </c>
      <c r="B13" s="30" t="s">
        <v>372</v>
      </c>
      <c r="C13" s="18"/>
      <c r="D13" s="11" t="str">
        <f>IFERROR(__xludf.DUMMYFUNCTION("""COMPUTED_VALUE"""),"")</f>
        <v/>
      </c>
      <c r="E13" s="19"/>
      <c r="F13" s="20"/>
      <c r="G13" s="19" t="s">
        <v>28</v>
      </c>
      <c r="H13" s="11" t="str">
        <f t="shared" si="1"/>
        <v/>
      </c>
      <c r="I13" s="19">
        <v>14.0</v>
      </c>
      <c r="J13" s="19">
        <v>17.0</v>
      </c>
      <c r="K13" s="20" t="b">
        <v>0</v>
      </c>
      <c r="L13" s="19" t="s">
        <v>23</v>
      </c>
      <c r="M13" s="11" t="str">
        <f t="shared" si="2"/>
        <v/>
      </c>
      <c r="N13" s="19">
        <v>21.0</v>
      </c>
      <c r="O13" s="19">
        <v>17.0</v>
      </c>
      <c r="P13" s="19" t="b">
        <v>0</v>
      </c>
      <c r="Q13" s="27" t="s">
        <v>23</v>
      </c>
      <c r="R13" s="11" t="str">
        <f t="shared" si="3"/>
        <v/>
      </c>
      <c r="S13" s="19">
        <v>14.0</v>
      </c>
      <c r="T13" s="19">
        <v>10.0</v>
      </c>
      <c r="U13" s="20" t="b">
        <v>0</v>
      </c>
      <c r="V13" s="19" t="s">
        <v>23</v>
      </c>
      <c r="W13" s="11" t="str">
        <f t="shared" si="4"/>
        <v/>
      </c>
      <c r="X13" s="19">
        <v>24.0</v>
      </c>
      <c r="Y13" s="19">
        <v>21.0</v>
      </c>
      <c r="Z13" s="20" t="b">
        <v>0</v>
      </c>
      <c r="AA13" s="27" t="s">
        <v>23</v>
      </c>
      <c r="AB13" s="11" t="str">
        <f t="shared" si="5"/>
        <v/>
      </c>
      <c r="AC13" s="19">
        <v>24.0</v>
      </c>
      <c r="AD13" s="19">
        <v>17.0</v>
      </c>
      <c r="AE13" s="19" t="b">
        <v>0</v>
      </c>
      <c r="AF13" s="27" t="s">
        <v>23</v>
      </c>
      <c r="AG13" s="11" t="str">
        <f t="shared" si="6"/>
        <v/>
      </c>
      <c r="AH13" s="19">
        <v>17.0</v>
      </c>
      <c r="AI13" s="19">
        <v>14.0</v>
      </c>
      <c r="AJ13" s="20" t="b">
        <v>0</v>
      </c>
      <c r="AK13" s="19" t="s">
        <v>28</v>
      </c>
      <c r="AL13" s="11" t="str">
        <f t="shared" si="7"/>
        <v/>
      </c>
      <c r="AM13" s="19">
        <v>17.0</v>
      </c>
      <c r="AN13" s="19">
        <v>21.0</v>
      </c>
      <c r="AO13" s="20" t="b">
        <v>0</v>
      </c>
      <c r="AP13" s="27" t="s">
        <v>28</v>
      </c>
      <c r="AQ13" s="11" t="str">
        <f t="shared" si="8"/>
        <v/>
      </c>
      <c r="AR13" s="19">
        <v>20.0</v>
      </c>
      <c r="AS13" s="19">
        <v>21.0</v>
      </c>
      <c r="AT13" s="20" t="b">
        <v>0</v>
      </c>
      <c r="AU13" s="27" t="s">
        <v>28</v>
      </c>
      <c r="AV13" s="11" t="str">
        <f t="shared" si="9"/>
        <v/>
      </c>
      <c r="AW13" s="19">
        <v>14.0</v>
      </c>
      <c r="AX13" s="19">
        <v>17.0</v>
      </c>
      <c r="AY13" s="20" t="b">
        <v>0</v>
      </c>
      <c r="AZ13" s="27" t="s">
        <v>23</v>
      </c>
      <c r="BA13" s="11" t="str">
        <f t="shared" si="10"/>
        <v/>
      </c>
      <c r="BB13" s="19">
        <v>23.0</v>
      </c>
      <c r="BC13" s="19">
        <v>20.0</v>
      </c>
      <c r="BD13" s="20" t="b">
        <v>0</v>
      </c>
      <c r="BE13" s="27" t="s">
        <v>23</v>
      </c>
      <c r="BF13" s="11" t="str">
        <f t="shared" si="11"/>
        <v/>
      </c>
      <c r="BG13" s="19">
        <v>24.0</v>
      </c>
      <c r="BH13" s="19">
        <v>21.0</v>
      </c>
      <c r="BI13" s="20" t="b">
        <v>0</v>
      </c>
      <c r="BJ13" s="27" t="s">
        <v>23</v>
      </c>
      <c r="BK13" s="11" t="str">
        <f t="shared" si="12"/>
        <v/>
      </c>
      <c r="BL13" s="19">
        <v>31.0</v>
      </c>
      <c r="BM13" s="19">
        <v>24.0</v>
      </c>
      <c r="BN13" s="20" t="b">
        <v>0</v>
      </c>
      <c r="BO13" s="17"/>
      <c r="BP13" s="17"/>
      <c r="BQ13" s="17"/>
    </row>
    <row r="14">
      <c r="A14" s="16" t="s">
        <v>375</v>
      </c>
      <c r="B14" s="17" t="s">
        <v>376</v>
      </c>
      <c r="C14" s="18"/>
      <c r="D14" s="11" t="str">
        <f>IFERROR(__xludf.DUMMYFUNCTION("""COMPUTED_VALUE"""),"")</f>
        <v/>
      </c>
      <c r="E14" s="19"/>
      <c r="F14" s="20"/>
      <c r="G14" s="19" t="s">
        <v>69</v>
      </c>
      <c r="H14" s="11" t="str">
        <f t="shared" si="1"/>
        <v/>
      </c>
      <c r="I14" s="19">
        <v>14.0</v>
      </c>
      <c r="J14" s="19">
        <v>10.0</v>
      </c>
      <c r="K14" s="20" t="b">
        <v>0</v>
      </c>
      <c r="L14" s="19" t="s">
        <v>69</v>
      </c>
      <c r="M14" s="11" t="str">
        <f t="shared" si="2"/>
        <v/>
      </c>
      <c r="N14" s="19">
        <v>27.0</v>
      </c>
      <c r="O14" s="19">
        <v>24.0</v>
      </c>
      <c r="P14" s="19" t="b">
        <v>0</v>
      </c>
      <c r="Q14" s="27" t="s">
        <v>69</v>
      </c>
      <c r="R14" s="11" t="str">
        <f t="shared" si="3"/>
        <v/>
      </c>
      <c r="S14" s="19">
        <v>28.0</v>
      </c>
      <c r="T14" s="19">
        <v>21.0</v>
      </c>
      <c r="U14" s="20" t="b">
        <v>0</v>
      </c>
      <c r="V14" s="19" t="s">
        <v>69</v>
      </c>
      <c r="W14" s="11" t="str">
        <f t="shared" si="4"/>
        <v/>
      </c>
      <c r="X14" s="19">
        <v>31.0</v>
      </c>
      <c r="Y14" s="19">
        <v>24.0</v>
      </c>
      <c r="Z14" s="20" t="b">
        <v>0</v>
      </c>
      <c r="AA14" s="27" t="s">
        <v>33</v>
      </c>
      <c r="AB14" s="11" t="str">
        <f t="shared" si="5"/>
        <v/>
      </c>
      <c r="AC14" s="19">
        <v>17.0</v>
      </c>
      <c r="AD14" s="19">
        <v>24.0</v>
      </c>
      <c r="AE14" s="19" t="b">
        <v>0</v>
      </c>
      <c r="AF14" s="27" t="s">
        <v>33</v>
      </c>
      <c r="AG14" s="11" t="str">
        <f t="shared" si="6"/>
        <v/>
      </c>
      <c r="AH14" s="19">
        <v>7.0</v>
      </c>
      <c r="AI14" s="19">
        <v>10.0</v>
      </c>
      <c r="AJ14" s="20" t="b">
        <v>0</v>
      </c>
      <c r="AK14" s="19" t="s">
        <v>69</v>
      </c>
      <c r="AL14" s="11" t="str">
        <f t="shared" si="7"/>
        <v/>
      </c>
      <c r="AM14" s="19">
        <v>31.0</v>
      </c>
      <c r="AN14" s="19">
        <v>24.0</v>
      </c>
      <c r="AO14" s="20" t="b">
        <v>0</v>
      </c>
      <c r="AP14" s="27" t="s">
        <v>69</v>
      </c>
      <c r="AQ14" s="11" t="str">
        <f t="shared" si="8"/>
        <v/>
      </c>
      <c r="AR14" s="19">
        <v>27.0</v>
      </c>
      <c r="AS14" s="19">
        <v>20.0</v>
      </c>
      <c r="AT14" s="20" t="b">
        <v>0</v>
      </c>
      <c r="AU14" s="27" t="s">
        <v>69</v>
      </c>
      <c r="AV14" s="11" t="str">
        <f t="shared" si="9"/>
        <v/>
      </c>
      <c r="AW14" s="19">
        <v>10.0</v>
      </c>
      <c r="AX14" s="19">
        <v>7.0</v>
      </c>
      <c r="AY14" s="20" t="b">
        <v>0</v>
      </c>
      <c r="AZ14" s="27" t="s">
        <v>69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33</v>
      </c>
      <c r="BF14" s="11" t="str">
        <f t="shared" si="11"/>
        <v/>
      </c>
      <c r="BG14" s="19">
        <v>17.0</v>
      </c>
      <c r="BH14" s="19">
        <v>20.0</v>
      </c>
      <c r="BI14" s="20" t="b">
        <v>0</v>
      </c>
      <c r="BJ14" s="27" t="s">
        <v>69</v>
      </c>
      <c r="BK14" s="11" t="str">
        <f t="shared" si="12"/>
        <v/>
      </c>
      <c r="BL14" s="19">
        <v>20.0</v>
      </c>
      <c r="BM14" s="19">
        <v>17.0</v>
      </c>
      <c r="BN14" s="20" t="b">
        <v>0</v>
      </c>
      <c r="BO14" s="17"/>
      <c r="BP14" s="17"/>
      <c r="BQ14" s="17"/>
    </row>
    <row r="15">
      <c r="A15" s="32" t="s">
        <v>380</v>
      </c>
      <c r="B15" s="33" t="s">
        <v>381</v>
      </c>
      <c r="C15" s="34"/>
      <c r="D15" s="35" t="str">
        <f>IFERROR(__xludf.DUMMYFUNCTION("""COMPUTED_VALUE"""),"")</f>
        <v/>
      </c>
      <c r="E15" s="36"/>
      <c r="F15" s="37"/>
      <c r="G15" s="36" t="s">
        <v>24</v>
      </c>
      <c r="H15" s="35" t="str">
        <f t="shared" si="1"/>
        <v/>
      </c>
      <c r="I15" s="36">
        <v>14.0</v>
      </c>
      <c r="J15" s="36">
        <v>17.0</v>
      </c>
      <c r="K15" s="37" t="b">
        <v>0</v>
      </c>
      <c r="L15" s="36" t="s">
        <v>24</v>
      </c>
      <c r="M15" s="35" t="str">
        <f t="shared" si="2"/>
        <v/>
      </c>
      <c r="N15" s="36">
        <v>17.0</v>
      </c>
      <c r="O15" s="36">
        <v>21.0</v>
      </c>
      <c r="P15" s="36" t="b">
        <v>0</v>
      </c>
      <c r="Q15" s="38" t="s">
        <v>24</v>
      </c>
      <c r="R15" s="35" t="str">
        <f t="shared" si="3"/>
        <v/>
      </c>
      <c r="S15" s="36">
        <v>17.0</v>
      </c>
      <c r="T15" s="36">
        <v>20.0</v>
      </c>
      <c r="U15" s="37" t="b">
        <v>0</v>
      </c>
      <c r="V15" s="36" t="s">
        <v>84</v>
      </c>
      <c r="W15" s="35" t="str">
        <f t="shared" si="4"/>
        <v/>
      </c>
      <c r="X15" s="36">
        <v>27.0</v>
      </c>
      <c r="Y15" s="36">
        <v>24.0</v>
      </c>
      <c r="Z15" s="37" t="b">
        <v>0</v>
      </c>
      <c r="AA15" s="38" t="s">
        <v>24</v>
      </c>
      <c r="AB15" s="35" t="str">
        <f t="shared" si="5"/>
        <v/>
      </c>
      <c r="AC15" s="36">
        <v>17.0</v>
      </c>
      <c r="AD15" s="36">
        <v>24.0</v>
      </c>
      <c r="AE15" s="36" t="b">
        <v>0</v>
      </c>
      <c r="AF15" s="38" t="s">
        <v>84</v>
      </c>
      <c r="AG15" s="35" t="str">
        <f t="shared" si="6"/>
        <v/>
      </c>
      <c r="AH15" s="36">
        <v>28.0</v>
      </c>
      <c r="AI15" s="36">
        <v>21.0</v>
      </c>
      <c r="AJ15" s="37" t="b">
        <v>0</v>
      </c>
      <c r="AK15" s="36" t="s">
        <v>24</v>
      </c>
      <c r="AL15" s="35" t="str">
        <f t="shared" si="7"/>
        <v/>
      </c>
      <c r="AM15" s="36">
        <v>21.0</v>
      </c>
      <c r="AN15" s="36">
        <v>24.0</v>
      </c>
      <c r="AO15" s="37" t="b">
        <v>0</v>
      </c>
      <c r="AP15" s="38" t="s">
        <v>84</v>
      </c>
      <c r="AQ15" s="35" t="str">
        <f t="shared" si="8"/>
        <v/>
      </c>
      <c r="AR15" s="36">
        <v>24.0</v>
      </c>
      <c r="AS15" s="36">
        <v>21.0</v>
      </c>
      <c r="AT15" s="37" t="b">
        <v>0</v>
      </c>
      <c r="AU15" s="38" t="s">
        <v>84</v>
      </c>
      <c r="AV15" s="35" t="str">
        <f t="shared" si="9"/>
        <v/>
      </c>
      <c r="AW15" s="36">
        <v>17.0</v>
      </c>
      <c r="AX15" s="36">
        <v>14.0</v>
      </c>
      <c r="AY15" s="37" t="b">
        <v>0</v>
      </c>
      <c r="AZ15" s="38" t="s">
        <v>24</v>
      </c>
      <c r="BA15" s="35" t="str">
        <f t="shared" si="10"/>
        <v/>
      </c>
      <c r="BB15" s="36">
        <v>20.0</v>
      </c>
      <c r="BC15" s="36">
        <v>23.0</v>
      </c>
      <c r="BD15" s="37" t="b">
        <v>0</v>
      </c>
      <c r="BE15" s="38" t="s">
        <v>24</v>
      </c>
      <c r="BF15" s="35" t="str">
        <f t="shared" si="11"/>
        <v/>
      </c>
      <c r="BG15" s="36">
        <v>21.0</v>
      </c>
      <c r="BH15" s="36">
        <v>28.0</v>
      </c>
      <c r="BI15" s="37" t="b">
        <v>0</v>
      </c>
      <c r="BJ15" s="38" t="s">
        <v>24</v>
      </c>
      <c r="BK15" s="35" t="str">
        <f t="shared" si="12"/>
        <v/>
      </c>
      <c r="BL15" s="36">
        <v>10.0</v>
      </c>
      <c r="BM15" s="36">
        <v>14.0</v>
      </c>
      <c r="BN15" s="37" t="b">
        <v>0</v>
      </c>
      <c r="BO15" s="17"/>
      <c r="BP15" s="17"/>
      <c r="BQ15" s="17"/>
    </row>
    <row r="1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</row>
    <row r="17" hidden="1">
      <c r="A17" s="41"/>
      <c r="B17" s="41"/>
      <c r="C17" s="46">
        <f t="shared" ref="C17:C30" si="13">MIN(I17,N17,S17,X17,AC17,AH17,AM17,AR17,AW17,BB17,BG17,BL17)</f>
        <v>0</v>
      </c>
      <c r="D17" s="49"/>
      <c r="E17" s="49"/>
      <c r="F17" s="49"/>
      <c r="G17" s="47" t="str">
        <f t="shared" ref="G17:G30" si="14">IF(G2=C2,ABS(I2-E2),"")</f>
        <v/>
      </c>
      <c r="H17" s="47" t="str">
        <f t="shared" ref="H17:H30" si="15">IF(G2=C2,ABS(J2-F2),"")</f>
        <v/>
      </c>
      <c r="I17" s="48" t="str">
        <f t="shared" ref="I17:I30" si="16">IF(G2=C2,SUM(G17,H17),"")</f>
        <v/>
      </c>
      <c r="J17" s="9">
        <f t="shared" ref="J17:J30" si="17">SUM(IF(AND(G2=$C2,I17=$C17,$C17=0,K2=TRUE,I17&lt;$N17,I17&lt;$S17,I17&lt;$X17,I17&lt;$AC17,I17&lt;$AH17,I17&lt;$AM17,I17&lt;$AR17,I17&lt;$AW17,I17&lt;$BB17,I17&lt;$BG17,I17&lt;$BL17),15,
IF(AND(G2=$C2,I17=$C17,$C17=0,K2=TRUE,OR(I17=$N17,I17=$S17,I17=$X17,I17=$AC17,I17=$AH17,I17=$AM17,I17=$AR17,I17=$AW17,I17=$BB17,I17=$BG17,I17=$BL17)),7.5,
IF(AND(G2=$C2,I17=$C17,$C17=0,I17&lt;$N17,I17&lt;$S17,I17&lt;$X17,I17&lt;$AC17,I17&lt;$AH17,I17&lt;$AM17,I17&lt;$AR17,I17&lt;$AW17,I17&lt;$BB17,I17&lt;$BG17,I17&lt;$BL17),5,
IF(AND(G2=$C2,I17=$C17,K2=TRUE,I17&lt;$N17,I17&lt;$S17,I17&lt;$X17,I17&lt;$AC17,I17&lt;$AH17,I17&lt;$AM17,I17&lt;$AR17,I17&lt;$AW17,I17&lt;$BB17,I17&lt;$BG17,I17&lt;$BL17),3,
IF(AND(G2=$C2,I17=$C17,$C17=0,OR(I17=$N17,I17=$S17,I17=$X17,I17=$AC17,I17=$AH17,I17=$AM17,I17=$AR17,I17=$AW17,I17=$BB17,I17=$BG17,I17=$BL17)),2.5,
IF(AND(G2=$C2,I17=$C17,K2=TRUE,OR(I17=$N17,I17=$S17,I17=$X17,I17=$AC17,I17=$AH17,I17=$AM17,I17=$AR17,I17=$AW17,I17=$BB17,I17=$BG17,I17=$BL17)),1.5,
IF(AND(G2=$C2,I17=$C17,I17&lt;$N17,I17&lt;$S17,I17&lt;$X17,I17&lt;$AC17,I17&lt;$AH17,I17&lt;$AM17,I17&lt;$AR17,I17&lt;$AW17,I17&lt;$BB17,I17&lt;$BG17,I17&lt;$BL17),1,
IF(AND(G2=$C2,I17=$C17,OR(I17=$N17,I17=$S17,I17=$X17,I17=$AC17,I17=$AH17,I17=$AM17,I17=$AR17,I17=$AW17,I17=$BB17,I17=$BG17,I17=$BL17)),0.5,
0)))))))),
IF(AND(K17=TRUE,K2=TRUE),3,
IF(AND(K17=TRUE,K2=FALSE),1,
IF(K17="",0)))
)</f>
        <v>0</v>
      </c>
      <c r="K17" s="49" t="str">
        <f t="shared" ref="K17:K30" si="18">IF($C2="","",
IF(G2=$C2,TRUE,FALSE))</f>
        <v/>
      </c>
      <c r="L17" s="47" t="str">
        <f t="shared" ref="L17:L30" si="19">IF(L2=C2,ABS(N2-E2),"")</f>
        <v/>
      </c>
      <c r="M17" s="47" t="str">
        <f t="shared" ref="M17:M30" si="20">IF(L2=C2,ABS(O2-F2),"")</f>
        <v/>
      </c>
      <c r="N17" s="48" t="str">
        <f t="shared" ref="N17:N30" si="21">IF(L2=C2,SUM(L17,M17),"")</f>
        <v/>
      </c>
      <c r="O17" s="9">
        <f t="shared" ref="O17:O30" si="22">SUM(IF(AND(L2=$C2,N17=$C17,$C17=0,P2=TRUE,N17&lt;$I17,N17&lt;$S17,N17&lt;$X17,N17&lt;$AC17,N17&lt;$AH17,N17&lt;$AM17,N17&lt;$AR17,N17&lt;$AW17,N17&lt;$BB17,N17&lt;$BG17,N17&lt;$BL17),15,
IF(AND(L2=$C2,N17=$C17,$C17=0,P2=TRUE,OR(N17=$I17,N17=$S17,N17=$X17,N17=$AC17,N17=$AH17,N17=$AM17,N17=$AR17,N17=$AW17,N17=$BB17,N17=$BG17,N17=$BL17)),7.5,
IF(AND(L2=$C2,N17=$C17,$C17=0,N17&lt;$I17,N17&lt;$S17,N17&lt;$X17,N17&lt;$AC17,N17&lt;$AH17,N17&lt;$AM17,N17&lt;$AR17,N17&lt;$AW17,N17&lt;$BB17,N17&lt;$BG17,N17&lt;$BL17),5,
IF(AND(L2=$C2,N17=$C17,P2=TRUE,N17&lt;$I17,N17&lt;$S17,N17&lt;$X17,N17&lt;$AC17,N17&lt;$AH17,N17&lt;$AM17,N17&lt;$AR17,N17&lt;$AW17,N17&lt;$BB17,N17&lt;$BG17,N17&lt;$BL17),3,
IF(AND(L2=$C2,N17=$C17,$C17=0,OR(N17=$I17,N17=$S17,N17=$X17,N17=$AC17,N17=$AH17,N17=$AM17,N17=$AR17,N17=$AW17,N17=$BB17,N17=$BG17,N17=$BL17)),2.5,
IF(AND(L2=$C2,N17=$C17,P2=TRUE,OR(N17=$I17,N17=$S17,N17=$X17,N17=$AC17,N17=$AH17,N17=$AM17,N17=$AR17,N17=$AW17,N17=$BB17,N17=$BG17,N17=$BL17)),1.5,
IF(AND(L2=$C2,N17=$C17,N17&lt;$I17,N17&lt;$S17,N17&lt;$X17,N17&lt;$AC17,N17&lt;$AH17,N17&lt;$AM17,N17&lt;$AR17,N17&lt;$AW17,N17&lt;$BB17,N17&lt;$BG17,N17&lt;$BL17),1,
IF(AND(L2=$C2,N17=$C17,OR(N17=$I17,N17=$S17,N17=$X17,N17=$AC17,N17=$AH17,N17=$AM17,N17=$AR17,N17=$AW17,N17=$BB17,N17=$BG17,N17=$BL17)),0.5,
0)))))))),
IF(AND(P17=TRUE,P2=TRUE),3,
IF(AND(P17=TRUE,P2=FALSE),1,
IF(P17="",0)))
)</f>
        <v>0</v>
      </c>
      <c r="P17" s="49" t="str">
        <f t="shared" ref="P17:P30" si="23">IF($C2="","",
IF(L2=$C2,TRUE,FALSE))</f>
        <v/>
      </c>
      <c r="Q17" s="47" t="str">
        <f t="shared" ref="Q17:Q30" si="24">IF(Q2=C2,ABS(S2-E2),"")</f>
        <v/>
      </c>
      <c r="R17" s="47" t="str">
        <f t="shared" ref="R17:R30" si="25">IF(Q2=C2,ABS(T2-F2),"")</f>
        <v/>
      </c>
      <c r="S17" s="48" t="str">
        <f t="shared" ref="S17:S30" si="26">IF(Q2=C2,SUM(Q17,R17),"")</f>
        <v/>
      </c>
      <c r="T17" s="9">
        <f t="shared" ref="T17:T30" si="27">SUM(IF(AND(Q2=$C2,S17=$C17,$C17=0,U2=TRUE,S17&lt;$I17,S17&lt;$N17,S17&lt;$X17,S17&lt;$AC17,S17&lt;$AH17,S17&lt;$AM17,S17&lt;$AR17,S17&lt;$AW17,S17&lt;$BB17,S17&lt;$BG17,S17&lt;$BL17),15,
IF(AND(Q2=$C2,S17=$C17,$C17=0,U2=TRUE,OR(S17=$I17,S17=$N17,S17=$X17,S17=$AC17,S17=$AH17,S17=$AM17,S17=$AR17,S17=$AW17,S17=$BB17,S17=$BG17,S17=$BL17)),7.5,
IF(AND(Q2=$C2,S17=$C17,$C17=0,S17&lt;$I17,S17&lt;$N17,S17&lt;$X17,S17&lt;$AC17,S17&lt;$AH17,S17&lt;$AM17,S17&lt;$AR17,S17&lt;$AW17,S17&lt;$BB17,S17&lt;$BG17,S17&lt;$BL17),5,
IF(AND(Q2=$C2,S17=$C17,U2=TRUE,S17&lt;$I17,S17&lt;$N17,S17&lt;$X17,S17&lt;$AC17,S17&lt;$AH17,S17&lt;$AM17,S17&lt;$AR17,S17&lt;$AW17,S17&lt;$BB17,S17&lt;$BG17,S17&lt;$BL17),3,
IF(AND(Q2=$C2,S17=$C17,$C17=0,OR(S17=$I17,S17=$N17,S17=$X17,S17=$AC17,S17=$AH17,S17=$AM17,S17=$AR17,S17=$AW17,S17=$BB17,S17=$BG17,S17=$BL17)),2.5,
IF(AND(Q2=$C2,S17=$C17,U2=TRUE,OR(S17=$I17,S17=$N17,S17=$X17,S17=$AC17,S17=$AH17,S17=$AM17,S17=$AR17,S17=$AW17,S17=$BB17,S17=$BG17,S17=$BL17)),1.5,
IF(AND(Q2=$C2,S17=$C17,S17&lt;$I17,S17&lt;$N17,S17&lt;$X17,S17&lt;$AC17,S17&lt;$AH17,S17&lt;$AM17,S17&lt;$AR17,S17&lt;$AW17,S17&lt;$BB17,S17&lt;$BG17,S17&lt;$BL17),1,
IF(AND(Q2=$C2,S17=$C17,OR(S17=$I17,S17=$N17,S17=$X17,S17=$AC17,S17=$AH17,S17=$AM17,S17=$AR17,S17=$AW17,S17=$BB17,S17=$BG17,S17=$BL17)),0.5,
0)))))))),
IF(AND(U17=TRUE,U2=TRUE),3,
IF(AND(U17=TRUE,U2=FALSE),1,
IF(U17="",0)))
)</f>
        <v>0</v>
      </c>
      <c r="U17" s="49" t="str">
        <f t="shared" ref="U17:U30" si="28">IF($C2="","",
IF(Q2=$C2,TRUE,FALSE))</f>
        <v/>
      </c>
      <c r="V17" s="47" t="str">
        <f t="shared" ref="V17:V30" si="29">IF(V2=C2,ABS(X2-E2),"")</f>
        <v/>
      </c>
      <c r="W17" s="47" t="str">
        <f t="shared" ref="W17:W30" si="30">IF(V2=C2,ABS(Y2-F2),"")</f>
        <v/>
      </c>
      <c r="X17" s="48" t="str">
        <f t="shared" ref="X17:X30" si="31">IF(V2=C2,SUM(V17,W17),"")</f>
        <v/>
      </c>
      <c r="Y17" s="9">
        <f t="shared" ref="Y17:Y30" si="32">SUM(IF(AND(V2=$C2,X17=$C17,$C17=0,Z2=TRUE,X17&lt;$I17,X17&lt;$N17,X17&lt;$S17,X17&lt;$AC17,X17&lt;$AH17,X17&lt;$AM17,X17&lt;$AR17,X17&lt;$AW17,X17&lt;$BB17,X17&lt;$BG17,X17&lt;$BL17),15,
IF(AND(V2=$C2,X17=$C17,$C17=0,Z2=TRUE,OR(X17=$I17,X17=$N17,X17=$S17,X17=$AC17,X17=$AH17,X17=$AM17,X17=$AR17,X17=$AW17,X17=$BB17,X17=$BG17,X17=$BL17)),7.5,
IF(AND(V2=$C2,X17=$C17,$C17=0,X17&lt;$I17,X17&lt;$N17,X17&lt;$S17,X17&lt;$AC17,X17&lt;$AH17,X17&lt;$AM17,X17&lt;$AR17,X17&lt;$AW17,X17&lt;$BB17,X17&lt;$BG17,X17&lt;$BL17),5,
IF(AND(V2=$C2,X17=$C17,Z2=TRUE,X17&lt;$I17,X17&lt;$N17,X17&lt;$S17,X17&lt;$AC17,X17&lt;$AH17,X17&lt;$AM17,X17&lt;$AR17,X17&lt;$AW17,X17&lt;$BB17,X17&lt;$BG17,X17&lt;$BL17),3,
IF(AND(V2=$C2,X17=$C17,$C17=0,OR(X17=$I17,X17=$N17,X17=$S17,X17=$AC17,X17=$AH17,X17=$AM17,X17=$AR17,X17=$AW17,X17=$BB17,X17=$BG17,X17=$BL17)),2.5,
IF(AND(V2=$C2,X17=$C17,Z2=TRUE,OR(X17=$I17,X17=$N17,X17=$S17,X17=$AC17,X17=$AH17,X17=$AM17,X17=$AR17,X17=$AW17,X17=$BB17,X17=$BG17,X17=$BL17)),1.5,
IF(AND(V2=$C2,X17=$C17,X17&lt;$I17,X17&lt;$N17,X17&lt;$S17,X17&lt;$AC17,X17&lt;$AH17,X17&lt;$AM17,X17&lt;$AR17,X17&lt;$AW17,X17&lt;$BB17,X17&lt;$BG17,X17&lt;$BL17),1,
IF(AND(V2=$C2,X17=$C17,OR(X17=$I17,X17=$N17,X17=$S17,X17=$AC17,X17=$AH17,X17=$AM17,X17=$AR17,X17=$AW17,X17=$BB17,X17=$BG17,X17=$BL17)),0.5,
0)))))))),
IF(AND(Z17=TRUE,Z2=TRUE),3,
IF(AND(Z17=TRUE,Z2=FALSE),1,
IF(Z17="",0)))
)</f>
        <v>0</v>
      </c>
      <c r="Z17" s="49" t="str">
        <f t="shared" ref="Z17:Z30" si="33">IF($C2="","",
IF(V2=$C2,TRUE,FALSE))</f>
        <v/>
      </c>
      <c r="AA17" s="47" t="str">
        <f t="shared" ref="AA17:AA30" si="34">IF(AA2=C2,ABS(AC2-E2),"")</f>
        <v/>
      </c>
      <c r="AB17" s="47" t="str">
        <f t="shared" ref="AB17:AB30" si="35">IF(AA2=C2,ABS(AD2-F2),"")</f>
        <v/>
      </c>
      <c r="AC17" s="48" t="str">
        <f t="shared" ref="AC17:AC30" si="36">IF(AA2=C2,SUM(AA17,AB17),"")</f>
        <v/>
      </c>
      <c r="AD17" s="9">
        <f t="shared" ref="AD17:AD30" si="37">SUM(IF(AND(AA2=$C2,AC17=$C17,$C17=0,AE2=TRUE,AC17&lt;$I17,AC17&lt;$N17,AC17&lt;$S17,AC17&lt;$X17,AC17&lt;$AH17,AC17&lt;$AM17,AC17&lt;$AR17,AC17&lt;$AW17,AC17&lt;$BB17,AC17&lt;$BG17,AC17&lt;$BL17),15,
IF(AND(AA2=$C2,AC17=$C17,$C17=0,AE2=TRUE,OR(AC17=$I17,AC17=$N17,AC17=$S17,AC17=$X17,AC17=$AH17,AC17=$AM17,AC17=$AR17,AC17=$AW17,AC17=$BB17,AC17=$BG17,AC17=$BL17)),7.5,
IF(AND(AA2=$C2,AC17=$C17,$C17=0,AC17&lt;$I17,AC17&lt;$N17,AC17&lt;$S17,AC17&lt;$X17,AC17&lt;$AH17,AC17&lt;$AM17,AC17&lt;$AR17,AC17&lt;$AW17,AC17&lt;$BB17,AC17&lt;$BG17,AC17&lt;$BL17),5,
IF(AND(AA2=$C2,AC17=$C17,AE2=TRUE,AC17&lt;$I17,AC17&lt;$N17,AC17&lt;$S17,AC17&lt;$X17,AC17&lt;$AH17,AC17&lt;$AM17,AC17&lt;$AR17,AC17&lt;$AW17,AC17&lt;$BB17,AC17&lt;$BG17,AC17&lt;$BL17),3,
IF(AND(AA2=$C2,AC17=$C17,$C17=0,OR(AC17=$I17,AC17=$N17,AC17=$S17,AC17=$X17,AC17=$AH17,AC17=$AM17,AC17=$AR17,AC17=$AW17,AC17=$BB17,AC17=$BG17,AC17=$BL17)),2.5,
IF(AND(AA2=$C2,AC17=$C17,AE2=TRUE,OR(AC17=$I17,AC17=$N17,AC17=$S17,AC17=$X17,AC17=$AH17,AC17=$AM17,AC17=$AR17,AC17=$AW17,AC17=$BB17,AC17=$BG17,AC17=$BL17)),1.5,
IF(AND(AA2=$C2,AC17=$C17,AC17&lt;$I17,AC17&lt;$N17,AC17&lt;$S17,AC17&lt;$X17,AC17&lt;$AH17,AC17&lt;$AM17,AC17&lt;$AR17,AC17&lt;$AW17,AC17&lt;$BB17,AC17&lt;$BG17,AC17&lt;$BL17),1,
IF(AND(AA2=$C2,AC17=$C17,OR(AC17=$I17,AC17=$N17,AC17=$S17,AC17=$X17,AC17=$AH17,AC17=$AM17,AC17=$AR17,AC17=$AW17,AC17=$BB17,AC17=$BG17,AC17=$BL17)),0.5,
0)))))))),
IF(AND(AE17=TRUE,AE2=TRUE),3,
IF(AND(AE17=TRUE,AE2=FALSE),1,
IF(AE17="",0)))
)</f>
        <v>0</v>
      </c>
      <c r="AE17" s="49" t="str">
        <f t="shared" ref="AE17:AE30" si="38">IF($C2="","",
IF(AA2=$C2,TRUE,FALSE))</f>
        <v/>
      </c>
      <c r="AF17" s="47" t="str">
        <f t="shared" ref="AF17:AF30" si="39">IF(AF2=C2,ABS(AH2-E2),"")</f>
        <v/>
      </c>
      <c r="AG17" s="47" t="str">
        <f t="shared" ref="AG17:AG30" si="40">IF(AF2=C2,ABS(AI2-F2),"")</f>
        <v/>
      </c>
      <c r="AH17" s="48" t="str">
        <f t="shared" ref="AH17:AH30" si="41">IF(AF2=C2,SUM(AF17,AG17),"")</f>
        <v/>
      </c>
      <c r="AI17" s="9">
        <f t="shared" ref="AI17:AI30" si="42">SUM(IF(AND(AF2=$C2,AH17=$C17,$C17=0,AJ2=TRUE,AH17&lt;$I17,AH17&lt;$N17,AH17&lt;$S17,AH17&lt;$X17,AH17&lt;$AC17,AH17&lt;$AM17,AH17&lt;$AR17,AH17&lt;$AW17,AH17&lt;$BB17,AH17&lt;$BG17,AH17&lt;$BL17),15,
IF(AND(AF2=$C2,AH17=$C17,$C17=0,AJ2=TRUE,OR(AH17=$I17,AH17=$N17,AH17=$S17,AH17=$X17,AH17=$AC17,AH17=$AM17,AH17=$AR17,AH17=$AW17,AH17=$BB17,AH17=$BG17,AH17=$BL17)),7.5,
IF(AND(AF2=$C2,AH17=$C17,$C17=0,AH17&lt;$I17,AH17&lt;$N17,AH17&lt;$S17,AH17&lt;$X17,AH17&lt;$AC17,AH17&lt;$AM17,AH17&lt;$AR17,AH17&lt;$AW17,AH17&lt;$BB17,AH17&lt;$BG17,AH17&lt;$BL17),5,
IF(AND(AF2=$C2,AH17=$C17,AJ2=TRUE,AH17&lt;$I17,AH17&lt;$N17,AH17&lt;$S17,AH17&lt;$X17,AH17&lt;$AC17,AH17&lt;$AM17,AH17&lt;$AR17,AH17&lt;$AW17,AH17&lt;$BB17,AH17&lt;$BG17,AH17&lt;$BL17),3,
IF(AND(AF2=$C2,AH17=$C17,$C17=0,OR(AH17=$I17,AH17=$N17,AH17=$S17,AH17=$X17,AH17=$AC17,AH17=$AM17,AH17=$AR17,AH17=$AW17,AH17=$BB17,AH17=$BG17,AH17=$BL17)),2.5,
IF(AND(AF2=$C2,AH17=$C17,AJ2=TRUE,OR(AH17=$I17,AH17=$N17,AH17=$S17,AH17=$X17,AH17=$AC17,AH17=$AM17,AH17=$AR17,AH17=$AW17,AH17=$BB17,AH17=$BG17,AH17=$BL17)),1.5,
IF(AND(AF2=$C2,AH17=$C17,AH17&lt;$I17,AH17&lt;$N17,AH17&lt;$S17,AH17&lt;$X17,AH17&lt;$AC17,AH17&lt;$AM17,AH17&lt;$AR17,AH17&lt;$AW17,AH17&lt;$BB17,AH17&lt;$BG17,AH17&lt;$BL17),1,
IF(AND(AF2=$C2,AH17=$C17,OR(AH17=$I17,AH17=$N17,AH17=$S17,AH17=$X17,AH17=$AC17,AH17=$AM17,AH17=$AR17,AH17=$AW17,AH17=$BB17,AH17=$BG17,AH17=$BL17)),0.5,
0)))))))),
IF(AND(AJ17=TRUE,AJ2=TRUE),3,
IF(AND(AJ17=TRUE,AJ2=FALSE),1,
IF(AJ17="",0)))
)</f>
        <v>0</v>
      </c>
      <c r="AJ17" s="49" t="str">
        <f t="shared" ref="AJ17:AJ30" si="43">IF($C2="","",
IF(AF2=$C2,TRUE,FALSE))</f>
        <v/>
      </c>
      <c r="AK17" s="47" t="str">
        <f t="shared" ref="AK17:AK30" si="44">IF(AK2=C2,ABS(AM2-E2),"")</f>
        <v/>
      </c>
      <c r="AL17" s="47" t="str">
        <f t="shared" ref="AL17:AL30" si="45">IF(AK2=C2,ABS(AN2-F2),"")</f>
        <v/>
      </c>
      <c r="AM17" s="48" t="str">
        <f t="shared" ref="AM17:AM30" si="46">IF(AK2=C2,SUM(AK17,AL17),"")</f>
        <v/>
      </c>
      <c r="AN17" s="9">
        <f t="shared" ref="AN17:AN30" si="47">SUM(IF(AND(AK2=$C2,AM17=$C17,$C17=0,AO2=TRUE,AM17&lt;$I17,AM17&lt;$N17,AM17&lt;$S17,AM17&lt;$X17,AM17&lt;$AC17,AM17&lt;$AH17,AM17&lt;$AR17,AM17&lt;$AW17,AM17&lt;$BB17,AM17&lt;$BG17,AM17&lt;$BL17),15,
IF(AND(AK2=$C2,AM17=$C17,$C17=0,AO2=TRUE,OR(AM17=$I17,AM17=$N17,AM17=$S17,AM17=$X17,AM17=$AC17,AM17=$AH17,AM17=$AR17,AM17=$AW17,AM17=$BB17,AM17=$BG17,AM17=$BL17)),7.5,
IF(AND(AK2=$C2,AM17=$C17,$C17=0,AM17&lt;$I17,AM17&lt;$N17,AM17&lt;$S17,AM17&lt;$X17,AM17&lt;$AC17,AM17&lt;$AH17,AM17&lt;$AR17,AM17&lt;$AW17,AM17&lt;$BB17,AM17&lt;$BG17,AM17&lt;$BL17),5,
IF(AND(AK2=$C2,AM17=$C17,AO2=TRUE,AM17&lt;$I17,AM17&lt;$N17,AM17&lt;$S17,AM17&lt;$X17,AM17&lt;$AC17,AM17&lt;$AH17,AM17&lt;$AR17,AM17&lt;$AW17,AM17&lt;$BB17,AM17&lt;$BG17,AM17&lt;$BL17),3,
IF(AND(AK2=$C2,AM17=$C17,$C17=0,OR(AM17=$I17,AM17=$N17,AM17=$S17,AM17=$X17,AM17=$AC17,AM17=$AH17,AM17=$AR17,AM17=$AW17,AM17=$BB17,AM17=$BG17,AM17=$BL17)),2.5,
IF(AND(AK2=$C2,AM17=$C17,AO2=TRUE,OR(AM17=$I17,AM17=$N17,AM17=$S17,AM17=$X17,AM17=$AC17,AM17=$AH17,AM17=$AR17,AM17=$AW17,AM17=$BB17,AM17=$BG17,AM17=$BL17)),1.5,
IF(AND(AK2=$C2,AM17=$C17,AM17&lt;$I17,AM17&lt;$N17,AM17&lt;$S17,AM17&lt;$X17,AM17&lt;$AC17,AM17&lt;$AH17,AM17&lt;$AR17,AM17&lt;$AW17,AM17&lt;$BB17,AM17&lt;$BG17,AM17&lt;$BL17),1,
IF(AND(AK2=$C2,AM17=$C17,OR(AM17=$I17,AM17=$N17,AM17=$S17,AM17=$X17,AM17=$AC17,AM17=$AH17,AM17=$AR17,AM17=$AW17,AM17=$BB17,AM17=$BG17,AM17=$BL17)),0.5,
0)))))))),
IF(AND(AO17=TRUE,AO2=TRUE),3,
IF(AND(AO17=TRUE,AO2=FALSE),1,
IF(AO17="",0)))
)</f>
        <v>0</v>
      </c>
      <c r="AO17" s="49" t="str">
        <f t="shared" ref="AO17:AO30" si="48">IF($C2="","",
IF(AK2=$C2,TRUE,FALSE))</f>
        <v/>
      </c>
      <c r="AP17" s="47" t="str">
        <f t="shared" ref="AP17:AP30" si="49">IF(AP2=C2,ABS(AR2-E2),"")</f>
        <v/>
      </c>
      <c r="AQ17" s="47" t="str">
        <f t="shared" ref="AQ17:AQ30" si="50">IF(AP2=C2,ABS(AS2-F2),"")</f>
        <v/>
      </c>
      <c r="AR17" s="48" t="str">
        <f t="shared" ref="AR17:AR30" si="51">IF(AP2=C2,SUM(AP17,AQ17),"")</f>
        <v/>
      </c>
      <c r="AS17" s="9">
        <f t="shared" ref="AS17:AS30" si="52">SUM(IF(AND(AP2=$C2,AR17=$C17,$C17=0,AT2=TRUE,AR17&lt;$I17,AR17&lt;$N17,AR17&lt;$S17,AR17&lt;$X17,AR17&lt;$AC17,AR17&lt;$AH17,AR17&lt;$AM17,AR17&lt;$AW17,AR17&lt;$BB17,AR17&lt;$BG17,AR17&lt;$BL17),15,
IF(AND(AP2=$C2,AR17=$C17,$C17=0,AT2=TRUE,OR(AR17=$I17,AR17=$N17,AR17=$S17,AR17=$X17,AR17=$AC17,AR17=$AH17,AR17=$AM17,AR17=$AW17,AR17=$BB17,AR17=$BG17,AR17=$BL17)),7.5,
IF(AND(AP2=$C2,AR17=$C17,$C17=0,AR17&lt;$I17,AR17&lt;$N17,AR17&lt;$S17,AR17&lt;$X17,AR17&lt;$AC17,AR17&lt;$AH17,AR17&lt;$AM17,AR17&lt;$AW17,AR17&lt;$BB17,AR17&lt;$BG17,AR17&lt;$BL17),5,
IF(AND(AP2=$C2,AR17=$C17,AT2=TRUE,AR17&lt;$I17,AR17&lt;$N17,AR17&lt;$S17,AR17&lt;$X17,AR17&lt;$AC17,AR17&lt;$AH17,AR17&lt;$AM17,AR17&lt;$AW17,AR17&lt;$BB17,AR17&lt;$BG17,AR17&lt;$BL17),3,
IF(AND(AP2=$C2,AR17=$C17,$C17=0,OR(AR17=$I17,AR17=$N17,AR17=$S17,AR17=$X17,AR17=$AC17,AR17=$AH17,AR17=$AM17,AR17=$AW17,AR17=$BB17,AR17=$BG17,AR17=$BL17)),2.5,
IF(AND(AP2=$C2,AR17=$C17,AT2=TRUE,OR(AR17=$I17,AR17=$N17,AR17=$S17,AR17=$X17,AR17=$AC17,AR17=$AH17,AR17=$AM17,AR17=$AW17,AR17=$BB17,AR17=$BG17,AR17=$BL17)),1.5,
IF(AND(AP2=$C2,AR17=$C17,AR17&lt;$I17,AR17&lt;$N17,AR17&lt;$S17,AR17&lt;$X17,AR17&lt;$AC17,AR17&lt;$AH17,AR17&lt;$AM17,AR17&lt;$AW17,AR17&lt;$BB17,AR17&lt;$BG17,AR17&lt;$BL17),1,
IF(AND(AP2=$C2,AR17=$C17,OR(AR17=$I17,AR17=$N17,AR17=$S17,AR17=$X17,AR17=$AC17,AR17=$AH17,AR17=$AM17,AR17=$AW17,AR17=$BB17,AR17=$BG17,AR17=$BL17)),0.5,
0)))))))),
IF(AND(AT17=TRUE,AT2=TRUE),3,
IF(AND(AT17=TRUE,AT2=FALSE),1,
IF(AT17="",0)))
)</f>
        <v>0</v>
      </c>
      <c r="AT17" s="49" t="str">
        <f t="shared" ref="AT17:AT30" si="53">IF($C2="","",
IF(AP2=$C2,TRUE,FALSE))</f>
        <v/>
      </c>
      <c r="AU17" s="47" t="str">
        <f t="shared" ref="AU17:AU30" si="54">IF(AU2=C2,ABS(AW2-E2),"")</f>
        <v/>
      </c>
      <c r="AV17" s="47" t="str">
        <f t="shared" ref="AV17:AV30" si="55">IF(AU2=C2,ABS(AX2-F2),"")</f>
        <v/>
      </c>
      <c r="AW17" s="48" t="str">
        <f t="shared" ref="AW17:AW30" si="56">IF(AU2=C2,SUM(AU17,AV17),"")</f>
        <v/>
      </c>
      <c r="AX17" s="9">
        <f t="shared" ref="AX17:AX30" si="57">SUM(IF(AND(AU2=$C2,AW17=$C17,$C17=0,AY2=TRUE,AW17&lt;$I17,AW17&lt;$N17,AW17&lt;$S17,AW17&lt;$X17,AW17&lt;$AC17,AW17&lt;$AH17,AW17&lt;$AM17,AW17&lt;$AR17,AW17&lt;$BB17,AW17&lt;$BG17,AW17&lt;$BL17),15,
IF(AND(AU2=$C2,AW17=$C17,$C17=0,AY2=TRUE,OR(AW17=$I17,AW17=$N17,AW17=$S17,AW17=$X17,AW17=$AC17,AW17=$AH17,AW17=$AM17,AW17=$AR17,AW17=$BB17,AW17=$BG17,AW17=$BL17)),7.5,
IF(AND(AU2=$C2,AW17=$C17,$C17=0,AW17&lt;$I17,AW17&lt;$N17,AW17&lt;$S17,AW17&lt;$X17,AW17&lt;$AC17,AW17&lt;$AH17,AW17&lt;$AM17,AW17&lt;$AR17,AW17&lt;$BB17,AW17&lt;$BG17,AW17&lt;$BL17),5,
IF(AND(AU2=$C2,AW17=$C17,AY2=TRUE,AW17&lt;$I17,AW17&lt;$N17,AW17&lt;$S17,AW17&lt;$X17,AW17&lt;$AC17,AW17&lt;$AH17,AW17&lt;$AM17,AW17&lt;$AR17,AW17&lt;$BB17,AW17&lt;$BG17,AW17&lt;$BL17),3,
IF(AND(AU2=$C2,AW17=$C17,$C17=0,OR(AW17=$I17,AW17=$N17,AW17=$S17,AW17=$X17,AW17=$AC17,AW17=$AH17,AW17=$AM17,AW17=$AR17,AW17=$BB17,AW17=$BG17,AW17=$BL17)),2.5,
IF(AND(AU2=$C2,AW17=$C17,AY2=TRUE,OR(AW17=$I17,AW17=$N17,AW17=$S17,AW17=$X17,AW17=$AC17,AW17=$AH17,AW17=$AM17,AW17=$AR17,AW17=$BB17,AW17=$BG17,AW17=$BL17)),1.5,
IF(AND(AU2=$C2,AW17=$C17,AW17&lt;$I17,AW17&lt;$N17,AW17&lt;$S17,AW17&lt;$X17,AW17&lt;$AC17,AW17&lt;$AH17,AW17&lt;$AM17,AW17&lt;$AR17,AW17&lt;$BB17,AW17&lt;$BG17,AW17&lt;$BL17),1,
IF(AND(AU2=$C2,AW17=$C17,OR(AW17=$I17,AW17=$N17,AW17=$S17,AW17=$X17,AW17=$AC17,AW17=$AH17,AW17=$AM17,AW17=$AR17,AW17=$BB17,AW17=$BG17,AW17=$BL17)),0.5,
0)))))))),
IF(AND(AY17=TRUE,AY2=TRUE),3,
IF(AND(AY17=TRUE,AY2=FALSE),1,
IF(AY17="",0)))
)</f>
        <v>0</v>
      </c>
      <c r="AY17" s="49" t="str">
        <f t="shared" ref="AY17:AY30" si="58">IF($C2="","",
IF(AU2=$C2,TRUE,FALSE))</f>
        <v/>
      </c>
      <c r="AZ17" s="47" t="str">
        <f t="shared" ref="AZ17:AZ30" si="59">IF(AZ2=C2,ABS(BB2-E2),"")</f>
        <v/>
      </c>
      <c r="BA17" s="47" t="str">
        <f t="shared" ref="BA17:BA30" si="60">IF(AZ2=C2,ABS(BC2-F2),"")</f>
        <v/>
      </c>
      <c r="BB17" s="48" t="str">
        <f t="shared" ref="BB17:BB30" si="61">IF(AZ2=C2,SUM(AZ17,BA17),"")</f>
        <v/>
      </c>
      <c r="BC17" s="9">
        <f t="shared" ref="BC17:BC30" si="62">SUM(IF(AND(AZ2=$C2,BB17=$C17,$C17=0,BD2=TRUE,BB17&lt;$I17,BB17&lt;$N17,BB17&lt;$S17,BB17&lt;$X17,BB17&lt;$AC17,BB17&lt;$AH17,BB17&lt;$AM17,BB17&lt;$AR17,BB17&lt;$AW17,BB17&lt;$BG17,BB17&lt;$BL17),15,
IF(AND(AZ2=$C2,BB17=$C17,$C17=0,BD2=TRUE,OR(BB17=$I17,BB17=$N17,BB17=$S17,BB17=$X17,BB17=$AC17,BB17=$AH17,BB17=$AM17,BB17=$AR17,BB17=$AW17,BB17=$BG17,BB17=$BL17)),7.5,
IF(AND(AZ2=$C2,BB17=$C17,$C17=0,BB17&lt;$I17,BB17&lt;$N17,BB17&lt;$S17,BB17&lt;$X17,BB17&lt;$AC17,BB17&lt;$AH17,BB17&lt;$AM17,BB17&lt;$AR17,BB17&lt;$AW17,BB17&lt;$BG17,BB17&lt;$BL17),5,
IF(AND(AZ2=$C2,BB17=$C17,BD2=TRUE,BB17&lt;$I17,BB17&lt;$N17,BB17&lt;$S17,BB17&lt;$X17,BB17&lt;$AC17,BB17&lt;$AH17,BB17&lt;$AM17,BB17&lt;$AR17,BB17&lt;$AW17,BB17&lt;$BG17,BB17&lt;$BL17),3,
IF(AND(AZ2=$C2,BB17=$C17,$C17=0,OR(BB17=$I17,BB17=$N17,BB17=$S17,BB17=$X17,BB17=$AC17,BB17=$AH17,BB17=$AM17,BB17=$AR17,BB17=$AW17,BB17=$BG17,BB17=$BL17)),2.5,
IF(AND(AZ2=$C2,BB17=$C17,BD2=TRUE,OR(BB17=$I17,BB17=$N17,BB17=$S17,BB17=$X17,BB17=$AC17,BB17=$AH17,BB17=$AM17,BB17=$AR17,BB17=$AW17,BB17=$BG17,BB17=$BL17)),1.5,
IF(AND(AZ2=$C2,BB17=$C17,BB17&lt;$I17,BB17&lt;$N17,BB17&lt;$S17,BB17&lt;$X17,BB17&lt;$AC17,BB17&lt;$AH17,BB17&lt;$AM17,BB17&lt;$AR17,BB17&lt;$AW17,BB17&lt;$BG17,BB17&lt;$BL17),1,
IF(AND(AZ2=$C2,BB17=$C17,OR(BB17=$I17,BB17=$N17,BB17=$S17,BB17=$X17,BB17=$AC17,BB17=$AH17,BB17=$AM17,BB17=$AR17,BB17=$AW17,BB17=$BG17,BB17=$BL17)),0.5,
0)))))))),
IF(AND(BD17=TRUE,BD2=TRUE),3,
IF(AND(BD17=TRUE,BD2=FALSE),1,
IF(BD17="",0)))
)</f>
        <v>0</v>
      </c>
      <c r="BD17" s="49" t="str">
        <f t="shared" ref="BD17:BD30" si="63">IF($C2="","",
IF(AZ2=$C2,TRUE,FALSE))</f>
        <v/>
      </c>
      <c r="BE17" s="47" t="str">
        <f t="shared" ref="BE17:BE30" si="64">IF(BE2=C2,ABS(BG2-E2),"")</f>
        <v/>
      </c>
      <c r="BF17" s="47" t="str">
        <f t="shared" ref="BF17:BF30" si="65">IF(BE2=C2,ABS(BH2-F2),"")</f>
        <v/>
      </c>
      <c r="BG17" s="48" t="str">
        <f t="shared" ref="BG17:BG30" si="66">IF(BE2=C2,SUM(BE17,BF17),"")</f>
        <v/>
      </c>
      <c r="BH17" s="9">
        <f t="shared" ref="BH17:BH30" si="67">SUM(IF(AND(BE2=$C2,BG17=$C17,$C17=0,BI2=TRUE,BG17&lt;$I17,BG17&lt;$N17,BG17&lt;$S17,BG17&lt;$X17,BG17&lt;$AC17,BG17&lt;$AH17,BG17&lt;$AM17,BG17&lt;$AR17,BG17&lt;$AW17,BG17&lt;$BB17,BG17&lt;$BL17),15,
IF(AND(BE2=$C2,BG17=$C17,$C17=0,BI2=TRUE,OR(BG17=$I17,BG17=$N17,BG17=$S17,BG17=$X17,BG17=$AC17,BG17=$AH17,BG17=$AM17,BG17=$AR17,BG17=$AW17,BG17=$BB17,BG17=$BL17)),7.5,
IF(AND(BE2=$C2,BG17=$C17,$C17=0,BG17&lt;$I17,BG17&lt;$N17,BG17&lt;$S17,BG17&lt;$X17,BG17&lt;$AC17,BG17&lt;$AH17,BG17&lt;$AM17,BG17&lt;$AR17,BG17&lt;$AW17,BG17&lt;$BB17,BG17&lt;$BL17),5,
IF(AND(BE2=$C2,BG17=$C17,BI2=TRUE,BG17&lt;$I17,BG17&lt;$N17,BG17&lt;$S17,BG17&lt;$X17,BG17&lt;$AC17,BG17&lt;$AH17,BG17&lt;$AM17,BG17&lt;$AR17,BG17&lt;$AW17,BG17&lt;$BB17,BG17&lt;$BL17),3,
IF(AND(BE2=$C2,BG17=$C17,$C17=0,OR(BG17=$I17,BG17=$N17,BG17=$S17,BG17=$X17,BG17=$AC17,BG17=$AH17,BG17=$AM17,BG17=$AR17,BG17=$AW17,BG17=$BB17,BG17=$BL17)),2.5,
IF(AND(BE2=$C2,BG17=$C17,BI2=TRUE,OR(BG17=$I17,BG17=$N17,BG17=$S17,BG17=$X17,BG17=$AC17,BG17=$AH17,BG17=$AM17,BG17=$AR17,BG17=$AW17,BG17=$BB17,BG17=$BL17)),1.5,
IF(AND(BE2=$C2,BG17=$C17,BG17&lt;$I17,BG17&lt;$N17,BG17&lt;$S17,BG17&lt;$X17,BG17&lt;$AC17,BG17&lt;$AH17,BG17&lt;$AM17,BG17&lt;$AR17,BG17&lt;$AW17,BG17&lt;$BB17,BG17&lt;$BL17),1,
IF(AND(BE2=$C2,BG17=$C17,OR(BG17=$I17,BG17=$N17,BG17=$S17,BG17=$X17,BG17=$AC17,BG17=$AH17,BG17=$AM17,BG17=$AR17,BG17=$AW17,BG17=$BB17,BG17=$BL17)),0.5,
0)))))))),
IF(AND(BI17=TRUE,BI2=TRUE),3,
IF(AND(BI17=TRUE,BI2=FALSE),1,
IF(BI17="",0)))
)</f>
        <v>0</v>
      </c>
      <c r="BI17" s="49" t="str">
        <f t="shared" ref="BI17:BI30" si="68">IF($C2="","",
IF(BE2=$C2,TRUE,FALSE))</f>
        <v/>
      </c>
      <c r="BJ17" s="47" t="str">
        <f t="shared" ref="BJ17:BJ30" si="69">IF(BJ2=C2,ABS(BL2-E2),"")</f>
        <v/>
      </c>
      <c r="BK17" s="47" t="str">
        <f t="shared" ref="BK17:BK30" si="70">IF(BJ2=C2,ABS(BM2-F2),"")</f>
        <v/>
      </c>
      <c r="BL17" s="48" t="str">
        <f t="shared" ref="BL17:BL30" si="71">IF(BJ2=C2,SUM(BJ17,BK17),"")</f>
        <v/>
      </c>
      <c r="BM17" s="9">
        <f t="shared" ref="BM17:BM30" si="72">SUM(IF(AND(BJ2=$C2,BL17=$C17,$C17=0,BN2=TRUE,BL17&lt;$I17,BL17&lt;$N17,BL17&lt;$S17,BL17&lt;$X17,BL17&lt;$AC17,BL17&lt;$AH17,BL17&lt;$AM17,BL17&lt;$AR17,BL17&lt;$AW17,BL17&lt;$BB17,BL17&lt;$BG17),15,
IF(AND(BJ2=$C2,BL17=$C17,$C17=0,BN2=TRUE,OR(BL17=$I17,BL17=$N17,BL17=$S17,BL17=$X17,BL17=$AC17,BL17=$AH17,BL17=$AM17,BL17=$AR17,BL17=$AW17,BL17=$BB17,BL17=$BG17)),7.5,
IF(AND(BJ2=$C2,BL17=$C17,$C17=0,BL17&lt;$I17,BL17&lt;$N17,BL17&lt;$S17,BL17&lt;$X17,BL17&lt;$AC17,BL17&lt;$AH17,BL17&lt;$AM17,BL17&lt;$AR17,BL17&lt;$AW17,BL17&lt;$BB17,BL17&lt;$BG17),5,
IF(AND(BJ2=$C2,BL17=$C17,BN2=TRUE,BL17&lt;$I17,BL17&lt;$N17,BL17&lt;$S17,BL17&lt;$X17,BL17&lt;$AC17,BL17&lt;$AH17,BL17&lt;$AM17,BL17&lt;$AR17,BL17&lt;$AW17,BL17&lt;$BB17,BL17&lt;$BG17),3,
IF(AND(BJ2=$C2,BL17=$C17,$C17=0,OR(BL17=$I17,BL17=$N17,BL17=$S17,BL17=$X17,BL17=$AC17,BL17=$AH17,BL17=$AM17,BL17=$AR17,BL17=$AW17,BL17=$BB17,BL17=$BG17)),2.5,
IF(AND(BJ2=$C2,BL17=$C17,BN2=TRUE,OR(BL17=$I17,BL17=$N17,BL17=$S17,BL17=$X17,BL17=$AC17,BL17=$AH17,BL17=$AM17,BL17=$AR17,BL17=$AW17,BL17=$BB17,BL17=$BG17)),1.5,
IF(AND(BJ2=$C2,BL17=$C17,BL17&lt;$I17,BL17&lt;$N17,BL17&lt;$S17,BL17&lt;$X17,BL17&lt;$AC17,BL17&lt;$AH17,BL17&lt;$AM17,BL17&lt;$AR17,BL17&lt;$AW17,BL17&lt;$BB17,BL17&lt;$BG17),1,
IF(AND(BJ2=$C2,BL17=$C17,OR(BL17=$I17,BL17=$N17,BL17=$S17,BL17=$X17,BL17=$AC17,BL17=$AH17,BL17=$AM17,BL17=$AR17,BL17=$AW17,BL17=$BB17,BL17=$BG17)),0.5,
0)))))))),
IF(AND(BN17=TRUE,BN2=TRUE),3,
IF(AND(BN17=TRUE,BN2=FALSE),1,
IF(BN17="",0)))
)</f>
        <v>0</v>
      </c>
      <c r="BN17" s="49" t="str">
        <f t="shared" ref="BN17:BN30" si="73">IF($C2="","",
IF(BJ2=$C2,TRUE,FALSE))</f>
        <v/>
      </c>
      <c r="BO17" s="41"/>
      <c r="BP17" s="41"/>
      <c r="BQ17" s="41"/>
    </row>
    <row r="18" hidden="1">
      <c r="A18" s="40"/>
      <c r="B18" s="40"/>
      <c r="C18" s="46">
        <f t="shared" si="13"/>
        <v>0</v>
      </c>
      <c r="D18" s="49"/>
      <c r="E18" s="49"/>
      <c r="F18" s="49"/>
      <c r="G18" s="47" t="str">
        <f t="shared" si="14"/>
        <v/>
      </c>
      <c r="H18" s="47" t="str">
        <f t="shared" si="15"/>
        <v/>
      </c>
      <c r="I18" s="48" t="str">
        <f t="shared" si="16"/>
        <v/>
      </c>
      <c r="J18" s="9">
        <f t="shared" si="17"/>
        <v>0</v>
      </c>
      <c r="K18" s="49" t="str">
        <f t="shared" si="18"/>
        <v/>
      </c>
      <c r="L18" s="47" t="str">
        <f t="shared" si="19"/>
        <v/>
      </c>
      <c r="M18" s="47" t="str">
        <f t="shared" si="20"/>
        <v/>
      </c>
      <c r="N18" s="48" t="str">
        <f t="shared" si="21"/>
        <v/>
      </c>
      <c r="O18" s="9">
        <f t="shared" si="22"/>
        <v>0</v>
      </c>
      <c r="P18" s="49" t="str">
        <f t="shared" si="23"/>
        <v/>
      </c>
      <c r="Q18" s="47" t="str">
        <f t="shared" si="24"/>
        <v/>
      </c>
      <c r="R18" s="47" t="str">
        <f t="shared" si="25"/>
        <v/>
      </c>
      <c r="S18" s="48" t="str">
        <f t="shared" si="26"/>
        <v/>
      </c>
      <c r="T18" s="9">
        <f t="shared" si="27"/>
        <v>0</v>
      </c>
      <c r="U18" s="49" t="str">
        <f t="shared" si="28"/>
        <v/>
      </c>
      <c r="V18" s="47" t="str">
        <f t="shared" si="29"/>
        <v/>
      </c>
      <c r="W18" s="47" t="str">
        <f t="shared" si="30"/>
        <v/>
      </c>
      <c r="X18" s="48" t="str">
        <f t="shared" si="31"/>
        <v/>
      </c>
      <c r="Y18" s="9">
        <f t="shared" si="32"/>
        <v>0</v>
      </c>
      <c r="Z18" s="49" t="str">
        <f t="shared" si="33"/>
        <v/>
      </c>
      <c r="AA18" s="47" t="str">
        <f t="shared" si="34"/>
        <v/>
      </c>
      <c r="AB18" s="47" t="str">
        <f t="shared" si="35"/>
        <v/>
      </c>
      <c r="AC18" s="48" t="str">
        <f t="shared" si="36"/>
        <v/>
      </c>
      <c r="AD18" s="9">
        <f t="shared" si="37"/>
        <v>0</v>
      </c>
      <c r="AE18" s="49" t="str">
        <f t="shared" si="38"/>
        <v/>
      </c>
      <c r="AF18" s="47" t="str">
        <f t="shared" si="39"/>
        <v/>
      </c>
      <c r="AG18" s="47" t="str">
        <f t="shared" si="40"/>
        <v/>
      </c>
      <c r="AH18" s="48" t="str">
        <f t="shared" si="41"/>
        <v/>
      </c>
      <c r="AI18" s="9">
        <f t="shared" si="42"/>
        <v>0</v>
      </c>
      <c r="AJ18" s="49" t="str">
        <f t="shared" si="43"/>
        <v/>
      </c>
      <c r="AK18" s="47" t="str">
        <f t="shared" si="44"/>
        <v/>
      </c>
      <c r="AL18" s="47" t="str">
        <f t="shared" si="45"/>
        <v/>
      </c>
      <c r="AM18" s="48" t="str">
        <f t="shared" si="46"/>
        <v/>
      </c>
      <c r="AN18" s="9">
        <f t="shared" si="47"/>
        <v>0</v>
      </c>
      <c r="AO18" s="49" t="str">
        <f t="shared" si="48"/>
        <v/>
      </c>
      <c r="AP18" s="47" t="str">
        <f t="shared" si="49"/>
        <v/>
      </c>
      <c r="AQ18" s="47" t="str">
        <f t="shared" si="50"/>
        <v/>
      </c>
      <c r="AR18" s="48" t="str">
        <f t="shared" si="51"/>
        <v/>
      </c>
      <c r="AS18" s="9">
        <f t="shared" si="52"/>
        <v>0</v>
      </c>
      <c r="AT18" s="49" t="str">
        <f t="shared" si="53"/>
        <v/>
      </c>
      <c r="AU18" s="47" t="str">
        <f t="shared" si="54"/>
        <v/>
      </c>
      <c r="AV18" s="47" t="str">
        <f t="shared" si="55"/>
        <v/>
      </c>
      <c r="AW18" s="48" t="str">
        <f t="shared" si="56"/>
        <v/>
      </c>
      <c r="AX18" s="9">
        <f t="shared" si="57"/>
        <v>0</v>
      </c>
      <c r="AY18" s="49" t="str">
        <f t="shared" si="58"/>
        <v/>
      </c>
      <c r="AZ18" s="47" t="str">
        <f t="shared" si="59"/>
        <v/>
      </c>
      <c r="BA18" s="47" t="str">
        <f t="shared" si="60"/>
        <v/>
      </c>
      <c r="BB18" s="48" t="str">
        <f t="shared" si="61"/>
        <v/>
      </c>
      <c r="BC18" s="9">
        <f t="shared" si="62"/>
        <v>0</v>
      </c>
      <c r="BD18" s="49" t="str">
        <f t="shared" si="63"/>
        <v/>
      </c>
      <c r="BE18" s="47" t="str">
        <f t="shared" si="64"/>
        <v/>
      </c>
      <c r="BF18" s="47" t="str">
        <f t="shared" si="65"/>
        <v/>
      </c>
      <c r="BG18" s="48" t="str">
        <f t="shared" si="66"/>
        <v/>
      </c>
      <c r="BH18" s="9">
        <f t="shared" si="67"/>
        <v>0</v>
      </c>
      <c r="BI18" s="49" t="str">
        <f t="shared" si="68"/>
        <v/>
      </c>
      <c r="BJ18" s="47" t="str">
        <f t="shared" si="69"/>
        <v/>
      </c>
      <c r="BK18" s="47" t="str">
        <f t="shared" si="70"/>
        <v/>
      </c>
      <c r="BL18" s="48" t="str">
        <f t="shared" si="71"/>
        <v/>
      </c>
      <c r="BM18" s="9">
        <f t="shared" si="72"/>
        <v>0</v>
      </c>
      <c r="BN18" s="49" t="str">
        <f t="shared" si="73"/>
        <v/>
      </c>
      <c r="BO18" s="40"/>
      <c r="BP18" s="40"/>
      <c r="BQ18" s="40"/>
    </row>
    <row r="19" hidden="1">
      <c r="A19" s="40"/>
      <c r="B19" s="40"/>
      <c r="C19" s="46">
        <f t="shared" si="13"/>
        <v>0</v>
      </c>
      <c r="D19" s="49"/>
      <c r="E19" s="49"/>
      <c r="F19" s="49"/>
      <c r="G19" s="47" t="str">
        <f t="shared" si="14"/>
        <v/>
      </c>
      <c r="H19" s="47" t="str">
        <f t="shared" si="15"/>
        <v/>
      </c>
      <c r="I19" s="48" t="str">
        <f t="shared" si="16"/>
        <v/>
      </c>
      <c r="J19" s="9">
        <f t="shared" si="17"/>
        <v>0</v>
      </c>
      <c r="K19" s="49" t="str">
        <f t="shared" si="18"/>
        <v/>
      </c>
      <c r="L19" s="47" t="str">
        <f t="shared" si="19"/>
        <v/>
      </c>
      <c r="M19" s="47" t="str">
        <f t="shared" si="20"/>
        <v/>
      </c>
      <c r="N19" s="48" t="str">
        <f t="shared" si="21"/>
        <v/>
      </c>
      <c r="O19" s="9">
        <f t="shared" si="22"/>
        <v>0</v>
      </c>
      <c r="P19" s="49" t="str">
        <f t="shared" si="23"/>
        <v/>
      </c>
      <c r="Q19" s="47" t="str">
        <f t="shared" si="24"/>
        <v/>
      </c>
      <c r="R19" s="47" t="str">
        <f t="shared" si="25"/>
        <v/>
      </c>
      <c r="S19" s="48" t="str">
        <f t="shared" si="26"/>
        <v/>
      </c>
      <c r="T19" s="9">
        <f t="shared" si="27"/>
        <v>0</v>
      </c>
      <c r="U19" s="49" t="str">
        <f t="shared" si="28"/>
        <v/>
      </c>
      <c r="V19" s="47" t="str">
        <f t="shared" si="29"/>
        <v/>
      </c>
      <c r="W19" s="47" t="str">
        <f t="shared" si="30"/>
        <v/>
      </c>
      <c r="X19" s="48" t="str">
        <f t="shared" si="31"/>
        <v/>
      </c>
      <c r="Y19" s="9">
        <f t="shared" si="32"/>
        <v>0</v>
      </c>
      <c r="Z19" s="49" t="str">
        <f t="shared" si="33"/>
        <v/>
      </c>
      <c r="AA19" s="47" t="str">
        <f t="shared" si="34"/>
        <v/>
      </c>
      <c r="AB19" s="47" t="str">
        <f t="shared" si="35"/>
        <v/>
      </c>
      <c r="AC19" s="48" t="str">
        <f t="shared" si="36"/>
        <v/>
      </c>
      <c r="AD19" s="9">
        <f t="shared" si="37"/>
        <v>0</v>
      </c>
      <c r="AE19" s="49" t="str">
        <f t="shared" si="38"/>
        <v/>
      </c>
      <c r="AF19" s="47" t="str">
        <f t="shared" si="39"/>
        <v/>
      </c>
      <c r="AG19" s="47" t="str">
        <f t="shared" si="40"/>
        <v/>
      </c>
      <c r="AH19" s="48" t="str">
        <f t="shared" si="41"/>
        <v/>
      </c>
      <c r="AI19" s="9">
        <f t="shared" si="42"/>
        <v>0</v>
      </c>
      <c r="AJ19" s="49" t="str">
        <f t="shared" si="43"/>
        <v/>
      </c>
      <c r="AK19" s="47" t="str">
        <f t="shared" si="44"/>
        <v/>
      </c>
      <c r="AL19" s="47" t="str">
        <f t="shared" si="45"/>
        <v/>
      </c>
      <c r="AM19" s="48" t="str">
        <f t="shared" si="46"/>
        <v/>
      </c>
      <c r="AN19" s="9">
        <f t="shared" si="47"/>
        <v>0</v>
      </c>
      <c r="AO19" s="49" t="str">
        <f t="shared" si="48"/>
        <v/>
      </c>
      <c r="AP19" s="47" t="str">
        <f t="shared" si="49"/>
        <v/>
      </c>
      <c r="AQ19" s="47" t="str">
        <f t="shared" si="50"/>
        <v/>
      </c>
      <c r="AR19" s="48" t="str">
        <f t="shared" si="51"/>
        <v/>
      </c>
      <c r="AS19" s="9">
        <f t="shared" si="52"/>
        <v>0</v>
      </c>
      <c r="AT19" s="49" t="str">
        <f t="shared" si="53"/>
        <v/>
      </c>
      <c r="AU19" s="47" t="str">
        <f t="shared" si="54"/>
        <v/>
      </c>
      <c r="AV19" s="47" t="str">
        <f t="shared" si="55"/>
        <v/>
      </c>
      <c r="AW19" s="48" t="str">
        <f t="shared" si="56"/>
        <v/>
      </c>
      <c r="AX19" s="9">
        <f t="shared" si="57"/>
        <v>0</v>
      </c>
      <c r="AY19" s="49" t="str">
        <f t="shared" si="58"/>
        <v/>
      </c>
      <c r="AZ19" s="47" t="str">
        <f t="shared" si="59"/>
        <v/>
      </c>
      <c r="BA19" s="47" t="str">
        <f t="shared" si="60"/>
        <v/>
      </c>
      <c r="BB19" s="48" t="str">
        <f t="shared" si="61"/>
        <v/>
      </c>
      <c r="BC19" s="9">
        <f t="shared" si="62"/>
        <v>0</v>
      </c>
      <c r="BD19" s="49" t="str">
        <f t="shared" si="63"/>
        <v/>
      </c>
      <c r="BE19" s="47" t="str">
        <f t="shared" si="64"/>
        <v/>
      </c>
      <c r="BF19" s="47" t="str">
        <f t="shared" si="65"/>
        <v/>
      </c>
      <c r="BG19" s="48" t="str">
        <f t="shared" si="66"/>
        <v/>
      </c>
      <c r="BH19" s="9">
        <f t="shared" si="67"/>
        <v>0</v>
      </c>
      <c r="BI19" s="49" t="str">
        <f t="shared" si="68"/>
        <v/>
      </c>
      <c r="BJ19" s="47" t="str">
        <f t="shared" si="69"/>
        <v/>
      </c>
      <c r="BK19" s="47" t="str">
        <f t="shared" si="70"/>
        <v/>
      </c>
      <c r="BL19" s="48" t="str">
        <f t="shared" si="71"/>
        <v/>
      </c>
      <c r="BM19" s="9">
        <f t="shared" si="72"/>
        <v>0</v>
      </c>
      <c r="BN19" s="49" t="str">
        <f t="shared" si="73"/>
        <v/>
      </c>
      <c r="BO19" s="40"/>
      <c r="BP19" s="40"/>
      <c r="BQ19" s="40"/>
    </row>
    <row r="20" hidden="1">
      <c r="A20" s="40"/>
      <c r="B20" s="40"/>
      <c r="C20" s="46">
        <f t="shared" si="13"/>
        <v>0</v>
      </c>
      <c r="D20" s="49"/>
      <c r="E20" s="49"/>
      <c r="F20" s="49"/>
      <c r="G20" s="47" t="str">
        <f t="shared" si="14"/>
        <v/>
      </c>
      <c r="H20" s="47" t="str">
        <f t="shared" si="15"/>
        <v/>
      </c>
      <c r="I20" s="48" t="str">
        <f t="shared" si="16"/>
        <v/>
      </c>
      <c r="J20" s="9">
        <f t="shared" si="17"/>
        <v>0</v>
      </c>
      <c r="K20" s="49" t="str">
        <f t="shared" si="18"/>
        <v/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str">
        <f t="shared" si="23"/>
        <v/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str">
        <f t="shared" si="28"/>
        <v/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str">
        <f t="shared" si="33"/>
        <v/>
      </c>
      <c r="AA20" s="47" t="str">
        <f t="shared" si="34"/>
        <v/>
      </c>
      <c r="AB20" s="47" t="str">
        <f t="shared" si="35"/>
        <v/>
      </c>
      <c r="AC20" s="48" t="str">
        <f t="shared" si="36"/>
        <v/>
      </c>
      <c r="AD20" s="9">
        <f t="shared" si="37"/>
        <v>0</v>
      </c>
      <c r="AE20" s="49" t="str">
        <f t="shared" si="38"/>
        <v/>
      </c>
      <c r="AF20" s="47" t="str">
        <f t="shared" si="39"/>
        <v/>
      </c>
      <c r="AG20" s="47" t="str">
        <f t="shared" si="40"/>
        <v/>
      </c>
      <c r="AH20" s="48" t="str">
        <f t="shared" si="41"/>
        <v/>
      </c>
      <c r="AI20" s="9">
        <f t="shared" si="42"/>
        <v>0</v>
      </c>
      <c r="AJ20" s="49" t="str">
        <f t="shared" si="43"/>
        <v/>
      </c>
      <c r="AK20" s="47" t="str">
        <f t="shared" si="44"/>
        <v/>
      </c>
      <c r="AL20" s="47" t="str">
        <f t="shared" si="45"/>
        <v/>
      </c>
      <c r="AM20" s="48" t="str">
        <f t="shared" si="46"/>
        <v/>
      </c>
      <c r="AN20" s="9">
        <f t="shared" si="47"/>
        <v>0</v>
      </c>
      <c r="AO20" s="49" t="str">
        <f t="shared" si="48"/>
        <v/>
      </c>
      <c r="AP20" s="47" t="str">
        <f t="shared" si="49"/>
        <v/>
      </c>
      <c r="AQ20" s="47" t="str">
        <f t="shared" si="50"/>
        <v/>
      </c>
      <c r="AR20" s="48" t="str">
        <f t="shared" si="51"/>
        <v/>
      </c>
      <c r="AS20" s="9">
        <f t="shared" si="52"/>
        <v>0</v>
      </c>
      <c r="AT20" s="49" t="str">
        <f t="shared" si="53"/>
        <v/>
      </c>
      <c r="AU20" s="47" t="str">
        <f t="shared" si="54"/>
        <v/>
      </c>
      <c r="AV20" s="47" t="str">
        <f t="shared" si="55"/>
        <v/>
      </c>
      <c r="AW20" s="48" t="str">
        <f t="shared" si="56"/>
        <v/>
      </c>
      <c r="AX20" s="9">
        <f t="shared" si="57"/>
        <v>0</v>
      </c>
      <c r="AY20" s="49" t="str">
        <f t="shared" si="58"/>
        <v/>
      </c>
      <c r="AZ20" s="47" t="str">
        <f t="shared" si="59"/>
        <v/>
      </c>
      <c r="BA20" s="47" t="str">
        <f t="shared" si="60"/>
        <v/>
      </c>
      <c r="BB20" s="48" t="str">
        <f t="shared" si="61"/>
        <v/>
      </c>
      <c r="BC20" s="9">
        <f t="shared" si="62"/>
        <v>0</v>
      </c>
      <c r="BD20" s="49" t="str">
        <f t="shared" si="63"/>
        <v/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str">
        <f t="shared" si="68"/>
        <v/>
      </c>
      <c r="BJ20" s="47" t="str">
        <f t="shared" si="69"/>
        <v/>
      </c>
      <c r="BK20" s="47" t="str">
        <f t="shared" si="70"/>
        <v/>
      </c>
      <c r="BL20" s="48" t="str">
        <f t="shared" si="71"/>
        <v/>
      </c>
      <c r="BM20" s="9">
        <f t="shared" si="72"/>
        <v>0</v>
      </c>
      <c r="BN20" s="49" t="str">
        <f t="shared" si="73"/>
        <v/>
      </c>
      <c r="BO20" s="40"/>
      <c r="BP20" s="40"/>
      <c r="BQ20" s="40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9"/>
      <c r="D31" s="49"/>
      <c r="E31" s="49"/>
      <c r="F31" s="49"/>
      <c r="G31" s="49"/>
      <c r="H31" s="49"/>
      <c r="I31" s="49"/>
      <c r="J31" s="59">
        <f>MULTIPLY(SUM(J17:J30),10)</f>
        <v>0</v>
      </c>
      <c r="K31" s="62">
        <f>COUNTIF(K17:K30,"TRUE")</f>
        <v>0</v>
      </c>
      <c r="L31" s="49"/>
      <c r="M31" s="49"/>
      <c r="N31" s="49"/>
      <c r="O31" s="59">
        <f>MULTIPLY(SUM(O17:O30),10)</f>
        <v>0</v>
      </c>
      <c r="P31" s="62">
        <f>COUNTIF(P17:P30,"TRUE")</f>
        <v>0</v>
      </c>
      <c r="Q31" s="49"/>
      <c r="R31" s="49"/>
      <c r="S31" s="49"/>
      <c r="T31" s="59">
        <f>MULTIPLY(SUM(T17:T30),10)</f>
        <v>0</v>
      </c>
      <c r="U31" s="62">
        <f>COUNTIF(U17:U30,"TRUE")</f>
        <v>0</v>
      </c>
      <c r="V31" s="49"/>
      <c r="W31" s="49"/>
      <c r="X31" s="49"/>
      <c r="Y31" s="59">
        <f>MULTIPLY(SUM(Y17:Y30),10)</f>
        <v>0</v>
      </c>
      <c r="Z31" s="62">
        <f>COUNTIF(Z17:Z30,"TRUE")</f>
        <v>0</v>
      </c>
      <c r="AA31" s="49"/>
      <c r="AB31" s="49"/>
      <c r="AC31" s="49"/>
      <c r="AD31" s="59">
        <f>MULTIPLY(SUM(AD17:AD30),10)</f>
        <v>0</v>
      </c>
      <c r="AE31" s="62">
        <f>COUNTIF(AE17:AE30,"TRUE")</f>
        <v>0</v>
      </c>
      <c r="AF31" s="49"/>
      <c r="AG31" s="49"/>
      <c r="AH31" s="49"/>
      <c r="AI31" s="59">
        <f>MULTIPLY(SUM(AI17:AI30),10)</f>
        <v>0</v>
      </c>
      <c r="AJ31" s="62">
        <f>COUNTIF(AJ17:AJ30,"TRUE")</f>
        <v>0</v>
      </c>
      <c r="AK31" s="49"/>
      <c r="AL31" s="49"/>
      <c r="AM31" s="49"/>
      <c r="AN31" s="59">
        <f>MULTIPLY(SUM(AN17:AN30),10)</f>
        <v>0</v>
      </c>
      <c r="AO31" s="62">
        <f>COUNTIF(AO17:AO30,"TRUE")</f>
        <v>0</v>
      </c>
      <c r="AP31" s="49"/>
      <c r="AQ31" s="49"/>
      <c r="AR31" s="49"/>
      <c r="AS31" s="59">
        <f>MULTIPLY(SUM(AS17:AS30),10)</f>
        <v>0</v>
      </c>
      <c r="AT31" s="62">
        <f>COUNTIF(AT17:AT30,"TRUE")</f>
        <v>0</v>
      </c>
      <c r="AU31" s="49"/>
      <c r="AV31" s="49"/>
      <c r="AW31" s="49"/>
      <c r="AX31" s="59">
        <f>MULTIPLY(SUM(AX17:AX30),10)</f>
        <v>0</v>
      </c>
      <c r="AY31" s="62">
        <f>COUNTIF(AY17:AY30,"TRUE")</f>
        <v>0</v>
      </c>
      <c r="AZ31" s="49"/>
      <c r="BA31" s="49"/>
      <c r="BB31" s="49"/>
      <c r="BC31" s="59">
        <f>MULTIPLY(SUM(BC17:BC30),10)</f>
        <v>0</v>
      </c>
      <c r="BD31" s="62">
        <f>COUNTIF(BD17:BD30,"TRUE")</f>
        <v>0</v>
      </c>
      <c r="BE31" s="49"/>
      <c r="BF31" s="49"/>
      <c r="BG31" s="49"/>
      <c r="BH31" s="59">
        <f>MULTIPLY(SUM(BH17:BH30),10)</f>
        <v>0</v>
      </c>
      <c r="BI31" s="62">
        <f>COUNTIF(BI17:BI30,"TRUE")</f>
        <v>0</v>
      </c>
      <c r="BJ31" s="49"/>
      <c r="BK31" s="49"/>
      <c r="BL31" s="49"/>
      <c r="BM31" s="59">
        <f>MULTIPLY(SUM(BM17:BM30),10)</f>
        <v>0</v>
      </c>
      <c r="BN31" s="62">
        <f>COUNTIF(BN17:BN30,"TRUE")</f>
        <v>0</v>
      </c>
      <c r="BO31" s="40"/>
      <c r="BP31" s="40"/>
      <c r="BQ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</row>
    <row r="33">
      <c r="A33" s="83" t="s">
        <v>234</v>
      </c>
      <c r="B33" s="52"/>
      <c r="C33" s="53" t="s">
        <v>6</v>
      </c>
      <c r="D33" s="53" t="s">
        <v>7</v>
      </c>
      <c r="E33" s="53" t="s">
        <v>8</v>
      </c>
      <c r="F33" s="53" t="s">
        <v>9</v>
      </c>
      <c r="G33" s="53" t="s">
        <v>10</v>
      </c>
      <c r="H33" s="53" t="s">
        <v>11</v>
      </c>
      <c r="I33" s="53" t="s">
        <v>12</v>
      </c>
      <c r="J33" s="53" t="s">
        <v>13</v>
      </c>
      <c r="K33" s="53" t="s">
        <v>14</v>
      </c>
      <c r="L33" s="53" t="s">
        <v>15</v>
      </c>
      <c r="M33" s="53" t="s">
        <v>16</v>
      </c>
      <c r="N33" s="54" t="s">
        <v>17</v>
      </c>
      <c r="O33" s="55"/>
      <c r="P33" s="56"/>
      <c r="Q33" s="56"/>
      <c r="R33" s="56"/>
      <c r="S33" s="56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</row>
    <row r="34">
      <c r="A34" s="81" t="s">
        <v>61</v>
      </c>
      <c r="B34" s="57" t="s">
        <v>141</v>
      </c>
      <c r="C34" s="58">
        <f t="array" ref="C34">INDEX(J31,0)</f>
        <v>0</v>
      </c>
      <c r="D34" s="58">
        <f t="array" ref="D34">INDEX(O31,0)</f>
        <v>0</v>
      </c>
      <c r="E34" s="58">
        <f t="array" ref="E34">INDEX(T31,0)</f>
        <v>0</v>
      </c>
      <c r="F34" s="58">
        <f t="array" ref="F34">INDEX(Y31,0)</f>
        <v>0</v>
      </c>
      <c r="G34" s="58">
        <f t="array" ref="G34">INDEX(AD31,0)</f>
        <v>0</v>
      </c>
      <c r="H34" s="58">
        <f t="array" ref="H34">INDEX(AI31,0)</f>
        <v>0</v>
      </c>
      <c r="I34" s="58">
        <f t="array" ref="I34">INDEX(AN31,0)</f>
        <v>0</v>
      </c>
      <c r="J34" s="58">
        <f t="array" ref="J34">INDEX(AS31,0)</f>
        <v>0</v>
      </c>
      <c r="K34" s="58">
        <f t="array" ref="K34">INDEX(AX31,0)</f>
        <v>0</v>
      </c>
      <c r="L34" s="58">
        <f t="array" ref="L34">INDEX(BC31,0)</f>
        <v>0</v>
      </c>
      <c r="M34" s="58">
        <f t="array" ref="M34">INDEX(BH31,0)</f>
        <v>0</v>
      </c>
      <c r="N34" s="60">
        <f t="array" ref="N34">INDEX(BM31,0)</f>
        <v>0</v>
      </c>
      <c r="O34" s="61"/>
      <c r="P34" s="11"/>
      <c r="Q34" s="11"/>
      <c r="R34" s="11"/>
      <c r="S34" s="11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</row>
    <row r="35">
      <c r="A35" s="81" t="s">
        <v>76</v>
      </c>
      <c r="B35" s="63" t="s">
        <v>142</v>
      </c>
      <c r="C35" s="64">
        <f>COUNTIF(K17:K30,true)</f>
        <v>0</v>
      </c>
      <c r="D35" s="64">
        <f>COUNTIF(P17:P30,true)</f>
        <v>0</v>
      </c>
      <c r="E35" s="64">
        <f>COUNTIF(U17:U30,true)</f>
        <v>0</v>
      </c>
      <c r="F35" s="64">
        <f>COUNTIF(Z17:Z30,true)</f>
        <v>0</v>
      </c>
      <c r="G35" s="64">
        <f>COUNTIF(AE17:AE30,true)</f>
        <v>0</v>
      </c>
      <c r="H35" s="64">
        <f>COUNTIF(AJ17:AJ30,true)</f>
        <v>0</v>
      </c>
      <c r="I35" s="64">
        <f>COUNTIF(AO17:AO30,true)</f>
        <v>0</v>
      </c>
      <c r="J35" s="64">
        <f>COUNTIF(AT17:AT30,true)</f>
        <v>0</v>
      </c>
      <c r="K35" s="64">
        <f>COUNTIF(AY17:AY30,true)</f>
        <v>0</v>
      </c>
      <c r="L35" s="64">
        <f>COUNTIF(BD17:BD30,true)</f>
        <v>0</v>
      </c>
      <c r="M35" s="64">
        <f>COUNTIF(BI17:BI30,true)</f>
        <v>0</v>
      </c>
      <c r="N35" s="65">
        <f>COUNTIF(BN17:BN30,true)</f>
        <v>0</v>
      </c>
      <c r="O35" s="66"/>
      <c r="P35" s="67"/>
      <c r="Q35" s="67"/>
      <c r="R35" s="67"/>
      <c r="S35" s="67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</row>
    <row r="36">
      <c r="A36" s="81" t="s">
        <v>79</v>
      </c>
      <c r="B36" s="63" t="s">
        <v>143</v>
      </c>
      <c r="C36" s="68">
        <f>COUNTIF(K17:K30,FALSE)</f>
        <v>0</v>
      </c>
      <c r="D36" s="68">
        <f>COUNTIF(P17:P30,FALSE)</f>
        <v>0</v>
      </c>
      <c r="E36" s="68">
        <f>COUNTIF(U17:U30,FALSE)</f>
        <v>0</v>
      </c>
      <c r="F36" s="68">
        <f>COUNTIF(Z17:Z30,FALSE)</f>
        <v>0</v>
      </c>
      <c r="G36" s="68">
        <f>COUNTIF(AE17:AE30,FALSE)</f>
        <v>0</v>
      </c>
      <c r="H36" s="68">
        <f>COUNTIF(AJ17:AJ30,FALSE)</f>
        <v>0</v>
      </c>
      <c r="I36" s="68">
        <f>COUNTIF(AO17:AO30,FALSE)</f>
        <v>0</v>
      </c>
      <c r="J36" s="68">
        <f>COUNTIF(AT17:AT30,FALSE)</f>
        <v>0</v>
      </c>
      <c r="K36" s="68">
        <f>COUNTIF(AY17:AY30,FALSE)</f>
        <v>0</v>
      </c>
      <c r="L36" s="68">
        <f>COUNTIF(BD17:BD30,FALSE)</f>
        <v>0</v>
      </c>
      <c r="M36" s="68">
        <f>COUNTIF(BI17:BI30,FALSE)</f>
        <v>0</v>
      </c>
      <c r="N36" s="69">
        <f>COUNTIF(BN17:BN30,FALSE)</f>
        <v>0</v>
      </c>
      <c r="O36" s="66"/>
      <c r="P36" s="67"/>
      <c r="Q36" s="67"/>
      <c r="R36" s="67"/>
      <c r="S36" s="67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81" t="s">
        <v>58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8"/>
      <c r="B38" s="70" t="s">
        <v>144</v>
      </c>
      <c r="C38" s="71">
        <f>SUM('Week 1'!C38,'Week 2'!C38,'Week 3'!C38,'Week 4'!C38,'Week 5'!C39,'Week 6'!C35,'Week 7'!C35,'Week 8'!C37,'Week 9'!C38,'Week 10'!C36,'Week 11'!C33,'Week 12'!C40,C34)</f>
        <v>325</v>
      </c>
      <c r="D38" s="71">
        <f>SUM('Week 1'!D38,'Week 2'!D38,'Week 3'!D38,'Week 4'!D38,'Week 5'!D39,'Week 6'!D35,'Week 7'!D35,'Week 8'!D37,'Week 9'!D38,'Week 10'!D36,'Week 11'!D33,'Week 12'!D40,D34)</f>
        <v>275</v>
      </c>
      <c r="E38" s="71">
        <f>SUM('Week 1'!E38,'Week 2'!E38,'Week 3'!E38,'Week 4'!E38,'Week 5'!E39,'Week 6'!E35,'Week 7'!E35,'Week 8'!E37,'Week 9'!E38,'Week 10'!E36,'Week 11'!E33,'Week 12'!E40,E34)</f>
        <v>290</v>
      </c>
      <c r="F38" s="71">
        <f>SUM('Week 1'!F38,'Week 2'!F38,'Week 3'!F38,'Week 4'!F38,'Week 5'!F39,'Week 6'!F35,'Week 7'!F35,'Week 8'!F37,'Week 9'!F38,'Week 10'!F36,'Week 11'!F33,'Week 12'!F40,F34)</f>
        <v>375</v>
      </c>
      <c r="G38" s="71">
        <f>SUM('Week 1'!G38,'Week 2'!G38,'Week 3'!G38,'Week 4'!G38,'Week 5'!G39,'Week 6'!G35,'Week 7'!G35,'Week 8'!G37,'Week 9'!G38,'Week 10'!G36,'Week 11'!G33,'Week 12'!G40,G34)</f>
        <v>410</v>
      </c>
      <c r="H38" s="71">
        <f>SUM('Week 1'!H38,'Week 2'!H38,'Week 3'!H38,'Week 4'!H38,'Week 5'!H39,'Week 6'!H35,'Week 7'!H35,'Week 8'!H37,'Week 9'!H38,'Week 10'!H36,'Week 11'!H33,'Week 12'!H40,H34)</f>
        <v>480</v>
      </c>
      <c r="I38" s="71">
        <f>SUM('Week 1'!I38,'Week 2'!I38,'Week 3'!I38,'Week 4'!I38,'Week 5'!I39,'Week 6'!I35,'Week 7'!I35,'Week 8'!I37,'Week 9'!I38,'Week 10'!I36,'Week 11'!I33,'Week 12'!I40,I34)</f>
        <v>320</v>
      </c>
      <c r="J38" s="71">
        <f>SUM('Week 1'!J38,'Week 2'!J38,'Week 3'!J38,'Week 4'!J38,'Week 5'!J39,'Week 6'!J35,'Week 7'!J35,'Week 8'!J37,'Week 9'!J38,'Week 10'!J36,'Week 11'!J33,'Week 12'!J40,J34)</f>
        <v>445</v>
      </c>
      <c r="K38" s="71">
        <f>SUM('Week 1'!K38,'Week 2'!K38,'Week 3'!K38,'Week 4'!K38,'Week 5'!K39,'Week 6'!K35,'Week 7'!K35,'Week 8'!K37,'Week 9'!K38,'Week 10'!K36,'Week 11'!K33,'Week 12'!K40,K34)</f>
        <v>370</v>
      </c>
      <c r="L38" s="71">
        <f>SUM('Week 1'!L38,'Week 2'!L38,'Week 3'!L38,'Week 4'!L38,'Week 5'!L39,'Week 6'!L35,'Week 7'!L35,'Week 8'!L37,'Week 9'!L38,'Week 10'!L36,'Week 11'!L33,'Week 12'!L40,L34)</f>
        <v>280</v>
      </c>
      <c r="M38" s="71">
        <f>SUM('Week 1'!M38,'Week 2'!M38,'Week 3'!M38,'Week 4'!M38,'Week 5'!M39,'Week 6'!M35,'Week 7'!M35,'Week 8'!M37,'Week 9'!M38,'Week 10'!M36,'Week 11'!M33,'Week 12'!M40,M34)</f>
        <v>365</v>
      </c>
      <c r="N38" s="72">
        <f>SUM('Week 1'!N38,'Week 2'!N38,'Week 3'!N38,'Week 4'!N38,'Week 5'!N39,'Week 6'!N35,'Week 7'!N35,'Week 8'!N37,'Week 9'!N38,'Week 10'!N36,'Week 11'!N33,'Week 12'!N40,N34)</f>
        <v>290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88"/>
      <c r="B39" s="57" t="s">
        <v>145</v>
      </c>
      <c r="C39" s="73" t="str">
        <f>CONCATENATE(SUM('Week 1'!C39,'Week 2'!C39,'Week 3'!C39,'Week 4'!C39,'Week 5'!C40,'Week 6'!C36,'Week 7'!C36,'Week 8'!C38,'Week 9'!C39,'Week 10'!C37,'Week 11'!C34,'Week 12'!C41,C35)," - ",SUM('Week 1'!C40,'Week 2'!C40,'Week 3'!C40,'Week 4'!C40,'Week 5'!C41,'Week 6'!C37,'Week 7'!C37,'Week 8'!C39,'Week 9'!C40,'Week 10'!C38,'Week 11'!C35,'Week 12'!C42,C36))</f>
        <v>25 - 21</v>
      </c>
      <c r="D39" s="73" t="str">
        <f>CONCATENATE(SUM('Week 1'!D39,'Week 2'!D39,'Week 3'!D39,'Week 4'!D39,'Week 5'!D40,'Week 6'!D36,'Week 7'!D36,'Week 8'!D38,'Week 9'!D39,'Week 10'!D37,'Week 11'!D34,'Week 12'!D41,D35)," - ",SUM('Week 1'!D40,'Week 2'!D40,'Week 3'!D40,'Week 4'!D40,'Week 5'!D41,'Week 6'!D37,'Week 7'!D37,'Week 8'!D39,'Week 9'!D40,'Week 10'!D38,'Week 11'!D35,'Week 12'!D42,D36))</f>
        <v>24 - 22</v>
      </c>
      <c r="E39" s="73" t="str">
        <f>CONCATENATE(SUM('Week 1'!E39,'Week 2'!E39,'Week 3'!E39,'Week 4'!E39,'Week 5'!E40,'Week 6'!E36,'Week 7'!E36,'Week 8'!E38,'Week 9'!E39,'Week 10'!E37,'Week 11'!E34,'Week 12'!E41,E35)," - ",SUM('Week 1'!E40,'Week 2'!E40,'Week 3'!E40,'Week 4'!E40,'Week 5'!E41,'Week 6'!E37,'Week 7'!E37,'Week 8'!E39,'Week 9'!E40,'Week 10'!E38,'Week 11'!E35,'Week 12'!E42,E36))</f>
        <v>23 - 23</v>
      </c>
      <c r="F39" s="73" t="str">
        <f>CONCATENATE(SUM('Week 1'!F39,'Week 2'!F39,'Week 3'!F39,'Week 4'!F39,'Week 5'!F40,'Week 6'!F36,'Week 7'!F36,'Week 8'!F38,'Week 9'!F39,'Week 10'!F37,'Week 11'!F34,'Week 12'!F41,F35)," - ",SUM('Week 1'!F40,'Week 2'!F40,'Week 3'!F40,'Week 4'!F40,'Week 5'!F41,'Week 6'!F37,'Week 7'!F37,'Week 8'!F39,'Week 9'!F40,'Week 10'!F38,'Week 11'!F35,'Week 12'!F42,F36))</f>
        <v>26 - 20</v>
      </c>
      <c r="G39" s="73" t="str">
        <f>CONCATENATE(SUM('Week 1'!G39,'Week 2'!G39,'Week 3'!G39,'Week 4'!G39,'Week 5'!G40,'Week 6'!G36,'Week 7'!G36,'Week 8'!G38,'Week 9'!G39,'Week 10'!G37,'Week 11'!G34,'Week 12'!G41,G35)," - ",SUM('Week 1'!G40,'Week 2'!G40,'Week 3'!G40,'Week 4'!G40,'Week 5'!G41,'Week 6'!G37,'Week 7'!G37,'Week 8'!G39,'Week 9'!G40,'Week 10'!G38,'Week 11'!G35,'Week 12'!G42,G36))</f>
        <v>30 - 16</v>
      </c>
      <c r="H39" s="73" t="str">
        <f>CONCATENATE(SUM('Week 1'!H39,'Week 2'!H39,'Week 3'!H39,'Week 4'!H39,'Week 5'!H40,'Week 6'!H36,'Week 7'!H36,'Week 8'!H38,'Week 9'!H39,'Week 10'!H37,'Week 11'!H34,'Week 12'!H41,H35)," - ",SUM('Week 1'!H40,'Week 2'!H40,'Week 3'!H40,'Week 4'!H40,'Week 5'!H41,'Week 6'!H37,'Week 7'!H37,'Week 8'!H39,'Week 9'!H40,'Week 10'!H38,'Week 11'!H35,'Week 12'!H42,H36))</f>
        <v>33 - 13</v>
      </c>
      <c r="I39" s="73" t="str">
        <f>CONCATENATE(SUM('Week 1'!I39,'Week 2'!I39,'Week 3'!I39,'Week 4'!I39,'Week 5'!I40,'Week 6'!I36,'Week 7'!I36,'Week 8'!I38,'Week 9'!I39,'Week 10'!I37,'Week 11'!I34,'Week 12'!I41,I35)," - ",SUM('Week 1'!I40,'Week 2'!I40,'Week 3'!I40,'Week 4'!I40,'Week 5'!I41,'Week 6'!I37,'Week 7'!I37,'Week 8'!I39,'Week 9'!I40,'Week 10'!I38,'Week 11'!I35,'Week 12'!I42,I36))</f>
        <v>26 - 20</v>
      </c>
      <c r="J39" s="73" t="str">
        <f>CONCATENATE(SUM('Week 1'!J39,'Week 2'!J39,'Week 3'!J39,'Week 4'!J39,'Week 5'!J40,'Week 6'!J36,'Week 7'!J36,'Week 8'!J38,'Week 9'!J39,'Week 10'!J37,'Week 11'!J34,'Week 12'!J41,J35)," - ",SUM('Week 1'!J40,'Week 2'!J40,'Week 3'!J40,'Week 4'!J40,'Week 5'!J41,'Week 6'!J37,'Week 7'!J37,'Week 8'!J39,'Week 9'!J40,'Week 10'!J38,'Week 11'!J35,'Week 12'!J42,J36))</f>
        <v>27 - 19</v>
      </c>
      <c r="K39" s="73" t="str">
        <f>CONCATENATE(SUM('Week 1'!K39,'Week 2'!K39,'Week 3'!K39,'Week 4'!K39,'Week 5'!K40,'Week 6'!K36,'Week 7'!K36,'Week 8'!K38,'Week 9'!K39,'Week 10'!K37,'Week 11'!K34,'Week 12'!K41,K35)," - ",SUM('Week 1'!K40,'Week 2'!K40,'Week 3'!K40,'Week 4'!K40,'Week 5'!K41,'Week 6'!K37,'Week 7'!K37,'Week 8'!K39,'Week 9'!K40,'Week 10'!K38,'Week 11'!K35,'Week 12'!K42,K36))</f>
        <v>29 - 17</v>
      </c>
      <c r="L39" s="73" t="str">
        <f>CONCATENATE(SUM('Week 1'!L39,'Week 2'!L39,'Week 3'!L39,'Week 4'!L39,'Week 5'!L40,'Week 6'!L36,'Week 7'!L36,'Week 8'!L38,'Week 9'!L39,'Week 10'!L37,'Week 11'!L34,'Week 12'!L41,L35)," - ",SUM('Week 1'!L40,'Week 2'!L40,'Week 3'!L40,'Week 4'!L40,'Week 5'!L41,'Week 6'!L37,'Week 7'!L37,'Week 8'!L39,'Week 9'!L40,'Week 10'!L38,'Week 11'!L35,'Week 12'!L42,L36))</f>
        <v>26 - 20</v>
      </c>
      <c r="M39" s="73" t="str">
        <f>CONCATENATE(SUM('Week 1'!M39,'Week 2'!M39,'Week 3'!M39,'Week 4'!M39,'Week 5'!M40,'Week 6'!M36,'Week 7'!M36,'Week 8'!M38,'Week 9'!M39,'Week 10'!M37,'Week 11'!M34,'Week 12'!M41,M35)," - ",SUM('Week 1'!M40,'Week 2'!M40,'Week 3'!M40,'Week 4'!M40,'Week 5'!M41,'Week 6'!M37,'Week 7'!M37,'Week 8'!M39,'Week 9'!M40,'Week 10'!M38,'Week 11'!M35,'Week 12'!M42,M36))</f>
        <v>24 - 22</v>
      </c>
      <c r="N39" s="74" t="str">
        <f>CONCATENATE(SUM('Week 1'!N39,'Week 2'!N39,'Week 3'!N39,'Week 4'!N39,'Week 5'!N40,'Week 6'!N36,'Week 7'!N36,'Week 8'!N38,'Week 9'!N39,'Week 10'!N37,'Week 11'!N34,'Week 12'!N41,N35)," - ",SUM('Week 1'!N40,'Week 2'!N40,'Week 3'!N40,'Week 4'!N40,'Week 5'!N41,'Week 6'!N37,'Week 7'!N37,'Week 8'!N39,'Week 9'!N40,'Week 10'!N38,'Week 11'!N35,'Week 12'!N42,N36))</f>
        <v>20 - 26</v>
      </c>
      <c r="O39" s="75"/>
      <c r="P39" s="76"/>
      <c r="Q39" s="76"/>
      <c r="R39" s="76"/>
      <c r="S39" s="76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C41" s="29">
        <f t="array" ref="C41:E57">INDEX(H59:J75,0)</f>
        <v>1</v>
      </c>
      <c r="D41" s="29" t="s">
        <v>11</v>
      </c>
      <c r="E41" s="29">
        <v>480.0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C42" s="29">
        <v>2.0</v>
      </c>
      <c r="D42" s="29" t="s">
        <v>13</v>
      </c>
      <c r="E42" s="29">
        <v>445.0</v>
      </c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C43" s="29">
        <v>3.0</v>
      </c>
      <c r="D43" s="29" t="s">
        <v>10</v>
      </c>
      <c r="E43" s="29">
        <v>410.0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C44" s="29">
        <v>4.0</v>
      </c>
      <c r="D44" s="29" t="s">
        <v>9</v>
      </c>
      <c r="E44" s="29">
        <v>375.0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v>5.0</v>
      </c>
      <c r="D45" s="29" t="s">
        <v>14</v>
      </c>
      <c r="E45" s="29">
        <v>370.0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6.0</v>
      </c>
      <c r="D46" s="29" t="s">
        <v>16</v>
      </c>
      <c r="E46" s="29">
        <v>365.0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7.0</v>
      </c>
      <c r="D47" s="29" t="s">
        <v>6</v>
      </c>
      <c r="E47" s="29">
        <v>325.0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8.0</v>
      </c>
      <c r="D48" s="29" t="s">
        <v>12</v>
      </c>
      <c r="E48" s="29">
        <v>320.0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9.0</v>
      </c>
      <c r="D49" s="29" t="s">
        <v>8</v>
      </c>
      <c r="E49" s="29">
        <v>290.0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9.0</v>
      </c>
      <c r="D50" s="29" t="s">
        <v>17</v>
      </c>
      <c r="E50" s="29">
        <v>290.0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11.0</v>
      </c>
      <c r="D51" s="29" t="s">
        <v>15</v>
      </c>
      <c r="E51" s="29">
        <v>280.0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12.0</v>
      </c>
      <c r="D52" s="29" t="s">
        <v>7</v>
      </c>
      <c r="E52" s="29">
        <v>275.0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/>
      <c r="D53" s="29"/>
      <c r="E53" s="29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/>
      <c r="D54" s="29"/>
      <c r="E54" s="2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/>
      <c r="D55" s="29"/>
      <c r="E55" s="2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 hidden="1">
      <c r="A56" s="40"/>
      <c r="C56" s="29"/>
      <c r="D56" s="29"/>
      <c r="E56" s="2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 hidden="1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 hidden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 hidden="1">
      <c r="A59" s="40"/>
      <c r="B59" s="77" t="s">
        <v>6</v>
      </c>
      <c r="C59" s="41">
        <f t="array" ref="C59">INDEX(C38,0)</f>
        <v>325</v>
      </c>
      <c r="D59" s="40"/>
      <c r="G59" s="40"/>
      <c r="H59" s="40">
        <f t="shared" ref="H59:H70" si="74">RANK(J59,$J$59:$J$75,false)</f>
        <v>1</v>
      </c>
      <c r="I59" s="40" t="str">
        <f t="array" ref="I59:J75">SORT(B59:C75,2,false)</f>
        <v>Caleb</v>
      </c>
      <c r="J59" s="40">
        <v>480.0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B60" s="77" t="s">
        <v>7</v>
      </c>
      <c r="C60" s="41">
        <f t="array" ref="C60">INDEX(D38,0)</f>
        <v>275</v>
      </c>
      <c r="D60" s="40"/>
      <c r="G60" s="40"/>
      <c r="H60" s="40">
        <f t="shared" si="74"/>
        <v>2</v>
      </c>
      <c r="I60" s="40" t="s">
        <v>13</v>
      </c>
      <c r="J60" s="40">
        <v>445.0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B61" s="77" t="s">
        <v>8</v>
      </c>
      <c r="C61" s="41">
        <f t="array" ref="C61">INDEX(E38,0)</f>
        <v>290</v>
      </c>
      <c r="D61" s="40"/>
      <c r="G61" s="40"/>
      <c r="H61" s="40">
        <f t="shared" si="74"/>
        <v>3</v>
      </c>
      <c r="I61" s="40" t="s">
        <v>10</v>
      </c>
      <c r="J61" s="40">
        <v>410.0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77" t="s">
        <v>9</v>
      </c>
      <c r="C62" s="41">
        <f t="array" ref="C62">INDEX(F38,0)</f>
        <v>375</v>
      </c>
      <c r="D62" s="40"/>
      <c r="G62" s="40"/>
      <c r="H62" s="40">
        <f t="shared" si="74"/>
        <v>4</v>
      </c>
      <c r="I62" s="40" t="s">
        <v>9</v>
      </c>
      <c r="J62" s="40">
        <v>375.0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10</v>
      </c>
      <c r="C63" s="41">
        <f t="array" ref="C63">INDEX(G38,0)</f>
        <v>410</v>
      </c>
      <c r="D63" s="40"/>
      <c r="G63" s="40"/>
      <c r="H63" s="40">
        <f t="shared" si="74"/>
        <v>5</v>
      </c>
      <c r="I63" s="40" t="s">
        <v>14</v>
      </c>
      <c r="J63" s="40">
        <v>370.0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11</v>
      </c>
      <c r="C64" s="41">
        <f t="array" ref="C64">INDEX(H38,0)</f>
        <v>480</v>
      </c>
      <c r="D64" s="40"/>
      <c r="G64" s="40"/>
      <c r="H64" s="40">
        <f t="shared" si="74"/>
        <v>6</v>
      </c>
      <c r="I64" s="40" t="s">
        <v>16</v>
      </c>
      <c r="J64" s="40">
        <v>365.0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12</v>
      </c>
      <c r="C65" s="41">
        <f t="array" ref="C65">INDEX(I38,0)</f>
        <v>320</v>
      </c>
      <c r="D65" s="40"/>
      <c r="G65" s="40"/>
      <c r="H65" s="40">
        <f t="shared" si="74"/>
        <v>7</v>
      </c>
      <c r="I65" s="40" t="s">
        <v>6</v>
      </c>
      <c r="J65" s="40">
        <v>325.0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13</v>
      </c>
      <c r="C66" s="41">
        <f t="array" ref="C66">INDEX(J38,0)</f>
        <v>445</v>
      </c>
      <c r="D66" s="40"/>
      <c r="G66" s="40"/>
      <c r="H66" s="40">
        <f t="shared" si="74"/>
        <v>8</v>
      </c>
      <c r="I66" s="40" t="s">
        <v>12</v>
      </c>
      <c r="J66" s="40">
        <v>320.0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14</v>
      </c>
      <c r="C67" s="41">
        <f t="array" ref="C67">INDEX(K38,0)</f>
        <v>370</v>
      </c>
      <c r="D67" s="40"/>
      <c r="G67" s="40"/>
      <c r="H67" s="40">
        <f t="shared" si="74"/>
        <v>9</v>
      </c>
      <c r="I67" s="40" t="s">
        <v>8</v>
      </c>
      <c r="J67" s="40">
        <v>290.0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15</v>
      </c>
      <c r="C68" s="41">
        <f t="array" ref="C68">INDEX(L38,0)</f>
        <v>280</v>
      </c>
      <c r="D68" s="40"/>
      <c r="G68" s="40"/>
      <c r="H68" s="40">
        <f t="shared" si="74"/>
        <v>9</v>
      </c>
      <c r="I68" s="40" t="s">
        <v>17</v>
      </c>
      <c r="J68" s="40">
        <v>290.0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16</v>
      </c>
      <c r="C69" s="41">
        <f t="array" ref="C69">INDEX(M38,0)</f>
        <v>365</v>
      </c>
      <c r="D69" s="40"/>
      <c r="G69" s="40"/>
      <c r="H69" s="40">
        <f t="shared" si="74"/>
        <v>11</v>
      </c>
      <c r="I69" s="40" t="s">
        <v>15</v>
      </c>
      <c r="J69" s="40">
        <v>280.0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17</v>
      </c>
      <c r="C70" s="41">
        <f t="array" ref="C70">INDEX(N38,0)</f>
        <v>290</v>
      </c>
      <c r="D70" s="40"/>
      <c r="G70" s="40"/>
      <c r="H70" s="40">
        <f t="shared" si="74"/>
        <v>12</v>
      </c>
      <c r="I70" s="40" t="s">
        <v>7</v>
      </c>
      <c r="J70" s="40">
        <v>275.0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/>
      <c r="C71" s="41"/>
      <c r="D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/>
      <c r="C72" s="41"/>
      <c r="D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/>
      <c r="C73" s="41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/>
      <c r="C74" s="41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5">
    <cfRule type="expression" dxfId="0" priority="1">
      <formula>AND($I17=$C17,$C17=0)</formula>
    </cfRule>
  </conditionalFormatting>
  <conditionalFormatting sqref="G2:K15">
    <cfRule type="expression" dxfId="7" priority="2">
      <formula>$I17=$C17</formula>
    </cfRule>
  </conditionalFormatting>
  <conditionalFormatting sqref="L2:L15">
    <cfRule type="expression" dxfId="2" priority="3">
      <formula>AND(C2&lt;&gt;"",C2&lt;&gt;L2)</formula>
    </cfRule>
  </conditionalFormatting>
  <conditionalFormatting sqref="M2:M15">
    <cfRule type="expression" dxfId="2" priority="4">
      <formula>AND(C2&lt;&gt;"",C2&lt;&gt;L2)</formula>
    </cfRule>
  </conditionalFormatting>
  <conditionalFormatting sqref="N2:N15">
    <cfRule type="expression" dxfId="2" priority="5">
      <formula>AND(C2&lt;&gt;"",C2&lt;&gt;L2)</formula>
    </cfRule>
  </conditionalFormatting>
  <conditionalFormatting sqref="O2:O15">
    <cfRule type="expression" dxfId="2" priority="6">
      <formula>AND(C2&lt;&gt;"",C2&lt;&gt;L2)</formula>
    </cfRule>
  </conditionalFormatting>
  <conditionalFormatting sqref="P2:P15">
    <cfRule type="expression" dxfId="2" priority="7">
      <formula>AND(C2&lt;&gt;"",C2&lt;&gt;L2)</formula>
    </cfRule>
  </conditionalFormatting>
  <conditionalFormatting sqref="L2:P15">
    <cfRule type="expression" dxfId="0" priority="8">
      <formula>AND($N17=$C17,$C17=0)</formula>
    </cfRule>
  </conditionalFormatting>
  <conditionalFormatting sqref="L2:P15">
    <cfRule type="expression" dxfId="7" priority="9">
      <formula>$N17=$C17</formula>
    </cfRule>
  </conditionalFormatting>
  <conditionalFormatting sqref="Q2:Q15">
    <cfRule type="expression" dxfId="2" priority="10">
      <formula>AND(C2&lt;&gt;"",C2&lt;&gt;Q2)</formula>
    </cfRule>
  </conditionalFormatting>
  <conditionalFormatting sqref="R2:R15">
    <cfRule type="expression" dxfId="2" priority="11">
      <formula>AND(C2&lt;&gt;"",C2&lt;&gt;Q2)</formula>
    </cfRule>
  </conditionalFormatting>
  <conditionalFormatting sqref="S2:S15">
    <cfRule type="expression" dxfId="2" priority="12">
      <formula>AND(C2&lt;&gt;"",C2&lt;&gt;Q2)</formula>
    </cfRule>
  </conditionalFormatting>
  <conditionalFormatting sqref="T2:T15">
    <cfRule type="expression" dxfId="2" priority="13">
      <formula>AND(C2&lt;&gt;"",C2&lt;&gt;Q2)</formula>
    </cfRule>
  </conditionalFormatting>
  <conditionalFormatting sqref="U2:U15">
    <cfRule type="expression" dxfId="2" priority="14">
      <formula>AND(C2&lt;&gt;"",C2&lt;&gt;Q2)</formula>
    </cfRule>
  </conditionalFormatting>
  <conditionalFormatting sqref="Q2:U15">
    <cfRule type="expression" dxfId="0" priority="15">
      <formula>AND($S17=$C17,$C17=0)</formula>
    </cfRule>
  </conditionalFormatting>
  <conditionalFormatting sqref="Q2:U15">
    <cfRule type="expression" dxfId="7" priority="16">
      <formula>$S17=$C17</formula>
    </cfRule>
  </conditionalFormatting>
  <conditionalFormatting sqref="V2:V15">
    <cfRule type="expression" dxfId="2" priority="17">
      <formula>AND(C2&lt;&gt;"",C2&lt;&gt;V2)</formula>
    </cfRule>
  </conditionalFormatting>
  <conditionalFormatting sqref="W2:W15">
    <cfRule type="expression" dxfId="2" priority="18">
      <formula>AND(C2&lt;&gt;"",C2&lt;&gt;V2)</formula>
    </cfRule>
  </conditionalFormatting>
  <conditionalFormatting sqref="X2:X15">
    <cfRule type="expression" dxfId="2" priority="19">
      <formula>AND(C2&lt;&gt;"",C2&lt;&gt;V2)</formula>
    </cfRule>
  </conditionalFormatting>
  <conditionalFormatting sqref="Y2:Y15">
    <cfRule type="expression" dxfId="2" priority="20">
      <formula>AND(C2&lt;&gt;"",C2&lt;&gt;V2)</formula>
    </cfRule>
  </conditionalFormatting>
  <conditionalFormatting sqref="Z2:Z15">
    <cfRule type="expression" dxfId="2" priority="21">
      <formula>AND(C2&lt;&gt;"",C2&lt;&gt;V2)</formula>
    </cfRule>
  </conditionalFormatting>
  <conditionalFormatting sqref="AA2:AA15">
    <cfRule type="expression" dxfId="2" priority="22">
      <formula>AND(C2&lt;&gt;"",C2&lt;&gt;AA2)</formula>
    </cfRule>
  </conditionalFormatting>
  <conditionalFormatting sqref="AB2:AB15">
    <cfRule type="expression" dxfId="2" priority="23">
      <formula>AND(C2&lt;&gt;"",C2&lt;&gt;AA2)</formula>
    </cfRule>
  </conditionalFormatting>
  <conditionalFormatting sqref="AC2:AC15">
    <cfRule type="expression" dxfId="2" priority="24">
      <formula>AND(C2&lt;&gt;"",C2&lt;&gt;AA2)</formula>
    </cfRule>
  </conditionalFormatting>
  <conditionalFormatting sqref="AD2:AD15">
    <cfRule type="expression" dxfId="2" priority="25">
      <formula>AND(C2&lt;&gt;"",C2&lt;&gt;AA2)</formula>
    </cfRule>
  </conditionalFormatting>
  <conditionalFormatting sqref="AE2:AE15">
    <cfRule type="expression" dxfId="2" priority="26">
      <formula>AND(C2&lt;&gt;"",C2&lt;&gt;AA2)</formula>
    </cfRule>
  </conditionalFormatting>
  <conditionalFormatting sqref="AF2:AF15">
    <cfRule type="expression" dxfId="2" priority="27">
      <formula>AND(C2&lt;&gt;"",C2&lt;&gt;AF2)</formula>
    </cfRule>
  </conditionalFormatting>
  <conditionalFormatting sqref="AG2:AG15">
    <cfRule type="expression" dxfId="2" priority="28">
      <formula>AND(C2&lt;&gt;"",C2&lt;&gt;AF2)</formula>
    </cfRule>
  </conditionalFormatting>
  <conditionalFormatting sqref="AH2:AH15">
    <cfRule type="expression" dxfId="2" priority="29">
      <formula>AND(C2&lt;&gt;"",C2&lt;&gt;AF2)</formula>
    </cfRule>
  </conditionalFormatting>
  <conditionalFormatting sqref="AI2:AI15">
    <cfRule type="expression" dxfId="2" priority="30">
      <formula>AND(C2&lt;&gt;"",C2&lt;&gt;AF2)</formula>
    </cfRule>
  </conditionalFormatting>
  <conditionalFormatting sqref="AJ2:AJ15">
    <cfRule type="expression" dxfId="2" priority="31">
      <formula>AND(C2&lt;&gt;"",C2&lt;&gt;AF2)</formula>
    </cfRule>
  </conditionalFormatting>
  <conditionalFormatting sqref="AK2:AK15">
    <cfRule type="expression" dxfId="2" priority="32">
      <formula>AND(C2&lt;&gt;"",C2&lt;&gt;AK2)</formula>
    </cfRule>
  </conditionalFormatting>
  <conditionalFormatting sqref="AL2:AL15">
    <cfRule type="expression" dxfId="2" priority="33">
      <formula>AND(C2&lt;&gt;"",C2&lt;&gt;AK2)</formula>
    </cfRule>
  </conditionalFormatting>
  <conditionalFormatting sqref="AM2:AM15">
    <cfRule type="expression" dxfId="2" priority="34">
      <formula>AND(C2&lt;&gt;"",C2&lt;&gt;AK2)</formula>
    </cfRule>
  </conditionalFormatting>
  <conditionalFormatting sqref="AN2:AN15">
    <cfRule type="expression" dxfId="2" priority="35">
      <formula>AND(C2&lt;&gt;"",C2&lt;&gt;AK2)</formula>
    </cfRule>
  </conditionalFormatting>
  <conditionalFormatting sqref="AO2:AO15">
    <cfRule type="expression" dxfId="2" priority="36">
      <formula>AND(C2&lt;&gt;"",C2&lt;&gt;AK2)</formula>
    </cfRule>
  </conditionalFormatting>
  <conditionalFormatting sqref="AP2:AP15">
    <cfRule type="expression" dxfId="2" priority="37">
      <formula>AND(C2&lt;&gt;"",C2&lt;&gt;AP2)</formula>
    </cfRule>
  </conditionalFormatting>
  <conditionalFormatting sqref="AQ2:AQ15">
    <cfRule type="expression" dxfId="2" priority="38">
      <formula>AND(C2&lt;&gt;"",C2&lt;&gt;AP2)</formula>
    </cfRule>
  </conditionalFormatting>
  <conditionalFormatting sqref="AR2:AR15">
    <cfRule type="expression" dxfId="2" priority="39">
      <formula>AND(C2&lt;&gt;"",C2&lt;&gt;AP2)</formula>
    </cfRule>
  </conditionalFormatting>
  <conditionalFormatting sqref="AS2:AS15">
    <cfRule type="expression" dxfId="2" priority="40">
      <formula>AND(C2&lt;&gt;"",C2&lt;&gt;AP2)</formula>
    </cfRule>
  </conditionalFormatting>
  <conditionalFormatting sqref="AT2:AT15">
    <cfRule type="expression" dxfId="2" priority="41">
      <formula>AND(C2&lt;&gt;"",C2&lt;&gt;AP2)</formula>
    </cfRule>
  </conditionalFormatting>
  <conditionalFormatting sqref="AU2:AU15">
    <cfRule type="expression" dxfId="2" priority="42">
      <formula>AND(C2&lt;&gt;"",C2&lt;&gt;AU2)</formula>
    </cfRule>
  </conditionalFormatting>
  <conditionalFormatting sqref="AV2:AV15">
    <cfRule type="expression" dxfId="2" priority="43">
      <formula>AND(C2&lt;&gt;"",C2&lt;&gt;AU2)</formula>
    </cfRule>
  </conditionalFormatting>
  <conditionalFormatting sqref="AW2:AW15">
    <cfRule type="expression" dxfId="2" priority="44">
      <formula>AND(C2&lt;&gt;"",C2&lt;&gt;AU2)</formula>
    </cfRule>
  </conditionalFormatting>
  <conditionalFormatting sqref="AX2:AX15">
    <cfRule type="expression" dxfId="2" priority="45">
      <formula>AND(C2&lt;&gt;"",C2&lt;&gt;AU2)</formula>
    </cfRule>
  </conditionalFormatting>
  <conditionalFormatting sqref="AY2:AY15">
    <cfRule type="expression" dxfId="2" priority="46">
      <formula>AND(C2&lt;&gt;"",C2&lt;&gt;AU2)</formula>
    </cfRule>
  </conditionalFormatting>
  <conditionalFormatting sqref="AZ2:AZ15">
    <cfRule type="expression" dxfId="2" priority="47">
      <formula>AND(C2&lt;&gt;"",C2&lt;&gt;AZ2)</formula>
    </cfRule>
  </conditionalFormatting>
  <conditionalFormatting sqref="BA2:BA15">
    <cfRule type="expression" dxfId="2" priority="48">
      <formula>AND(C2&lt;&gt;"",C2&lt;&gt;AZ2)</formula>
    </cfRule>
  </conditionalFormatting>
  <conditionalFormatting sqref="BB2:BB15">
    <cfRule type="expression" dxfId="2" priority="49">
      <formula>AND(C2&lt;&gt;"",C2&lt;&gt;AZ2)</formula>
    </cfRule>
  </conditionalFormatting>
  <conditionalFormatting sqref="BC2:BC15">
    <cfRule type="expression" dxfId="2" priority="50">
      <formula>AND(C2&lt;&gt;"",C2&lt;&gt;AZ2)</formula>
    </cfRule>
  </conditionalFormatting>
  <conditionalFormatting sqref="BD2:BD15">
    <cfRule type="expression" dxfId="2" priority="51">
      <formula>AND(C2&lt;&gt;"",C2&lt;&gt;AZ2)</formula>
    </cfRule>
  </conditionalFormatting>
  <conditionalFormatting sqref="BE2:BE15">
    <cfRule type="expression" dxfId="2" priority="52">
      <formula>AND(C2&lt;&gt;"",C2&lt;&gt;BE2)</formula>
    </cfRule>
  </conditionalFormatting>
  <conditionalFormatting sqref="BF2:BF15">
    <cfRule type="expression" dxfId="2" priority="53">
      <formula>AND(C2&lt;&gt;"",C2&lt;&gt;BE2)</formula>
    </cfRule>
  </conditionalFormatting>
  <conditionalFormatting sqref="BG2:BG15">
    <cfRule type="expression" dxfId="2" priority="54">
      <formula>AND(C2&lt;&gt;"",C2&lt;&gt;BE2)</formula>
    </cfRule>
  </conditionalFormatting>
  <conditionalFormatting sqref="BH2:BH15">
    <cfRule type="expression" dxfId="2" priority="55">
      <formula>AND(C2&lt;&gt;"",C2&lt;&gt;BE2)</formula>
    </cfRule>
  </conditionalFormatting>
  <conditionalFormatting sqref="BI2:BI15">
    <cfRule type="expression" dxfId="2" priority="56">
      <formula>AND(C2&lt;&gt;"",C2&lt;&gt;BE2)</formula>
    </cfRule>
  </conditionalFormatting>
  <conditionalFormatting sqref="BJ2:BJ15">
    <cfRule type="expression" dxfId="2" priority="57">
      <formula>AND(C2&lt;&gt;"",C2&lt;&gt;BJ2)</formula>
    </cfRule>
  </conditionalFormatting>
  <conditionalFormatting sqref="BK2:BK15">
    <cfRule type="expression" dxfId="2" priority="58">
      <formula>AND(C2&lt;&gt;"",C2&lt;&gt;BJ2)</formula>
    </cfRule>
  </conditionalFormatting>
  <conditionalFormatting sqref="BL2:BL15">
    <cfRule type="expression" dxfId="2" priority="59">
      <formula>AND(C2&lt;&gt;"",C2&lt;&gt;BJ2)</formula>
    </cfRule>
  </conditionalFormatting>
  <conditionalFormatting sqref="BM2:BM15">
    <cfRule type="expression" dxfId="2" priority="60">
      <formula>AND(C2&lt;&gt;"",C2&lt;&gt;BJ2)</formula>
    </cfRule>
  </conditionalFormatting>
  <conditionalFormatting sqref="BN2:BN15">
    <cfRule type="expression" dxfId="2" priority="61">
      <formula>AND(C2&lt;&gt;"",C2&lt;&gt;BJ2)</formula>
    </cfRule>
  </conditionalFormatting>
  <conditionalFormatting sqref="G2:G15">
    <cfRule type="expression" dxfId="3" priority="62">
      <formula>G2=C2</formula>
    </cfRule>
  </conditionalFormatting>
  <conditionalFormatting sqref="H2:H15">
    <cfRule type="expression" dxfId="3" priority="63">
      <formula>G2=C2</formula>
    </cfRule>
  </conditionalFormatting>
  <conditionalFormatting sqref="I2:I15">
    <cfRule type="expression" dxfId="3" priority="64">
      <formula>G2=C2</formula>
    </cfRule>
  </conditionalFormatting>
  <conditionalFormatting sqref="J2:J15">
    <cfRule type="expression" dxfId="3" priority="65">
      <formula>G2=C2</formula>
    </cfRule>
  </conditionalFormatting>
  <conditionalFormatting sqref="K2:K15">
    <cfRule type="expression" dxfId="3" priority="66">
      <formula>G2=C2</formula>
    </cfRule>
  </conditionalFormatting>
  <conditionalFormatting sqref="L2:L15">
    <cfRule type="expression" dxfId="3" priority="67">
      <formula>L2=C2</formula>
    </cfRule>
  </conditionalFormatting>
  <conditionalFormatting sqref="M2:M15">
    <cfRule type="expression" dxfId="3" priority="68">
      <formula>L2=C2</formula>
    </cfRule>
  </conditionalFormatting>
  <conditionalFormatting sqref="N2:N15">
    <cfRule type="expression" dxfId="3" priority="69">
      <formula>L2=C2</formula>
    </cfRule>
  </conditionalFormatting>
  <conditionalFormatting sqref="O2:O15">
    <cfRule type="expression" dxfId="3" priority="70">
      <formula>L2=C2</formula>
    </cfRule>
  </conditionalFormatting>
  <conditionalFormatting sqref="P2:P15">
    <cfRule type="expression" dxfId="3" priority="71">
      <formula>L2=C2</formula>
    </cfRule>
  </conditionalFormatting>
  <conditionalFormatting sqref="Q2:Q15">
    <cfRule type="expression" dxfId="3" priority="72">
      <formula>Q2=C2</formula>
    </cfRule>
  </conditionalFormatting>
  <conditionalFormatting sqref="R2:R15">
    <cfRule type="expression" dxfId="3" priority="73">
      <formula>Q2=C2</formula>
    </cfRule>
  </conditionalFormatting>
  <conditionalFormatting sqref="S2:S15">
    <cfRule type="expression" dxfId="3" priority="74">
      <formula>Q2=C2</formula>
    </cfRule>
  </conditionalFormatting>
  <conditionalFormatting sqref="T2:T15">
    <cfRule type="expression" dxfId="3" priority="75">
      <formula>Q2=C2</formula>
    </cfRule>
  </conditionalFormatting>
  <conditionalFormatting sqref="U2:U15">
    <cfRule type="expression" dxfId="3" priority="76">
      <formula>Q2=C2</formula>
    </cfRule>
  </conditionalFormatting>
  <conditionalFormatting sqref="V2:Z15">
    <cfRule type="expression" dxfId="0" priority="77">
      <formula>AND($X17=$C17,$C17=0)</formula>
    </cfRule>
  </conditionalFormatting>
  <conditionalFormatting sqref="V2:Z15">
    <cfRule type="expression" dxfId="7" priority="78">
      <formula>$X17=$C17</formula>
    </cfRule>
  </conditionalFormatting>
  <conditionalFormatting sqref="V2:Z15">
    <cfRule type="expression" dxfId="3" priority="79">
      <formula>$V2=$C2</formula>
    </cfRule>
  </conditionalFormatting>
  <conditionalFormatting sqref="AA2:AE15">
    <cfRule type="expression" dxfId="0" priority="80">
      <formula>AND($AC17=$C17,$C17=0)</formula>
    </cfRule>
  </conditionalFormatting>
  <conditionalFormatting sqref="AA2:AE15">
    <cfRule type="expression" dxfId="7" priority="81">
      <formula>$AC17=$C17</formula>
    </cfRule>
  </conditionalFormatting>
  <conditionalFormatting sqref="AA2:AE15">
    <cfRule type="expression" dxfId="3" priority="82">
      <formula>$AA2=$C2</formula>
    </cfRule>
  </conditionalFormatting>
  <conditionalFormatting sqref="AF2:AJ15">
    <cfRule type="expression" dxfId="0" priority="83">
      <formula>AND($AH17=$C17,$C17=0)</formula>
    </cfRule>
  </conditionalFormatting>
  <conditionalFormatting sqref="AF2:AJ15">
    <cfRule type="expression" dxfId="7" priority="84">
      <formula>$AH17=$C17</formula>
    </cfRule>
  </conditionalFormatting>
  <conditionalFormatting sqref="AF2:AJ15">
    <cfRule type="expression" dxfId="3" priority="85">
      <formula>$AF2=$C2</formula>
    </cfRule>
  </conditionalFormatting>
  <conditionalFormatting sqref="AK2:AO15">
    <cfRule type="expression" dxfId="0" priority="86">
      <formula>AND($AM17=$C17,$C17=0)</formula>
    </cfRule>
  </conditionalFormatting>
  <conditionalFormatting sqref="AK2:AO15">
    <cfRule type="expression" dxfId="7" priority="87">
      <formula>$AM17=$C17</formula>
    </cfRule>
  </conditionalFormatting>
  <conditionalFormatting sqref="AK2:AO15">
    <cfRule type="expression" dxfId="3" priority="88">
      <formula>$AK2=$C2</formula>
    </cfRule>
  </conditionalFormatting>
  <conditionalFormatting sqref="AP2:AT15">
    <cfRule type="expression" dxfId="0" priority="89">
      <formula>AND($AR17=$C17,$C17=0)</formula>
    </cfRule>
  </conditionalFormatting>
  <conditionalFormatting sqref="AP2:AT15">
    <cfRule type="expression" dxfId="7" priority="90">
      <formula>$AR17=$C17</formula>
    </cfRule>
  </conditionalFormatting>
  <conditionalFormatting sqref="AP2:AT15">
    <cfRule type="expression" dxfId="3" priority="91">
      <formula>$AP2=$C2</formula>
    </cfRule>
  </conditionalFormatting>
  <conditionalFormatting sqref="AU2:AY15">
    <cfRule type="expression" dxfId="0" priority="92">
      <formula>AND($AW17=$C17,$C17=0)</formula>
    </cfRule>
  </conditionalFormatting>
  <conditionalFormatting sqref="AU2:AY15">
    <cfRule type="expression" dxfId="7" priority="93">
      <formula>$AW17=$C17</formula>
    </cfRule>
  </conditionalFormatting>
  <conditionalFormatting sqref="AU2:AY15">
    <cfRule type="expression" dxfId="3" priority="94">
      <formula>$AU2=$C2</formula>
    </cfRule>
  </conditionalFormatting>
  <conditionalFormatting sqref="AZ2:BD15">
    <cfRule type="expression" dxfId="0" priority="95">
      <formula>AND($BB17=$C17,$C17=0)</formula>
    </cfRule>
  </conditionalFormatting>
  <conditionalFormatting sqref="AZ2:BD15">
    <cfRule type="expression" dxfId="7" priority="96">
      <formula>$BB17=$C17</formula>
    </cfRule>
  </conditionalFormatting>
  <conditionalFormatting sqref="AZ2:BD15">
    <cfRule type="expression" dxfId="3" priority="97">
      <formula>$AZ2=$C2</formula>
    </cfRule>
  </conditionalFormatting>
  <conditionalFormatting sqref="BE2:BI15">
    <cfRule type="expression" dxfId="0" priority="98">
      <formula>AND($BG17=$C17,$C17=0)</formula>
    </cfRule>
  </conditionalFormatting>
  <conditionalFormatting sqref="BE2:BI15">
    <cfRule type="expression" dxfId="7" priority="99">
      <formula>$BG17=$C17</formula>
    </cfRule>
  </conditionalFormatting>
  <conditionalFormatting sqref="BE2:BI15">
    <cfRule type="expression" dxfId="3" priority="100">
      <formula>$BE2=$C2</formula>
    </cfRule>
  </conditionalFormatting>
  <conditionalFormatting sqref="BJ2:BN15">
    <cfRule type="expression" dxfId="0" priority="101">
      <formula>AND($BL17=$C17,$C17=0)</formula>
    </cfRule>
  </conditionalFormatting>
  <conditionalFormatting sqref="BJ2:BN15">
    <cfRule type="expression" dxfId="7" priority="102">
      <formula>$BL17=$C17</formula>
    </cfRule>
  </conditionalFormatting>
  <conditionalFormatting sqref="BJ2:BN15">
    <cfRule type="expression" dxfId="3" priority="103">
      <formula>$BJ2=$C2</formula>
    </cfRule>
  </conditionalFormatting>
  <conditionalFormatting sqref="G2:K15">
    <cfRule type="expression" dxfId="2" priority="104">
      <formula>AND($C2&lt;&gt;"",$G2&lt;&gt;$C2)</formula>
    </cfRule>
  </conditionalFormatting>
  <conditionalFormatting sqref="C41:C57">
    <cfRule type="cellIs" dxfId="4" priority="105" operator="equal">
      <formula>1</formula>
    </cfRule>
  </conditionalFormatting>
  <conditionalFormatting sqref="C41:C57">
    <cfRule type="cellIs" dxfId="5" priority="106" operator="equal">
      <formula>2</formula>
    </cfRule>
  </conditionalFormatting>
  <conditionalFormatting sqref="C41:C57">
    <cfRule type="cellIs" dxfId="6" priority="107" operator="equal">
      <formula>3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330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331</v>
      </c>
      <c r="B2" s="87" t="s">
        <v>332</v>
      </c>
      <c r="C2" s="18" t="str">
        <f>IFERROR(__xludf.DUMMYFUNCTION("IMPORTRANGE(""https://docs.google.com/spreadsheets/d/1v9a6MxzpyXdVbef97sptWrOJUpuAu6ldKC6wbegqpyg/edit?gid=630585600#gid=630585600"",""Week 14!C3:F17"")"),"")</f>
        <v/>
      </c>
      <c r="D2" s="11" t="str">
        <f>IFERROR(__xludf.DUMMYFUNCTION("""COMPUTED_VALUE"""),"")</f>
        <v/>
      </c>
      <c r="E2" s="19"/>
      <c r="F2" s="20"/>
      <c r="G2" s="19" t="s">
        <v>28</v>
      </c>
      <c r="H2" s="11" t="str">
        <f t="shared" ref="H2:H16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21.0</v>
      </c>
      <c r="J2" s="19">
        <v>24.0</v>
      </c>
      <c r="K2" s="20" t="b">
        <v>0</v>
      </c>
      <c r="L2" s="24" t="s">
        <v>28</v>
      </c>
      <c r="M2" s="26" t="str">
        <f t="shared" ref="M2:M16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13.0</v>
      </c>
      <c r="O2" s="24">
        <v>20.0</v>
      </c>
      <c r="P2" s="24" t="b">
        <v>0</v>
      </c>
      <c r="Q2" s="27" t="s">
        <v>28</v>
      </c>
      <c r="R2" s="11" t="str">
        <f t="shared" ref="R2:R16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17.0</v>
      </c>
      <c r="T2" s="19">
        <v>20.0</v>
      </c>
      <c r="U2" s="20" t="b">
        <v>0</v>
      </c>
      <c r="V2" s="19" t="s">
        <v>28</v>
      </c>
      <c r="W2" s="11" t="str">
        <f t="shared" ref="W2:W16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10.0</v>
      </c>
      <c r="Y2" s="19">
        <v>17.0</v>
      </c>
      <c r="Z2" s="20" t="b">
        <v>0</v>
      </c>
      <c r="AA2" s="27" t="s">
        <v>28</v>
      </c>
      <c r="AB2" s="11" t="str">
        <f t="shared" ref="AB2:AB16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28</v>
      </c>
      <c r="AG2" s="11" t="str">
        <f t="shared" ref="AG2:AG16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17.0</v>
      </c>
      <c r="AI2" s="19">
        <v>20.0</v>
      </c>
      <c r="AJ2" s="20" t="b">
        <v>0</v>
      </c>
      <c r="AK2" s="19" t="s">
        <v>28</v>
      </c>
      <c r="AL2" s="11" t="str">
        <f t="shared" ref="AL2:AL16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17.0</v>
      </c>
      <c r="AN2" s="19">
        <v>21.0</v>
      </c>
      <c r="AO2" s="20" t="b">
        <v>0</v>
      </c>
      <c r="AP2" s="27" t="s">
        <v>28</v>
      </c>
      <c r="AQ2" s="11" t="str">
        <f t="shared" ref="AQ2:AQ16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13.0</v>
      </c>
      <c r="AS2" s="19">
        <v>20.0</v>
      </c>
      <c r="AT2" s="20" t="b">
        <v>0</v>
      </c>
      <c r="AU2" s="27" t="s">
        <v>28</v>
      </c>
      <c r="AV2" s="11" t="str">
        <f t="shared" ref="AV2:AV16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17.0</v>
      </c>
      <c r="AX2" s="19">
        <v>20.0</v>
      </c>
      <c r="AY2" s="20" t="b">
        <v>0</v>
      </c>
      <c r="AZ2" s="27" t="s">
        <v>28</v>
      </c>
      <c r="BA2" s="11" t="str">
        <f t="shared" ref="BA2:BA16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28</v>
      </c>
      <c r="BF2" s="11" t="str">
        <f t="shared" ref="BF2:BF16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21.0</v>
      </c>
      <c r="BH2" s="19">
        <v>24.0</v>
      </c>
      <c r="BI2" s="20" t="b">
        <v>0</v>
      </c>
      <c r="BJ2" s="27" t="s">
        <v>51</v>
      </c>
      <c r="BK2" s="11" t="str">
        <f t="shared" ref="BK2:BK16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23.0</v>
      </c>
      <c r="BM2" s="19">
        <v>20.0</v>
      </c>
      <c r="BN2" s="20" t="b">
        <v>0</v>
      </c>
      <c r="BO2" s="19"/>
      <c r="BP2" s="19"/>
      <c r="BQ2" s="19"/>
    </row>
    <row r="3">
      <c r="A3" s="16" t="s">
        <v>339</v>
      </c>
      <c r="B3" s="87" t="s">
        <v>340</v>
      </c>
      <c r="C3" s="18"/>
      <c r="D3" s="11" t="str">
        <f>IFERROR(__xludf.DUMMYFUNCTION("""COMPUTED_VALUE"""),"")</f>
        <v/>
      </c>
      <c r="E3" s="17"/>
      <c r="F3" s="31"/>
      <c r="G3" s="19" t="s">
        <v>61</v>
      </c>
      <c r="H3" s="11" t="str">
        <f t="shared" si="1"/>
        <v/>
      </c>
      <c r="I3" s="19">
        <v>10.0</v>
      </c>
      <c r="J3" s="19">
        <v>14.0</v>
      </c>
      <c r="K3" s="20" t="b">
        <v>0</v>
      </c>
      <c r="L3" s="19" t="s">
        <v>61</v>
      </c>
      <c r="M3" s="11" t="str">
        <f t="shared" si="2"/>
        <v/>
      </c>
      <c r="N3" s="19">
        <v>20.0</v>
      </c>
      <c r="O3" s="19">
        <v>23.0</v>
      </c>
      <c r="P3" s="19" t="b">
        <v>0</v>
      </c>
      <c r="Q3" s="27" t="s">
        <v>61</v>
      </c>
      <c r="R3" s="11" t="str">
        <f t="shared" si="3"/>
        <v/>
      </c>
      <c r="S3" s="19">
        <v>20.0</v>
      </c>
      <c r="T3" s="19">
        <v>23.0</v>
      </c>
      <c r="U3" s="20" t="b">
        <v>0</v>
      </c>
      <c r="V3" s="19" t="s">
        <v>61</v>
      </c>
      <c r="W3" s="11" t="str">
        <f t="shared" si="4"/>
        <v/>
      </c>
      <c r="X3" s="19">
        <v>10.0</v>
      </c>
      <c r="Y3" s="19">
        <v>21.0</v>
      </c>
      <c r="Z3" s="20" t="b">
        <v>0</v>
      </c>
      <c r="AA3" s="27" t="s">
        <v>61</v>
      </c>
      <c r="AB3" s="11" t="str">
        <f t="shared" si="5"/>
        <v/>
      </c>
      <c r="AC3" s="19">
        <v>17.0</v>
      </c>
      <c r="AD3" s="19">
        <v>24.0</v>
      </c>
      <c r="AE3" s="19" t="b">
        <v>0</v>
      </c>
      <c r="AF3" s="27" t="s">
        <v>61</v>
      </c>
      <c r="AG3" s="11" t="str">
        <f t="shared" si="6"/>
        <v/>
      </c>
      <c r="AH3" s="19">
        <v>21.0</v>
      </c>
      <c r="AI3" s="19">
        <v>28.0</v>
      </c>
      <c r="AJ3" s="20" t="b">
        <v>0</v>
      </c>
      <c r="AK3" s="19" t="s">
        <v>61</v>
      </c>
      <c r="AL3" s="11" t="str">
        <f t="shared" si="7"/>
        <v/>
      </c>
      <c r="AM3" s="19">
        <v>17.0</v>
      </c>
      <c r="AN3" s="19">
        <v>20.0</v>
      </c>
      <c r="AO3" s="20" t="b">
        <v>0</v>
      </c>
      <c r="AP3" s="27" t="s">
        <v>61</v>
      </c>
      <c r="AQ3" s="11" t="str">
        <f t="shared" si="8"/>
        <v/>
      </c>
      <c r="AR3" s="19">
        <v>17.0</v>
      </c>
      <c r="AS3" s="19">
        <v>24.0</v>
      </c>
      <c r="AT3" s="20" t="b">
        <v>0</v>
      </c>
      <c r="AU3" s="27" t="s">
        <v>61</v>
      </c>
      <c r="AV3" s="11" t="str">
        <f t="shared" si="9"/>
        <v/>
      </c>
      <c r="AW3" s="19">
        <v>24.0</v>
      </c>
      <c r="AX3" s="19">
        <v>27.0</v>
      </c>
      <c r="AY3" s="20" t="b">
        <v>1</v>
      </c>
      <c r="AZ3" s="27" t="s">
        <v>61</v>
      </c>
      <c r="BA3" s="11" t="str">
        <f t="shared" si="10"/>
        <v/>
      </c>
      <c r="BB3" s="19">
        <v>20.0</v>
      </c>
      <c r="BC3" s="19">
        <v>23.0</v>
      </c>
      <c r="BD3" s="20" t="b">
        <v>0</v>
      </c>
      <c r="BE3" s="27" t="s">
        <v>48</v>
      </c>
      <c r="BF3" s="11" t="str">
        <f t="shared" si="11"/>
        <v/>
      </c>
      <c r="BG3" s="19">
        <v>17.0</v>
      </c>
      <c r="BH3" s="19">
        <v>14.0</v>
      </c>
      <c r="BI3" s="20" t="b">
        <v>1</v>
      </c>
      <c r="BJ3" s="27" t="s">
        <v>61</v>
      </c>
      <c r="BK3" s="11" t="str">
        <f t="shared" si="12"/>
        <v/>
      </c>
      <c r="BL3" s="19">
        <v>21.0</v>
      </c>
      <c r="BM3" s="19">
        <v>24.0</v>
      </c>
      <c r="BN3" s="20" t="b">
        <v>0</v>
      </c>
      <c r="BO3" s="17"/>
      <c r="BP3" s="17"/>
      <c r="BQ3" s="17"/>
    </row>
    <row r="4">
      <c r="A4" s="16" t="s">
        <v>339</v>
      </c>
      <c r="B4" s="30" t="s">
        <v>344</v>
      </c>
      <c r="C4" s="18"/>
      <c r="D4" s="11" t="str">
        <f>IFERROR(__xludf.DUMMYFUNCTION("""COMPUTED_VALUE"""),"")</f>
        <v/>
      </c>
      <c r="E4" s="19"/>
      <c r="F4" s="20"/>
      <c r="G4" s="19" t="s">
        <v>126</v>
      </c>
      <c r="H4" s="11" t="str">
        <f t="shared" si="1"/>
        <v/>
      </c>
      <c r="I4" s="19">
        <v>17.0</v>
      </c>
      <c r="J4" s="19">
        <v>14.0</v>
      </c>
      <c r="K4" s="20" t="b">
        <v>0</v>
      </c>
      <c r="L4" s="19" t="s">
        <v>41</v>
      </c>
      <c r="M4" s="11" t="str">
        <f t="shared" si="2"/>
        <v/>
      </c>
      <c r="N4" s="19">
        <v>20.0</v>
      </c>
      <c r="O4" s="19">
        <v>23.0</v>
      </c>
      <c r="P4" s="19" t="b">
        <v>0</v>
      </c>
      <c r="Q4" s="27" t="s">
        <v>41</v>
      </c>
      <c r="R4" s="11" t="str">
        <f t="shared" si="3"/>
        <v/>
      </c>
      <c r="S4" s="19">
        <v>7.0</v>
      </c>
      <c r="T4" s="19">
        <v>10.0</v>
      </c>
      <c r="U4" s="20" t="b">
        <v>0</v>
      </c>
      <c r="V4" s="19" t="s">
        <v>126</v>
      </c>
      <c r="W4" s="11" t="str">
        <f t="shared" si="4"/>
        <v/>
      </c>
      <c r="X4" s="19">
        <v>21.0</v>
      </c>
      <c r="Y4" s="19">
        <v>18.0</v>
      </c>
      <c r="Z4" s="20" t="b">
        <v>0</v>
      </c>
      <c r="AA4" s="27" t="s">
        <v>41</v>
      </c>
      <c r="AB4" s="11" t="str">
        <f t="shared" si="5"/>
        <v/>
      </c>
      <c r="AC4" s="19">
        <v>17.0</v>
      </c>
      <c r="AD4" s="19">
        <v>24.0</v>
      </c>
      <c r="AE4" s="19" t="b">
        <v>0</v>
      </c>
      <c r="AF4" s="27" t="s">
        <v>41</v>
      </c>
      <c r="AG4" s="11" t="str">
        <f t="shared" si="6"/>
        <v/>
      </c>
      <c r="AH4" s="19">
        <v>24.0</v>
      </c>
      <c r="AI4" s="19">
        <v>31.0</v>
      </c>
      <c r="AJ4" s="20" t="b">
        <v>0</v>
      </c>
      <c r="AK4" s="19" t="s">
        <v>41</v>
      </c>
      <c r="AL4" s="11" t="str">
        <f t="shared" si="7"/>
        <v/>
      </c>
      <c r="AM4" s="19">
        <v>21.0</v>
      </c>
      <c r="AN4" s="19">
        <v>24.0</v>
      </c>
      <c r="AO4" s="20" t="b">
        <v>0</v>
      </c>
      <c r="AP4" s="27" t="s">
        <v>41</v>
      </c>
      <c r="AQ4" s="11" t="str">
        <f t="shared" si="8"/>
        <v/>
      </c>
      <c r="AR4" s="19">
        <v>17.0</v>
      </c>
      <c r="AS4" s="19">
        <v>20.0</v>
      </c>
      <c r="AT4" s="20" t="b">
        <v>0</v>
      </c>
      <c r="AU4" s="27" t="s">
        <v>41</v>
      </c>
      <c r="AV4" s="11" t="str">
        <f t="shared" si="9"/>
        <v/>
      </c>
      <c r="AW4" s="19">
        <v>21.0</v>
      </c>
      <c r="AX4" s="19">
        <v>28.0</v>
      </c>
      <c r="AY4" s="20" t="b">
        <v>0</v>
      </c>
      <c r="AZ4" s="27" t="s">
        <v>41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126</v>
      </c>
      <c r="BF4" s="11" t="str">
        <f t="shared" si="11"/>
        <v/>
      </c>
      <c r="BG4" s="19">
        <v>23.0</v>
      </c>
      <c r="BH4" s="19">
        <v>20.0</v>
      </c>
      <c r="BI4" s="20" t="b">
        <v>0</v>
      </c>
      <c r="BJ4" s="27" t="s">
        <v>126</v>
      </c>
      <c r="BK4" s="11" t="str">
        <f t="shared" si="12"/>
        <v/>
      </c>
      <c r="BL4" s="19">
        <v>24.0</v>
      </c>
      <c r="BM4" s="19">
        <v>21.0</v>
      </c>
      <c r="BN4" s="20" t="b">
        <v>0</v>
      </c>
      <c r="BO4" s="17"/>
      <c r="BP4" s="17"/>
      <c r="BQ4" s="17"/>
    </row>
    <row r="5">
      <c r="A5" s="16" t="s">
        <v>339</v>
      </c>
      <c r="B5" s="87" t="s">
        <v>351</v>
      </c>
      <c r="C5" s="18"/>
      <c r="D5" s="11" t="str">
        <f>IFERROR(__xludf.DUMMYFUNCTION("""COMPUTED_VALUE"""),"")</f>
        <v/>
      </c>
      <c r="E5" s="19"/>
      <c r="F5" s="20"/>
      <c r="G5" s="19" t="s">
        <v>34</v>
      </c>
      <c r="H5" s="11" t="str">
        <f t="shared" si="1"/>
        <v/>
      </c>
      <c r="I5" s="19">
        <v>21.0</v>
      </c>
      <c r="J5" s="19">
        <v>28.0</v>
      </c>
      <c r="K5" s="20" t="b">
        <v>0</v>
      </c>
      <c r="L5" s="19" t="s">
        <v>34</v>
      </c>
      <c r="M5" s="11" t="str">
        <f t="shared" si="2"/>
        <v/>
      </c>
      <c r="N5" s="19">
        <v>24.0</v>
      </c>
      <c r="O5" s="19">
        <v>27.0</v>
      </c>
      <c r="P5" s="19" t="b">
        <v>0</v>
      </c>
      <c r="Q5" s="27" t="s">
        <v>29</v>
      </c>
      <c r="R5" s="11" t="str">
        <f t="shared" si="3"/>
        <v/>
      </c>
      <c r="S5" s="19">
        <v>28.0</v>
      </c>
      <c r="T5" s="19">
        <v>21.0</v>
      </c>
      <c r="U5" s="20" t="b">
        <v>0</v>
      </c>
      <c r="V5" s="19" t="s">
        <v>34</v>
      </c>
      <c r="W5" s="11" t="str">
        <f t="shared" si="4"/>
        <v/>
      </c>
      <c r="X5" s="19">
        <v>17.0</v>
      </c>
      <c r="Y5" s="19">
        <v>21.0</v>
      </c>
      <c r="Z5" s="20" t="b">
        <v>0</v>
      </c>
      <c r="AA5" s="27" t="s">
        <v>34</v>
      </c>
      <c r="AB5" s="11" t="str">
        <f t="shared" si="5"/>
        <v/>
      </c>
      <c r="AC5" s="19">
        <v>17.0</v>
      </c>
      <c r="AD5" s="19">
        <v>24.0</v>
      </c>
      <c r="AE5" s="19" t="b">
        <v>0</v>
      </c>
      <c r="AF5" s="27" t="s">
        <v>29</v>
      </c>
      <c r="AG5" s="11" t="str">
        <f t="shared" si="6"/>
        <v/>
      </c>
      <c r="AH5" s="19">
        <v>17.0</v>
      </c>
      <c r="AI5" s="19">
        <v>14.0</v>
      </c>
      <c r="AJ5" s="20" t="b">
        <v>0</v>
      </c>
      <c r="AK5" s="19" t="s">
        <v>34</v>
      </c>
      <c r="AL5" s="11" t="str">
        <f t="shared" si="7"/>
        <v/>
      </c>
      <c r="AM5" s="19">
        <v>7.0</v>
      </c>
      <c r="AN5" s="19">
        <v>10.0</v>
      </c>
      <c r="AO5" s="20" t="b">
        <v>0</v>
      </c>
      <c r="AP5" s="27" t="s">
        <v>34</v>
      </c>
      <c r="AQ5" s="11" t="str">
        <f t="shared" si="8"/>
        <v/>
      </c>
      <c r="AR5" s="19">
        <v>17.0</v>
      </c>
      <c r="AS5" s="19">
        <v>20.0</v>
      </c>
      <c r="AT5" s="20" t="b">
        <v>0</v>
      </c>
      <c r="AU5" s="27" t="s">
        <v>34</v>
      </c>
      <c r="AV5" s="11" t="str">
        <f t="shared" si="9"/>
        <v/>
      </c>
      <c r="AW5" s="19">
        <v>10.0</v>
      </c>
      <c r="AX5" s="19">
        <v>14.0</v>
      </c>
      <c r="AY5" s="20" t="b">
        <v>0</v>
      </c>
      <c r="AZ5" s="27" t="s">
        <v>29</v>
      </c>
      <c r="BA5" s="11" t="str">
        <f t="shared" si="10"/>
        <v/>
      </c>
      <c r="BB5" s="19">
        <v>23.0</v>
      </c>
      <c r="BC5" s="19">
        <v>20.0</v>
      </c>
      <c r="BD5" s="20" t="b">
        <v>0</v>
      </c>
      <c r="BE5" s="27" t="s">
        <v>29</v>
      </c>
      <c r="BF5" s="11" t="str">
        <f t="shared" si="11"/>
        <v/>
      </c>
      <c r="BG5" s="19">
        <v>20.0</v>
      </c>
      <c r="BH5" s="19">
        <v>17.0</v>
      </c>
      <c r="BI5" s="20" t="b">
        <v>0</v>
      </c>
      <c r="BJ5" s="27" t="s">
        <v>29</v>
      </c>
      <c r="BK5" s="11" t="str">
        <f t="shared" si="12"/>
        <v/>
      </c>
      <c r="BL5" s="19">
        <v>31.0</v>
      </c>
      <c r="BM5" s="19">
        <v>24.0</v>
      </c>
      <c r="BN5" s="20" t="b">
        <v>0</v>
      </c>
      <c r="BO5" s="17"/>
      <c r="BP5" s="17"/>
      <c r="BQ5" s="17"/>
    </row>
    <row r="6">
      <c r="A6" s="16" t="s">
        <v>339</v>
      </c>
      <c r="B6" s="87" t="s">
        <v>355</v>
      </c>
      <c r="C6" s="18"/>
      <c r="D6" s="11" t="str">
        <f>IFERROR(__xludf.DUMMYFUNCTION("""COMPUTED_VALUE"""),"")</f>
        <v/>
      </c>
      <c r="E6" s="19"/>
      <c r="F6" s="20"/>
      <c r="G6" s="19" t="s">
        <v>27</v>
      </c>
      <c r="H6" s="11" t="str">
        <f t="shared" si="1"/>
        <v/>
      </c>
      <c r="I6" s="19">
        <v>21.0</v>
      </c>
      <c r="J6" s="19">
        <v>28.0</v>
      </c>
      <c r="K6" s="20" t="b">
        <v>0</v>
      </c>
      <c r="L6" s="19" t="s">
        <v>27</v>
      </c>
      <c r="M6" s="11" t="str">
        <f t="shared" si="2"/>
        <v/>
      </c>
      <c r="N6" s="19">
        <v>14.0</v>
      </c>
      <c r="O6" s="19">
        <v>17.0</v>
      </c>
      <c r="P6" s="19" t="b">
        <v>0</v>
      </c>
      <c r="Q6" s="27" t="s">
        <v>27</v>
      </c>
      <c r="R6" s="11" t="str">
        <f t="shared" si="3"/>
        <v/>
      </c>
      <c r="S6" s="19">
        <v>17.0</v>
      </c>
      <c r="T6" s="19">
        <v>21.0</v>
      </c>
      <c r="U6" s="20" t="b">
        <v>0</v>
      </c>
      <c r="V6" s="19" t="s">
        <v>27</v>
      </c>
      <c r="W6" s="11" t="str">
        <f t="shared" si="4"/>
        <v/>
      </c>
      <c r="X6" s="19">
        <v>13.0</v>
      </c>
      <c r="Y6" s="19">
        <v>21.0</v>
      </c>
      <c r="Z6" s="20" t="b">
        <v>0</v>
      </c>
      <c r="AA6" s="27" t="s">
        <v>27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55</v>
      </c>
      <c r="AG6" s="11" t="str">
        <f t="shared" si="6"/>
        <v/>
      </c>
      <c r="AH6" s="19">
        <v>24.0</v>
      </c>
      <c r="AI6" s="19">
        <v>21.0</v>
      </c>
      <c r="AJ6" s="20" t="b">
        <v>0</v>
      </c>
      <c r="AK6" s="19" t="s">
        <v>27</v>
      </c>
      <c r="AL6" s="11" t="str">
        <f t="shared" si="7"/>
        <v/>
      </c>
      <c r="AM6" s="19">
        <v>24.0</v>
      </c>
      <c r="AN6" s="19">
        <v>31.0</v>
      </c>
      <c r="AO6" s="20" t="b">
        <v>0</v>
      </c>
      <c r="AP6" s="27" t="s">
        <v>27</v>
      </c>
      <c r="AQ6" s="11" t="str">
        <f t="shared" si="8"/>
        <v/>
      </c>
      <c r="AR6" s="19">
        <v>14.0</v>
      </c>
      <c r="AS6" s="19">
        <v>31.0</v>
      </c>
      <c r="AT6" s="20" t="b">
        <v>1</v>
      </c>
      <c r="AU6" s="27" t="s">
        <v>27</v>
      </c>
      <c r="AV6" s="11" t="str">
        <f t="shared" si="9"/>
        <v/>
      </c>
      <c r="AW6" s="19">
        <v>24.0</v>
      </c>
      <c r="AX6" s="19">
        <v>27.0</v>
      </c>
      <c r="AY6" s="20" t="b">
        <v>0</v>
      </c>
      <c r="AZ6" s="27" t="s">
        <v>27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27</v>
      </c>
      <c r="BF6" s="11" t="str">
        <f t="shared" si="11"/>
        <v/>
      </c>
      <c r="BG6" s="19">
        <v>14.0</v>
      </c>
      <c r="BH6" s="19">
        <v>17.0</v>
      </c>
      <c r="BI6" s="20" t="b">
        <v>0</v>
      </c>
      <c r="BJ6" s="27" t="s">
        <v>27</v>
      </c>
      <c r="BK6" s="11" t="str">
        <f t="shared" si="12"/>
        <v/>
      </c>
      <c r="BL6" s="19">
        <v>7.0</v>
      </c>
      <c r="BM6" s="19">
        <v>10.0</v>
      </c>
      <c r="BN6" s="20" t="b">
        <v>0</v>
      </c>
      <c r="BO6" s="17"/>
      <c r="BP6" s="17"/>
      <c r="BQ6" s="17"/>
    </row>
    <row r="7">
      <c r="A7" s="16" t="s">
        <v>339</v>
      </c>
      <c r="B7" s="87" t="s">
        <v>358</v>
      </c>
      <c r="C7" s="18"/>
      <c r="D7" s="11" t="str">
        <f>IFERROR(__xludf.DUMMYFUNCTION("""COMPUTED_VALUE"""),"")</f>
        <v/>
      </c>
      <c r="E7" s="19"/>
      <c r="F7" s="20"/>
      <c r="G7" s="19" t="s">
        <v>87</v>
      </c>
      <c r="H7" s="11" t="str">
        <f t="shared" si="1"/>
        <v/>
      </c>
      <c r="I7" s="19">
        <v>14.0</v>
      </c>
      <c r="J7" s="19">
        <v>17.0</v>
      </c>
      <c r="K7" s="20" t="b">
        <v>0</v>
      </c>
      <c r="L7" s="19" t="s">
        <v>44</v>
      </c>
      <c r="M7" s="11" t="str">
        <f t="shared" si="2"/>
        <v/>
      </c>
      <c r="N7" s="19">
        <v>21.0</v>
      </c>
      <c r="O7" s="19">
        <v>17.0</v>
      </c>
      <c r="P7" s="19" t="b">
        <v>0</v>
      </c>
      <c r="Q7" s="27" t="s">
        <v>44</v>
      </c>
      <c r="R7" s="11" t="str">
        <f t="shared" si="3"/>
        <v/>
      </c>
      <c r="S7" s="19">
        <v>27.0</v>
      </c>
      <c r="T7" s="19">
        <v>24.0</v>
      </c>
      <c r="U7" s="20" t="b">
        <v>1</v>
      </c>
      <c r="V7" s="19" t="s">
        <v>87</v>
      </c>
      <c r="W7" s="11" t="str">
        <f t="shared" si="4"/>
        <v/>
      </c>
      <c r="X7" s="19">
        <v>17.0</v>
      </c>
      <c r="Y7" s="19">
        <v>21.0</v>
      </c>
      <c r="Z7" s="20" t="b">
        <v>0</v>
      </c>
      <c r="AA7" s="27" t="s">
        <v>44</v>
      </c>
      <c r="AB7" s="11" t="str">
        <f t="shared" si="5"/>
        <v/>
      </c>
      <c r="AC7" s="19">
        <v>24.0</v>
      </c>
      <c r="AD7" s="19">
        <v>17.0</v>
      </c>
      <c r="AE7" s="19" t="b">
        <v>0</v>
      </c>
      <c r="AF7" s="27" t="s">
        <v>87</v>
      </c>
      <c r="AG7" s="11" t="str">
        <f t="shared" si="6"/>
        <v/>
      </c>
      <c r="AH7" s="19">
        <v>10.0</v>
      </c>
      <c r="AI7" s="19">
        <v>14.0</v>
      </c>
      <c r="AJ7" s="20" t="b">
        <v>0</v>
      </c>
      <c r="AK7" s="19" t="s">
        <v>44</v>
      </c>
      <c r="AL7" s="11" t="str">
        <f t="shared" si="7"/>
        <v/>
      </c>
      <c r="AM7" s="19">
        <v>27.0</v>
      </c>
      <c r="AN7" s="19">
        <v>24.0</v>
      </c>
      <c r="AO7" s="20" t="b">
        <v>0</v>
      </c>
      <c r="AP7" s="27" t="s">
        <v>87</v>
      </c>
      <c r="AQ7" s="11" t="str">
        <f t="shared" si="8"/>
        <v/>
      </c>
      <c r="AR7" s="19">
        <v>20.0</v>
      </c>
      <c r="AS7" s="19">
        <v>27.0</v>
      </c>
      <c r="AT7" s="20" t="b">
        <v>0</v>
      </c>
      <c r="AU7" s="27" t="s">
        <v>87</v>
      </c>
      <c r="AV7" s="11" t="str">
        <f t="shared" si="9"/>
        <v/>
      </c>
      <c r="AW7" s="19">
        <v>24.0</v>
      </c>
      <c r="AX7" s="19">
        <v>27.0</v>
      </c>
      <c r="AY7" s="20" t="b">
        <v>0</v>
      </c>
      <c r="AZ7" s="27" t="s">
        <v>87</v>
      </c>
      <c r="BA7" s="11" t="str">
        <f t="shared" si="10"/>
        <v/>
      </c>
      <c r="BB7" s="19">
        <v>23.0</v>
      </c>
      <c r="BC7" s="19">
        <v>20.0</v>
      </c>
      <c r="BD7" s="20" t="b">
        <v>0</v>
      </c>
      <c r="BE7" s="27" t="s">
        <v>44</v>
      </c>
      <c r="BF7" s="11" t="str">
        <f t="shared" si="11"/>
        <v/>
      </c>
      <c r="BG7" s="19">
        <v>17.0</v>
      </c>
      <c r="BH7" s="19">
        <v>14.0</v>
      </c>
      <c r="BI7" s="20" t="b">
        <v>0</v>
      </c>
      <c r="BJ7" s="27" t="s">
        <v>44</v>
      </c>
      <c r="BK7" s="11" t="str">
        <f t="shared" si="12"/>
        <v/>
      </c>
      <c r="BL7" s="19">
        <v>14.0</v>
      </c>
      <c r="BM7" s="19">
        <v>10.0</v>
      </c>
      <c r="BN7" s="20" t="b">
        <v>0</v>
      </c>
      <c r="BO7" s="17"/>
      <c r="BP7" s="17"/>
      <c r="BQ7" s="17"/>
    </row>
    <row r="8">
      <c r="A8" s="16" t="s">
        <v>339</v>
      </c>
      <c r="B8" s="87" t="s">
        <v>361</v>
      </c>
      <c r="C8" s="18"/>
      <c r="D8" s="11" t="str">
        <f>IFERROR(__xludf.DUMMYFUNCTION("""COMPUTED_VALUE"""),"")</f>
        <v/>
      </c>
      <c r="E8" s="19"/>
      <c r="F8" s="20"/>
      <c r="G8" s="19" t="s">
        <v>74</v>
      </c>
      <c r="H8" s="11" t="str">
        <f t="shared" si="1"/>
        <v/>
      </c>
      <c r="I8" s="19">
        <v>23.0</v>
      </c>
      <c r="J8" s="19">
        <v>20.0</v>
      </c>
      <c r="K8" s="20" t="b">
        <v>0</v>
      </c>
      <c r="L8" s="19" t="s">
        <v>74</v>
      </c>
      <c r="M8" s="11" t="str">
        <f t="shared" si="2"/>
        <v/>
      </c>
      <c r="N8" s="19">
        <v>31.0</v>
      </c>
      <c r="O8" s="19">
        <v>24.0</v>
      </c>
      <c r="P8" s="19" t="b">
        <v>0</v>
      </c>
      <c r="Q8" s="27" t="s">
        <v>74</v>
      </c>
      <c r="R8" s="11" t="str">
        <f t="shared" si="3"/>
        <v/>
      </c>
      <c r="S8" s="19">
        <v>21.0</v>
      </c>
      <c r="T8" s="19">
        <v>17.0</v>
      </c>
      <c r="U8" s="20" t="b">
        <v>0</v>
      </c>
      <c r="V8" s="19" t="s">
        <v>74</v>
      </c>
      <c r="W8" s="11" t="str">
        <f t="shared" si="4"/>
        <v/>
      </c>
      <c r="X8" s="19">
        <v>10.0</v>
      </c>
      <c r="Y8" s="19">
        <v>7.0</v>
      </c>
      <c r="Z8" s="20" t="b">
        <v>0</v>
      </c>
      <c r="AA8" s="27" t="s">
        <v>74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74</v>
      </c>
      <c r="AG8" s="11" t="str">
        <f t="shared" si="6"/>
        <v/>
      </c>
      <c r="AH8" s="19">
        <v>24.0</v>
      </c>
      <c r="AI8" s="19">
        <v>21.0</v>
      </c>
      <c r="AJ8" s="20" t="b">
        <v>0</v>
      </c>
      <c r="AK8" s="19" t="s">
        <v>74</v>
      </c>
      <c r="AL8" s="11" t="str">
        <f t="shared" si="7"/>
        <v/>
      </c>
      <c r="AM8" s="19">
        <v>27.0</v>
      </c>
      <c r="AN8" s="19">
        <v>24.0</v>
      </c>
      <c r="AO8" s="20" t="b">
        <v>0</v>
      </c>
      <c r="AP8" s="27" t="s">
        <v>74</v>
      </c>
      <c r="AQ8" s="11" t="str">
        <f t="shared" si="8"/>
        <v/>
      </c>
      <c r="AR8" s="19">
        <v>27.0</v>
      </c>
      <c r="AS8" s="19">
        <v>17.0</v>
      </c>
      <c r="AT8" s="20" t="b">
        <v>0</v>
      </c>
      <c r="AU8" s="27" t="s">
        <v>74</v>
      </c>
      <c r="AV8" s="11" t="str">
        <f t="shared" si="9"/>
        <v/>
      </c>
      <c r="AW8" s="19">
        <v>14.0</v>
      </c>
      <c r="AX8" s="19">
        <v>10.0</v>
      </c>
      <c r="AY8" s="20" t="b">
        <v>0</v>
      </c>
      <c r="AZ8" s="27" t="s">
        <v>74</v>
      </c>
      <c r="BA8" s="11" t="str">
        <f t="shared" si="10"/>
        <v/>
      </c>
      <c r="BB8" s="19">
        <v>23.0</v>
      </c>
      <c r="BC8" s="19">
        <v>20.0</v>
      </c>
      <c r="BD8" s="20" t="b">
        <v>0</v>
      </c>
      <c r="BE8" s="27" t="s">
        <v>74</v>
      </c>
      <c r="BF8" s="11" t="str">
        <f t="shared" si="11"/>
        <v/>
      </c>
      <c r="BG8" s="19">
        <v>14.0</v>
      </c>
      <c r="BH8" s="19">
        <v>10.0</v>
      </c>
      <c r="BI8" s="20" t="b">
        <v>0</v>
      </c>
      <c r="BJ8" s="27" t="s">
        <v>74</v>
      </c>
      <c r="BK8" s="11" t="str">
        <f t="shared" si="12"/>
        <v/>
      </c>
      <c r="BL8" s="19">
        <v>24.0</v>
      </c>
      <c r="BM8" s="19">
        <v>21.0</v>
      </c>
      <c r="BN8" s="20" t="b">
        <v>0</v>
      </c>
      <c r="BO8" s="19"/>
      <c r="BP8" s="19"/>
      <c r="BQ8" s="19"/>
    </row>
    <row r="9">
      <c r="A9" s="16" t="s">
        <v>339</v>
      </c>
      <c r="B9" s="87" t="s">
        <v>365</v>
      </c>
      <c r="C9" s="18"/>
      <c r="D9" s="11" t="str">
        <f>IFERROR(__xludf.DUMMYFUNCTION("""COMPUTED_VALUE"""),"")</f>
        <v/>
      </c>
      <c r="E9" s="19"/>
      <c r="F9" s="20"/>
      <c r="G9" s="19" t="s">
        <v>54</v>
      </c>
      <c r="H9" s="11" t="str">
        <f t="shared" si="1"/>
        <v/>
      </c>
      <c r="I9" s="19">
        <v>24.0</v>
      </c>
      <c r="J9" s="19">
        <v>27.0</v>
      </c>
      <c r="K9" s="20" t="b">
        <v>0</v>
      </c>
      <c r="L9" s="19" t="s">
        <v>76</v>
      </c>
      <c r="M9" s="11" t="str">
        <f t="shared" si="2"/>
        <v/>
      </c>
      <c r="N9" s="19">
        <v>23.0</v>
      </c>
      <c r="O9" s="19">
        <v>20.0</v>
      </c>
      <c r="P9" s="19" t="b">
        <v>0</v>
      </c>
      <c r="Q9" s="27" t="s">
        <v>76</v>
      </c>
      <c r="R9" s="11" t="str">
        <f t="shared" si="3"/>
        <v/>
      </c>
      <c r="S9" s="19">
        <v>23.0</v>
      </c>
      <c r="T9" s="19">
        <v>20.0</v>
      </c>
      <c r="U9" s="20" t="b">
        <v>0</v>
      </c>
      <c r="V9" s="19" t="s">
        <v>54</v>
      </c>
      <c r="W9" s="11" t="str">
        <f t="shared" si="4"/>
        <v/>
      </c>
      <c r="X9" s="19">
        <v>23.0</v>
      </c>
      <c r="Y9" s="19">
        <v>27.0</v>
      </c>
      <c r="Z9" s="20" t="b">
        <v>0</v>
      </c>
      <c r="AA9" s="27" t="s">
        <v>54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54</v>
      </c>
      <c r="AG9" s="11" t="str">
        <f t="shared" si="6"/>
        <v/>
      </c>
      <c r="AH9" s="19">
        <v>20.0</v>
      </c>
      <c r="AI9" s="19">
        <v>23.0</v>
      </c>
      <c r="AJ9" s="20" t="b">
        <v>0</v>
      </c>
      <c r="AK9" s="19" t="s">
        <v>54</v>
      </c>
      <c r="AL9" s="11" t="str">
        <f t="shared" si="7"/>
        <v/>
      </c>
      <c r="AM9" s="19">
        <v>7.0</v>
      </c>
      <c r="AN9" s="19">
        <v>10.0</v>
      </c>
      <c r="AO9" s="20" t="b">
        <v>0</v>
      </c>
      <c r="AP9" s="27" t="s">
        <v>54</v>
      </c>
      <c r="AQ9" s="11" t="str">
        <f t="shared" si="8"/>
        <v/>
      </c>
      <c r="AR9" s="19">
        <v>20.0</v>
      </c>
      <c r="AS9" s="19">
        <v>28.0</v>
      </c>
      <c r="AT9" s="20" t="b">
        <v>0</v>
      </c>
      <c r="AU9" s="27" t="s">
        <v>76</v>
      </c>
      <c r="AV9" s="11" t="str">
        <f t="shared" si="9"/>
        <v/>
      </c>
      <c r="AW9" s="19">
        <v>14.0</v>
      </c>
      <c r="AX9" s="19">
        <v>10.0</v>
      </c>
      <c r="AY9" s="20" t="b">
        <v>0</v>
      </c>
      <c r="AZ9" s="27" t="s">
        <v>54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54</v>
      </c>
      <c r="BF9" s="11" t="str">
        <f t="shared" si="11"/>
        <v/>
      </c>
      <c r="BG9" s="19">
        <v>21.0</v>
      </c>
      <c r="BH9" s="19">
        <v>28.0</v>
      </c>
      <c r="BI9" s="20" t="b">
        <v>0</v>
      </c>
      <c r="BJ9" s="27" t="s">
        <v>54</v>
      </c>
      <c r="BK9" s="11" t="str">
        <f t="shared" si="12"/>
        <v/>
      </c>
      <c r="BL9" s="19">
        <v>20.0</v>
      </c>
      <c r="BM9" s="19">
        <v>23.0</v>
      </c>
      <c r="BN9" s="20" t="b">
        <v>0</v>
      </c>
      <c r="BO9" s="17"/>
      <c r="BP9" s="17"/>
      <c r="BQ9" s="17"/>
    </row>
    <row r="10">
      <c r="A10" s="16" t="s">
        <v>339</v>
      </c>
      <c r="B10" s="87" t="s">
        <v>370</v>
      </c>
      <c r="C10" s="18"/>
      <c r="D10" s="11" t="str">
        <f>IFERROR(__xludf.DUMMYFUNCTION("""COMPUTED_VALUE"""),"")</f>
        <v/>
      </c>
      <c r="E10" s="19"/>
      <c r="F10" s="20"/>
      <c r="G10" s="19" t="s">
        <v>85</v>
      </c>
      <c r="H10" s="11" t="str">
        <f t="shared" si="1"/>
        <v/>
      </c>
      <c r="I10" s="19">
        <v>24.0</v>
      </c>
      <c r="J10" s="19">
        <v>27.0</v>
      </c>
      <c r="K10" s="20" t="b">
        <v>0</v>
      </c>
      <c r="L10" s="19" t="s">
        <v>69</v>
      </c>
      <c r="M10" s="11" t="str">
        <f t="shared" si="2"/>
        <v/>
      </c>
      <c r="N10" s="19">
        <v>14.0</v>
      </c>
      <c r="O10" s="19">
        <v>10.0</v>
      </c>
      <c r="P10" s="19" t="b">
        <v>0</v>
      </c>
      <c r="Q10" s="27" t="s">
        <v>69</v>
      </c>
      <c r="R10" s="11" t="str">
        <f t="shared" si="3"/>
        <v/>
      </c>
      <c r="S10" s="19">
        <v>27.0</v>
      </c>
      <c r="T10" s="19">
        <v>24.0</v>
      </c>
      <c r="U10" s="20" t="b">
        <v>0</v>
      </c>
      <c r="V10" s="19" t="s">
        <v>85</v>
      </c>
      <c r="W10" s="11" t="str">
        <f t="shared" si="4"/>
        <v/>
      </c>
      <c r="X10" s="19">
        <v>20.0</v>
      </c>
      <c r="Y10" s="19">
        <v>23.0</v>
      </c>
      <c r="Z10" s="20" t="b">
        <v>0</v>
      </c>
      <c r="AA10" s="27" t="s">
        <v>85</v>
      </c>
      <c r="AB10" s="11" t="str">
        <f t="shared" si="5"/>
        <v/>
      </c>
      <c r="AC10" s="19">
        <v>17.0</v>
      </c>
      <c r="AD10" s="19">
        <v>24.0</v>
      </c>
      <c r="AE10" s="19" t="b">
        <v>0</v>
      </c>
      <c r="AF10" s="27" t="s">
        <v>69</v>
      </c>
      <c r="AG10" s="11" t="str">
        <f t="shared" si="6"/>
        <v/>
      </c>
      <c r="AH10" s="19">
        <v>23.0</v>
      </c>
      <c r="AI10" s="19">
        <v>20.0</v>
      </c>
      <c r="AJ10" s="20" t="b">
        <v>0</v>
      </c>
      <c r="AK10" s="19" t="s">
        <v>85</v>
      </c>
      <c r="AL10" s="11" t="str">
        <f t="shared" si="7"/>
        <v/>
      </c>
      <c r="AM10" s="19">
        <v>10.0</v>
      </c>
      <c r="AN10" s="19">
        <v>14.0</v>
      </c>
      <c r="AO10" s="20" t="b">
        <v>0</v>
      </c>
      <c r="AP10" s="27" t="s">
        <v>69</v>
      </c>
      <c r="AQ10" s="11" t="str">
        <f t="shared" si="8"/>
        <v/>
      </c>
      <c r="AR10" s="19">
        <v>24.0</v>
      </c>
      <c r="AS10" s="19">
        <v>21.0</v>
      </c>
      <c r="AT10" s="20" t="b">
        <v>0</v>
      </c>
      <c r="AU10" s="27" t="s">
        <v>85</v>
      </c>
      <c r="AV10" s="11" t="str">
        <f t="shared" si="9"/>
        <v/>
      </c>
      <c r="AW10" s="19">
        <v>17.0</v>
      </c>
      <c r="AX10" s="19">
        <v>21.0</v>
      </c>
      <c r="AY10" s="20" t="b">
        <v>0</v>
      </c>
      <c r="AZ10" s="27" t="s">
        <v>69</v>
      </c>
      <c r="BA10" s="11" t="str">
        <f t="shared" si="10"/>
        <v/>
      </c>
      <c r="BB10" s="19">
        <v>23.0</v>
      </c>
      <c r="BC10" s="19">
        <v>20.0</v>
      </c>
      <c r="BD10" s="20" t="b">
        <v>0</v>
      </c>
      <c r="BE10" s="27" t="s">
        <v>69</v>
      </c>
      <c r="BF10" s="11" t="str">
        <f t="shared" si="11"/>
        <v/>
      </c>
      <c r="BG10" s="19">
        <v>14.0</v>
      </c>
      <c r="BH10" s="19">
        <v>10.0</v>
      </c>
      <c r="BI10" s="20" t="b">
        <v>0</v>
      </c>
      <c r="BJ10" s="27" t="s">
        <v>69</v>
      </c>
      <c r="BK10" s="11" t="str">
        <f t="shared" si="12"/>
        <v/>
      </c>
      <c r="BL10" s="19">
        <v>14.0</v>
      </c>
      <c r="BM10" s="19">
        <v>10.0</v>
      </c>
      <c r="BN10" s="20" t="b">
        <v>0</v>
      </c>
      <c r="BO10" s="17"/>
      <c r="BP10" s="17"/>
      <c r="BQ10" s="17"/>
    </row>
    <row r="11">
      <c r="A11" s="16" t="s">
        <v>373</v>
      </c>
      <c r="B11" s="30" t="s">
        <v>374</v>
      </c>
      <c r="C11" s="18"/>
      <c r="D11" s="11" t="str">
        <f>IFERROR(__xludf.DUMMYFUNCTION("""COMPUTED_VALUE"""),"")</f>
        <v/>
      </c>
      <c r="E11" s="19"/>
      <c r="F11" s="20"/>
      <c r="G11" s="19" t="s">
        <v>50</v>
      </c>
      <c r="H11" s="11" t="str">
        <f t="shared" si="1"/>
        <v/>
      </c>
      <c r="I11" s="19">
        <v>20.0</v>
      </c>
      <c r="J11" s="19">
        <v>17.0</v>
      </c>
      <c r="K11" s="20" t="b">
        <v>0</v>
      </c>
      <c r="L11" s="19" t="s">
        <v>50</v>
      </c>
      <c r="M11" s="11" t="str">
        <f t="shared" si="2"/>
        <v/>
      </c>
      <c r="N11" s="19">
        <v>23.0</v>
      </c>
      <c r="O11" s="19">
        <v>20.0</v>
      </c>
      <c r="P11" s="19" t="b">
        <v>0</v>
      </c>
      <c r="Q11" s="27" t="s">
        <v>50</v>
      </c>
      <c r="R11" s="11" t="str">
        <f t="shared" si="3"/>
        <v/>
      </c>
      <c r="S11" s="19">
        <v>24.0</v>
      </c>
      <c r="T11" s="19">
        <v>21.0</v>
      </c>
      <c r="U11" s="20" t="b">
        <v>0</v>
      </c>
      <c r="V11" s="19" t="s">
        <v>50</v>
      </c>
      <c r="W11" s="11" t="str">
        <f t="shared" si="4"/>
        <v/>
      </c>
      <c r="X11" s="19">
        <v>28.0</v>
      </c>
      <c r="Y11" s="19">
        <v>21.0</v>
      </c>
      <c r="Z11" s="20" t="b">
        <v>0</v>
      </c>
      <c r="AA11" s="27" t="s">
        <v>79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50</v>
      </c>
      <c r="AG11" s="11" t="str">
        <f t="shared" si="6"/>
        <v/>
      </c>
      <c r="AH11" s="19">
        <v>10.0</v>
      </c>
      <c r="AI11" s="19">
        <v>7.0</v>
      </c>
      <c r="AJ11" s="20" t="b">
        <v>0</v>
      </c>
      <c r="AK11" s="19" t="s">
        <v>50</v>
      </c>
      <c r="AL11" s="11" t="str">
        <f t="shared" si="7"/>
        <v/>
      </c>
      <c r="AM11" s="19">
        <v>27.0</v>
      </c>
      <c r="AN11" s="19">
        <v>24.0</v>
      </c>
      <c r="AO11" s="20" t="b">
        <v>0</v>
      </c>
      <c r="AP11" s="27" t="s">
        <v>50</v>
      </c>
      <c r="AQ11" s="11" t="str">
        <f t="shared" si="8"/>
        <v/>
      </c>
      <c r="AR11" s="19">
        <v>23.0</v>
      </c>
      <c r="AS11" s="19">
        <v>14.0</v>
      </c>
      <c r="AT11" s="20" t="b">
        <v>0</v>
      </c>
      <c r="AU11" s="27" t="s">
        <v>79</v>
      </c>
      <c r="AV11" s="11" t="str">
        <f t="shared" si="9"/>
        <v/>
      </c>
      <c r="AW11" s="19">
        <v>14.0</v>
      </c>
      <c r="AX11" s="19">
        <v>17.0</v>
      </c>
      <c r="AY11" s="20" t="b">
        <v>0</v>
      </c>
      <c r="AZ11" s="27" t="s">
        <v>50</v>
      </c>
      <c r="BA11" s="11" t="str">
        <f t="shared" si="10"/>
        <v/>
      </c>
      <c r="BB11" s="19">
        <v>23.0</v>
      </c>
      <c r="BC11" s="19">
        <v>20.0</v>
      </c>
      <c r="BD11" s="20" t="b">
        <v>1</v>
      </c>
      <c r="BE11" s="27" t="s">
        <v>50</v>
      </c>
      <c r="BF11" s="11" t="str">
        <f t="shared" si="11"/>
        <v/>
      </c>
      <c r="BG11" s="19">
        <v>17.0</v>
      </c>
      <c r="BH11" s="19">
        <v>14.0</v>
      </c>
      <c r="BI11" s="20" t="b">
        <v>0</v>
      </c>
      <c r="BJ11" s="27" t="s">
        <v>79</v>
      </c>
      <c r="BK11" s="11" t="str">
        <f t="shared" si="12"/>
        <v/>
      </c>
      <c r="BL11" s="19">
        <v>14.0</v>
      </c>
      <c r="BM11" s="19">
        <v>17.0</v>
      </c>
      <c r="BN11" s="20" t="b">
        <v>1</v>
      </c>
      <c r="BO11" s="19"/>
      <c r="BP11" s="19"/>
      <c r="BQ11" s="19"/>
    </row>
    <row r="12">
      <c r="A12" s="16" t="s">
        <v>378</v>
      </c>
      <c r="B12" s="87" t="s">
        <v>379</v>
      </c>
      <c r="C12" s="18"/>
      <c r="D12" s="11" t="str">
        <f>IFERROR(__xludf.DUMMYFUNCTION("""COMPUTED_VALUE"""),"")</f>
        <v/>
      </c>
      <c r="E12" s="19"/>
      <c r="F12" s="20"/>
      <c r="G12" s="19" t="s">
        <v>88</v>
      </c>
      <c r="H12" s="11" t="str">
        <f t="shared" si="1"/>
        <v/>
      </c>
      <c r="I12" s="19">
        <v>27.0</v>
      </c>
      <c r="J12" s="19">
        <v>24.0</v>
      </c>
      <c r="K12" s="20" t="b">
        <v>0</v>
      </c>
      <c r="L12" s="19" t="s">
        <v>46</v>
      </c>
      <c r="M12" s="11" t="str">
        <f t="shared" si="2"/>
        <v/>
      </c>
      <c r="N12" s="19">
        <v>24.0</v>
      </c>
      <c r="O12" s="19">
        <v>27.0</v>
      </c>
      <c r="P12" s="19" t="b">
        <v>0</v>
      </c>
      <c r="Q12" s="27" t="s">
        <v>88</v>
      </c>
      <c r="R12" s="11" t="str">
        <f t="shared" si="3"/>
        <v/>
      </c>
      <c r="S12" s="19">
        <v>31.0</v>
      </c>
      <c r="T12" s="19">
        <v>24.0</v>
      </c>
      <c r="U12" s="20" t="b">
        <v>0</v>
      </c>
      <c r="V12" s="19" t="s">
        <v>88</v>
      </c>
      <c r="W12" s="11" t="str">
        <f t="shared" si="4"/>
        <v/>
      </c>
      <c r="X12" s="19">
        <v>31.0</v>
      </c>
      <c r="Y12" s="19">
        <v>30.0</v>
      </c>
      <c r="Z12" s="20" t="b">
        <v>1</v>
      </c>
      <c r="AA12" s="27" t="s">
        <v>88</v>
      </c>
      <c r="AB12" s="11" t="str">
        <f t="shared" si="5"/>
        <v/>
      </c>
      <c r="AC12" s="19">
        <v>24.0</v>
      </c>
      <c r="AD12" s="19">
        <v>17.0</v>
      </c>
      <c r="AE12" s="19" t="b">
        <v>1</v>
      </c>
      <c r="AF12" s="27" t="s">
        <v>88</v>
      </c>
      <c r="AG12" s="11" t="str">
        <f t="shared" si="6"/>
        <v/>
      </c>
      <c r="AH12" s="19">
        <v>21.0</v>
      </c>
      <c r="AI12" s="19">
        <v>17.0</v>
      </c>
      <c r="AJ12" s="20" t="b">
        <v>0</v>
      </c>
      <c r="AK12" s="19" t="s">
        <v>46</v>
      </c>
      <c r="AL12" s="11" t="str">
        <f t="shared" si="7"/>
        <v/>
      </c>
      <c r="AM12" s="19">
        <v>17.0</v>
      </c>
      <c r="AN12" s="19">
        <v>21.0</v>
      </c>
      <c r="AO12" s="20" t="b">
        <v>0</v>
      </c>
      <c r="AP12" s="27" t="s">
        <v>46</v>
      </c>
      <c r="AQ12" s="11" t="str">
        <f t="shared" si="8"/>
        <v/>
      </c>
      <c r="AR12" s="19">
        <v>24.0</v>
      </c>
      <c r="AS12" s="19">
        <v>27.0</v>
      </c>
      <c r="AT12" s="20" t="b">
        <v>0</v>
      </c>
      <c r="AU12" s="27" t="s">
        <v>46</v>
      </c>
      <c r="AV12" s="11" t="str">
        <f t="shared" si="9"/>
        <v/>
      </c>
      <c r="AW12" s="19">
        <v>14.0</v>
      </c>
      <c r="AX12" s="19">
        <v>17.0</v>
      </c>
      <c r="AY12" s="20" t="b">
        <v>0</v>
      </c>
      <c r="AZ12" s="27" t="s">
        <v>46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46</v>
      </c>
      <c r="BF12" s="11" t="str">
        <f t="shared" si="11"/>
        <v/>
      </c>
      <c r="BG12" s="19">
        <v>21.0</v>
      </c>
      <c r="BH12" s="19">
        <v>28.0</v>
      </c>
      <c r="BI12" s="20" t="b">
        <v>0</v>
      </c>
      <c r="BJ12" s="27" t="s">
        <v>88</v>
      </c>
      <c r="BK12" s="11" t="str">
        <f t="shared" si="12"/>
        <v/>
      </c>
      <c r="BL12" s="19">
        <v>10.0</v>
      </c>
      <c r="BM12" s="19">
        <v>7.0</v>
      </c>
      <c r="BN12" s="20" t="b">
        <v>0</v>
      </c>
      <c r="BO12" s="17"/>
      <c r="BP12" s="17"/>
      <c r="BQ12" s="17"/>
    </row>
    <row r="13">
      <c r="A13" s="16" t="s">
        <v>378</v>
      </c>
      <c r="B13" s="87" t="s">
        <v>383</v>
      </c>
      <c r="C13" s="18"/>
      <c r="D13" s="11" t="str">
        <f>IFERROR(__xludf.DUMMYFUNCTION("""COMPUTED_VALUE"""),"")</f>
        <v/>
      </c>
      <c r="E13" s="19"/>
      <c r="F13" s="20"/>
      <c r="G13" s="19" t="s">
        <v>24</v>
      </c>
      <c r="H13" s="11" t="str">
        <f t="shared" si="1"/>
        <v/>
      </c>
      <c r="I13" s="19">
        <v>14.0</v>
      </c>
      <c r="J13" s="19">
        <v>20.0</v>
      </c>
      <c r="K13" s="20" t="b">
        <v>1</v>
      </c>
      <c r="L13" s="19" t="s">
        <v>24</v>
      </c>
      <c r="M13" s="11" t="str">
        <f t="shared" si="2"/>
        <v/>
      </c>
      <c r="N13" s="19">
        <v>24.0</v>
      </c>
      <c r="O13" s="19">
        <v>27.0</v>
      </c>
      <c r="P13" s="19" t="b">
        <v>0</v>
      </c>
      <c r="Q13" s="27" t="s">
        <v>24</v>
      </c>
      <c r="R13" s="11" t="str">
        <f t="shared" si="3"/>
        <v/>
      </c>
      <c r="S13" s="19">
        <v>20.0</v>
      </c>
      <c r="T13" s="19">
        <v>23.0</v>
      </c>
      <c r="U13" s="20" t="b">
        <v>0</v>
      </c>
      <c r="V13" s="19" t="s">
        <v>24</v>
      </c>
      <c r="W13" s="11" t="str">
        <f t="shared" si="4"/>
        <v/>
      </c>
      <c r="X13" s="19">
        <v>13.0</v>
      </c>
      <c r="Y13" s="19">
        <v>20.0</v>
      </c>
      <c r="Z13" s="20" t="b">
        <v>0</v>
      </c>
      <c r="AA13" s="27" t="s">
        <v>24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92</v>
      </c>
      <c r="AG13" s="11" t="str">
        <f t="shared" si="6"/>
        <v/>
      </c>
      <c r="AH13" s="19">
        <v>21.0</v>
      </c>
      <c r="AI13" s="19">
        <v>17.0</v>
      </c>
      <c r="AJ13" s="20" t="b">
        <v>0</v>
      </c>
      <c r="AK13" s="19" t="s">
        <v>24</v>
      </c>
      <c r="AL13" s="11" t="str">
        <f t="shared" si="7"/>
        <v/>
      </c>
      <c r="AM13" s="19">
        <v>14.0</v>
      </c>
      <c r="AN13" s="19">
        <v>31.0</v>
      </c>
      <c r="AO13" s="20" t="b">
        <v>1</v>
      </c>
      <c r="AP13" s="27" t="s">
        <v>24</v>
      </c>
      <c r="AQ13" s="11" t="str">
        <f t="shared" si="8"/>
        <v/>
      </c>
      <c r="AR13" s="19">
        <v>13.0</v>
      </c>
      <c r="AS13" s="19">
        <v>24.0</v>
      </c>
      <c r="AT13" s="20" t="b">
        <v>0</v>
      </c>
      <c r="AU13" s="27" t="s">
        <v>92</v>
      </c>
      <c r="AV13" s="11" t="str">
        <f t="shared" si="9"/>
        <v/>
      </c>
      <c r="AW13" s="19">
        <v>28.0</v>
      </c>
      <c r="AX13" s="19">
        <v>21.0</v>
      </c>
      <c r="AY13" s="20" t="b">
        <v>0</v>
      </c>
      <c r="AZ13" s="27" t="s">
        <v>24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24</v>
      </c>
      <c r="BF13" s="11" t="str">
        <f t="shared" si="11"/>
        <v/>
      </c>
      <c r="BG13" s="19">
        <v>20.0</v>
      </c>
      <c r="BH13" s="19">
        <v>23.0</v>
      </c>
      <c r="BI13" s="20" t="b">
        <v>0</v>
      </c>
      <c r="BJ13" s="27" t="s">
        <v>24</v>
      </c>
      <c r="BK13" s="11" t="str">
        <f t="shared" si="12"/>
        <v/>
      </c>
      <c r="BL13" s="19">
        <v>14.0</v>
      </c>
      <c r="BM13" s="19">
        <v>17.0</v>
      </c>
      <c r="BN13" s="20" t="b">
        <v>0</v>
      </c>
      <c r="BO13" s="17"/>
      <c r="BP13" s="17"/>
      <c r="BQ13" s="17"/>
    </row>
    <row r="14">
      <c r="A14" s="16" t="s">
        <v>378</v>
      </c>
      <c r="B14" s="30" t="s">
        <v>388</v>
      </c>
      <c r="C14" s="18"/>
      <c r="D14" s="11" t="str">
        <f>IFERROR(__xludf.DUMMYFUNCTION("""COMPUTED_VALUE"""),"")</f>
        <v/>
      </c>
      <c r="E14" s="19"/>
      <c r="F14" s="20"/>
      <c r="G14" s="19" t="s">
        <v>40</v>
      </c>
      <c r="H14" s="11" t="str">
        <f t="shared" si="1"/>
        <v/>
      </c>
      <c r="I14" s="19">
        <v>14.0</v>
      </c>
      <c r="J14" s="19">
        <v>17.0</v>
      </c>
      <c r="K14" s="20" t="b">
        <v>0</v>
      </c>
      <c r="L14" s="19" t="s">
        <v>40</v>
      </c>
      <c r="M14" s="11" t="str">
        <f t="shared" si="2"/>
        <v/>
      </c>
      <c r="N14" s="19">
        <v>10.0</v>
      </c>
      <c r="O14" s="19">
        <v>14.0</v>
      </c>
      <c r="P14" s="19" t="b">
        <v>0</v>
      </c>
      <c r="Q14" s="27" t="s">
        <v>40</v>
      </c>
      <c r="R14" s="11" t="str">
        <f t="shared" si="3"/>
        <v/>
      </c>
      <c r="S14" s="19">
        <v>17.0</v>
      </c>
      <c r="T14" s="19">
        <v>20.0</v>
      </c>
      <c r="U14" s="20" t="b">
        <v>0</v>
      </c>
      <c r="V14" s="19" t="s">
        <v>39</v>
      </c>
      <c r="W14" s="11" t="str">
        <f t="shared" si="4"/>
        <v/>
      </c>
      <c r="X14" s="19">
        <v>27.0</v>
      </c>
      <c r="Y14" s="19">
        <v>17.0</v>
      </c>
      <c r="Z14" s="20" t="b">
        <v>0</v>
      </c>
      <c r="AA14" s="27" t="s">
        <v>40</v>
      </c>
      <c r="AB14" s="11" t="str">
        <f t="shared" si="5"/>
        <v/>
      </c>
      <c r="AC14" s="19">
        <v>17.0</v>
      </c>
      <c r="AD14" s="19">
        <v>24.0</v>
      </c>
      <c r="AE14" s="19" t="b">
        <v>0</v>
      </c>
      <c r="AF14" s="27" t="s">
        <v>39</v>
      </c>
      <c r="AG14" s="11" t="str">
        <f t="shared" si="6"/>
        <v/>
      </c>
      <c r="AH14" s="19">
        <v>24.0</v>
      </c>
      <c r="AI14" s="19">
        <v>21.0</v>
      </c>
      <c r="AJ14" s="20" t="b">
        <v>0</v>
      </c>
      <c r="AK14" s="19" t="s">
        <v>40</v>
      </c>
      <c r="AL14" s="11" t="str">
        <f t="shared" si="7"/>
        <v/>
      </c>
      <c r="AM14" s="19">
        <v>21.0</v>
      </c>
      <c r="AN14" s="19">
        <v>24.0</v>
      </c>
      <c r="AO14" s="20" t="b">
        <v>0</v>
      </c>
      <c r="AP14" s="27" t="s">
        <v>40</v>
      </c>
      <c r="AQ14" s="11" t="str">
        <f t="shared" si="8"/>
        <v/>
      </c>
      <c r="AR14" s="19">
        <v>21.0</v>
      </c>
      <c r="AS14" s="19">
        <v>24.0</v>
      </c>
      <c r="AT14" s="20" t="b">
        <v>0</v>
      </c>
      <c r="AU14" s="27" t="s">
        <v>39</v>
      </c>
      <c r="AV14" s="11" t="str">
        <f t="shared" si="9"/>
        <v/>
      </c>
      <c r="AW14" s="19">
        <v>27.0</v>
      </c>
      <c r="AX14" s="19">
        <v>24.0</v>
      </c>
      <c r="AY14" s="20" t="b">
        <v>0</v>
      </c>
      <c r="AZ14" s="27" t="s">
        <v>39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40</v>
      </c>
      <c r="BF14" s="11" t="str">
        <f t="shared" si="11"/>
        <v/>
      </c>
      <c r="BG14" s="19">
        <v>21.0</v>
      </c>
      <c r="BH14" s="19">
        <v>28.0</v>
      </c>
      <c r="BI14" s="20" t="b">
        <v>0</v>
      </c>
      <c r="BJ14" s="27" t="s">
        <v>39</v>
      </c>
      <c r="BK14" s="11" t="str">
        <f t="shared" si="12"/>
        <v/>
      </c>
      <c r="BL14" s="19">
        <v>14.0</v>
      </c>
      <c r="BM14" s="19">
        <v>10.0</v>
      </c>
      <c r="BN14" s="20" t="b">
        <v>0</v>
      </c>
      <c r="BO14" s="17"/>
      <c r="BP14" s="17"/>
      <c r="BQ14" s="17"/>
    </row>
    <row r="15">
      <c r="A15" s="16" t="s">
        <v>390</v>
      </c>
      <c r="B15" s="87" t="s">
        <v>391</v>
      </c>
      <c r="C15" s="18"/>
      <c r="D15" s="11" t="str">
        <f>IFERROR(__xludf.DUMMYFUNCTION("""COMPUTED_VALUE"""),"")</f>
        <v/>
      </c>
      <c r="E15" s="19"/>
      <c r="F15" s="20"/>
      <c r="G15" s="19" t="s">
        <v>26</v>
      </c>
      <c r="H15" s="11" t="str">
        <f t="shared" si="1"/>
        <v/>
      </c>
      <c r="I15" s="19">
        <v>24.0</v>
      </c>
      <c r="J15" s="19">
        <v>27.0</v>
      </c>
      <c r="K15" s="20" t="b">
        <v>0</v>
      </c>
      <c r="L15" s="19" t="s">
        <v>23</v>
      </c>
      <c r="M15" s="11" t="str">
        <f t="shared" si="2"/>
        <v/>
      </c>
      <c r="N15" s="19">
        <v>20.0</v>
      </c>
      <c r="O15" s="19">
        <v>17.0</v>
      </c>
      <c r="P15" s="19" t="b">
        <v>0</v>
      </c>
      <c r="Q15" s="27" t="s">
        <v>26</v>
      </c>
      <c r="R15" s="11" t="str">
        <f t="shared" si="3"/>
        <v/>
      </c>
      <c r="S15" s="19">
        <v>24.0</v>
      </c>
      <c r="T15" s="19">
        <v>27.0</v>
      </c>
      <c r="U15" s="20" t="b">
        <v>0</v>
      </c>
      <c r="V15" s="19" t="s">
        <v>26</v>
      </c>
      <c r="W15" s="11" t="str">
        <f t="shared" si="4"/>
        <v/>
      </c>
      <c r="X15" s="19">
        <v>24.0</v>
      </c>
      <c r="Y15" s="19">
        <v>27.0</v>
      </c>
      <c r="Z15" s="20" t="b">
        <v>0</v>
      </c>
      <c r="AA15" s="27" t="s">
        <v>23</v>
      </c>
      <c r="AB15" s="11" t="str">
        <f t="shared" si="5"/>
        <v/>
      </c>
      <c r="AC15" s="19">
        <v>24.0</v>
      </c>
      <c r="AD15" s="19">
        <v>17.0</v>
      </c>
      <c r="AE15" s="19" t="b">
        <v>0</v>
      </c>
      <c r="AF15" s="27" t="s">
        <v>26</v>
      </c>
      <c r="AG15" s="11" t="str">
        <f t="shared" si="6"/>
        <v/>
      </c>
      <c r="AH15" s="19">
        <v>7.0</v>
      </c>
      <c r="AI15" s="19">
        <v>10.0</v>
      </c>
      <c r="AJ15" s="20" t="b">
        <v>0</v>
      </c>
      <c r="AK15" s="19" t="s">
        <v>23</v>
      </c>
      <c r="AL15" s="11" t="str">
        <f t="shared" si="7"/>
        <v/>
      </c>
      <c r="AM15" s="19">
        <v>31.0</v>
      </c>
      <c r="AN15" s="19">
        <v>24.0</v>
      </c>
      <c r="AO15" s="20" t="b">
        <v>0</v>
      </c>
      <c r="AP15" s="27" t="s">
        <v>23</v>
      </c>
      <c r="AQ15" s="11" t="str">
        <f t="shared" si="8"/>
        <v/>
      </c>
      <c r="AR15" s="19">
        <v>27.0</v>
      </c>
      <c r="AS15" s="19">
        <v>20.0</v>
      </c>
      <c r="AT15" s="20" t="b">
        <v>0</v>
      </c>
      <c r="AU15" s="27" t="s">
        <v>23</v>
      </c>
      <c r="AV15" s="11" t="str">
        <f t="shared" si="9"/>
        <v/>
      </c>
      <c r="AW15" s="19">
        <v>24.0</v>
      </c>
      <c r="AX15" s="19">
        <v>21.0</v>
      </c>
      <c r="AY15" s="20" t="b">
        <v>0</v>
      </c>
      <c r="AZ15" s="27" t="s">
        <v>23</v>
      </c>
      <c r="BA15" s="11" t="str">
        <f t="shared" si="10"/>
        <v/>
      </c>
      <c r="BB15" s="19">
        <v>23.0</v>
      </c>
      <c r="BC15" s="19">
        <v>20.0</v>
      </c>
      <c r="BD15" s="20" t="b">
        <v>0</v>
      </c>
      <c r="BE15" s="27" t="s">
        <v>23</v>
      </c>
      <c r="BF15" s="11" t="str">
        <f t="shared" si="11"/>
        <v/>
      </c>
      <c r="BG15" s="19">
        <v>10.0</v>
      </c>
      <c r="BH15" s="19">
        <v>7.0</v>
      </c>
      <c r="BI15" s="20" t="b">
        <v>0</v>
      </c>
      <c r="BJ15" s="27" t="s">
        <v>23</v>
      </c>
      <c r="BK15" s="11" t="str">
        <f t="shared" si="12"/>
        <v/>
      </c>
      <c r="BL15" s="19">
        <v>17.0</v>
      </c>
      <c r="BM15" s="19">
        <v>14.0</v>
      </c>
      <c r="BN15" s="20" t="b">
        <v>0</v>
      </c>
      <c r="BO15" s="17"/>
      <c r="BP15" s="17"/>
      <c r="BQ15" s="17"/>
    </row>
    <row r="16">
      <c r="A16" s="32" t="s">
        <v>394</v>
      </c>
      <c r="B16" s="79" t="s">
        <v>395</v>
      </c>
      <c r="C16" s="34"/>
      <c r="D16" s="35" t="str">
        <f>IFERROR(__xludf.DUMMYFUNCTION("""COMPUTED_VALUE"""),"")</f>
        <v/>
      </c>
      <c r="E16" s="36"/>
      <c r="F16" s="37"/>
      <c r="G16" s="36" t="s">
        <v>33</v>
      </c>
      <c r="H16" s="35" t="str">
        <f t="shared" si="1"/>
        <v/>
      </c>
      <c r="I16" s="36">
        <v>14.0</v>
      </c>
      <c r="J16" s="36">
        <v>10.0</v>
      </c>
      <c r="K16" s="36" t="b">
        <v>0</v>
      </c>
      <c r="L16" s="38" t="s">
        <v>71</v>
      </c>
      <c r="M16" s="35" t="str">
        <f t="shared" si="2"/>
        <v/>
      </c>
      <c r="N16" s="36">
        <v>14.0</v>
      </c>
      <c r="O16" s="36">
        <v>17.0</v>
      </c>
      <c r="P16" s="37" t="b">
        <v>1</v>
      </c>
      <c r="Q16" s="38" t="s">
        <v>71</v>
      </c>
      <c r="R16" s="35" t="str">
        <f t="shared" si="3"/>
        <v/>
      </c>
      <c r="S16" s="36">
        <v>21.0</v>
      </c>
      <c r="T16" s="36">
        <v>24.0</v>
      </c>
      <c r="U16" s="37" t="b">
        <v>0</v>
      </c>
      <c r="V16" s="36" t="s">
        <v>71</v>
      </c>
      <c r="W16" s="35" t="str">
        <f t="shared" si="4"/>
        <v/>
      </c>
      <c r="X16" s="36">
        <v>17.0</v>
      </c>
      <c r="Y16" s="36">
        <v>24.0</v>
      </c>
      <c r="Z16" s="36" t="b">
        <v>0</v>
      </c>
      <c r="AA16" s="38" t="s">
        <v>33</v>
      </c>
      <c r="AB16" s="35" t="str">
        <f t="shared" si="5"/>
        <v/>
      </c>
      <c r="AC16" s="36">
        <v>24.0</v>
      </c>
      <c r="AD16" s="36">
        <v>17.0</v>
      </c>
      <c r="AE16" s="37" t="b">
        <v>0</v>
      </c>
      <c r="AF16" s="36" t="s">
        <v>33</v>
      </c>
      <c r="AG16" s="35" t="str">
        <f t="shared" si="6"/>
        <v/>
      </c>
      <c r="AH16" s="36">
        <v>23.0</v>
      </c>
      <c r="AI16" s="36">
        <v>20.0</v>
      </c>
      <c r="AJ16" s="36" t="b">
        <v>1</v>
      </c>
      <c r="AK16" s="38" t="s">
        <v>71</v>
      </c>
      <c r="AL16" s="35" t="str">
        <f t="shared" si="7"/>
        <v/>
      </c>
      <c r="AM16" s="36">
        <v>10.0</v>
      </c>
      <c r="AN16" s="36">
        <v>14.0</v>
      </c>
      <c r="AO16" s="37" t="b">
        <v>0</v>
      </c>
      <c r="AP16" s="36" t="s">
        <v>71</v>
      </c>
      <c r="AQ16" s="35" t="str">
        <f t="shared" si="8"/>
        <v/>
      </c>
      <c r="AR16" s="36">
        <v>20.0</v>
      </c>
      <c r="AS16" s="36">
        <v>24.0</v>
      </c>
      <c r="AT16" s="36" t="b">
        <v>0</v>
      </c>
      <c r="AU16" s="38" t="s">
        <v>33</v>
      </c>
      <c r="AV16" s="35" t="str">
        <f t="shared" si="9"/>
        <v/>
      </c>
      <c r="AW16" s="36">
        <v>17.0</v>
      </c>
      <c r="AX16" s="36">
        <v>14.0</v>
      </c>
      <c r="AY16" s="37" t="b">
        <v>0</v>
      </c>
      <c r="AZ16" s="36" t="s">
        <v>71</v>
      </c>
      <c r="BA16" s="35" t="str">
        <f t="shared" si="10"/>
        <v/>
      </c>
      <c r="BB16" s="36">
        <v>20.0</v>
      </c>
      <c r="BC16" s="36">
        <v>23.0</v>
      </c>
      <c r="BD16" s="36" t="b">
        <v>0</v>
      </c>
      <c r="BE16" s="38" t="s">
        <v>71</v>
      </c>
      <c r="BF16" s="35" t="str">
        <f t="shared" si="11"/>
        <v/>
      </c>
      <c r="BG16" s="36">
        <v>10.0</v>
      </c>
      <c r="BH16" s="36">
        <v>14.0</v>
      </c>
      <c r="BI16" s="37" t="b">
        <v>0</v>
      </c>
      <c r="BJ16" s="36" t="s">
        <v>33</v>
      </c>
      <c r="BK16" s="35" t="str">
        <f t="shared" si="12"/>
        <v/>
      </c>
      <c r="BL16" s="36">
        <v>14.0</v>
      </c>
      <c r="BM16" s="36">
        <v>10.0</v>
      </c>
      <c r="BN16" s="37" t="b">
        <v>0</v>
      </c>
      <c r="BO16" s="17"/>
      <c r="BP16" s="17"/>
      <c r="BQ16" s="17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</row>
    <row r="18" hidden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</row>
    <row r="20" hidden="1">
      <c r="A20" s="41"/>
      <c r="B20" s="41"/>
      <c r="C20" s="46">
        <f t="shared" ref="C20:C34" si="13">MIN(I20,N20,S20,X20,AC20,AH20,AM20,AR20,AW20,BB20,BG20,BL20)</f>
        <v>0</v>
      </c>
      <c r="D20" s="49"/>
      <c r="E20" s="49"/>
      <c r="F20" s="49"/>
      <c r="G20" s="47" t="str">
        <f t="shared" ref="G20:G34" si="14">IF(G2=C2,ABS(I2-E2),"")</f>
        <v/>
      </c>
      <c r="H20" s="47" t="str">
        <f t="shared" ref="H20:H34" si="15">IF(G2=C2,ABS(J2-F2),"")</f>
        <v/>
      </c>
      <c r="I20" s="48" t="str">
        <f t="shared" ref="I20:I34" si="16">IF(G2=C2,SUM(G20,H20),"")</f>
        <v/>
      </c>
      <c r="J20" s="9">
        <f t="shared" ref="J20:J34" si="17">SUM(IF(AND(G2=$C2,I20=$C20,$C20=0,K2=TRUE,I20&lt;$N20,I20&lt;$S20,I20&lt;$X20,I20&lt;$AC20,I20&lt;$AH20,I20&lt;$AM20,I20&lt;$AR20,I20&lt;$AW20,I20&lt;$BB20,I20&lt;$BG20,I20&lt;$BL20),15,
IF(AND(G2=$C2,I20=$C20,$C20=0,K2=TRUE,OR(I20=$N20,I20=$S20,I20=$X20,I20=$AC20,I20=$AH20,I20=$AM20,I20=$AR20,I20=$AW20,I20=$BB20,I20=$BG20,I20=$BL20)),7.5,
IF(AND(G2=$C2,I20=$C20,$C20=0,I20&lt;$N20,I20&lt;$S20,I20&lt;$X20,I20&lt;$AC20,I20&lt;$AH20,I20&lt;$AM20,I20&lt;$AR20,I20&lt;$AW20,I20&lt;$BB20,I20&lt;$BG20,I20&lt;$BL20),5,
IF(AND(G2=$C2,I20=$C20,K2=TRUE,I20&lt;$N20,I20&lt;$S20,I20&lt;$X20,I20&lt;$AC20,I20&lt;$AH20,I20&lt;$AM20,I20&lt;$AR20,I20&lt;$AW20,I20&lt;$BB20,I20&lt;$BG20,I20&lt;$BL20),3,
IF(AND(G2=$C2,I20=$C20,$C20=0,OR(I20=$N20,I20=$S20,I20=$X20,I20=$AC20,I20=$AH20,I20=$AM20,I20=$AR20,I20=$AW20,I20=$BB20,I20=$BG20,I20=$BL20)),2.5,
IF(AND(G2=$C2,I20=$C20,K2=TRUE,OR(I20=$N20,I20=$S20,I20=$X20,I20=$AC20,I20=$AH20,I20=$AM20,I20=$AR20,I20=$AW20,I20=$BB20,I20=$BG20,I20=$BL20)),1.5,
IF(AND(G2=$C2,I20=$C20,I20&lt;$N20,I20&lt;$S20,I20&lt;$X20,I20&lt;$AC20,I20&lt;$AH20,I20&lt;$AM20,I20&lt;$AR20,I20&lt;$AW20,I20&lt;$BB20,I20&lt;$BG20,I20&lt;$BL20),1,
IF(AND(G2=$C2,I20=$C20,OR(I20=$N20,I20=$S20,I20=$X20,I20=$AC20,I20=$AH20,I20=$AM20,I20=$AR20,I20=$AW20,I20=$BB20,I20=$BG20,I20=$BL20)),0.5,
0)))))))),
IF(AND(K20=TRUE,K2=TRUE),3,
IF(AND(K20=TRUE,K2=FALSE),1,
IF(K20="",0)))
)</f>
        <v>0</v>
      </c>
      <c r="K20" s="49" t="str">
        <f t="shared" ref="K20:K34" si="18">IF($C2="","",
IF(G2=$C2,TRUE,FALSE))</f>
        <v/>
      </c>
      <c r="L20" s="47" t="str">
        <f t="shared" ref="L20:L34" si="19">IF(L2=C2,ABS(N2-E2),"")</f>
        <v/>
      </c>
      <c r="M20" s="47" t="str">
        <f t="shared" ref="M20:M34" si="20">IF(L2=C2,ABS(O2-F2),"")</f>
        <v/>
      </c>
      <c r="N20" s="48" t="str">
        <f t="shared" ref="N20:N34" si="21">IF(L2=C2,SUM(L20,M20),"")</f>
        <v/>
      </c>
      <c r="O20" s="9">
        <f t="shared" ref="O20:O34" si="22">SUM(IF(AND(L2=$C2,N20=$C20,$C20=0,P2=TRUE,N20&lt;$I20,N20&lt;$S20,N20&lt;$X20,N20&lt;$AC20,N20&lt;$AH20,N20&lt;$AM20,N20&lt;$AR20,N20&lt;$AW20,N20&lt;$BB20,N20&lt;$BG20,N20&lt;$BL20),15,
IF(AND(L2=$C2,N20=$C20,$C20=0,P2=TRUE,OR(N20=$I20,N20=$S20,N20=$X20,N20=$AC20,N20=$AH20,N20=$AM20,N20=$AR20,N20=$AW20,N20=$BB20,N20=$BG20,N20=$BL20)),7.5,
IF(AND(L2=$C2,N20=$C20,$C20=0,N20&lt;$I20,N20&lt;$S20,N20&lt;$X20,N20&lt;$AC20,N20&lt;$AH20,N20&lt;$AM20,N20&lt;$AR20,N20&lt;$AW20,N20&lt;$BB20,N20&lt;$BG20,N20&lt;$BL20),5,
IF(AND(L2=$C2,N20=$C20,P2=TRUE,N20&lt;$I20,N20&lt;$S20,N20&lt;$X20,N20&lt;$AC20,N20&lt;$AH20,N20&lt;$AM20,N20&lt;$AR20,N20&lt;$AW20,N20&lt;$BB20,N20&lt;$BG20,N20&lt;$BL20),3,
IF(AND(L2=$C2,N20=$C20,$C20=0,OR(N20=$I20,N20=$S20,N20=$X20,N20=$AC20,N20=$AH20,N20=$AM20,N20=$AR20,N20=$AW20,N20=$BB20,N20=$BG20,N20=$BL20)),2.5,
IF(AND(L2=$C2,N20=$C20,P2=TRUE,OR(N20=$I20,N20=$S20,N20=$X20,N20=$AC20,N20=$AH20,N20=$AM20,N20=$AR20,N20=$AW20,N20=$BB20,N20=$BG20,N20=$BL20)),1.5,
IF(AND(L2=$C2,N20=$C20,N20&lt;$I20,N20&lt;$S20,N20&lt;$X20,N20&lt;$AC20,N20&lt;$AH20,N20&lt;$AM20,N20&lt;$AR20,N20&lt;$AW20,N20&lt;$BB20,N20&lt;$BG20,N20&lt;$BL20),1,
IF(AND(L2=$C2,N20=$C20,OR(N20=$I20,N20=$S20,N20=$X20,N20=$AC20,N20=$AH20,N20=$AM20,N20=$AR20,N20=$AW20,N20=$BB20,N20=$BG20,N20=$BL20)),0.5,
0)))))))),
IF(AND(P20=TRUE,P2=TRUE),3,
IF(AND(P20=TRUE,P2=FALSE),1,
IF(P20="",0)))
)</f>
        <v>0</v>
      </c>
      <c r="P20" s="49" t="str">
        <f t="shared" ref="P20:P34" si="23">IF($C2="","",
IF(L2=$C2,TRUE,FALSE))</f>
        <v/>
      </c>
      <c r="Q20" s="47" t="str">
        <f t="shared" ref="Q20:Q34" si="24">IF(Q2=C2,ABS(S2-E2),"")</f>
        <v/>
      </c>
      <c r="R20" s="47" t="str">
        <f t="shared" ref="R20:R34" si="25">IF(Q2=C2,ABS(T2-F2),"")</f>
        <v/>
      </c>
      <c r="S20" s="48" t="str">
        <f t="shared" ref="S20:S34" si="26">IF(Q2=C2,SUM(Q20,R20),"")</f>
        <v/>
      </c>
      <c r="T20" s="9">
        <f t="shared" ref="T20:T34" si="27">SUM(IF(AND(Q2=$C2,S20=$C20,$C20=0,U2=TRUE,S20&lt;$I20,S20&lt;$N20,S20&lt;$X20,S20&lt;$AC20,S20&lt;$AH20,S20&lt;$AM20,S20&lt;$AR20,S20&lt;$AW20,S20&lt;$BB20,S20&lt;$BG20,S20&lt;$BL20),15,
IF(AND(Q2=$C2,S20=$C20,$C20=0,U2=TRUE,OR(S20=$I20,S20=$N20,S20=$X20,S20=$AC20,S20=$AH20,S20=$AM20,S20=$AR20,S20=$AW20,S20=$BB20,S20=$BG20,S20=$BL20)),7.5,
IF(AND(Q2=$C2,S20=$C20,$C20=0,S20&lt;$I20,S20&lt;$N20,S20&lt;$X20,S20&lt;$AC20,S20&lt;$AH20,S20&lt;$AM20,S20&lt;$AR20,S20&lt;$AW20,S20&lt;$BB20,S20&lt;$BG20,S20&lt;$BL20),5,
IF(AND(Q2=$C2,S20=$C20,U2=TRUE,S20&lt;$I20,S20&lt;$N20,S20&lt;$X20,S20&lt;$AC20,S20&lt;$AH20,S20&lt;$AM20,S20&lt;$AR20,S20&lt;$AW20,S20&lt;$BB20,S20&lt;$BG20,S20&lt;$BL20),3,
IF(AND(Q2=$C2,S20=$C20,$C20=0,OR(S20=$I20,S20=$N20,S20=$X20,S20=$AC20,S20=$AH20,S20=$AM20,S20=$AR20,S20=$AW20,S20=$BB20,S20=$BG20,S20=$BL20)),2.5,
IF(AND(Q2=$C2,S20=$C20,U2=TRUE,OR(S20=$I20,S20=$N20,S20=$X20,S20=$AC20,S20=$AH20,S20=$AM20,S20=$AR20,S20=$AW20,S20=$BB20,S20=$BG20,S20=$BL20)),1.5,
IF(AND(Q2=$C2,S20=$C20,S20&lt;$I20,S20&lt;$N20,S20&lt;$X20,S20&lt;$AC20,S20&lt;$AH20,S20&lt;$AM20,S20&lt;$AR20,S20&lt;$AW20,S20&lt;$BB20,S20&lt;$BG20,S20&lt;$BL20),1,
IF(AND(Q2=$C2,S20=$C20,OR(S20=$I20,S20=$N20,S20=$X20,S20=$AC20,S20=$AH20,S20=$AM20,S20=$AR20,S20=$AW20,S20=$BB20,S20=$BG20,S20=$BL20)),0.5,
0)))))))),
IF(AND(U20=TRUE,U2=TRUE),3,
IF(AND(U20=TRUE,U2=FALSE),1,
IF(U20="",0)))
)</f>
        <v>0</v>
      </c>
      <c r="U20" s="49" t="str">
        <f t="shared" ref="U20:U34" si="28">IF($C2="","",
IF(Q2=$C2,TRUE,FALSE))</f>
        <v/>
      </c>
      <c r="V20" s="47" t="str">
        <f t="shared" ref="V20:V34" si="29">IF(V2=C2,ABS(X2-E2),"")</f>
        <v/>
      </c>
      <c r="W20" s="47" t="str">
        <f t="shared" ref="W20:W34" si="30">IF(V2=C2,ABS(Y2-F2),"")</f>
        <v/>
      </c>
      <c r="X20" s="48" t="str">
        <f t="shared" ref="X20:X34" si="31">IF(V2=C2,SUM(V20,W20),"")</f>
        <v/>
      </c>
      <c r="Y20" s="9">
        <f t="shared" ref="Y20:Y34" si="32">SUM(IF(AND(V2=$C2,X20=$C20,$C20=0,Z2=TRUE,X20&lt;$I20,X20&lt;$N20,X20&lt;$S20,X20&lt;$AC20,X20&lt;$AH20,X20&lt;$AM20,X20&lt;$AR20,X20&lt;$AW20,X20&lt;$BB20,X20&lt;$BG20,X20&lt;$BL20),15,
IF(AND(V2=$C2,X20=$C20,$C20=0,Z2=TRUE,OR(X20=$I20,X20=$N20,X20=$S20,X20=$AC20,X20=$AH20,X20=$AM20,X20=$AR20,X20=$AW20,X20=$BB20,X20=$BG20,X20=$BL20)),7.5,
IF(AND(V2=$C2,X20=$C20,$C20=0,X20&lt;$I20,X20&lt;$N20,X20&lt;$S20,X20&lt;$AC20,X20&lt;$AH20,X20&lt;$AM20,X20&lt;$AR20,X20&lt;$AW20,X20&lt;$BB20,X20&lt;$BG20,X20&lt;$BL20),5,
IF(AND(V2=$C2,X20=$C20,Z2=TRUE,X20&lt;$I20,X20&lt;$N20,X20&lt;$S20,X20&lt;$AC20,X20&lt;$AH20,X20&lt;$AM20,X20&lt;$AR20,X20&lt;$AW20,X20&lt;$BB20,X20&lt;$BG20,X20&lt;$BL20),3,
IF(AND(V2=$C2,X20=$C20,$C20=0,OR(X20=$I20,X20=$N20,X20=$S20,X20=$AC20,X20=$AH20,X20=$AM20,X20=$AR20,X20=$AW20,X20=$BB20,X20=$BG20,X20=$BL20)),2.5,
IF(AND(V2=$C2,X20=$C20,Z2=TRUE,OR(X20=$I20,X20=$N20,X20=$S20,X20=$AC20,X20=$AH20,X20=$AM20,X20=$AR20,X20=$AW20,X20=$BB20,X20=$BG20,X20=$BL20)),1.5,
IF(AND(V2=$C2,X20=$C20,X20&lt;$I20,X20&lt;$N20,X20&lt;$S20,X20&lt;$AC20,X20&lt;$AH20,X20&lt;$AM20,X20&lt;$AR20,X20&lt;$AW20,X20&lt;$BB20,X20&lt;$BG20,X20&lt;$BL20),1,
IF(AND(V2=$C2,X20=$C20,OR(X20=$I20,X20=$N20,X20=$S20,X20=$AC20,X20=$AH20,X20=$AM20,X20=$AR20,X20=$AW20,X20=$BB20,X20=$BG20,X20=$BL20)),0.5,
0)))))))),
IF(AND(Z20=TRUE,Z2=TRUE),3,
IF(AND(Z20=TRUE,Z2=FALSE),1,
IF(Z20="",0)))
)</f>
        <v>0</v>
      </c>
      <c r="Z20" s="49" t="str">
        <f t="shared" ref="Z20:Z34" si="33">IF($C2="","",
IF(V2=$C2,TRUE,FALSE))</f>
        <v/>
      </c>
      <c r="AA20" s="47" t="str">
        <f t="shared" ref="AA20:AA34" si="34">IF(AA2=C2,ABS(AC2-E2),"")</f>
        <v/>
      </c>
      <c r="AB20" s="47" t="str">
        <f t="shared" ref="AB20:AB34" si="35">IF(AA2=C2,ABS(AD2-F2),"")</f>
        <v/>
      </c>
      <c r="AC20" s="48" t="str">
        <f t="shared" ref="AC20:AC34" si="36">IF(AA2=C2,SUM(AA20,AB20),"")</f>
        <v/>
      </c>
      <c r="AD20" s="9">
        <f t="shared" ref="AD20:AD34" si="37">SUM(IF(AND(AA2=$C2,AC20=$C20,$C20=0,AE2=TRUE,AC20&lt;$I20,AC20&lt;$N20,AC20&lt;$S20,AC20&lt;$X20,AC20&lt;$AH20,AC20&lt;$AM20,AC20&lt;$AR20,AC20&lt;$AW20,AC20&lt;$BB20,AC20&lt;$BG20,AC20&lt;$BL20),15,
IF(AND(AA2=$C2,AC20=$C20,$C20=0,AE2=TRUE,OR(AC20=$I20,AC20=$N20,AC20=$S20,AC20=$X20,AC20=$AH20,AC20=$AM20,AC20=$AR20,AC20=$AW20,AC20=$BB20,AC20=$BG20,AC20=$BL20)),7.5,
IF(AND(AA2=$C2,AC20=$C20,$C20=0,AC20&lt;$I20,AC20&lt;$N20,AC20&lt;$S20,AC20&lt;$X20,AC20&lt;$AH20,AC20&lt;$AM20,AC20&lt;$AR20,AC20&lt;$AW20,AC20&lt;$BB20,AC20&lt;$BG20,AC20&lt;$BL20),5,
IF(AND(AA2=$C2,AC20=$C20,AE2=TRUE,AC20&lt;$I20,AC20&lt;$N20,AC20&lt;$S20,AC20&lt;$X20,AC20&lt;$AH20,AC20&lt;$AM20,AC20&lt;$AR20,AC20&lt;$AW20,AC20&lt;$BB20,AC20&lt;$BG20,AC20&lt;$BL20),3,
IF(AND(AA2=$C2,AC20=$C20,$C20=0,OR(AC20=$I20,AC20=$N20,AC20=$S20,AC20=$X20,AC20=$AH20,AC20=$AM20,AC20=$AR20,AC20=$AW20,AC20=$BB20,AC20=$BG20,AC20=$BL20)),2.5,
IF(AND(AA2=$C2,AC20=$C20,AE2=TRUE,OR(AC20=$I20,AC20=$N20,AC20=$S20,AC20=$X20,AC20=$AH20,AC20=$AM20,AC20=$AR20,AC20=$AW20,AC20=$BB20,AC20=$BG20,AC20=$BL20)),1.5,
IF(AND(AA2=$C2,AC20=$C20,AC20&lt;$I20,AC20&lt;$N20,AC20&lt;$S20,AC20&lt;$X20,AC20&lt;$AH20,AC20&lt;$AM20,AC20&lt;$AR20,AC20&lt;$AW20,AC20&lt;$BB20,AC20&lt;$BG20,AC20&lt;$BL20),1,
IF(AND(AA2=$C2,AC20=$C20,OR(AC20=$I20,AC20=$N20,AC20=$S20,AC20=$X20,AC20=$AH20,AC20=$AM20,AC20=$AR20,AC20=$AW20,AC20=$BB20,AC20=$BG20,AC20=$BL20)),0.5,
0)))))))),
IF(AND(AE20=TRUE,AE2=TRUE),3,
IF(AND(AE20=TRUE,AE2=FALSE),1,
IF(AE20="",0)))
)</f>
        <v>0</v>
      </c>
      <c r="AE20" s="49" t="str">
        <f t="shared" ref="AE20:AE34" si="38">IF($C2="","",
IF(AA2=$C2,TRUE,FALSE))</f>
        <v/>
      </c>
      <c r="AF20" s="47" t="str">
        <f t="shared" ref="AF20:AF34" si="39">IF(AF2=C2,ABS(AH2-E2),"")</f>
        <v/>
      </c>
      <c r="AG20" s="47" t="str">
        <f t="shared" ref="AG20:AG34" si="40">IF(AF2=C2,ABS(AI2-F2),"")</f>
        <v/>
      </c>
      <c r="AH20" s="48" t="str">
        <f t="shared" ref="AH20:AH34" si="41">IF(AF2=C2,SUM(AF20,AG20),"")</f>
        <v/>
      </c>
      <c r="AI20" s="9">
        <f t="shared" ref="AI20:AI34" si="42">SUM(IF(AND(AF2=$C2,AH20=$C20,$C20=0,AJ2=TRUE,AH20&lt;$I20,AH20&lt;$N20,AH20&lt;$S20,AH20&lt;$X20,AH20&lt;$AC20,AH20&lt;$AM20,AH20&lt;$AR20,AH20&lt;$AW20,AH20&lt;$BB20,AH20&lt;$BG20,AH20&lt;$BL20),15,
IF(AND(AF2=$C2,AH20=$C20,$C20=0,AJ2=TRUE,OR(AH20=$I20,AH20=$N20,AH20=$S20,AH20=$X20,AH20=$AC20,AH20=$AM20,AH20=$AR20,AH20=$AW20,AH20=$BB20,AH20=$BG20,AH20=$BL20)),7.5,
IF(AND(AF2=$C2,AH20=$C20,$C20=0,AH20&lt;$I20,AH20&lt;$N20,AH20&lt;$S20,AH20&lt;$X20,AH20&lt;$AC20,AH20&lt;$AM20,AH20&lt;$AR20,AH20&lt;$AW20,AH20&lt;$BB20,AH20&lt;$BG20,AH20&lt;$BL20),5,
IF(AND(AF2=$C2,AH20=$C20,AJ2=TRUE,AH20&lt;$I20,AH20&lt;$N20,AH20&lt;$S20,AH20&lt;$X20,AH20&lt;$AC20,AH20&lt;$AM20,AH20&lt;$AR20,AH20&lt;$AW20,AH20&lt;$BB20,AH20&lt;$BG20,AH20&lt;$BL20),3,
IF(AND(AF2=$C2,AH20=$C20,$C20=0,OR(AH20=$I20,AH20=$N20,AH20=$S20,AH20=$X20,AH20=$AC20,AH20=$AM20,AH20=$AR20,AH20=$AW20,AH20=$BB20,AH20=$BG20,AH20=$BL20)),2.5,
IF(AND(AF2=$C2,AH20=$C20,AJ2=TRUE,OR(AH20=$I20,AH20=$N20,AH20=$S20,AH20=$X20,AH20=$AC20,AH20=$AM20,AH20=$AR20,AH20=$AW20,AH20=$BB20,AH20=$BG20,AH20=$BL20)),1.5,
IF(AND(AF2=$C2,AH20=$C20,AH20&lt;$I20,AH20&lt;$N20,AH20&lt;$S20,AH20&lt;$X20,AH20&lt;$AC20,AH20&lt;$AM20,AH20&lt;$AR20,AH20&lt;$AW20,AH20&lt;$BB20,AH20&lt;$BG20,AH20&lt;$BL20),1,
IF(AND(AF2=$C2,AH20=$C20,OR(AH20=$I20,AH20=$N20,AH20=$S20,AH20=$X20,AH20=$AC20,AH20=$AM20,AH20=$AR20,AH20=$AW20,AH20=$BB20,AH20=$BG20,AH20=$BL20)),0.5,
0)))))))),
IF(AND(AJ20=TRUE,AJ2=TRUE),3,
IF(AND(AJ20=TRUE,AJ2=FALSE),1,
IF(AJ20="",0)))
)</f>
        <v>0</v>
      </c>
      <c r="AJ20" s="49" t="str">
        <f t="shared" ref="AJ20:AJ34" si="43">IF($C2="","",
IF(AF2=$C2,TRUE,FALSE))</f>
        <v/>
      </c>
      <c r="AK20" s="47" t="str">
        <f t="shared" ref="AK20:AK34" si="44">IF(AK2=C2,ABS(AM2-E2),"")</f>
        <v/>
      </c>
      <c r="AL20" s="47" t="str">
        <f t="shared" ref="AL20:AL34" si="45">IF(AK2=C2,ABS(AN2-F2),"")</f>
        <v/>
      </c>
      <c r="AM20" s="48" t="str">
        <f t="shared" ref="AM20:AM34" si="46">IF(AK2=C2,SUM(AK20,AL20),"")</f>
        <v/>
      </c>
      <c r="AN20" s="9">
        <f t="shared" ref="AN20:AN34" si="47">SUM(IF(AND(AK2=$C2,AM20=$C20,$C20=0,AO2=TRUE,AM20&lt;$I20,AM20&lt;$N20,AM20&lt;$S20,AM20&lt;$X20,AM20&lt;$AC20,AM20&lt;$AH20,AM20&lt;$AR20,AM20&lt;$AW20,AM20&lt;$BB20,AM20&lt;$BG20,AM20&lt;$BL20),15,
IF(AND(AK2=$C2,AM20=$C20,$C20=0,AO2=TRUE,OR(AM20=$I20,AM20=$N20,AM20=$S20,AM20=$X20,AM20=$AC20,AM20=$AH20,AM20=$AR20,AM20=$AW20,AM20=$BB20,AM20=$BG20,AM20=$BL20)),7.5,
IF(AND(AK2=$C2,AM20=$C20,$C20=0,AM20&lt;$I20,AM20&lt;$N20,AM20&lt;$S20,AM20&lt;$X20,AM20&lt;$AC20,AM20&lt;$AH20,AM20&lt;$AR20,AM20&lt;$AW20,AM20&lt;$BB20,AM20&lt;$BG20,AM20&lt;$BL20),5,
IF(AND(AK2=$C2,AM20=$C20,AO2=TRUE,AM20&lt;$I20,AM20&lt;$N20,AM20&lt;$S20,AM20&lt;$X20,AM20&lt;$AC20,AM20&lt;$AH20,AM20&lt;$AR20,AM20&lt;$AW20,AM20&lt;$BB20,AM20&lt;$BG20,AM20&lt;$BL20),3,
IF(AND(AK2=$C2,AM20=$C20,$C20=0,OR(AM20=$I20,AM20=$N20,AM20=$S20,AM20=$X20,AM20=$AC20,AM20=$AH20,AM20=$AR20,AM20=$AW20,AM20=$BB20,AM20=$BG20,AM20=$BL20)),2.5,
IF(AND(AK2=$C2,AM20=$C20,AO2=TRUE,OR(AM20=$I20,AM20=$N20,AM20=$S20,AM20=$X20,AM20=$AC20,AM20=$AH20,AM20=$AR20,AM20=$AW20,AM20=$BB20,AM20=$BG20,AM20=$BL20)),1.5,
IF(AND(AK2=$C2,AM20=$C20,AM20&lt;$I20,AM20&lt;$N20,AM20&lt;$S20,AM20&lt;$X20,AM20&lt;$AC20,AM20&lt;$AH20,AM20&lt;$AR20,AM20&lt;$AW20,AM20&lt;$BB20,AM20&lt;$BG20,AM20&lt;$BL20),1,
IF(AND(AK2=$C2,AM20=$C20,OR(AM20=$I20,AM20=$N20,AM20=$S20,AM20=$X20,AM20=$AC20,AM20=$AH20,AM20=$AR20,AM20=$AW20,AM20=$BB20,AM20=$BG20,AM20=$BL20)),0.5,
0)))))))),
IF(AND(AO20=TRUE,AO2=TRUE),3,
IF(AND(AO20=TRUE,AO2=FALSE),1,
IF(AO20="",0)))
)</f>
        <v>0</v>
      </c>
      <c r="AO20" s="49" t="str">
        <f t="shared" ref="AO20:AO34" si="48">IF($C2="","",
IF(AK2=$C2,TRUE,FALSE))</f>
        <v/>
      </c>
      <c r="AP20" s="47" t="str">
        <f t="shared" ref="AP20:AP34" si="49">IF(AP2=C2,ABS(AR2-E2),"")</f>
        <v/>
      </c>
      <c r="AQ20" s="47" t="str">
        <f t="shared" ref="AQ20:AQ34" si="50">IF(AP2=C2,ABS(AS2-F2),"")</f>
        <v/>
      </c>
      <c r="AR20" s="48" t="str">
        <f t="shared" ref="AR20:AR34" si="51">IF(AP2=C2,SUM(AP20,AQ20),"")</f>
        <v/>
      </c>
      <c r="AS20" s="9">
        <f t="shared" ref="AS20:AS34" si="52">SUM(IF(AND(AP2=$C2,AR20=$C20,$C20=0,AT2=TRUE,AR20&lt;$I20,AR20&lt;$N20,AR20&lt;$S20,AR20&lt;$X20,AR20&lt;$AC20,AR20&lt;$AH20,AR20&lt;$AM20,AR20&lt;$AW20,AR20&lt;$BB20,AR20&lt;$BG20,AR20&lt;$BL20),15,
IF(AND(AP2=$C2,AR20=$C20,$C20=0,AT2=TRUE,OR(AR20=$I20,AR20=$N20,AR20=$S20,AR20=$X20,AR20=$AC20,AR20=$AH20,AR20=$AM20,AR20=$AW20,AR20=$BB20,AR20=$BG20,AR20=$BL20)),7.5,
IF(AND(AP2=$C2,AR20=$C20,$C20=0,AR20&lt;$I20,AR20&lt;$N20,AR20&lt;$S20,AR20&lt;$X20,AR20&lt;$AC20,AR20&lt;$AH20,AR20&lt;$AM20,AR20&lt;$AW20,AR20&lt;$BB20,AR20&lt;$BG20,AR20&lt;$BL20),5,
IF(AND(AP2=$C2,AR20=$C20,AT2=TRUE,AR20&lt;$I20,AR20&lt;$N20,AR20&lt;$S20,AR20&lt;$X20,AR20&lt;$AC20,AR20&lt;$AH20,AR20&lt;$AM20,AR20&lt;$AW20,AR20&lt;$BB20,AR20&lt;$BG20,AR20&lt;$BL20),3,
IF(AND(AP2=$C2,AR20=$C20,$C20=0,OR(AR20=$I20,AR20=$N20,AR20=$S20,AR20=$X20,AR20=$AC20,AR20=$AH20,AR20=$AM20,AR20=$AW20,AR20=$BB20,AR20=$BG20,AR20=$BL20)),2.5,
IF(AND(AP2=$C2,AR20=$C20,AT2=TRUE,OR(AR20=$I20,AR20=$N20,AR20=$S20,AR20=$X20,AR20=$AC20,AR20=$AH20,AR20=$AM20,AR20=$AW20,AR20=$BB20,AR20=$BG20,AR20=$BL20)),1.5,
IF(AND(AP2=$C2,AR20=$C20,AR20&lt;$I20,AR20&lt;$N20,AR20&lt;$S20,AR20&lt;$X20,AR20&lt;$AC20,AR20&lt;$AH20,AR20&lt;$AM20,AR20&lt;$AW20,AR20&lt;$BB20,AR20&lt;$BG20,AR20&lt;$BL20),1,
IF(AND(AP2=$C2,AR20=$C20,OR(AR20=$I20,AR20=$N20,AR20=$S20,AR20=$X20,AR20=$AC20,AR20=$AH20,AR20=$AM20,AR20=$AW20,AR20=$BB20,AR20=$BG20,AR20=$BL20)),0.5,
0)))))))),
IF(AND(AT20=TRUE,AT2=TRUE),3,
IF(AND(AT20=TRUE,AT2=FALSE),1,
IF(AT20="",0)))
)</f>
        <v>0</v>
      </c>
      <c r="AT20" s="49" t="str">
        <f t="shared" ref="AT20:AT34" si="53">IF($C2="","",
IF(AP2=$C2,TRUE,FALSE))</f>
        <v/>
      </c>
      <c r="AU20" s="47" t="str">
        <f t="shared" ref="AU20:AU34" si="54">IF(AU2=C2,ABS(AW2-E2),"")</f>
        <v/>
      </c>
      <c r="AV20" s="47" t="str">
        <f t="shared" ref="AV20:AV34" si="55">IF(AU2=C2,ABS(AX2-F2),"")</f>
        <v/>
      </c>
      <c r="AW20" s="48" t="str">
        <f t="shared" ref="AW20:AW34" si="56">IF(AU2=C2,SUM(AU20,AV20),"")</f>
        <v/>
      </c>
      <c r="AX20" s="9">
        <f t="shared" ref="AX20:AX34" si="57">SUM(IF(AND(AU2=$C2,AW20=$C20,$C20=0,AY2=TRUE,AW20&lt;$I20,AW20&lt;$N20,AW20&lt;$S20,AW20&lt;$X20,AW20&lt;$AC20,AW20&lt;$AH20,AW20&lt;$AM20,AW20&lt;$AR20,AW20&lt;$BB20,AW20&lt;$BG20,AW20&lt;$BL20),15,
IF(AND(AU2=$C2,AW20=$C20,$C20=0,AY2=TRUE,OR(AW20=$I20,AW20=$N20,AW20=$S20,AW20=$X20,AW20=$AC20,AW20=$AH20,AW20=$AM20,AW20=$AR20,AW20=$BB20,AW20=$BG20,AW20=$BL20)),7.5,
IF(AND(AU2=$C2,AW20=$C20,$C20=0,AW20&lt;$I20,AW20&lt;$N20,AW20&lt;$S20,AW20&lt;$X20,AW20&lt;$AC20,AW20&lt;$AH20,AW20&lt;$AM20,AW20&lt;$AR20,AW20&lt;$BB20,AW20&lt;$BG20,AW20&lt;$BL20),5,
IF(AND(AU2=$C2,AW20=$C20,AY2=TRUE,AW20&lt;$I20,AW20&lt;$N20,AW20&lt;$S20,AW20&lt;$X20,AW20&lt;$AC20,AW20&lt;$AH20,AW20&lt;$AM20,AW20&lt;$AR20,AW20&lt;$BB20,AW20&lt;$BG20,AW20&lt;$BL20),3,
IF(AND(AU2=$C2,AW20=$C20,$C20=0,OR(AW20=$I20,AW20=$N20,AW20=$S20,AW20=$X20,AW20=$AC20,AW20=$AH20,AW20=$AM20,AW20=$AR20,AW20=$BB20,AW20=$BG20,AW20=$BL20)),2.5,
IF(AND(AU2=$C2,AW20=$C20,AY2=TRUE,OR(AW20=$I20,AW20=$N20,AW20=$S20,AW20=$X20,AW20=$AC20,AW20=$AH20,AW20=$AM20,AW20=$AR20,AW20=$BB20,AW20=$BG20,AW20=$BL20)),1.5,
IF(AND(AU2=$C2,AW20=$C20,AW20&lt;$I20,AW20&lt;$N20,AW20&lt;$S20,AW20&lt;$X20,AW20&lt;$AC20,AW20&lt;$AH20,AW20&lt;$AM20,AW20&lt;$AR20,AW20&lt;$BB20,AW20&lt;$BG20,AW20&lt;$BL20),1,
IF(AND(AU2=$C2,AW20=$C20,OR(AW20=$I20,AW20=$N20,AW20=$S20,AW20=$X20,AW20=$AC20,AW20=$AH20,AW20=$AM20,AW20=$AR20,AW20=$BB20,AW20=$BG20,AW20=$BL20)),0.5,
0)))))))),
IF(AND(AY20=TRUE,AY2=TRUE),3,
IF(AND(AY20=TRUE,AY2=FALSE),1,
IF(AY20="",0)))
)</f>
        <v>0</v>
      </c>
      <c r="AY20" s="49" t="str">
        <f t="shared" ref="AY20:AY34" si="58">IF($C2="","",
IF(AU2=$C2,TRUE,FALSE))</f>
        <v/>
      </c>
      <c r="AZ20" s="47" t="str">
        <f t="shared" ref="AZ20:AZ34" si="59">IF(AZ2=C2,ABS(BB2-E2),"")</f>
        <v/>
      </c>
      <c r="BA20" s="47" t="str">
        <f t="shared" ref="BA20:BA34" si="60">IF(AZ2=C2,ABS(BC2-F2),"")</f>
        <v/>
      </c>
      <c r="BB20" s="48" t="str">
        <f t="shared" ref="BB20:BB34" si="61">IF(AZ2=C2,SUM(AZ20,BA20),"")</f>
        <v/>
      </c>
      <c r="BC20" s="9">
        <f t="shared" ref="BC20:BC34" si="62">SUM(IF(AND(AZ2=$C2,BB20=$C20,$C20=0,BD2=TRUE,BB20&lt;$I20,BB20&lt;$N20,BB20&lt;$S20,BB20&lt;$X20,BB20&lt;$AC20,BB20&lt;$AH20,BB20&lt;$AM20,BB20&lt;$AR20,BB20&lt;$AW20,BB20&lt;$BG20,BB20&lt;$BL20),15,
IF(AND(AZ2=$C2,BB20=$C20,$C20=0,BD2=TRUE,OR(BB20=$I20,BB20=$N20,BB20=$S20,BB20=$X20,BB20=$AC20,BB20=$AH20,BB20=$AM20,BB20=$AR20,BB20=$AW20,BB20=$BG20,BB20=$BL20)),7.5,
IF(AND(AZ2=$C2,BB20=$C20,$C20=0,BB20&lt;$I20,BB20&lt;$N20,BB20&lt;$S20,BB20&lt;$X20,BB20&lt;$AC20,BB20&lt;$AH20,BB20&lt;$AM20,BB20&lt;$AR20,BB20&lt;$AW20,BB20&lt;$BG20,BB20&lt;$BL20),5,
IF(AND(AZ2=$C2,BB20=$C20,BD2=TRUE,BB20&lt;$I20,BB20&lt;$N20,BB20&lt;$S20,BB20&lt;$X20,BB20&lt;$AC20,BB20&lt;$AH20,BB20&lt;$AM20,BB20&lt;$AR20,BB20&lt;$AW20,BB20&lt;$BG20,BB20&lt;$BL20),3,
IF(AND(AZ2=$C2,BB20=$C20,$C20=0,OR(BB20=$I20,BB20=$N20,BB20=$S20,BB20=$X20,BB20=$AC20,BB20=$AH20,BB20=$AM20,BB20=$AR20,BB20=$AW20,BB20=$BG20,BB20=$BL20)),2.5,
IF(AND(AZ2=$C2,BB20=$C20,BD2=TRUE,OR(BB20=$I20,BB20=$N20,BB20=$S20,BB20=$X20,BB20=$AC20,BB20=$AH20,BB20=$AM20,BB20=$AR20,BB20=$AW20,BB20=$BG20,BB20=$BL20)),1.5,
IF(AND(AZ2=$C2,BB20=$C20,BB20&lt;$I20,BB20&lt;$N20,BB20&lt;$S20,BB20&lt;$X20,BB20&lt;$AC20,BB20&lt;$AH20,BB20&lt;$AM20,BB20&lt;$AR20,BB20&lt;$AW20,BB20&lt;$BG20,BB20&lt;$BL20),1,
IF(AND(AZ2=$C2,BB20=$C20,OR(BB20=$I20,BB20=$N20,BB20=$S20,BB20=$X20,BB20=$AC20,BB20=$AH20,BB20=$AM20,BB20=$AR20,BB20=$AW20,BB20=$BG20,BB20=$BL20)),0.5,
0)))))))),
IF(AND(BD20=TRUE,BD2=TRUE),3,
IF(AND(BD20=TRUE,BD2=FALSE),1,
IF(BD20="",0)))
)</f>
        <v>0</v>
      </c>
      <c r="BD20" s="49" t="str">
        <f t="shared" ref="BD20:BD34" si="63">IF($C2="","",
IF(AZ2=$C2,TRUE,FALSE))</f>
        <v/>
      </c>
      <c r="BE20" s="47" t="str">
        <f t="shared" ref="BE20:BE34" si="64">IF(BE2=C2,ABS(BG2-E2),"")</f>
        <v/>
      </c>
      <c r="BF20" s="47" t="str">
        <f t="shared" ref="BF20:BF34" si="65">IF(BE2=C2,ABS(BH2-F2),"")</f>
        <v/>
      </c>
      <c r="BG20" s="48" t="str">
        <f t="shared" ref="BG20:BG34" si="66">IF(BE2=C2,SUM(BE20,BF20),"")</f>
        <v/>
      </c>
      <c r="BH20" s="9">
        <f t="shared" ref="BH20:BH34" si="67">SUM(IF(AND(BE2=$C2,BG20=$C20,$C20=0,BI2=TRUE,BG20&lt;$I20,BG20&lt;$N20,BG20&lt;$S20,BG20&lt;$X20,BG20&lt;$AC20,BG20&lt;$AH20,BG20&lt;$AM20,BG20&lt;$AR20,BG20&lt;$AW20,BG20&lt;$BB20,BG20&lt;$BL20),15,
IF(AND(BE2=$C2,BG20=$C20,$C20=0,BI2=TRUE,OR(BG20=$I20,BG20=$N20,BG20=$S20,BG20=$X20,BG20=$AC20,BG20=$AH20,BG20=$AM20,BG20=$AR20,BG20=$AW20,BG20=$BB20,BG20=$BL20)),7.5,
IF(AND(BE2=$C2,BG20=$C20,$C20=0,BG20&lt;$I20,BG20&lt;$N20,BG20&lt;$S20,BG20&lt;$X20,BG20&lt;$AC20,BG20&lt;$AH20,BG20&lt;$AM20,BG20&lt;$AR20,BG20&lt;$AW20,BG20&lt;$BB20,BG20&lt;$BL20),5,
IF(AND(BE2=$C2,BG20=$C20,BI2=TRUE,BG20&lt;$I20,BG20&lt;$N20,BG20&lt;$S20,BG20&lt;$X20,BG20&lt;$AC20,BG20&lt;$AH20,BG20&lt;$AM20,BG20&lt;$AR20,BG20&lt;$AW20,BG20&lt;$BB20,BG20&lt;$BL20),3,
IF(AND(BE2=$C2,BG20=$C20,$C20=0,OR(BG20=$I20,BG20=$N20,BG20=$S20,BG20=$X20,BG20=$AC20,BG20=$AH20,BG20=$AM20,BG20=$AR20,BG20=$AW20,BG20=$BB20,BG20=$BL20)),2.5,
IF(AND(BE2=$C2,BG20=$C20,BI2=TRUE,OR(BG20=$I20,BG20=$N20,BG20=$S20,BG20=$X20,BG20=$AC20,BG20=$AH20,BG20=$AM20,BG20=$AR20,BG20=$AW20,BG20=$BB20,BG20=$BL20)),1.5,
IF(AND(BE2=$C2,BG20=$C20,BG20&lt;$I20,BG20&lt;$N20,BG20&lt;$S20,BG20&lt;$X20,BG20&lt;$AC20,BG20&lt;$AH20,BG20&lt;$AM20,BG20&lt;$AR20,BG20&lt;$AW20,BG20&lt;$BB20,BG20&lt;$BL20),1,
IF(AND(BE2=$C2,BG20=$C20,OR(BG20=$I20,BG20=$N20,BG20=$S20,BG20=$X20,BG20=$AC20,BG20=$AH20,BG20=$AM20,BG20=$AR20,BG20=$AW20,BG20=$BB20,BG20=$BL20)),0.5,
0)))))))),
IF(AND(BI20=TRUE,BI2=TRUE),3,
IF(AND(BI20=TRUE,BI2=FALSE),1,
IF(BI20="",0)))
)</f>
        <v>0</v>
      </c>
      <c r="BI20" s="49" t="str">
        <f t="shared" ref="BI20:BI34" si="68">IF($C2="","",
IF(BE2=$C2,TRUE,FALSE))</f>
        <v/>
      </c>
      <c r="BJ20" s="47" t="str">
        <f t="shared" ref="BJ20:BJ34" si="69">IF(BJ2=C2,ABS(BL2-E2),"")</f>
        <v/>
      </c>
      <c r="BK20" s="47" t="str">
        <f t="shared" ref="BK20:BK34" si="70">IF(BJ2=C2,ABS(BM2-F2),"")</f>
        <v/>
      </c>
      <c r="BL20" s="48" t="str">
        <f t="shared" ref="BL20:BL34" si="71">IF(BJ2=C2,SUM(BJ20,BK20),"")</f>
        <v/>
      </c>
      <c r="BM20" s="9">
        <f t="shared" ref="BM20:BM34" si="72">SUM(IF(AND(BJ2=$C2,BL20=$C20,$C20=0,BN2=TRUE,BL20&lt;$I20,BL20&lt;$N20,BL20&lt;$S20,BL20&lt;$X20,BL20&lt;$AC20,BL20&lt;$AH20,BL20&lt;$AM20,BL20&lt;$AR20,BL20&lt;$AW20,BL20&lt;$BB20,BL20&lt;$BG20),15,
IF(AND(BJ2=$C2,BL20=$C20,$C20=0,BN2=TRUE,OR(BL20=$I20,BL20=$N20,BL20=$S20,BL20=$X20,BL20=$AC20,BL20=$AH20,BL20=$AM20,BL20=$AR20,BL20=$AW20,BL20=$BB20,BL20=$BG20)),7.5,
IF(AND(BJ2=$C2,BL20=$C20,$C20=0,BL20&lt;$I20,BL20&lt;$N20,BL20&lt;$S20,BL20&lt;$X20,BL20&lt;$AC20,BL20&lt;$AH20,BL20&lt;$AM20,BL20&lt;$AR20,BL20&lt;$AW20,BL20&lt;$BB20,BL20&lt;$BG20),5,
IF(AND(BJ2=$C2,BL20=$C20,BN2=TRUE,BL20&lt;$I20,BL20&lt;$N20,BL20&lt;$S20,BL20&lt;$X20,BL20&lt;$AC20,BL20&lt;$AH20,BL20&lt;$AM20,BL20&lt;$AR20,BL20&lt;$AW20,BL20&lt;$BB20,BL20&lt;$BG20),3,
IF(AND(BJ2=$C2,BL20=$C20,$C20=0,OR(BL20=$I20,BL20=$N20,BL20=$S20,BL20=$X20,BL20=$AC20,BL20=$AH20,BL20=$AM20,BL20=$AR20,BL20=$AW20,BL20=$BB20,BL20=$BG20)),2.5,
IF(AND(BJ2=$C2,BL20=$C20,BN2=TRUE,OR(BL20=$I20,BL20=$N20,BL20=$S20,BL20=$X20,BL20=$AC20,BL20=$AH20,BL20=$AM20,BL20=$AR20,BL20=$AW20,BL20=$BB20,BL20=$BG20)),1.5,
IF(AND(BJ2=$C2,BL20=$C20,BL20&lt;$I20,BL20&lt;$N20,BL20&lt;$S20,BL20&lt;$X20,BL20&lt;$AC20,BL20&lt;$AH20,BL20&lt;$AM20,BL20&lt;$AR20,BL20&lt;$AW20,BL20&lt;$BB20,BL20&lt;$BG20),1,
IF(AND(BJ2=$C2,BL20=$C20,OR(BL20=$I20,BL20=$N20,BL20=$S20,BL20=$X20,BL20=$AC20,BL20=$AH20,BL20=$AM20,BL20=$AR20,BL20=$AW20,BL20=$BB20,BL20=$BG20)),0.5,
0)))))))),
IF(AND(BN20=TRUE,BN2=TRUE),3,
IF(AND(BN20=TRUE,BN2=FALSE),1,
IF(BN20="",0)))
)</f>
        <v>0</v>
      </c>
      <c r="BN20" s="49" t="str">
        <f t="shared" ref="BN20:BN34" si="73">IF($C2="","",
IF(BJ2=$C2,TRUE,FALSE))</f>
        <v/>
      </c>
      <c r="BO20" s="41"/>
      <c r="BP20" s="41"/>
      <c r="BQ20" s="41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9"/>
      <c r="E33" s="49"/>
      <c r="F33" s="49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9"/>
      <c r="E34" s="49"/>
      <c r="F34" s="49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0"/>
      <c r="BP34" s="40"/>
      <c r="BQ34" s="40"/>
    </row>
    <row r="35" hidden="1">
      <c r="A35" s="40"/>
      <c r="B35" s="40"/>
      <c r="C35" s="49"/>
      <c r="D35" s="49"/>
      <c r="E35" s="49"/>
      <c r="F35" s="49"/>
      <c r="G35" s="49"/>
      <c r="H35" s="49"/>
      <c r="I35" s="49"/>
      <c r="J35" s="59">
        <f>MULTIPLY(SUM(J20:J34),10)</f>
        <v>0</v>
      </c>
      <c r="K35" s="62">
        <f>COUNTIF(K20:K34,"TRUE")</f>
        <v>0</v>
      </c>
      <c r="L35" s="49"/>
      <c r="M35" s="49"/>
      <c r="N35" s="49"/>
      <c r="O35" s="59">
        <f>MULTIPLY(SUM(O20:O34),10)</f>
        <v>0</v>
      </c>
      <c r="P35" s="62">
        <f>COUNTIF(P20:P34,"TRUE")</f>
        <v>0</v>
      </c>
      <c r="Q35" s="49"/>
      <c r="R35" s="49"/>
      <c r="S35" s="49"/>
      <c r="T35" s="59">
        <f>MULTIPLY(SUM(T20:T34),10)</f>
        <v>0</v>
      </c>
      <c r="U35" s="62">
        <f>COUNTIF(U20:U34,"TRUE")</f>
        <v>0</v>
      </c>
      <c r="V35" s="49"/>
      <c r="W35" s="49"/>
      <c r="X35" s="49"/>
      <c r="Y35" s="59">
        <f>MULTIPLY(SUM(Y20:Y34),10)</f>
        <v>0</v>
      </c>
      <c r="Z35" s="62">
        <f>COUNTIF(Z20:Z34,"TRUE")</f>
        <v>0</v>
      </c>
      <c r="AA35" s="49"/>
      <c r="AB35" s="49"/>
      <c r="AC35" s="49"/>
      <c r="AD35" s="59">
        <f>MULTIPLY(SUM(AD20:AD34),10)</f>
        <v>0</v>
      </c>
      <c r="AE35" s="62">
        <f>COUNTIF(AE20:AE34,"TRUE")</f>
        <v>0</v>
      </c>
      <c r="AF35" s="49"/>
      <c r="AG35" s="49"/>
      <c r="AH35" s="49"/>
      <c r="AI35" s="59">
        <f>MULTIPLY(SUM(AI20:AI34),10)</f>
        <v>0</v>
      </c>
      <c r="AJ35" s="62">
        <f>COUNTIF(AJ20:AJ34,"TRUE")</f>
        <v>0</v>
      </c>
      <c r="AK35" s="49"/>
      <c r="AL35" s="49"/>
      <c r="AM35" s="49"/>
      <c r="AN35" s="59">
        <f>MULTIPLY(SUM(AN20:AN34),10)</f>
        <v>0</v>
      </c>
      <c r="AO35" s="62">
        <f>COUNTIF(AO20:AO34,"TRUE")</f>
        <v>0</v>
      </c>
      <c r="AP35" s="49"/>
      <c r="AQ35" s="49"/>
      <c r="AR35" s="49"/>
      <c r="AS35" s="59">
        <f>MULTIPLY(SUM(AS20:AS34),10)</f>
        <v>0</v>
      </c>
      <c r="AT35" s="62">
        <f>COUNTIF(AT20:AT34,"TRUE")</f>
        <v>0</v>
      </c>
      <c r="AU35" s="49"/>
      <c r="AV35" s="49"/>
      <c r="AW35" s="49"/>
      <c r="AX35" s="59">
        <f>MULTIPLY(SUM(AX20:AX34),10)</f>
        <v>0</v>
      </c>
      <c r="AY35" s="62">
        <f>COUNTIF(AY20:AY34,"TRUE")</f>
        <v>0</v>
      </c>
      <c r="AZ35" s="49"/>
      <c r="BA35" s="49"/>
      <c r="BB35" s="49"/>
      <c r="BC35" s="59">
        <f>MULTIPLY(SUM(BC20:BC34),10)</f>
        <v>0</v>
      </c>
      <c r="BD35" s="62">
        <f>COUNTIF(BD20:BD34,"TRUE")</f>
        <v>0</v>
      </c>
      <c r="BE35" s="49"/>
      <c r="BF35" s="49"/>
      <c r="BG35" s="49"/>
      <c r="BH35" s="59">
        <f>MULTIPLY(SUM(BH20:BH34),10)</f>
        <v>0</v>
      </c>
      <c r="BI35" s="62">
        <f>COUNTIF(BI20:BI34,"TRUE")</f>
        <v>0</v>
      </c>
      <c r="BJ35" s="49"/>
      <c r="BK35" s="49"/>
      <c r="BL35" s="49"/>
      <c r="BM35" s="59">
        <f>MULTIPLY(SUM(BM20:BM34),10)</f>
        <v>0</v>
      </c>
      <c r="BN35" s="62">
        <f>COUNTIF(BN20:BN34,"TRUE")</f>
        <v>0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83" t="s">
        <v>234</v>
      </c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81" t="s">
        <v>93</v>
      </c>
      <c r="B38" s="57" t="s">
        <v>141</v>
      </c>
      <c r="C38" s="58">
        <f t="array" ref="C38">INDEX(J35,0)</f>
        <v>0</v>
      </c>
      <c r="D38" s="58">
        <f t="array" ref="D38">INDEX(O35,0)</f>
        <v>0</v>
      </c>
      <c r="E38" s="58">
        <f t="array" ref="E38">INDEX(T35,0)</f>
        <v>0</v>
      </c>
      <c r="F38" s="58">
        <f t="array" ref="F38">INDEX(Y35,0)</f>
        <v>0</v>
      </c>
      <c r="G38" s="58">
        <f t="array" ref="G38">INDEX(AD35,0)</f>
        <v>0</v>
      </c>
      <c r="H38" s="58">
        <f t="array" ref="H38">INDEX(AI35,0)</f>
        <v>0</v>
      </c>
      <c r="I38" s="58">
        <f t="array" ref="I38">INDEX(AN35,0)</f>
        <v>0</v>
      </c>
      <c r="J38" s="58">
        <f t="array" ref="J38">INDEX(AS35,0)</f>
        <v>0</v>
      </c>
      <c r="K38" s="58">
        <f t="array" ref="K38">INDEX(AX35,0)</f>
        <v>0</v>
      </c>
      <c r="L38" s="58">
        <f t="array" ref="L38">INDEX(BC35,0)</f>
        <v>0</v>
      </c>
      <c r="M38" s="58">
        <f t="array" ref="M38">INDEX(BH35,0)</f>
        <v>0</v>
      </c>
      <c r="N38" s="60">
        <f t="array" ref="N38">INDEX(BM35,0)</f>
        <v>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81" t="s">
        <v>84</v>
      </c>
      <c r="B39" s="63" t="s">
        <v>142</v>
      </c>
      <c r="C39" s="64">
        <f>COUNTIF(K20:K33,true)</f>
        <v>0</v>
      </c>
      <c r="D39" s="64">
        <f>COUNTIF(P20:P33,true)</f>
        <v>0</v>
      </c>
      <c r="E39" s="64">
        <f>COUNTIF(U20:U33,true)</f>
        <v>0</v>
      </c>
      <c r="F39" s="64">
        <f>COUNTIF(Z20:Z33,true)</f>
        <v>0</v>
      </c>
      <c r="G39" s="64">
        <f>COUNTIF(AE20:AE33,true)</f>
        <v>0</v>
      </c>
      <c r="H39" s="64">
        <f>COUNTIF(AJ20:AJ33,true)</f>
        <v>0</v>
      </c>
      <c r="I39" s="64">
        <f>COUNTIF(AO20:AO33,true)</f>
        <v>0</v>
      </c>
      <c r="J39" s="64">
        <f>COUNTIF(AT20:AT33,true)</f>
        <v>0</v>
      </c>
      <c r="K39" s="64">
        <f>COUNTIF(AY20:AY33,true)</f>
        <v>0</v>
      </c>
      <c r="L39" s="64">
        <f>COUNTIF(BD20:BD33,true)</f>
        <v>0</v>
      </c>
      <c r="M39" s="64">
        <f>COUNTIF(BI20:BI33,true)</f>
        <v>0</v>
      </c>
      <c r="N39" s="65">
        <f>COUNTIF(BN20:BN33,true)</f>
        <v>0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19"/>
      <c r="B40" s="63" t="s">
        <v>143</v>
      </c>
      <c r="C40" s="68">
        <f>COUNTIF(K20:K33,FALSE)</f>
        <v>0</v>
      </c>
      <c r="D40" s="68">
        <f>COUNTIF(P20:P33,FALSE)</f>
        <v>0</v>
      </c>
      <c r="E40" s="68">
        <f>COUNTIF(U20:U33,FALSE)</f>
        <v>0</v>
      </c>
      <c r="F40" s="68">
        <f>COUNTIF(Z20:Z33,FALSE)</f>
        <v>0</v>
      </c>
      <c r="G40" s="68">
        <f>COUNTIF(AE20:AE33,FALSE)</f>
        <v>0</v>
      </c>
      <c r="H40" s="68">
        <f>COUNTIF(AJ20:AJ33,FALSE)</f>
        <v>0</v>
      </c>
      <c r="I40" s="68">
        <f>COUNTIF(AO20:AO33,FALSE)</f>
        <v>0</v>
      </c>
      <c r="J40" s="68">
        <f>COUNTIF(AT20:AT33,FALSE)</f>
        <v>0</v>
      </c>
      <c r="K40" s="68">
        <f>COUNTIF(AY20:AY33,FALSE)</f>
        <v>0</v>
      </c>
      <c r="L40" s="68">
        <f>COUNTIF(BD20:BD33,FALSE)</f>
        <v>0</v>
      </c>
      <c r="M40" s="68">
        <f>COUNTIF(BI20:BI33,FALSE)</f>
        <v>0</v>
      </c>
      <c r="N40" s="69">
        <f>COUNTIF(BN20:BN33,FALSE)</f>
        <v>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19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19"/>
      <c r="B42" s="70" t="s">
        <v>144</v>
      </c>
      <c r="C42" s="71">
        <f>SUM('Week 1'!C38,'Week 2'!C38,'Week 3'!C38,'Week 4'!C38,'Week 5'!C39,'Week 6'!C35,'Week 7'!C35,'Week 8'!C37,'Week 9'!C38,'Week 10'!C36,'Week 11'!C33,'Week 12'!C40,'Week 13'!C34,C38)</f>
        <v>325</v>
      </c>
      <c r="D42" s="71">
        <f>SUM('Week 1'!D38,'Week 2'!D38,'Week 3'!D38,'Week 4'!D38,'Week 5'!D39,'Week 6'!D35,'Week 7'!D35,'Week 8'!D37,'Week 9'!D38,'Week 10'!D36,'Week 11'!D33,'Week 12'!D40,'Week 13'!D34,D38)</f>
        <v>275</v>
      </c>
      <c r="E42" s="71">
        <f>SUM('Week 1'!E38,'Week 2'!E38,'Week 3'!E38,'Week 4'!E38,'Week 5'!E39,'Week 6'!E35,'Week 7'!E35,'Week 8'!E37,'Week 9'!E38,'Week 10'!E36,'Week 11'!E33,'Week 12'!E40,'Week 13'!E34,E38)</f>
        <v>290</v>
      </c>
      <c r="F42" s="71">
        <f>SUM('Week 1'!F38,'Week 2'!F38,'Week 3'!F38,'Week 4'!F38,'Week 5'!F39,'Week 6'!F35,'Week 7'!F35,'Week 8'!F37,'Week 9'!F38,'Week 10'!F36,'Week 11'!F33,'Week 12'!F40,'Week 13'!F34,F38)</f>
        <v>375</v>
      </c>
      <c r="G42" s="71">
        <f>SUM('Week 1'!G38,'Week 2'!G38,'Week 3'!G38,'Week 4'!G38,'Week 5'!G39,'Week 6'!G35,'Week 7'!G35,'Week 8'!G37,'Week 9'!G38,'Week 10'!G36,'Week 11'!G33,'Week 12'!G40,'Week 13'!G34,G38)</f>
        <v>410</v>
      </c>
      <c r="H42" s="71">
        <f>SUM('Week 1'!H38,'Week 2'!H38,'Week 3'!H38,'Week 4'!H38,'Week 5'!H39,'Week 6'!H35,'Week 7'!H35,'Week 8'!H37,'Week 9'!H38,'Week 10'!H36,'Week 11'!H33,'Week 12'!H40,'Week 13'!H34,H38)</f>
        <v>480</v>
      </c>
      <c r="I42" s="71">
        <f>SUM('Week 1'!I38,'Week 2'!I38,'Week 3'!I38,'Week 4'!I38,'Week 5'!I39,'Week 6'!I35,'Week 7'!I35,'Week 8'!I37,'Week 9'!I38,'Week 10'!I36,'Week 11'!I33,'Week 12'!I40,'Week 13'!I34,I38)</f>
        <v>320</v>
      </c>
      <c r="J42" s="71">
        <f>SUM('Week 1'!J38,'Week 2'!J38,'Week 3'!J38,'Week 4'!J38,'Week 5'!J39,'Week 6'!J35,'Week 7'!J35,'Week 8'!J37,'Week 9'!J38,'Week 10'!J36,'Week 11'!J33,'Week 12'!J40,'Week 13'!J34,J38)</f>
        <v>445</v>
      </c>
      <c r="K42" s="71">
        <f>SUM('Week 1'!K38,'Week 2'!K38,'Week 3'!K38,'Week 4'!K38,'Week 5'!K39,'Week 6'!K35,'Week 7'!K35,'Week 8'!K37,'Week 9'!K38,'Week 10'!K36,'Week 11'!K33,'Week 12'!K40,'Week 13'!K34,K38)</f>
        <v>370</v>
      </c>
      <c r="L42" s="71">
        <f>SUM('Week 1'!L38,'Week 2'!L38,'Week 3'!L38,'Week 4'!L38,'Week 5'!L39,'Week 6'!L35,'Week 7'!L35,'Week 8'!L37,'Week 9'!L38,'Week 10'!L36,'Week 11'!L33,'Week 12'!L40,'Week 13'!L34,L38)</f>
        <v>280</v>
      </c>
      <c r="M42" s="71">
        <f>SUM('Week 1'!M38,'Week 2'!M38,'Week 3'!M38,'Week 4'!M38,'Week 5'!M39,'Week 6'!M35,'Week 7'!M35,'Week 8'!M37,'Week 9'!M38,'Week 10'!M36,'Week 11'!M33,'Week 12'!M40,'Week 13'!M34,M38)</f>
        <v>365</v>
      </c>
      <c r="N42" s="72">
        <f>SUM('Week 1'!N38,'Week 2'!N38,'Week 3'!N38,'Week 4'!N38,'Week 5'!N39,'Week 6'!N35,'Week 7'!N35,'Week 8'!N37,'Week 9'!N38,'Week 10'!N36,'Week 11'!N33,'Week 12'!N40,'Week 13'!N34,N38)</f>
        <v>290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19"/>
      <c r="B43" s="57" t="s">
        <v>145</v>
      </c>
      <c r="C43" s="73" t="str">
        <f>CONCATENATE(SUM('Week 1'!C39,'Week 2'!C39,'Week 3'!C39,'Week 4'!C39,'Week 5'!C40,'Week 6'!C36,'Week 7'!C36,'Week 8'!C38,'Week 9'!C39,'Week 10'!C37,'Week 11'!C34,'Week 12'!C41,'Week 13'!C35,C39)," - ",SUM('Week 1'!C40,'Week 2'!C40,'Week 3'!C40,'Week 4'!C40,'Week 5'!C41,'Week 6'!C37,'Week 7'!C37,'Week 8'!C39,'Week 9'!C40,'Week 10'!C38,'Week 11'!C35,'Week 12'!C42,'Week 13'!C36,C40))</f>
        <v>25 - 21</v>
      </c>
      <c r="D43" s="73" t="str">
        <f>CONCATENATE(SUM('Week 1'!D39,'Week 2'!D39,'Week 3'!D39,'Week 4'!D39,'Week 5'!D40,'Week 6'!D36,'Week 7'!D36,'Week 8'!D38,'Week 9'!D39,'Week 10'!D37,'Week 11'!D34,'Week 12'!D41,'Week 13'!D35,D39)," - ",SUM('Week 1'!D40,'Week 2'!D40,'Week 3'!D40,'Week 4'!D40,'Week 5'!D41,'Week 6'!D37,'Week 7'!D37,'Week 8'!D39,'Week 9'!D40,'Week 10'!D38,'Week 11'!D35,'Week 12'!D42,'Week 13'!D36,D40))</f>
        <v>24 - 22</v>
      </c>
      <c r="E43" s="73" t="str">
        <f>CONCATENATE(SUM('Week 1'!E39,'Week 2'!E39,'Week 3'!E39,'Week 4'!E39,'Week 5'!E40,'Week 6'!E36,'Week 7'!E36,'Week 8'!E38,'Week 9'!E39,'Week 10'!E37,'Week 11'!E34,'Week 12'!E41,'Week 13'!E35,E39)," - ",SUM('Week 1'!E40,'Week 2'!E40,'Week 3'!E40,'Week 4'!E40,'Week 5'!E41,'Week 6'!E37,'Week 7'!E37,'Week 8'!E39,'Week 9'!E40,'Week 10'!E38,'Week 11'!E35,'Week 12'!E42,'Week 13'!E36,E40))</f>
        <v>23 - 23</v>
      </c>
      <c r="F43" s="73" t="str">
        <f>CONCATENATE(SUM('Week 1'!F39,'Week 2'!F39,'Week 3'!F39,'Week 4'!F39,'Week 5'!F40,'Week 6'!F36,'Week 7'!F36,'Week 8'!F38,'Week 9'!F39,'Week 10'!F37,'Week 11'!F34,'Week 12'!F41,'Week 13'!F35,F39)," - ",SUM('Week 1'!F40,'Week 2'!F40,'Week 3'!F40,'Week 4'!F40,'Week 5'!F41,'Week 6'!F37,'Week 7'!F37,'Week 8'!F39,'Week 9'!F40,'Week 10'!F38,'Week 11'!F35,'Week 12'!F42,'Week 13'!F36,F40))</f>
        <v>26 - 20</v>
      </c>
      <c r="G43" s="73" t="str">
        <f>CONCATENATE(SUM('Week 1'!G39,'Week 2'!G39,'Week 3'!G39,'Week 4'!G39,'Week 5'!G40,'Week 6'!G36,'Week 7'!G36,'Week 8'!G38,'Week 9'!G39,'Week 10'!G37,'Week 11'!G34,'Week 12'!G41,'Week 13'!G35,G39)," - ",SUM('Week 1'!G40,'Week 2'!G40,'Week 3'!G40,'Week 4'!G40,'Week 5'!G41,'Week 6'!G37,'Week 7'!G37,'Week 8'!G39,'Week 9'!G40,'Week 10'!G38,'Week 11'!G35,'Week 12'!G42,'Week 13'!G36,G40))</f>
        <v>30 - 16</v>
      </c>
      <c r="H43" s="73" t="str">
        <f>CONCATENATE(SUM('Week 1'!H39,'Week 2'!H39,'Week 3'!H39,'Week 4'!H39,'Week 5'!H40,'Week 6'!H36,'Week 7'!H36,'Week 8'!H38,'Week 9'!H39,'Week 10'!H37,'Week 11'!H34,'Week 12'!H41,'Week 13'!H35,H39)," - ",SUM('Week 1'!H40,'Week 2'!H40,'Week 3'!H40,'Week 4'!H40,'Week 5'!H41,'Week 6'!H37,'Week 7'!H37,'Week 8'!H39,'Week 9'!H40,'Week 10'!H38,'Week 11'!H35,'Week 12'!H42,'Week 13'!H36,H40))</f>
        <v>33 - 13</v>
      </c>
      <c r="I43" s="73" t="str">
        <f>CONCATENATE(SUM('Week 1'!I39,'Week 2'!I39,'Week 3'!I39,'Week 4'!I39,'Week 5'!I40,'Week 6'!I36,'Week 7'!I36,'Week 8'!I38,'Week 9'!I39,'Week 10'!I37,'Week 11'!I34,'Week 12'!I41,'Week 13'!I35,I39)," - ",SUM('Week 1'!I40,'Week 2'!I40,'Week 3'!I40,'Week 4'!I40,'Week 5'!I41,'Week 6'!I37,'Week 7'!I37,'Week 8'!I39,'Week 9'!I40,'Week 10'!I38,'Week 11'!I35,'Week 12'!I42,'Week 13'!I36,I40))</f>
        <v>26 - 20</v>
      </c>
      <c r="J43" s="73" t="str">
        <f>CONCATENATE(SUM('Week 1'!J39,'Week 2'!J39,'Week 3'!J39,'Week 4'!J39,'Week 5'!J40,'Week 6'!J36,'Week 7'!J36,'Week 8'!J38,'Week 9'!J39,'Week 10'!J37,'Week 11'!J34,'Week 12'!J41,'Week 13'!J35,J39)," - ",SUM('Week 1'!J40,'Week 2'!J40,'Week 3'!J40,'Week 4'!J40,'Week 5'!J41,'Week 6'!J37,'Week 7'!J37,'Week 8'!J39,'Week 9'!J40,'Week 10'!J38,'Week 11'!J35,'Week 12'!J42,'Week 13'!J36,J40))</f>
        <v>27 - 19</v>
      </c>
      <c r="K43" s="73" t="str">
        <f>CONCATENATE(SUM('Week 1'!K39,'Week 2'!K39,'Week 3'!K39,'Week 4'!K39,'Week 5'!K40,'Week 6'!K36,'Week 7'!K36,'Week 8'!K38,'Week 9'!K39,'Week 10'!K37,'Week 11'!K34,'Week 12'!K41,'Week 13'!K35,K39)," - ",SUM('Week 1'!K40,'Week 2'!K40,'Week 3'!K40,'Week 4'!K40,'Week 5'!K41,'Week 6'!K37,'Week 7'!K37,'Week 8'!K39,'Week 9'!K40,'Week 10'!K38,'Week 11'!K35,'Week 12'!K42,'Week 13'!K36,K40))</f>
        <v>29 - 17</v>
      </c>
      <c r="L43" s="73" t="str">
        <f>CONCATENATE(SUM('Week 1'!L39,'Week 2'!L39,'Week 3'!L39,'Week 4'!L39,'Week 5'!L40,'Week 6'!L36,'Week 7'!L36,'Week 8'!L38,'Week 9'!L39,'Week 10'!L37,'Week 11'!L34,'Week 12'!L41,'Week 13'!L35,L39)," - ",SUM('Week 1'!L40,'Week 2'!L40,'Week 3'!L40,'Week 4'!L40,'Week 5'!L41,'Week 6'!L37,'Week 7'!L37,'Week 8'!L39,'Week 9'!L40,'Week 10'!L38,'Week 11'!L35,'Week 12'!L42,'Week 13'!L36,L40))</f>
        <v>26 - 20</v>
      </c>
      <c r="M43" s="73" t="str">
        <f>CONCATENATE(SUM('Week 1'!M39,'Week 2'!M39,'Week 3'!M39,'Week 4'!M39,'Week 5'!M40,'Week 6'!M36,'Week 7'!M36,'Week 8'!M38,'Week 9'!M39,'Week 10'!M37,'Week 11'!M34,'Week 12'!M41,'Week 13'!M35,M39)," - ",SUM('Week 1'!M40,'Week 2'!M40,'Week 3'!M40,'Week 4'!M40,'Week 5'!M41,'Week 6'!M37,'Week 7'!M37,'Week 8'!M39,'Week 9'!M40,'Week 10'!M38,'Week 11'!M35,'Week 12'!M42,'Week 13'!M36,M40))</f>
        <v>24 - 22</v>
      </c>
      <c r="N43" s="74" t="str">
        <f>CONCATENATE(SUM('Week 1'!N39,'Week 2'!N39,'Week 3'!N39,'Week 4'!N39,'Week 5'!N40,'Week 6'!N36,'Week 7'!N36,'Week 8'!N38,'Week 9'!N39,'Week 10'!N37,'Week 11'!N34,'Week 12'!N41,'Week 13'!N35,N39)," - ",SUM('Week 1'!N40,'Week 2'!N40,'Week 3'!N40,'Week 4'!N40,'Week 5'!N41,'Week 6'!N37,'Week 7'!N37,'Week 8'!N39,'Week 9'!N40,'Week 10'!N38,'Week 11'!N35,'Week 12'!N42,'Week 13'!N36,N40))</f>
        <v>20 - 26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11</v>
      </c>
      <c r="E45" s="29">
        <v>480.0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445.0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410.0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375.0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14</v>
      </c>
      <c r="E49" s="29">
        <v>370.0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16</v>
      </c>
      <c r="E50" s="29">
        <v>365.0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6</v>
      </c>
      <c r="E51" s="29">
        <v>325.0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12</v>
      </c>
      <c r="E52" s="29">
        <v>320.0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8</v>
      </c>
      <c r="E53" s="29">
        <v>290.0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17</v>
      </c>
      <c r="E54" s="29">
        <v>290.0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280.0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275.0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325</v>
      </c>
      <c r="D63" s="40"/>
      <c r="G63" s="40"/>
      <c r="H63" s="40">
        <f t="shared" ref="H63:H74" si="74">RANK(J63,$J$63:$J$79,false)</f>
        <v>1</v>
      </c>
      <c r="I63" s="40" t="str">
        <f t="array" ref="I63:J79">SORT(B63:C79,2,false)</f>
        <v>Caleb</v>
      </c>
      <c r="J63" s="40">
        <v>480.0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275</v>
      </c>
      <c r="D64" s="40"/>
      <c r="G64" s="40"/>
      <c r="H64" s="40">
        <f t="shared" si="74"/>
        <v>2</v>
      </c>
      <c r="I64" s="40" t="s">
        <v>13</v>
      </c>
      <c r="J64" s="40">
        <v>445.0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290</v>
      </c>
      <c r="D65" s="40"/>
      <c r="G65" s="40"/>
      <c r="H65" s="40">
        <f t="shared" si="74"/>
        <v>3</v>
      </c>
      <c r="I65" s="40" t="s">
        <v>10</v>
      </c>
      <c r="J65" s="40">
        <v>410.0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375</v>
      </c>
      <c r="D66" s="40"/>
      <c r="G66" s="40"/>
      <c r="H66" s="40">
        <f t="shared" si="74"/>
        <v>4</v>
      </c>
      <c r="I66" s="40" t="s">
        <v>9</v>
      </c>
      <c r="J66" s="40">
        <v>375.0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410</v>
      </c>
      <c r="D67" s="40"/>
      <c r="G67" s="40"/>
      <c r="H67" s="40">
        <f t="shared" si="74"/>
        <v>5</v>
      </c>
      <c r="I67" s="40" t="s">
        <v>14</v>
      </c>
      <c r="J67" s="40">
        <v>370.0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480</v>
      </c>
      <c r="D68" s="40"/>
      <c r="G68" s="40"/>
      <c r="H68" s="40">
        <f t="shared" si="74"/>
        <v>6</v>
      </c>
      <c r="I68" s="40" t="s">
        <v>16</v>
      </c>
      <c r="J68" s="40">
        <v>365.0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320</v>
      </c>
      <c r="D69" s="40"/>
      <c r="G69" s="40"/>
      <c r="H69" s="40">
        <f t="shared" si="74"/>
        <v>7</v>
      </c>
      <c r="I69" s="40" t="s">
        <v>6</v>
      </c>
      <c r="J69" s="40">
        <v>325.0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445</v>
      </c>
      <c r="D70" s="40"/>
      <c r="G70" s="40"/>
      <c r="H70" s="40">
        <f t="shared" si="74"/>
        <v>8</v>
      </c>
      <c r="I70" s="40" t="s">
        <v>12</v>
      </c>
      <c r="J70" s="40">
        <v>320.0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370</v>
      </c>
      <c r="D71" s="40"/>
      <c r="G71" s="40"/>
      <c r="H71" s="40">
        <f t="shared" si="74"/>
        <v>9</v>
      </c>
      <c r="I71" s="40" t="s">
        <v>8</v>
      </c>
      <c r="J71" s="40">
        <v>290.0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280</v>
      </c>
      <c r="D72" s="40"/>
      <c r="G72" s="40"/>
      <c r="H72" s="40">
        <f t="shared" si="74"/>
        <v>9</v>
      </c>
      <c r="I72" s="40" t="s">
        <v>17</v>
      </c>
      <c r="J72" s="40">
        <v>290.0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365</v>
      </c>
      <c r="D73" s="40"/>
      <c r="G73" s="40"/>
      <c r="H73" s="40">
        <f t="shared" si="74"/>
        <v>11</v>
      </c>
      <c r="I73" s="40" t="s">
        <v>15</v>
      </c>
      <c r="J73" s="40">
        <v>280.0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290</v>
      </c>
      <c r="D74" s="40"/>
      <c r="G74" s="40"/>
      <c r="H74" s="40">
        <f t="shared" si="74"/>
        <v>12</v>
      </c>
      <c r="I74" s="40" t="s">
        <v>7</v>
      </c>
      <c r="J74" s="40">
        <v>275.0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6">
    <cfRule type="expression" dxfId="0" priority="1">
      <formula>AND($I20=$C20,$C20=0)</formula>
    </cfRule>
  </conditionalFormatting>
  <conditionalFormatting sqref="G2:K16">
    <cfRule type="expression" dxfId="7" priority="2">
      <formula>$I20=$C20</formula>
    </cfRule>
  </conditionalFormatting>
  <conditionalFormatting sqref="L2:L16">
    <cfRule type="expression" dxfId="2" priority="3">
      <formula>AND(C2&lt;&gt;"",C2&lt;&gt;L2)</formula>
    </cfRule>
  </conditionalFormatting>
  <conditionalFormatting sqref="M2:M16">
    <cfRule type="expression" dxfId="2" priority="4">
      <formula>AND(C2&lt;&gt;"",C2&lt;&gt;L2)</formula>
    </cfRule>
  </conditionalFormatting>
  <conditionalFormatting sqref="N2:N16">
    <cfRule type="expression" dxfId="2" priority="5">
      <formula>AND(C2&lt;&gt;"",C2&lt;&gt;L2)</formula>
    </cfRule>
  </conditionalFormatting>
  <conditionalFormatting sqref="O2:O16">
    <cfRule type="expression" dxfId="2" priority="6">
      <formula>AND(C2&lt;&gt;"",C2&lt;&gt;L2)</formula>
    </cfRule>
  </conditionalFormatting>
  <conditionalFormatting sqref="P2:P16">
    <cfRule type="expression" dxfId="2" priority="7">
      <formula>AND(C2&lt;&gt;"",C2&lt;&gt;L2)</formula>
    </cfRule>
  </conditionalFormatting>
  <conditionalFormatting sqref="L2:P16">
    <cfRule type="expression" dxfId="0" priority="8">
      <formula>AND($N20=$C20,$C20=0)</formula>
    </cfRule>
  </conditionalFormatting>
  <conditionalFormatting sqref="L2:P16">
    <cfRule type="expression" dxfId="7" priority="9">
      <formula>$N20=$C20</formula>
    </cfRule>
  </conditionalFormatting>
  <conditionalFormatting sqref="Q2:Q16">
    <cfRule type="expression" dxfId="2" priority="10">
      <formula>AND(C2&lt;&gt;"",C2&lt;&gt;Q2)</formula>
    </cfRule>
  </conditionalFormatting>
  <conditionalFormatting sqref="R2:R16">
    <cfRule type="expression" dxfId="2" priority="11">
      <formula>AND(C2&lt;&gt;"",C2&lt;&gt;Q2)</formula>
    </cfRule>
  </conditionalFormatting>
  <conditionalFormatting sqref="S2:S16">
    <cfRule type="expression" dxfId="2" priority="12">
      <formula>AND(C2&lt;&gt;"",C2&lt;&gt;Q2)</formula>
    </cfRule>
  </conditionalFormatting>
  <conditionalFormatting sqref="T2:T16">
    <cfRule type="expression" dxfId="2" priority="13">
      <formula>AND(C2&lt;&gt;"",C2&lt;&gt;Q2)</formula>
    </cfRule>
  </conditionalFormatting>
  <conditionalFormatting sqref="U2:U16">
    <cfRule type="expression" dxfId="2" priority="14">
      <formula>AND(C2&lt;&gt;"",C2&lt;&gt;Q2)</formula>
    </cfRule>
  </conditionalFormatting>
  <conditionalFormatting sqref="Q2:U16">
    <cfRule type="expression" dxfId="0" priority="15">
      <formula>AND($S20=$C20,$C20=0)</formula>
    </cfRule>
  </conditionalFormatting>
  <conditionalFormatting sqref="Q2:U16">
    <cfRule type="expression" dxfId="7" priority="16">
      <formula>$S20=$C20</formula>
    </cfRule>
  </conditionalFormatting>
  <conditionalFormatting sqref="V2:V16">
    <cfRule type="expression" dxfId="2" priority="17">
      <formula>AND(C2&lt;&gt;"",C2&lt;&gt;V2)</formula>
    </cfRule>
  </conditionalFormatting>
  <conditionalFormatting sqref="W2:W16">
    <cfRule type="expression" dxfId="2" priority="18">
      <formula>AND(C2&lt;&gt;"",C2&lt;&gt;V2)</formula>
    </cfRule>
  </conditionalFormatting>
  <conditionalFormatting sqref="X2:X16">
    <cfRule type="expression" dxfId="2" priority="19">
      <formula>AND(C2&lt;&gt;"",C2&lt;&gt;V2)</formula>
    </cfRule>
  </conditionalFormatting>
  <conditionalFormatting sqref="Y2:Y16">
    <cfRule type="expression" dxfId="2" priority="20">
      <formula>AND(C2&lt;&gt;"",C2&lt;&gt;V2)</formula>
    </cfRule>
  </conditionalFormatting>
  <conditionalFormatting sqref="Z2:Z16">
    <cfRule type="expression" dxfId="2" priority="21">
      <formula>AND(C2&lt;&gt;"",C2&lt;&gt;V2)</formula>
    </cfRule>
  </conditionalFormatting>
  <conditionalFormatting sqref="AA2:AA16">
    <cfRule type="expression" dxfId="2" priority="22">
      <formula>AND(C2&lt;&gt;"",C2&lt;&gt;AA2)</formula>
    </cfRule>
  </conditionalFormatting>
  <conditionalFormatting sqref="AB2:AB16">
    <cfRule type="expression" dxfId="2" priority="23">
      <formula>AND(C2&lt;&gt;"",C2&lt;&gt;AA2)</formula>
    </cfRule>
  </conditionalFormatting>
  <conditionalFormatting sqref="AC2:AC16">
    <cfRule type="expression" dxfId="2" priority="24">
      <formula>AND(C2&lt;&gt;"",C2&lt;&gt;AA2)</formula>
    </cfRule>
  </conditionalFormatting>
  <conditionalFormatting sqref="AD2:AD16">
    <cfRule type="expression" dxfId="2" priority="25">
      <formula>AND(C2&lt;&gt;"",C2&lt;&gt;AA2)</formula>
    </cfRule>
  </conditionalFormatting>
  <conditionalFormatting sqref="AE2:AE16">
    <cfRule type="expression" dxfId="2" priority="26">
      <formula>AND(C2&lt;&gt;"",C2&lt;&gt;AA2)</formula>
    </cfRule>
  </conditionalFormatting>
  <conditionalFormatting sqref="AF2:AF16">
    <cfRule type="expression" dxfId="2" priority="27">
      <formula>AND(C2&lt;&gt;"",C2&lt;&gt;AF2)</formula>
    </cfRule>
  </conditionalFormatting>
  <conditionalFormatting sqref="AG2:AG16">
    <cfRule type="expression" dxfId="2" priority="28">
      <formula>AND(C2&lt;&gt;"",C2&lt;&gt;AF2)</formula>
    </cfRule>
  </conditionalFormatting>
  <conditionalFormatting sqref="AH2:AH16">
    <cfRule type="expression" dxfId="2" priority="29">
      <formula>AND(C2&lt;&gt;"",C2&lt;&gt;AF2)</formula>
    </cfRule>
  </conditionalFormatting>
  <conditionalFormatting sqref="AI2:AI16">
    <cfRule type="expression" dxfId="2" priority="30">
      <formula>AND(C2&lt;&gt;"",C2&lt;&gt;AF2)</formula>
    </cfRule>
  </conditionalFormatting>
  <conditionalFormatting sqref="AJ2:AJ16">
    <cfRule type="expression" dxfId="2" priority="31">
      <formula>AND(C2&lt;&gt;"",C2&lt;&gt;AF2)</formula>
    </cfRule>
  </conditionalFormatting>
  <conditionalFormatting sqref="AK2:AK16">
    <cfRule type="expression" dxfId="2" priority="32">
      <formula>AND(C2&lt;&gt;"",C2&lt;&gt;AK2)</formula>
    </cfRule>
  </conditionalFormatting>
  <conditionalFormatting sqref="AL2:AL16">
    <cfRule type="expression" dxfId="2" priority="33">
      <formula>AND(C2&lt;&gt;"",C2&lt;&gt;AK2)</formula>
    </cfRule>
  </conditionalFormatting>
  <conditionalFormatting sqref="AM2:AM16">
    <cfRule type="expression" dxfId="2" priority="34">
      <formula>AND(C2&lt;&gt;"",C2&lt;&gt;AK2)</formula>
    </cfRule>
  </conditionalFormatting>
  <conditionalFormatting sqref="AN2:AN16">
    <cfRule type="expression" dxfId="2" priority="35">
      <formula>AND(C2&lt;&gt;"",C2&lt;&gt;AK2)</formula>
    </cfRule>
  </conditionalFormatting>
  <conditionalFormatting sqref="AO2:AO16">
    <cfRule type="expression" dxfId="2" priority="36">
      <formula>AND(C2&lt;&gt;"",C2&lt;&gt;AK2)</formula>
    </cfRule>
  </conditionalFormatting>
  <conditionalFormatting sqref="AP2:AP16">
    <cfRule type="expression" dxfId="2" priority="37">
      <formula>AND(C2&lt;&gt;"",C2&lt;&gt;AP2)</formula>
    </cfRule>
  </conditionalFormatting>
  <conditionalFormatting sqref="AQ2:AQ16">
    <cfRule type="expression" dxfId="2" priority="38">
      <formula>AND(C2&lt;&gt;"",C2&lt;&gt;AP2)</formula>
    </cfRule>
  </conditionalFormatting>
  <conditionalFormatting sqref="AR2:AR16">
    <cfRule type="expression" dxfId="2" priority="39">
      <formula>AND(C2&lt;&gt;"",C2&lt;&gt;AP2)</formula>
    </cfRule>
  </conditionalFormatting>
  <conditionalFormatting sqref="AS2:AS16">
    <cfRule type="expression" dxfId="2" priority="40">
      <formula>AND(C2&lt;&gt;"",C2&lt;&gt;AP2)</formula>
    </cfRule>
  </conditionalFormatting>
  <conditionalFormatting sqref="AT2:AT16">
    <cfRule type="expression" dxfId="2" priority="41">
      <formula>AND(C2&lt;&gt;"",C2&lt;&gt;AP2)</formula>
    </cfRule>
  </conditionalFormatting>
  <conditionalFormatting sqref="AU2:AU16">
    <cfRule type="expression" dxfId="2" priority="42">
      <formula>AND(C2&lt;&gt;"",C2&lt;&gt;AU2)</formula>
    </cfRule>
  </conditionalFormatting>
  <conditionalFormatting sqref="AV2:AV16">
    <cfRule type="expression" dxfId="2" priority="43">
      <formula>AND(C2&lt;&gt;"",C2&lt;&gt;AU2)</formula>
    </cfRule>
  </conditionalFormatting>
  <conditionalFormatting sqref="AW2:AW16">
    <cfRule type="expression" dxfId="2" priority="44">
      <formula>AND(C2&lt;&gt;"",C2&lt;&gt;AU2)</formula>
    </cfRule>
  </conditionalFormatting>
  <conditionalFormatting sqref="AX2:AX16">
    <cfRule type="expression" dxfId="2" priority="45">
      <formula>AND(C2&lt;&gt;"",C2&lt;&gt;AU2)</formula>
    </cfRule>
  </conditionalFormatting>
  <conditionalFormatting sqref="AY2:AY16">
    <cfRule type="expression" dxfId="2" priority="46">
      <formula>AND(C2&lt;&gt;"",C2&lt;&gt;AU2)</formula>
    </cfRule>
  </conditionalFormatting>
  <conditionalFormatting sqref="AZ2:AZ16">
    <cfRule type="expression" dxfId="2" priority="47">
      <formula>AND(C2&lt;&gt;"",C2&lt;&gt;AZ2)</formula>
    </cfRule>
  </conditionalFormatting>
  <conditionalFormatting sqref="BA2:BA16">
    <cfRule type="expression" dxfId="2" priority="48">
      <formula>AND(C2&lt;&gt;"",C2&lt;&gt;AZ2)</formula>
    </cfRule>
  </conditionalFormatting>
  <conditionalFormatting sqref="BB2:BB16">
    <cfRule type="expression" dxfId="2" priority="49">
      <formula>AND(C2&lt;&gt;"",C2&lt;&gt;AZ2)</formula>
    </cfRule>
  </conditionalFormatting>
  <conditionalFormatting sqref="BC2:BC16">
    <cfRule type="expression" dxfId="2" priority="50">
      <formula>AND(C2&lt;&gt;"",C2&lt;&gt;AZ2)</formula>
    </cfRule>
  </conditionalFormatting>
  <conditionalFormatting sqref="BD2:BD16">
    <cfRule type="expression" dxfId="2" priority="51">
      <formula>AND(C2&lt;&gt;"",C2&lt;&gt;AZ2)</formula>
    </cfRule>
  </conditionalFormatting>
  <conditionalFormatting sqref="BE2:BE16">
    <cfRule type="expression" dxfId="2" priority="52">
      <formula>AND(C2&lt;&gt;"",C2&lt;&gt;BE2)</formula>
    </cfRule>
  </conditionalFormatting>
  <conditionalFormatting sqref="BF2:BF16">
    <cfRule type="expression" dxfId="2" priority="53">
      <formula>AND(C2&lt;&gt;"",C2&lt;&gt;BE2)</formula>
    </cfRule>
  </conditionalFormatting>
  <conditionalFormatting sqref="BG2:BG16">
    <cfRule type="expression" dxfId="2" priority="54">
      <formula>AND(C2&lt;&gt;"",C2&lt;&gt;BE2)</formula>
    </cfRule>
  </conditionalFormatting>
  <conditionalFormatting sqref="BH2:BH16">
    <cfRule type="expression" dxfId="2" priority="55">
      <formula>AND(C2&lt;&gt;"",C2&lt;&gt;BE2)</formula>
    </cfRule>
  </conditionalFormatting>
  <conditionalFormatting sqref="BI2:BI16">
    <cfRule type="expression" dxfId="2" priority="56">
      <formula>AND(C2&lt;&gt;"",C2&lt;&gt;BE2)</formula>
    </cfRule>
  </conditionalFormatting>
  <conditionalFormatting sqref="BJ2:BJ16">
    <cfRule type="expression" dxfId="2" priority="57">
      <formula>AND(C2&lt;&gt;"",C2&lt;&gt;BJ2)</formula>
    </cfRule>
  </conditionalFormatting>
  <conditionalFormatting sqref="BK2:BK16">
    <cfRule type="expression" dxfId="2" priority="58">
      <formula>AND(C2&lt;&gt;"",C2&lt;&gt;BJ2)</formula>
    </cfRule>
  </conditionalFormatting>
  <conditionalFormatting sqref="BL2:BL16">
    <cfRule type="expression" dxfId="2" priority="59">
      <formula>AND(C2&lt;&gt;"",C2&lt;&gt;BJ2)</formula>
    </cfRule>
  </conditionalFormatting>
  <conditionalFormatting sqref="BM2:BM16">
    <cfRule type="expression" dxfId="2" priority="60">
      <formula>AND(C2&lt;&gt;"",C2&lt;&gt;BJ2)</formula>
    </cfRule>
  </conditionalFormatting>
  <conditionalFormatting sqref="BN2:BN16">
    <cfRule type="expression" dxfId="2" priority="61">
      <formula>AND(C2&lt;&gt;"",C2&lt;&gt;BJ2)</formula>
    </cfRule>
  </conditionalFormatting>
  <conditionalFormatting sqref="G2:G16">
    <cfRule type="expression" dxfId="3" priority="62">
      <formula>G2=C2</formula>
    </cfRule>
  </conditionalFormatting>
  <conditionalFormatting sqref="H2:H16">
    <cfRule type="expression" dxfId="3" priority="63">
      <formula>G2=C2</formula>
    </cfRule>
  </conditionalFormatting>
  <conditionalFormatting sqref="I2:I16">
    <cfRule type="expression" dxfId="3" priority="64">
      <formula>G2=C2</formula>
    </cfRule>
  </conditionalFormatting>
  <conditionalFormatting sqref="J2:J16">
    <cfRule type="expression" dxfId="3" priority="65">
      <formula>G2=C2</formula>
    </cfRule>
  </conditionalFormatting>
  <conditionalFormatting sqref="K2:K16">
    <cfRule type="expression" dxfId="3" priority="66">
      <formula>G2=C2</formula>
    </cfRule>
  </conditionalFormatting>
  <conditionalFormatting sqref="L2:L16">
    <cfRule type="expression" dxfId="3" priority="67">
      <formula>L2=C2</formula>
    </cfRule>
  </conditionalFormatting>
  <conditionalFormatting sqref="M2:M16">
    <cfRule type="expression" dxfId="3" priority="68">
      <formula>L2=C2</formula>
    </cfRule>
  </conditionalFormatting>
  <conditionalFormatting sqref="N2:N16">
    <cfRule type="expression" dxfId="3" priority="69">
      <formula>L2=C2</formula>
    </cfRule>
  </conditionalFormatting>
  <conditionalFormatting sqref="O2:O16">
    <cfRule type="expression" dxfId="3" priority="70">
      <formula>L2=C2</formula>
    </cfRule>
  </conditionalFormatting>
  <conditionalFormatting sqref="P2:P16">
    <cfRule type="expression" dxfId="3" priority="71">
      <formula>L2=C2</formula>
    </cfRule>
  </conditionalFormatting>
  <conditionalFormatting sqref="Q2:Q16">
    <cfRule type="expression" dxfId="3" priority="72">
      <formula>Q2=C2</formula>
    </cfRule>
  </conditionalFormatting>
  <conditionalFormatting sqref="R2:R16">
    <cfRule type="expression" dxfId="3" priority="73">
      <formula>Q2=C2</formula>
    </cfRule>
  </conditionalFormatting>
  <conditionalFormatting sqref="S2:S16">
    <cfRule type="expression" dxfId="3" priority="74">
      <formula>Q2=C2</formula>
    </cfRule>
  </conditionalFormatting>
  <conditionalFormatting sqref="T2:T16">
    <cfRule type="expression" dxfId="3" priority="75">
      <formula>Q2=C2</formula>
    </cfRule>
  </conditionalFormatting>
  <conditionalFormatting sqref="U2:U16">
    <cfRule type="expression" dxfId="3" priority="76">
      <formula>Q2=C2</formula>
    </cfRule>
  </conditionalFormatting>
  <conditionalFormatting sqref="V2:Z16">
    <cfRule type="expression" dxfId="0" priority="77">
      <formula>AND($X20=$C20,$C20=0)</formula>
    </cfRule>
  </conditionalFormatting>
  <conditionalFormatting sqref="V2:Z16">
    <cfRule type="expression" dxfId="7" priority="78">
      <formula>$X20=$C20</formula>
    </cfRule>
  </conditionalFormatting>
  <conditionalFormatting sqref="V2:Z16">
    <cfRule type="expression" dxfId="3" priority="79">
      <formula>$V2=$C2</formula>
    </cfRule>
  </conditionalFormatting>
  <conditionalFormatting sqref="AA2:AE16">
    <cfRule type="expression" dxfId="0" priority="80">
      <formula>AND($AC20=$C20,$C20=0)</formula>
    </cfRule>
  </conditionalFormatting>
  <conditionalFormatting sqref="AA2:AE16">
    <cfRule type="expression" dxfId="7" priority="81">
      <formula>$AC20=$C20</formula>
    </cfRule>
  </conditionalFormatting>
  <conditionalFormatting sqref="AA2:AE16">
    <cfRule type="expression" dxfId="3" priority="82">
      <formula>$AA2=$C2</formula>
    </cfRule>
  </conditionalFormatting>
  <conditionalFormatting sqref="AF2:AJ16">
    <cfRule type="expression" dxfId="0" priority="83">
      <formula>AND($AH20=$C20,$C20=0)</formula>
    </cfRule>
  </conditionalFormatting>
  <conditionalFormatting sqref="AF2:AJ16">
    <cfRule type="expression" dxfId="7" priority="84">
      <formula>$AH20=$C20</formula>
    </cfRule>
  </conditionalFormatting>
  <conditionalFormatting sqref="AF2:AJ16">
    <cfRule type="expression" dxfId="3" priority="85">
      <formula>$AF2=$C2</formula>
    </cfRule>
  </conditionalFormatting>
  <conditionalFormatting sqref="AK2:AO16">
    <cfRule type="expression" dxfId="0" priority="86">
      <formula>AND($AM20=$C20,$C20=0)</formula>
    </cfRule>
  </conditionalFormatting>
  <conditionalFormatting sqref="AK2:AO16">
    <cfRule type="expression" dxfId="7" priority="87">
      <formula>$AM20=$C20</formula>
    </cfRule>
  </conditionalFormatting>
  <conditionalFormatting sqref="AK2:AO16">
    <cfRule type="expression" dxfId="3" priority="88">
      <formula>$AK2=$C2</formula>
    </cfRule>
  </conditionalFormatting>
  <conditionalFormatting sqref="AP2:AT16">
    <cfRule type="expression" dxfId="0" priority="89">
      <formula>AND($AR20=$C20,$C20=0)</formula>
    </cfRule>
  </conditionalFormatting>
  <conditionalFormatting sqref="AP2:AT16">
    <cfRule type="expression" dxfId="7" priority="90">
      <formula>$AR20=$C20</formula>
    </cfRule>
  </conditionalFormatting>
  <conditionalFormatting sqref="AP2:AT16">
    <cfRule type="expression" dxfId="3" priority="91">
      <formula>$AP2=$C2</formula>
    </cfRule>
  </conditionalFormatting>
  <conditionalFormatting sqref="AU2:AY16">
    <cfRule type="expression" dxfId="0" priority="92">
      <formula>AND($AW20=$C20,$C20=0)</formula>
    </cfRule>
  </conditionalFormatting>
  <conditionalFormatting sqref="AU2:AY16">
    <cfRule type="expression" dxfId="7" priority="93">
      <formula>$AW20=$C20</formula>
    </cfRule>
  </conditionalFormatting>
  <conditionalFormatting sqref="AU2:AY16">
    <cfRule type="expression" dxfId="3" priority="94">
      <formula>$AU2=$C2</formula>
    </cfRule>
  </conditionalFormatting>
  <conditionalFormatting sqref="AZ2:BD16">
    <cfRule type="expression" dxfId="0" priority="95">
      <formula>AND($BB20=$C20,$C20=0)</formula>
    </cfRule>
  </conditionalFormatting>
  <conditionalFormatting sqref="AZ2:BD16">
    <cfRule type="expression" dxfId="7" priority="96">
      <formula>$BB20=$C20</formula>
    </cfRule>
  </conditionalFormatting>
  <conditionalFormatting sqref="AZ2:BD16">
    <cfRule type="expression" dxfId="3" priority="97">
      <formula>$AZ2=$C2</formula>
    </cfRule>
  </conditionalFormatting>
  <conditionalFormatting sqref="BE2:BI16">
    <cfRule type="expression" dxfId="0" priority="98">
      <formula>AND($BG20=$C20,$C20=0)</formula>
    </cfRule>
  </conditionalFormatting>
  <conditionalFormatting sqref="BE2:BI16">
    <cfRule type="expression" dxfId="7" priority="99">
      <formula>$BG20=$C20</formula>
    </cfRule>
  </conditionalFormatting>
  <conditionalFormatting sqref="BE2:BI16">
    <cfRule type="expression" dxfId="3" priority="100">
      <formula>$BE2=$C2</formula>
    </cfRule>
  </conditionalFormatting>
  <conditionalFormatting sqref="BJ2:BN16">
    <cfRule type="expression" dxfId="0" priority="101">
      <formula>AND($BL20=$C20,$C20=0)</formula>
    </cfRule>
  </conditionalFormatting>
  <conditionalFormatting sqref="BJ2:BN16">
    <cfRule type="expression" dxfId="7" priority="102">
      <formula>$BL20=$C20</formula>
    </cfRule>
  </conditionalFormatting>
  <conditionalFormatting sqref="BJ2:BN16">
    <cfRule type="expression" dxfId="3" priority="103">
      <formula>$BJ2=$C2</formula>
    </cfRule>
  </conditionalFormatting>
  <conditionalFormatting sqref="G2:K16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333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334</v>
      </c>
      <c r="B2" s="17" t="s">
        <v>335</v>
      </c>
      <c r="C2" s="18" t="str">
        <f>IFERROR(__xludf.DUMMYFUNCTION("IMPORTRANGE(""https://docs.google.com/spreadsheets/d/1v9a6MxzpyXdVbef97sptWrOJUpuAu6ldKC6wbegqpyg/edit?gid=1454506722#gid=1454506722"",""Week 15!C3:F18"")"),"")</f>
        <v/>
      </c>
      <c r="D2" s="11" t="str">
        <f>IFERROR(__xludf.DUMMYFUNCTION("""COMPUTED_VALUE"""),"")</f>
        <v/>
      </c>
      <c r="E2" s="19"/>
      <c r="F2" s="20"/>
      <c r="G2" s="19" t="s">
        <v>50</v>
      </c>
      <c r="H2" s="11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24.0</v>
      </c>
      <c r="J2" s="19">
        <v>27.0</v>
      </c>
      <c r="K2" s="20" t="b">
        <v>0</v>
      </c>
      <c r="L2" s="24" t="s">
        <v>40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21.0</v>
      </c>
      <c r="O2" s="24">
        <v>17.0</v>
      </c>
      <c r="P2" s="24" t="b">
        <v>0</v>
      </c>
      <c r="Q2" s="27" t="s">
        <v>40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31.0</v>
      </c>
      <c r="T2" s="19">
        <v>24.0</v>
      </c>
      <c r="U2" s="20" t="b">
        <v>0</v>
      </c>
      <c r="V2" s="19" t="s">
        <v>50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21.0</v>
      </c>
      <c r="Y2" s="19">
        <v>24.0</v>
      </c>
      <c r="Z2" s="20" t="b">
        <v>0</v>
      </c>
      <c r="AA2" s="27" t="s">
        <v>40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24.0</v>
      </c>
      <c r="AD2" s="19">
        <v>17.0</v>
      </c>
      <c r="AE2" s="19" t="b">
        <v>0</v>
      </c>
      <c r="AF2" s="27" t="s">
        <v>40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21.0</v>
      </c>
      <c r="AI2" s="19">
        <v>17.0</v>
      </c>
      <c r="AJ2" s="20" t="b">
        <v>0</v>
      </c>
      <c r="AK2" s="19" t="s">
        <v>50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24.0</v>
      </c>
      <c r="AN2" s="19">
        <v>27.0</v>
      </c>
      <c r="AO2" s="20" t="b">
        <v>0</v>
      </c>
      <c r="AP2" s="27" t="s">
        <v>40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24.0</v>
      </c>
      <c r="AS2" s="19">
        <v>20.0</v>
      </c>
      <c r="AT2" s="20" t="b">
        <v>0</v>
      </c>
      <c r="AU2" s="27" t="s">
        <v>40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20.0</v>
      </c>
      <c r="AX2" s="19">
        <v>17.0</v>
      </c>
      <c r="AY2" s="20" t="b">
        <v>0</v>
      </c>
      <c r="AZ2" s="27" t="s">
        <v>50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50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21.0</v>
      </c>
      <c r="BH2" s="19">
        <v>28.0</v>
      </c>
      <c r="BI2" s="20" t="b">
        <v>0</v>
      </c>
      <c r="BJ2" s="27" t="s">
        <v>40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10.0</v>
      </c>
      <c r="BM2" s="19">
        <v>7.0</v>
      </c>
      <c r="BN2" s="20" t="b">
        <v>0</v>
      </c>
      <c r="BO2" s="19"/>
      <c r="BP2" s="19"/>
      <c r="BQ2" s="19"/>
    </row>
    <row r="3">
      <c r="A3" s="16" t="s">
        <v>341</v>
      </c>
      <c r="B3" s="17" t="s">
        <v>342</v>
      </c>
      <c r="C3" s="18"/>
      <c r="D3" s="11" t="str">
        <f>IFERROR(__xludf.DUMMYFUNCTION("""COMPUTED_VALUE"""),"")</f>
        <v/>
      </c>
      <c r="E3" s="17"/>
      <c r="F3" s="31"/>
      <c r="G3" s="19" t="s">
        <v>54</v>
      </c>
      <c r="H3" s="11" t="str">
        <f t="shared" si="1"/>
        <v/>
      </c>
      <c r="I3" s="19">
        <v>24.0</v>
      </c>
      <c r="J3" s="19">
        <v>27.0</v>
      </c>
      <c r="K3" s="20" t="b">
        <v>0</v>
      </c>
      <c r="L3" s="19" t="s">
        <v>24</v>
      </c>
      <c r="M3" s="11" t="str">
        <f t="shared" si="2"/>
        <v/>
      </c>
      <c r="N3" s="19">
        <v>10.0</v>
      </c>
      <c r="O3" s="19">
        <v>7.0</v>
      </c>
      <c r="P3" s="19" t="b">
        <v>0</v>
      </c>
      <c r="Q3" s="27" t="s">
        <v>24</v>
      </c>
      <c r="R3" s="11" t="str">
        <f t="shared" si="3"/>
        <v/>
      </c>
      <c r="S3" s="19">
        <v>24.0</v>
      </c>
      <c r="T3" s="19">
        <v>21.0</v>
      </c>
      <c r="U3" s="20" t="b">
        <v>0</v>
      </c>
      <c r="V3" s="19" t="s">
        <v>24</v>
      </c>
      <c r="W3" s="11" t="str">
        <f t="shared" si="4"/>
        <v/>
      </c>
      <c r="X3" s="19">
        <v>27.0</v>
      </c>
      <c r="Y3" s="19">
        <v>24.0</v>
      </c>
      <c r="Z3" s="20" t="b">
        <v>0</v>
      </c>
      <c r="AA3" s="27" t="s">
        <v>24</v>
      </c>
      <c r="AB3" s="11" t="str">
        <f t="shared" si="5"/>
        <v/>
      </c>
      <c r="AC3" s="19">
        <v>24.0</v>
      </c>
      <c r="AD3" s="19">
        <v>17.0</v>
      </c>
      <c r="AE3" s="19" t="b">
        <v>0</v>
      </c>
      <c r="AF3" s="27" t="s">
        <v>54</v>
      </c>
      <c r="AG3" s="11" t="str">
        <f t="shared" si="6"/>
        <v/>
      </c>
      <c r="AH3" s="19">
        <v>21.0</v>
      </c>
      <c r="AI3" s="19">
        <v>24.0</v>
      </c>
      <c r="AJ3" s="20" t="b">
        <v>0</v>
      </c>
      <c r="AK3" s="19" t="s">
        <v>54</v>
      </c>
      <c r="AL3" s="11" t="str">
        <f t="shared" si="7"/>
        <v/>
      </c>
      <c r="AM3" s="19">
        <v>24.0</v>
      </c>
      <c r="AN3" s="19">
        <v>31.0</v>
      </c>
      <c r="AO3" s="20" t="b">
        <v>0</v>
      </c>
      <c r="AP3" s="27" t="s">
        <v>54</v>
      </c>
      <c r="AQ3" s="11" t="str">
        <f t="shared" si="8"/>
        <v/>
      </c>
      <c r="AR3" s="19">
        <v>21.0</v>
      </c>
      <c r="AS3" s="19">
        <v>27.0</v>
      </c>
      <c r="AT3" s="20" t="b">
        <v>0</v>
      </c>
      <c r="AU3" s="27" t="s">
        <v>54</v>
      </c>
      <c r="AV3" s="11" t="str">
        <f t="shared" si="9"/>
        <v/>
      </c>
      <c r="AW3" s="19">
        <v>21.0</v>
      </c>
      <c r="AX3" s="19">
        <v>28.0</v>
      </c>
      <c r="AY3" s="20" t="b">
        <v>0</v>
      </c>
      <c r="AZ3" s="27" t="s">
        <v>54</v>
      </c>
      <c r="BA3" s="11" t="str">
        <f t="shared" si="10"/>
        <v/>
      </c>
      <c r="BB3" s="19">
        <v>20.0</v>
      </c>
      <c r="BC3" s="19">
        <v>23.0</v>
      </c>
      <c r="BD3" s="20" t="b">
        <v>0</v>
      </c>
      <c r="BE3" s="27" t="s">
        <v>54</v>
      </c>
      <c r="BF3" s="11" t="str">
        <f t="shared" si="11"/>
        <v/>
      </c>
      <c r="BG3" s="19">
        <v>17.0</v>
      </c>
      <c r="BH3" s="19">
        <v>20.0</v>
      </c>
      <c r="BI3" s="20" t="b">
        <v>0</v>
      </c>
      <c r="BJ3" s="27" t="s">
        <v>24</v>
      </c>
      <c r="BK3" s="11" t="str">
        <f t="shared" si="12"/>
        <v/>
      </c>
      <c r="BL3" s="19">
        <v>24.0</v>
      </c>
      <c r="BM3" s="19">
        <v>21.0</v>
      </c>
      <c r="BN3" s="20" t="b">
        <v>0</v>
      </c>
      <c r="BO3" s="17"/>
      <c r="BP3" s="17"/>
      <c r="BQ3" s="17"/>
    </row>
    <row r="4">
      <c r="A4" s="16" t="s">
        <v>346</v>
      </c>
      <c r="B4" s="17" t="s">
        <v>347</v>
      </c>
      <c r="C4" s="18"/>
      <c r="D4" s="11" t="str">
        <f>IFERROR(__xludf.DUMMYFUNCTION("""COMPUTED_VALUE"""),"")</f>
        <v/>
      </c>
      <c r="E4" s="19"/>
      <c r="F4" s="20"/>
      <c r="G4" s="19" t="s">
        <v>23</v>
      </c>
      <c r="H4" s="11" t="str">
        <f t="shared" si="1"/>
        <v/>
      </c>
      <c r="I4" s="19">
        <v>24.0</v>
      </c>
      <c r="J4" s="19">
        <v>27.0</v>
      </c>
      <c r="K4" s="20" t="b">
        <v>0</v>
      </c>
      <c r="L4" s="19" t="s">
        <v>44</v>
      </c>
      <c r="M4" s="11" t="str">
        <f t="shared" si="2"/>
        <v/>
      </c>
      <c r="N4" s="19">
        <v>24.0</v>
      </c>
      <c r="O4" s="19">
        <v>21.0</v>
      </c>
      <c r="P4" s="19" t="b">
        <v>0</v>
      </c>
      <c r="Q4" s="27" t="s">
        <v>23</v>
      </c>
      <c r="R4" s="11" t="str">
        <f t="shared" si="3"/>
        <v/>
      </c>
      <c r="S4" s="19">
        <v>10.0</v>
      </c>
      <c r="T4" s="19">
        <v>14.0</v>
      </c>
      <c r="U4" s="20" t="b">
        <v>0</v>
      </c>
      <c r="V4" s="19" t="s">
        <v>23</v>
      </c>
      <c r="W4" s="11" t="str">
        <f t="shared" si="4"/>
        <v/>
      </c>
      <c r="X4" s="19">
        <v>17.0</v>
      </c>
      <c r="Y4" s="19">
        <v>24.0</v>
      </c>
      <c r="Z4" s="20" t="b">
        <v>0</v>
      </c>
      <c r="AA4" s="27" t="s">
        <v>23</v>
      </c>
      <c r="AB4" s="11" t="str">
        <f t="shared" si="5"/>
        <v/>
      </c>
      <c r="AC4" s="19">
        <v>17.0</v>
      </c>
      <c r="AD4" s="19">
        <v>24.0</v>
      </c>
      <c r="AE4" s="19" t="b">
        <v>0</v>
      </c>
      <c r="AF4" s="27" t="s">
        <v>23</v>
      </c>
      <c r="AG4" s="11" t="str">
        <f t="shared" si="6"/>
        <v/>
      </c>
      <c r="AH4" s="19">
        <v>7.0</v>
      </c>
      <c r="AI4" s="19">
        <v>10.0</v>
      </c>
      <c r="AJ4" s="20" t="b">
        <v>0</v>
      </c>
      <c r="AK4" s="19" t="s">
        <v>23</v>
      </c>
      <c r="AL4" s="11" t="str">
        <f t="shared" si="7"/>
        <v/>
      </c>
      <c r="AM4" s="19">
        <v>24.0</v>
      </c>
      <c r="AN4" s="19">
        <v>31.0</v>
      </c>
      <c r="AO4" s="20" t="b">
        <v>0</v>
      </c>
      <c r="AP4" s="27" t="s">
        <v>23</v>
      </c>
      <c r="AQ4" s="11" t="str">
        <f t="shared" si="8"/>
        <v/>
      </c>
      <c r="AR4" s="19">
        <v>17.0</v>
      </c>
      <c r="AS4" s="19">
        <v>24.0</v>
      </c>
      <c r="AT4" s="20" t="b">
        <v>1</v>
      </c>
      <c r="AU4" s="27" t="s">
        <v>44</v>
      </c>
      <c r="AV4" s="11" t="str">
        <f t="shared" si="9"/>
        <v/>
      </c>
      <c r="AW4" s="19">
        <v>14.0</v>
      </c>
      <c r="AX4" s="19">
        <v>10.0</v>
      </c>
      <c r="AY4" s="20" t="b">
        <v>0</v>
      </c>
      <c r="AZ4" s="27" t="s">
        <v>23</v>
      </c>
      <c r="BA4" s="11" t="str">
        <f t="shared" si="10"/>
        <v/>
      </c>
      <c r="BB4" s="19">
        <v>20.0</v>
      </c>
      <c r="BC4" s="19">
        <v>23.0</v>
      </c>
      <c r="BD4" s="20" t="b">
        <v>1</v>
      </c>
      <c r="BE4" s="27" t="s">
        <v>23</v>
      </c>
      <c r="BF4" s="11" t="str">
        <f t="shared" si="11"/>
        <v/>
      </c>
      <c r="BG4" s="19">
        <v>24.0</v>
      </c>
      <c r="BH4" s="19">
        <v>27.0</v>
      </c>
      <c r="BI4" s="20" t="b">
        <v>0</v>
      </c>
      <c r="BJ4" s="27" t="s">
        <v>44</v>
      </c>
      <c r="BK4" s="11" t="str">
        <f t="shared" si="12"/>
        <v/>
      </c>
      <c r="BL4" s="19">
        <v>21.0</v>
      </c>
      <c r="BM4" s="19">
        <v>17.0</v>
      </c>
      <c r="BN4" s="20" t="b">
        <v>0</v>
      </c>
      <c r="BO4" s="17"/>
      <c r="BP4" s="17"/>
      <c r="BQ4" s="17"/>
    </row>
    <row r="5">
      <c r="A5" s="16" t="s">
        <v>352</v>
      </c>
      <c r="B5" s="17" t="s">
        <v>353</v>
      </c>
      <c r="C5" s="18"/>
      <c r="D5" s="11" t="str">
        <f>IFERROR(__xludf.DUMMYFUNCTION("""COMPUTED_VALUE"""),"")</f>
        <v/>
      </c>
      <c r="E5" s="19"/>
      <c r="F5" s="20"/>
      <c r="G5" s="19" t="s">
        <v>41</v>
      </c>
      <c r="H5" s="11" t="str">
        <f t="shared" si="1"/>
        <v/>
      </c>
      <c r="I5" s="19">
        <v>21.0</v>
      </c>
      <c r="J5" s="19">
        <v>28.0</v>
      </c>
      <c r="K5" s="20" t="b">
        <v>0</v>
      </c>
      <c r="L5" s="19" t="s">
        <v>46</v>
      </c>
      <c r="M5" s="11" t="str">
        <f t="shared" si="2"/>
        <v/>
      </c>
      <c r="N5" s="19">
        <v>27.0</v>
      </c>
      <c r="O5" s="19">
        <v>24.0</v>
      </c>
      <c r="P5" s="19" t="b">
        <v>1</v>
      </c>
      <c r="Q5" s="27" t="s">
        <v>46</v>
      </c>
      <c r="R5" s="11" t="str">
        <f t="shared" si="3"/>
        <v/>
      </c>
      <c r="S5" s="19">
        <v>17.0</v>
      </c>
      <c r="T5" s="19">
        <v>14.0</v>
      </c>
      <c r="U5" s="20" t="b">
        <v>0</v>
      </c>
      <c r="V5" s="19" t="s">
        <v>46</v>
      </c>
      <c r="W5" s="11" t="str">
        <f t="shared" si="4"/>
        <v/>
      </c>
      <c r="X5" s="19">
        <v>20.0</v>
      </c>
      <c r="Y5" s="19">
        <v>13.0</v>
      </c>
      <c r="Z5" s="20" t="b">
        <v>0</v>
      </c>
      <c r="AA5" s="27" t="s">
        <v>46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46</v>
      </c>
      <c r="AG5" s="11" t="str">
        <f t="shared" si="6"/>
        <v/>
      </c>
      <c r="AH5" s="19">
        <v>31.0</v>
      </c>
      <c r="AI5" s="19">
        <v>27.0</v>
      </c>
      <c r="AJ5" s="20" t="b">
        <v>0</v>
      </c>
      <c r="AK5" s="19" t="s">
        <v>41</v>
      </c>
      <c r="AL5" s="11" t="str">
        <f t="shared" si="7"/>
        <v/>
      </c>
      <c r="AM5" s="19">
        <v>24.0</v>
      </c>
      <c r="AN5" s="19">
        <v>27.0</v>
      </c>
      <c r="AO5" s="20" t="b">
        <v>0</v>
      </c>
      <c r="AP5" s="27" t="s">
        <v>46</v>
      </c>
      <c r="AQ5" s="11" t="str">
        <f t="shared" si="8"/>
        <v/>
      </c>
      <c r="AR5" s="19">
        <v>27.0</v>
      </c>
      <c r="AS5" s="19">
        <v>20.0</v>
      </c>
      <c r="AT5" s="20" t="b">
        <v>0</v>
      </c>
      <c r="AU5" s="27" t="s">
        <v>46</v>
      </c>
      <c r="AV5" s="11" t="str">
        <f t="shared" si="9"/>
        <v/>
      </c>
      <c r="AW5" s="19">
        <v>20.0</v>
      </c>
      <c r="AX5" s="19">
        <v>17.0</v>
      </c>
      <c r="AY5" s="20" t="b">
        <v>0</v>
      </c>
      <c r="AZ5" s="27" t="s">
        <v>46</v>
      </c>
      <c r="BA5" s="11" t="str">
        <f t="shared" si="10"/>
        <v/>
      </c>
      <c r="BB5" s="19">
        <v>23.0</v>
      </c>
      <c r="BC5" s="19">
        <v>20.0</v>
      </c>
      <c r="BD5" s="20" t="b">
        <v>0</v>
      </c>
      <c r="BE5" s="27" t="s">
        <v>46</v>
      </c>
      <c r="BF5" s="11" t="str">
        <f t="shared" si="11"/>
        <v/>
      </c>
      <c r="BG5" s="19">
        <v>28.0</v>
      </c>
      <c r="BH5" s="19">
        <v>21.0</v>
      </c>
      <c r="BI5" s="20" t="b">
        <v>0</v>
      </c>
      <c r="BJ5" s="27" t="s">
        <v>46</v>
      </c>
      <c r="BK5" s="11" t="str">
        <f t="shared" si="12"/>
        <v/>
      </c>
      <c r="BL5" s="19">
        <v>27.0</v>
      </c>
      <c r="BM5" s="19">
        <v>24.0</v>
      </c>
      <c r="BN5" s="20" t="b">
        <v>0</v>
      </c>
      <c r="BO5" s="17"/>
      <c r="BP5" s="17"/>
      <c r="BQ5" s="17"/>
    </row>
    <row r="6">
      <c r="A6" s="16" t="s">
        <v>352</v>
      </c>
      <c r="B6" s="30" t="s">
        <v>357</v>
      </c>
      <c r="C6" s="18"/>
      <c r="D6" s="11" t="str">
        <f>IFERROR(__xludf.DUMMYFUNCTION("""COMPUTED_VALUE"""),"")</f>
        <v/>
      </c>
      <c r="E6" s="19"/>
      <c r="F6" s="20"/>
      <c r="G6" s="19" t="s">
        <v>48</v>
      </c>
      <c r="H6" s="11" t="str">
        <f t="shared" si="1"/>
        <v/>
      </c>
      <c r="I6" s="19">
        <v>14.0</v>
      </c>
      <c r="J6" s="19">
        <v>20.0</v>
      </c>
      <c r="K6" s="20" t="b">
        <v>0</v>
      </c>
      <c r="L6" s="19" t="s">
        <v>48</v>
      </c>
      <c r="M6" s="11" t="str">
        <f t="shared" si="2"/>
        <v/>
      </c>
      <c r="N6" s="19">
        <v>20.0</v>
      </c>
      <c r="O6" s="19">
        <v>23.0</v>
      </c>
      <c r="P6" s="19" t="b">
        <v>0</v>
      </c>
      <c r="Q6" s="27" t="s">
        <v>48</v>
      </c>
      <c r="R6" s="11" t="str">
        <f t="shared" si="3"/>
        <v/>
      </c>
      <c r="S6" s="19">
        <v>24.0</v>
      </c>
      <c r="T6" s="19">
        <v>27.0</v>
      </c>
      <c r="U6" s="20" t="b">
        <v>0</v>
      </c>
      <c r="V6" s="19" t="s">
        <v>48</v>
      </c>
      <c r="W6" s="11" t="str">
        <f t="shared" si="4"/>
        <v/>
      </c>
      <c r="X6" s="19">
        <v>10.0</v>
      </c>
      <c r="Y6" s="19">
        <v>14.0</v>
      </c>
      <c r="Z6" s="20" t="b">
        <v>0</v>
      </c>
      <c r="AA6" s="27" t="s">
        <v>48</v>
      </c>
      <c r="AB6" s="11" t="str">
        <f t="shared" si="5"/>
        <v/>
      </c>
      <c r="AC6" s="19">
        <v>17.0</v>
      </c>
      <c r="AD6" s="19">
        <v>24.0</v>
      </c>
      <c r="AE6" s="19" t="b">
        <v>0</v>
      </c>
      <c r="AF6" s="27" t="s">
        <v>126</v>
      </c>
      <c r="AG6" s="11" t="str">
        <f t="shared" si="6"/>
        <v/>
      </c>
      <c r="AH6" s="19">
        <v>27.0</v>
      </c>
      <c r="AI6" s="19">
        <v>24.0</v>
      </c>
      <c r="AJ6" s="20" t="b">
        <v>0</v>
      </c>
      <c r="AK6" s="19" t="s">
        <v>48</v>
      </c>
      <c r="AL6" s="11" t="str">
        <f t="shared" si="7"/>
        <v/>
      </c>
      <c r="AM6" s="19">
        <v>7.0</v>
      </c>
      <c r="AN6" s="19">
        <v>10.0</v>
      </c>
      <c r="AO6" s="20" t="b">
        <v>0</v>
      </c>
      <c r="AP6" s="27" t="s">
        <v>48</v>
      </c>
      <c r="AQ6" s="11" t="str">
        <f t="shared" si="8"/>
        <v/>
      </c>
      <c r="AR6" s="19">
        <v>17.0</v>
      </c>
      <c r="AS6" s="19">
        <v>23.0</v>
      </c>
      <c r="AT6" s="20" t="b">
        <v>0</v>
      </c>
      <c r="AU6" s="27" t="s">
        <v>48</v>
      </c>
      <c r="AV6" s="11" t="str">
        <f t="shared" si="9"/>
        <v/>
      </c>
      <c r="AW6" s="19">
        <v>21.0</v>
      </c>
      <c r="AX6" s="19">
        <v>28.0</v>
      </c>
      <c r="AY6" s="20" t="b">
        <v>0</v>
      </c>
      <c r="AZ6" s="27" t="s">
        <v>48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126</v>
      </c>
      <c r="BF6" s="11" t="str">
        <f t="shared" si="11"/>
        <v/>
      </c>
      <c r="BG6" s="19">
        <v>10.0</v>
      </c>
      <c r="BH6" s="19">
        <v>7.0</v>
      </c>
      <c r="BI6" s="20" t="b">
        <v>0</v>
      </c>
      <c r="BJ6" s="27" t="s">
        <v>126</v>
      </c>
      <c r="BK6" s="11" t="str">
        <f t="shared" si="12"/>
        <v/>
      </c>
      <c r="BL6" s="19">
        <v>17.0</v>
      </c>
      <c r="BM6" s="19">
        <v>14.0</v>
      </c>
      <c r="BN6" s="20" t="b">
        <v>0</v>
      </c>
      <c r="BO6" s="17"/>
      <c r="BP6" s="17"/>
      <c r="BQ6" s="17"/>
    </row>
    <row r="7">
      <c r="A7" s="16" t="s">
        <v>352</v>
      </c>
      <c r="B7" s="30" t="s">
        <v>360</v>
      </c>
      <c r="C7" s="18"/>
      <c r="D7" s="11" t="str">
        <f>IFERROR(__xludf.DUMMYFUNCTION("""COMPUTED_VALUE"""),"")</f>
        <v/>
      </c>
      <c r="E7" s="19"/>
      <c r="F7" s="20"/>
      <c r="G7" s="19" t="s">
        <v>71</v>
      </c>
      <c r="H7" s="11" t="str">
        <f t="shared" si="1"/>
        <v/>
      </c>
      <c r="I7" s="19">
        <v>21.0</v>
      </c>
      <c r="J7" s="19">
        <v>17.0</v>
      </c>
      <c r="K7" s="20" t="b">
        <v>0</v>
      </c>
      <c r="L7" s="19" t="s">
        <v>69</v>
      </c>
      <c r="M7" s="11" t="str">
        <f t="shared" si="2"/>
        <v/>
      </c>
      <c r="N7" s="19">
        <v>20.0</v>
      </c>
      <c r="O7" s="19">
        <v>23.0</v>
      </c>
      <c r="P7" s="19" t="b">
        <v>0</v>
      </c>
      <c r="Q7" s="27" t="s">
        <v>69</v>
      </c>
      <c r="R7" s="11" t="str">
        <f t="shared" si="3"/>
        <v/>
      </c>
      <c r="S7" s="19">
        <v>10.0</v>
      </c>
      <c r="T7" s="19">
        <v>14.0</v>
      </c>
      <c r="U7" s="20" t="b">
        <v>0</v>
      </c>
      <c r="V7" s="19" t="s">
        <v>69</v>
      </c>
      <c r="W7" s="11" t="str">
        <f t="shared" si="4"/>
        <v/>
      </c>
      <c r="X7" s="19">
        <v>21.0</v>
      </c>
      <c r="Y7" s="19">
        <v>28.0</v>
      </c>
      <c r="Z7" s="20" t="b">
        <v>0</v>
      </c>
      <c r="AA7" s="27" t="s">
        <v>71</v>
      </c>
      <c r="AB7" s="11" t="str">
        <f t="shared" si="5"/>
        <v/>
      </c>
      <c r="AC7" s="19">
        <v>24.0</v>
      </c>
      <c r="AD7" s="19">
        <v>17.0</v>
      </c>
      <c r="AE7" s="19" t="b">
        <v>0</v>
      </c>
      <c r="AF7" s="27" t="s">
        <v>69</v>
      </c>
      <c r="AG7" s="11" t="str">
        <f t="shared" si="6"/>
        <v/>
      </c>
      <c r="AH7" s="19">
        <v>17.0</v>
      </c>
      <c r="AI7" s="19">
        <v>20.0</v>
      </c>
      <c r="AJ7" s="20" t="b">
        <v>0</v>
      </c>
      <c r="AK7" s="19" t="s">
        <v>69</v>
      </c>
      <c r="AL7" s="11" t="str">
        <f t="shared" si="7"/>
        <v/>
      </c>
      <c r="AM7" s="19">
        <v>24.0</v>
      </c>
      <c r="AN7" s="19">
        <v>31.0</v>
      </c>
      <c r="AO7" s="20" t="b">
        <v>0</v>
      </c>
      <c r="AP7" s="27" t="s">
        <v>69</v>
      </c>
      <c r="AQ7" s="11" t="str">
        <f t="shared" si="8"/>
        <v/>
      </c>
      <c r="AR7" s="19">
        <v>23.0</v>
      </c>
      <c r="AS7" s="19">
        <v>27.0</v>
      </c>
      <c r="AT7" s="20" t="b">
        <v>0</v>
      </c>
      <c r="AU7" s="27" t="s">
        <v>71</v>
      </c>
      <c r="AV7" s="11" t="str">
        <f t="shared" si="9"/>
        <v/>
      </c>
      <c r="AW7" s="19">
        <v>27.0</v>
      </c>
      <c r="AX7" s="19">
        <v>24.0</v>
      </c>
      <c r="AY7" s="20" t="b">
        <v>0</v>
      </c>
      <c r="AZ7" s="27" t="s">
        <v>69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69</v>
      </c>
      <c r="BF7" s="11" t="str">
        <f t="shared" si="11"/>
        <v/>
      </c>
      <c r="BG7" s="19">
        <v>10.0</v>
      </c>
      <c r="BH7" s="19">
        <v>14.0</v>
      </c>
      <c r="BI7" s="20" t="b">
        <v>0</v>
      </c>
      <c r="BJ7" s="27" t="s">
        <v>69</v>
      </c>
      <c r="BK7" s="11" t="str">
        <f t="shared" si="12"/>
        <v/>
      </c>
      <c r="BL7" s="19">
        <v>17.0</v>
      </c>
      <c r="BM7" s="19">
        <v>20.0</v>
      </c>
      <c r="BN7" s="20" t="b">
        <v>0</v>
      </c>
      <c r="BO7" s="17"/>
      <c r="BP7" s="17"/>
      <c r="BQ7" s="17"/>
    </row>
    <row r="8">
      <c r="A8" s="16" t="s">
        <v>352</v>
      </c>
      <c r="B8" s="30" t="s">
        <v>364</v>
      </c>
      <c r="C8" s="18"/>
      <c r="D8" s="11" t="str">
        <f>IFERROR(__xludf.DUMMYFUNCTION("""COMPUTED_VALUE"""),"")</f>
        <v/>
      </c>
      <c r="E8" s="19"/>
      <c r="F8" s="20"/>
      <c r="G8" s="19" t="s">
        <v>76</v>
      </c>
      <c r="H8" s="11" t="str">
        <f t="shared" si="1"/>
        <v/>
      </c>
      <c r="I8" s="19">
        <v>23.0</v>
      </c>
      <c r="J8" s="19">
        <v>20.0</v>
      </c>
      <c r="K8" s="20" t="b">
        <v>0</v>
      </c>
      <c r="L8" s="19" t="s">
        <v>76</v>
      </c>
      <c r="M8" s="11" t="str">
        <f t="shared" si="2"/>
        <v/>
      </c>
      <c r="N8" s="19">
        <v>27.0</v>
      </c>
      <c r="O8" s="19">
        <v>24.0</v>
      </c>
      <c r="P8" s="19" t="b">
        <v>0</v>
      </c>
      <c r="Q8" s="27" t="s">
        <v>76</v>
      </c>
      <c r="R8" s="11" t="str">
        <f t="shared" si="3"/>
        <v/>
      </c>
      <c r="S8" s="19">
        <v>10.0</v>
      </c>
      <c r="T8" s="19">
        <v>7.0</v>
      </c>
      <c r="U8" s="20" t="b">
        <v>0</v>
      </c>
      <c r="V8" s="19" t="s">
        <v>55</v>
      </c>
      <c r="W8" s="11" t="str">
        <f t="shared" si="4"/>
        <v/>
      </c>
      <c r="X8" s="19">
        <v>14.0</v>
      </c>
      <c r="Y8" s="19">
        <v>17.0</v>
      </c>
      <c r="Z8" s="20" t="b">
        <v>0</v>
      </c>
      <c r="AA8" s="27" t="s">
        <v>55</v>
      </c>
      <c r="AB8" s="11" t="str">
        <f t="shared" si="5"/>
        <v/>
      </c>
      <c r="AC8" s="19">
        <v>17.0</v>
      </c>
      <c r="AD8" s="19">
        <v>24.0</v>
      </c>
      <c r="AE8" s="19" t="b">
        <v>0</v>
      </c>
      <c r="AF8" s="27" t="s">
        <v>55</v>
      </c>
      <c r="AG8" s="11" t="str">
        <f t="shared" si="6"/>
        <v/>
      </c>
      <c r="AH8" s="19">
        <v>14.0</v>
      </c>
      <c r="AI8" s="19">
        <v>17.0</v>
      </c>
      <c r="AJ8" s="20" t="b">
        <v>0</v>
      </c>
      <c r="AK8" s="19" t="s">
        <v>55</v>
      </c>
      <c r="AL8" s="11" t="str">
        <f t="shared" si="7"/>
        <v/>
      </c>
      <c r="AM8" s="19">
        <v>20.0</v>
      </c>
      <c r="AN8" s="19">
        <v>23.0</v>
      </c>
      <c r="AO8" s="20" t="b">
        <v>0</v>
      </c>
      <c r="AP8" s="27" t="s">
        <v>55</v>
      </c>
      <c r="AQ8" s="11" t="str">
        <f t="shared" si="8"/>
        <v/>
      </c>
      <c r="AR8" s="19">
        <v>21.0</v>
      </c>
      <c r="AS8" s="19">
        <v>24.0</v>
      </c>
      <c r="AT8" s="20" t="b">
        <v>0</v>
      </c>
      <c r="AU8" s="27" t="s">
        <v>76</v>
      </c>
      <c r="AV8" s="11" t="str">
        <f t="shared" si="9"/>
        <v/>
      </c>
      <c r="AW8" s="19">
        <v>24.0</v>
      </c>
      <c r="AX8" s="19">
        <v>21.0</v>
      </c>
      <c r="AY8" s="20" t="b">
        <v>0</v>
      </c>
      <c r="AZ8" s="27" t="s">
        <v>76</v>
      </c>
      <c r="BA8" s="11" t="str">
        <f t="shared" si="10"/>
        <v/>
      </c>
      <c r="BB8" s="19">
        <v>23.0</v>
      </c>
      <c r="BC8" s="19">
        <v>20.0</v>
      </c>
      <c r="BD8" s="20" t="b">
        <v>0</v>
      </c>
      <c r="BE8" s="27" t="s">
        <v>55</v>
      </c>
      <c r="BF8" s="11" t="str">
        <f t="shared" si="11"/>
        <v/>
      </c>
      <c r="BG8" s="19">
        <v>21.0</v>
      </c>
      <c r="BH8" s="19">
        <v>28.0</v>
      </c>
      <c r="BI8" s="20" t="b">
        <v>0</v>
      </c>
      <c r="BJ8" s="27" t="s">
        <v>76</v>
      </c>
      <c r="BK8" s="11" t="str">
        <f t="shared" si="12"/>
        <v/>
      </c>
      <c r="BL8" s="19">
        <v>27.0</v>
      </c>
      <c r="BM8" s="19">
        <v>24.0</v>
      </c>
      <c r="BN8" s="20" t="b">
        <v>0</v>
      </c>
      <c r="BO8" s="19"/>
      <c r="BP8" s="19"/>
      <c r="BQ8" s="19"/>
    </row>
    <row r="9">
      <c r="A9" s="16" t="s">
        <v>352</v>
      </c>
      <c r="B9" s="30" t="s">
        <v>367</v>
      </c>
      <c r="C9" s="18"/>
      <c r="D9" s="11" t="str">
        <f>IFERROR(__xludf.DUMMYFUNCTION("""COMPUTED_VALUE"""),"")</f>
        <v/>
      </c>
      <c r="E9" s="19"/>
      <c r="F9" s="20"/>
      <c r="G9" s="19" t="s">
        <v>33</v>
      </c>
      <c r="H9" s="11" t="str">
        <f t="shared" si="1"/>
        <v/>
      </c>
      <c r="I9" s="19">
        <v>20.0</v>
      </c>
      <c r="J9" s="19">
        <v>23.0</v>
      </c>
      <c r="K9" s="20" t="b">
        <v>0</v>
      </c>
      <c r="L9" s="19" t="s">
        <v>61</v>
      </c>
      <c r="M9" s="11" t="str">
        <f t="shared" si="2"/>
        <v/>
      </c>
      <c r="N9" s="19">
        <v>23.0</v>
      </c>
      <c r="O9" s="19">
        <v>20.0</v>
      </c>
      <c r="P9" s="19" t="b">
        <v>0</v>
      </c>
      <c r="Q9" s="27" t="s">
        <v>61</v>
      </c>
      <c r="R9" s="11" t="str">
        <f t="shared" si="3"/>
        <v/>
      </c>
      <c r="S9" s="19">
        <v>14.0</v>
      </c>
      <c r="T9" s="19">
        <v>10.0</v>
      </c>
      <c r="U9" s="20" t="b">
        <v>0</v>
      </c>
      <c r="V9" s="19" t="s">
        <v>61</v>
      </c>
      <c r="W9" s="11" t="str">
        <f t="shared" si="4"/>
        <v/>
      </c>
      <c r="X9" s="19">
        <v>30.0</v>
      </c>
      <c r="Y9" s="19">
        <v>23.0</v>
      </c>
      <c r="Z9" s="20" t="b">
        <v>0</v>
      </c>
      <c r="AA9" s="27" t="s">
        <v>33</v>
      </c>
      <c r="AB9" s="11" t="str">
        <f t="shared" si="5"/>
        <v/>
      </c>
      <c r="AC9" s="19">
        <v>17.0</v>
      </c>
      <c r="AD9" s="19">
        <v>24.0</v>
      </c>
      <c r="AE9" s="19" t="b">
        <v>1</v>
      </c>
      <c r="AF9" s="27" t="s">
        <v>61</v>
      </c>
      <c r="AG9" s="11" t="str">
        <f t="shared" si="6"/>
        <v/>
      </c>
      <c r="AH9" s="19">
        <v>21.0</v>
      </c>
      <c r="AI9" s="19">
        <v>17.0</v>
      </c>
      <c r="AJ9" s="20" t="b">
        <v>0</v>
      </c>
      <c r="AK9" s="19" t="s">
        <v>33</v>
      </c>
      <c r="AL9" s="11" t="str">
        <f t="shared" si="7"/>
        <v/>
      </c>
      <c r="AM9" s="19">
        <v>24.0</v>
      </c>
      <c r="AN9" s="19">
        <v>31.0</v>
      </c>
      <c r="AO9" s="20" t="b">
        <v>0</v>
      </c>
      <c r="AP9" s="27" t="s">
        <v>33</v>
      </c>
      <c r="AQ9" s="11" t="str">
        <f t="shared" si="8"/>
        <v/>
      </c>
      <c r="AR9" s="19">
        <v>17.0</v>
      </c>
      <c r="AS9" s="19">
        <v>23.0</v>
      </c>
      <c r="AT9" s="20" t="b">
        <v>0</v>
      </c>
      <c r="AU9" s="27" t="s">
        <v>33</v>
      </c>
      <c r="AV9" s="11" t="str">
        <f t="shared" si="9"/>
        <v/>
      </c>
      <c r="AW9" s="19">
        <v>21.0</v>
      </c>
      <c r="AX9" s="19">
        <v>24.0</v>
      </c>
      <c r="AY9" s="20" t="b">
        <v>1</v>
      </c>
      <c r="AZ9" s="27" t="s">
        <v>61</v>
      </c>
      <c r="BA9" s="11" t="str">
        <f t="shared" si="10"/>
        <v/>
      </c>
      <c r="BB9" s="19">
        <v>23.0</v>
      </c>
      <c r="BC9" s="19">
        <v>20.0</v>
      </c>
      <c r="BD9" s="20" t="b">
        <v>0</v>
      </c>
      <c r="BE9" s="27" t="s">
        <v>33</v>
      </c>
      <c r="BF9" s="11" t="str">
        <f t="shared" si="11"/>
        <v/>
      </c>
      <c r="BG9" s="19">
        <v>21.0</v>
      </c>
      <c r="BH9" s="19">
        <v>24.0</v>
      </c>
      <c r="BI9" s="20" t="b">
        <v>1</v>
      </c>
      <c r="BJ9" s="27" t="s">
        <v>33</v>
      </c>
      <c r="BK9" s="11" t="str">
        <f t="shared" si="12"/>
        <v/>
      </c>
      <c r="BL9" s="19">
        <v>20.0</v>
      </c>
      <c r="BM9" s="19">
        <v>23.0</v>
      </c>
      <c r="BN9" s="20" t="b">
        <v>0</v>
      </c>
      <c r="BO9" s="17"/>
      <c r="BP9" s="17"/>
      <c r="BQ9" s="17"/>
    </row>
    <row r="10">
      <c r="A10" s="16" t="s">
        <v>352</v>
      </c>
      <c r="B10" s="17" t="s">
        <v>371</v>
      </c>
      <c r="C10" s="18"/>
      <c r="D10" s="11" t="str">
        <f>IFERROR(__xludf.DUMMYFUNCTION("""COMPUTED_VALUE"""),"")</f>
        <v/>
      </c>
      <c r="E10" s="19"/>
      <c r="F10" s="20"/>
      <c r="G10" s="19" t="s">
        <v>92</v>
      </c>
      <c r="H10" s="11" t="str">
        <f t="shared" si="1"/>
        <v/>
      </c>
      <c r="I10" s="19">
        <v>14.0</v>
      </c>
      <c r="J10" s="19">
        <v>17.0</v>
      </c>
      <c r="K10" s="20" t="b">
        <v>0</v>
      </c>
      <c r="L10" s="19" t="s">
        <v>92</v>
      </c>
      <c r="M10" s="11" t="str">
        <f t="shared" si="2"/>
        <v/>
      </c>
      <c r="N10" s="19">
        <v>24.0</v>
      </c>
      <c r="O10" s="19">
        <v>27.0</v>
      </c>
      <c r="P10" s="19" t="b">
        <v>0</v>
      </c>
      <c r="Q10" s="27" t="s">
        <v>92</v>
      </c>
      <c r="R10" s="11" t="str">
        <f t="shared" si="3"/>
        <v/>
      </c>
      <c r="S10" s="19">
        <v>14.0</v>
      </c>
      <c r="T10" s="19">
        <v>17.0</v>
      </c>
      <c r="U10" s="20" t="b">
        <v>0</v>
      </c>
      <c r="V10" s="19" t="s">
        <v>34</v>
      </c>
      <c r="W10" s="11" t="str">
        <f t="shared" si="4"/>
        <v/>
      </c>
      <c r="X10" s="19">
        <v>27.0</v>
      </c>
      <c r="Y10" s="19">
        <v>24.0</v>
      </c>
      <c r="Z10" s="20" t="b">
        <v>0</v>
      </c>
      <c r="AA10" s="27" t="s">
        <v>92</v>
      </c>
      <c r="AB10" s="11" t="str">
        <f t="shared" si="5"/>
        <v/>
      </c>
      <c r="AC10" s="19">
        <v>17.0</v>
      </c>
      <c r="AD10" s="19">
        <v>24.0</v>
      </c>
      <c r="AE10" s="19" t="b">
        <v>0</v>
      </c>
      <c r="AF10" s="27" t="s">
        <v>92</v>
      </c>
      <c r="AG10" s="11" t="str">
        <f t="shared" si="6"/>
        <v/>
      </c>
      <c r="AH10" s="19">
        <v>14.0</v>
      </c>
      <c r="AI10" s="19">
        <v>17.0</v>
      </c>
      <c r="AJ10" s="20" t="b">
        <v>0</v>
      </c>
      <c r="AK10" s="19" t="s">
        <v>92</v>
      </c>
      <c r="AL10" s="11" t="str">
        <f t="shared" si="7"/>
        <v/>
      </c>
      <c r="AM10" s="19">
        <v>20.0</v>
      </c>
      <c r="AN10" s="19">
        <v>23.0</v>
      </c>
      <c r="AO10" s="20" t="b">
        <v>0</v>
      </c>
      <c r="AP10" s="27" t="s">
        <v>92</v>
      </c>
      <c r="AQ10" s="11" t="str">
        <f t="shared" si="8"/>
        <v/>
      </c>
      <c r="AR10" s="19">
        <v>13.0</v>
      </c>
      <c r="AS10" s="19">
        <v>20.0</v>
      </c>
      <c r="AT10" s="20" t="b">
        <v>0</v>
      </c>
      <c r="AU10" s="27" t="s">
        <v>34</v>
      </c>
      <c r="AV10" s="11" t="str">
        <f t="shared" si="9"/>
        <v/>
      </c>
      <c r="AW10" s="19">
        <v>28.0</v>
      </c>
      <c r="AX10" s="19">
        <v>21.0</v>
      </c>
      <c r="AY10" s="20" t="b">
        <v>0</v>
      </c>
      <c r="AZ10" s="27" t="s">
        <v>92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34</v>
      </c>
      <c r="BF10" s="11" t="str">
        <f t="shared" si="11"/>
        <v/>
      </c>
      <c r="BG10" s="19">
        <v>27.0</v>
      </c>
      <c r="BH10" s="19">
        <v>24.0</v>
      </c>
      <c r="BI10" s="20" t="b">
        <v>0</v>
      </c>
      <c r="BJ10" s="27" t="s">
        <v>34</v>
      </c>
      <c r="BK10" s="11" t="str">
        <f t="shared" si="12"/>
        <v/>
      </c>
      <c r="BL10" s="19">
        <v>14.0</v>
      </c>
      <c r="BM10" s="19">
        <v>10.0</v>
      </c>
      <c r="BN10" s="20" t="b">
        <v>1</v>
      </c>
      <c r="BO10" s="17"/>
      <c r="BP10" s="17"/>
      <c r="BQ10" s="17"/>
    </row>
    <row r="11">
      <c r="A11" s="16" t="s">
        <v>352</v>
      </c>
      <c r="B11" s="17" t="s">
        <v>377</v>
      </c>
      <c r="C11" s="18"/>
      <c r="D11" s="11" t="str">
        <f>IFERROR(__xludf.DUMMYFUNCTION("""COMPUTED_VALUE"""),"")</f>
        <v/>
      </c>
      <c r="E11" s="19"/>
      <c r="F11" s="20"/>
      <c r="G11" s="19" t="s">
        <v>29</v>
      </c>
      <c r="H11" s="11" t="str">
        <f t="shared" si="1"/>
        <v/>
      </c>
      <c r="I11" s="19">
        <v>20.0</v>
      </c>
      <c r="J11" s="19">
        <v>13.0</v>
      </c>
      <c r="K11" s="20" t="b">
        <v>0</v>
      </c>
      <c r="L11" s="19" t="s">
        <v>85</v>
      </c>
      <c r="M11" s="11" t="str">
        <f t="shared" si="2"/>
        <v/>
      </c>
      <c r="N11" s="19">
        <v>17.0</v>
      </c>
      <c r="O11" s="19">
        <v>21.0</v>
      </c>
      <c r="P11" s="19" t="b">
        <v>0</v>
      </c>
      <c r="Q11" s="27" t="s">
        <v>85</v>
      </c>
      <c r="R11" s="11" t="str">
        <f t="shared" si="3"/>
        <v/>
      </c>
      <c r="S11" s="19">
        <v>17.0</v>
      </c>
      <c r="T11" s="19">
        <v>21.0</v>
      </c>
      <c r="U11" s="20" t="b">
        <v>0</v>
      </c>
      <c r="V11" s="19" t="s">
        <v>29</v>
      </c>
      <c r="W11" s="11" t="str">
        <f t="shared" si="4"/>
        <v/>
      </c>
      <c r="X11" s="19">
        <v>30.0</v>
      </c>
      <c r="Y11" s="19">
        <v>13.0</v>
      </c>
      <c r="Z11" s="20" t="b">
        <v>1</v>
      </c>
      <c r="AA11" s="27" t="s">
        <v>85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85</v>
      </c>
      <c r="AG11" s="11" t="str">
        <f t="shared" si="6"/>
        <v/>
      </c>
      <c r="AH11" s="19">
        <v>21.0</v>
      </c>
      <c r="AI11" s="19">
        <v>24.0</v>
      </c>
      <c r="AJ11" s="20" t="b">
        <v>1</v>
      </c>
      <c r="AK11" s="19" t="s">
        <v>85</v>
      </c>
      <c r="AL11" s="11" t="str">
        <f t="shared" si="7"/>
        <v/>
      </c>
      <c r="AM11" s="19">
        <v>21.0</v>
      </c>
      <c r="AN11" s="19">
        <v>28.0</v>
      </c>
      <c r="AO11" s="20" t="b">
        <v>0</v>
      </c>
      <c r="AP11" s="27" t="s">
        <v>85</v>
      </c>
      <c r="AQ11" s="11" t="str">
        <f t="shared" si="8"/>
        <v/>
      </c>
      <c r="AR11" s="19">
        <v>20.0</v>
      </c>
      <c r="AS11" s="19">
        <v>24.0</v>
      </c>
      <c r="AT11" s="20" t="b">
        <v>0</v>
      </c>
      <c r="AU11" s="27" t="s">
        <v>29</v>
      </c>
      <c r="AV11" s="11" t="str">
        <f t="shared" si="9"/>
        <v/>
      </c>
      <c r="AW11" s="19">
        <v>27.0</v>
      </c>
      <c r="AX11" s="19">
        <v>24.0</v>
      </c>
      <c r="AY11" s="20" t="b">
        <v>0</v>
      </c>
      <c r="AZ11" s="27" t="s">
        <v>85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85</v>
      </c>
      <c r="BF11" s="11" t="str">
        <f t="shared" si="11"/>
        <v/>
      </c>
      <c r="BG11" s="19">
        <v>14.0</v>
      </c>
      <c r="BH11" s="19">
        <v>17.0</v>
      </c>
      <c r="BI11" s="20" t="b">
        <v>0</v>
      </c>
      <c r="BJ11" s="27" t="s">
        <v>85</v>
      </c>
      <c r="BK11" s="11" t="str">
        <f t="shared" si="12"/>
        <v/>
      </c>
      <c r="BL11" s="19">
        <v>14.0</v>
      </c>
      <c r="BM11" s="19">
        <v>17.0</v>
      </c>
      <c r="BN11" s="20" t="b">
        <v>0</v>
      </c>
      <c r="BO11" s="19"/>
      <c r="BP11" s="19"/>
      <c r="BQ11" s="19"/>
    </row>
    <row r="12">
      <c r="A12" s="16" t="s">
        <v>352</v>
      </c>
      <c r="B12" s="17" t="s">
        <v>382</v>
      </c>
      <c r="C12" s="18"/>
      <c r="D12" s="11" t="str">
        <f>IFERROR(__xludf.DUMMYFUNCTION("""COMPUTED_VALUE"""),"")</f>
        <v/>
      </c>
      <c r="E12" s="19"/>
      <c r="F12" s="20"/>
      <c r="G12" s="19" t="s">
        <v>26</v>
      </c>
      <c r="H12" s="11" t="str">
        <f t="shared" si="1"/>
        <v/>
      </c>
      <c r="I12" s="19">
        <v>17.0</v>
      </c>
      <c r="J12" s="19">
        <v>21.0</v>
      </c>
      <c r="K12" s="20" t="b">
        <v>1</v>
      </c>
      <c r="L12" s="19" t="s">
        <v>26</v>
      </c>
      <c r="M12" s="11" t="str">
        <f t="shared" si="2"/>
        <v/>
      </c>
      <c r="N12" s="19">
        <v>24.0</v>
      </c>
      <c r="O12" s="19">
        <v>31.0</v>
      </c>
      <c r="P12" s="19" t="b">
        <v>0</v>
      </c>
      <c r="Q12" s="27" t="s">
        <v>26</v>
      </c>
      <c r="R12" s="11" t="str">
        <f t="shared" si="3"/>
        <v/>
      </c>
      <c r="S12" s="19">
        <v>14.0</v>
      </c>
      <c r="T12" s="19">
        <v>17.0</v>
      </c>
      <c r="U12" s="20" t="b">
        <v>1</v>
      </c>
      <c r="V12" s="19" t="s">
        <v>26</v>
      </c>
      <c r="W12" s="11" t="str">
        <f t="shared" si="4"/>
        <v/>
      </c>
      <c r="X12" s="19">
        <v>17.0</v>
      </c>
      <c r="Y12" s="19">
        <v>21.0</v>
      </c>
      <c r="Z12" s="20" t="b">
        <v>0</v>
      </c>
      <c r="AA12" s="27" t="s">
        <v>26</v>
      </c>
      <c r="AB12" s="11" t="str">
        <f t="shared" si="5"/>
        <v/>
      </c>
      <c r="AC12" s="19">
        <v>17.0</v>
      </c>
      <c r="AD12" s="19">
        <v>24.0</v>
      </c>
      <c r="AE12" s="19" t="b">
        <v>0</v>
      </c>
      <c r="AF12" s="27" t="s">
        <v>26</v>
      </c>
      <c r="AG12" s="11" t="str">
        <f t="shared" si="6"/>
        <v/>
      </c>
      <c r="AH12" s="19">
        <v>17.0</v>
      </c>
      <c r="AI12" s="19">
        <v>21.0</v>
      </c>
      <c r="AJ12" s="20" t="b">
        <v>0</v>
      </c>
      <c r="AK12" s="19" t="s">
        <v>26</v>
      </c>
      <c r="AL12" s="11" t="str">
        <f t="shared" si="7"/>
        <v/>
      </c>
      <c r="AM12" s="19">
        <v>14.0</v>
      </c>
      <c r="AN12" s="19">
        <v>17.0</v>
      </c>
      <c r="AO12" s="20" t="b">
        <v>0</v>
      </c>
      <c r="AP12" s="27" t="s">
        <v>26</v>
      </c>
      <c r="AQ12" s="11" t="str">
        <f t="shared" si="8"/>
        <v/>
      </c>
      <c r="AR12" s="19">
        <v>17.0</v>
      </c>
      <c r="AS12" s="19">
        <v>31.0</v>
      </c>
      <c r="AT12" s="20" t="b">
        <v>0</v>
      </c>
      <c r="AU12" s="27" t="s">
        <v>87</v>
      </c>
      <c r="AV12" s="11" t="str">
        <f t="shared" si="9"/>
        <v/>
      </c>
      <c r="AW12" s="19">
        <v>21.0</v>
      </c>
      <c r="AX12" s="19">
        <v>17.0</v>
      </c>
      <c r="AY12" s="20" t="b">
        <v>0</v>
      </c>
      <c r="AZ12" s="27" t="s">
        <v>26</v>
      </c>
      <c r="BA12" s="11" t="str">
        <f t="shared" si="10"/>
        <v/>
      </c>
      <c r="BB12" s="19">
        <v>20.0</v>
      </c>
      <c r="BC12" s="19">
        <v>23.0</v>
      </c>
      <c r="BD12" s="20" t="b">
        <v>0</v>
      </c>
      <c r="BE12" s="27" t="s">
        <v>87</v>
      </c>
      <c r="BF12" s="11" t="str">
        <f t="shared" si="11"/>
        <v/>
      </c>
      <c r="BG12" s="19">
        <v>20.0</v>
      </c>
      <c r="BH12" s="19">
        <v>17.0</v>
      </c>
      <c r="BI12" s="20" t="b">
        <v>0</v>
      </c>
      <c r="BJ12" s="27" t="s">
        <v>87</v>
      </c>
      <c r="BK12" s="11" t="str">
        <f t="shared" si="12"/>
        <v/>
      </c>
      <c r="BL12" s="19">
        <v>20.0</v>
      </c>
      <c r="BM12" s="19">
        <v>17.0</v>
      </c>
      <c r="BN12" s="20" t="b">
        <v>0</v>
      </c>
      <c r="BO12" s="17"/>
      <c r="BP12" s="17"/>
      <c r="BQ12" s="17"/>
    </row>
    <row r="13">
      <c r="A13" s="16" t="s">
        <v>384</v>
      </c>
      <c r="B13" s="17" t="s">
        <v>385</v>
      </c>
      <c r="C13" s="18"/>
      <c r="D13" s="11" t="str">
        <f>IFERROR(__xludf.DUMMYFUNCTION("""COMPUTED_VALUE"""),"")</f>
        <v/>
      </c>
      <c r="E13" s="19"/>
      <c r="F13" s="20"/>
      <c r="G13" s="19" t="s">
        <v>93</v>
      </c>
      <c r="H13" s="11" t="str">
        <f t="shared" si="1"/>
        <v/>
      </c>
      <c r="I13" s="19">
        <v>14.0</v>
      </c>
      <c r="J13" s="19">
        <v>17.0</v>
      </c>
      <c r="K13" s="20" t="b">
        <v>0</v>
      </c>
      <c r="L13" s="19" t="s">
        <v>93</v>
      </c>
      <c r="M13" s="11" t="str">
        <f t="shared" si="2"/>
        <v/>
      </c>
      <c r="N13" s="19">
        <v>17.0</v>
      </c>
      <c r="O13" s="19">
        <v>21.0</v>
      </c>
      <c r="P13" s="19" t="b">
        <v>0</v>
      </c>
      <c r="Q13" s="27" t="s">
        <v>93</v>
      </c>
      <c r="R13" s="11" t="str">
        <f t="shared" si="3"/>
        <v/>
      </c>
      <c r="S13" s="19">
        <v>21.0</v>
      </c>
      <c r="T13" s="19">
        <v>28.0</v>
      </c>
      <c r="U13" s="20" t="b">
        <v>0</v>
      </c>
      <c r="V13" s="19" t="s">
        <v>58</v>
      </c>
      <c r="W13" s="11" t="str">
        <f t="shared" si="4"/>
        <v/>
      </c>
      <c r="X13" s="19">
        <v>31.0</v>
      </c>
      <c r="Y13" s="19">
        <v>24.0</v>
      </c>
      <c r="Z13" s="20" t="b">
        <v>0</v>
      </c>
      <c r="AA13" s="27" t="s">
        <v>93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58</v>
      </c>
      <c r="AG13" s="11" t="str">
        <f t="shared" si="6"/>
        <v/>
      </c>
      <c r="AH13" s="19">
        <v>21.0</v>
      </c>
      <c r="AI13" s="19">
        <v>17.0</v>
      </c>
      <c r="AJ13" s="20" t="b">
        <v>0</v>
      </c>
      <c r="AK13" s="19" t="s">
        <v>93</v>
      </c>
      <c r="AL13" s="11" t="str">
        <f t="shared" si="7"/>
        <v/>
      </c>
      <c r="AM13" s="19">
        <v>21.0</v>
      </c>
      <c r="AN13" s="19">
        <v>24.0</v>
      </c>
      <c r="AO13" s="20" t="b">
        <v>0</v>
      </c>
      <c r="AP13" s="27" t="s">
        <v>58</v>
      </c>
      <c r="AQ13" s="11" t="str">
        <f t="shared" si="8"/>
        <v/>
      </c>
      <c r="AR13" s="19">
        <v>23.0</v>
      </c>
      <c r="AS13" s="19">
        <v>17.0</v>
      </c>
      <c r="AT13" s="20" t="b">
        <v>0</v>
      </c>
      <c r="AU13" s="27" t="s">
        <v>58</v>
      </c>
      <c r="AV13" s="11" t="str">
        <f t="shared" si="9"/>
        <v/>
      </c>
      <c r="AW13" s="19">
        <v>28.0</v>
      </c>
      <c r="AX13" s="19">
        <v>21.0</v>
      </c>
      <c r="AY13" s="20" t="b">
        <v>0</v>
      </c>
      <c r="AZ13" s="27" t="s">
        <v>93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93</v>
      </c>
      <c r="BF13" s="11" t="str">
        <f t="shared" si="11"/>
        <v/>
      </c>
      <c r="BG13" s="19">
        <v>17.0</v>
      </c>
      <c r="BH13" s="19">
        <v>21.0</v>
      </c>
      <c r="BI13" s="20" t="b">
        <v>0</v>
      </c>
      <c r="BJ13" s="27" t="s">
        <v>93</v>
      </c>
      <c r="BK13" s="11" t="str">
        <f t="shared" si="12"/>
        <v/>
      </c>
      <c r="BL13" s="19">
        <v>10.0</v>
      </c>
      <c r="BM13" s="19">
        <v>14.0</v>
      </c>
      <c r="BN13" s="20" t="b">
        <v>0</v>
      </c>
      <c r="BO13" s="17"/>
      <c r="BP13" s="17"/>
      <c r="BQ13" s="17"/>
    </row>
    <row r="14">
      <c r="A14" s="16" t="s">
        <v>386</v>
      </c>
      <c r="B14" s="17" t="s">
        <v>387</v>
      </c>
      <c r="C14" s="18"/>
      <c r="D14" s="11" t="str">
        <f>IFERROR(__xludf.DUMMYFUNCTION("""COMPUTED_VALUE"""),"")</f>
        <v/>
      </c>
      <c r="E14" s="19"/>
      <c r="F14" s="20"/>
      <c r="G14" s="19" t="s">
        <v>39</v>
      </c>
      <c r="H14" s="11" t="str">
        <f t="shared" si="1"/>
        <v/>
      </c>
      <c r="I14" s="19">
        <v>10.0</v>
      </c>
      <c r="J14" s="19">
        <v>17.0</v>
      </c>
      <c r="K14" s="20" t="b">
        <v>0</v>
      </c>
      <c r="L14" s="19" t="s">
        <v>39</v>
      </c>
      <c r="M14" s="11" t="str">
        <f t="shared" si="2"/>
        <v/>
      </c>
      <c r="N14" s="19">
        <v>7.0</v>
      </c>
      <c r="O14" s="19">
        <v>10.0</v>
      </c>
      <c r="P14" s="19" t="b">
        <v>0</v>
      </c>
      <c r="Q14" s="27" t="s">
        <v>39</v>
      </c>
      <c r="R14" s="11" t="str">
        <f t="shared" si="3"/>
        <v/>
      </c>
      <c r="S14" s="19">
        <v>21.0</v>
      </c>
      <c r="T14" s="19">
        <v>28.0</v>
      </c>
      <c r="U14" s="20" t="b">
        <v>0</v>
      </c>
      <c r="V14" s="19" t="s">
        <v>39</v>
      </c>
      <c r="W14" s="11" t="str">
        <f t="shared" si="4"/>
        <v/>
      </c>
      <c r="X14" s="19">
        <v>21.0</v>
      </c>
      <c r="Y14" s="19">
        <v>24.0</v>
      </c>
      <c r="Z14" s="20" t="b">
        <v>0</v>
      </c>
      <c r="AA14" s="27" t="s">
        <v>39</v>
      </c>
      <c r="AB14" s="11" t="str">
        <f t="shared" si="5"/>
        <v/>
      </c>
      <c r="AC14" s="19">
        <v>17.0</v>
      </c>
      <c r="AD14" s="19">
        <v>24.0</v>
      </c>
      <c r="AE14" s="19" t="b">
        <v>0</v>
      </c>
      <c r="AF14" s="27" t="s">
        <v>39</v>
      </c>
      <c r="AG14" s="11" t="str">
        <f t="shared" si="6"/>
        <v/>
      </c>
      <c r="AH14" s="19">
        <v>21.0</v>
      </c>
      <c r="AI14" s="19">
        <v>24.0</v>
      </c>
      <c r="AJ14" s="20" t="b">
        <v>0</v>
      </c>
      <c r="AK14" s="19" t="s">
        <v>39</v>
      </c>
      <c r="AL14" s="11" t="str">
        <f t="shared" si="7"/>
        <v/>
      </c>
      <c r="AM14" s="19">
        <v>24.0</v>
      </c>
      <c r="AN14" s="19">
        <v>31.0</v>
      </c>
      <c r="AO14" s="20" t="b">
        <v>0</v>
      </c>
      <c r="AP14" s="27" t="s">
        <v>39</v>
      </c>
      <c r="AQ14" s="11" t="str">
        <f t="shared" si="8"/>
        <v/>
      </c>
      <c r="AR14" s="19">
        <v>24.0</v>
      </c>
      <c r="AS14" s="19">
        <v>27.0</v>
      </c>
      <c r="AT14" s="20" t="b">
        <v>0</v>
      </c>
      <c r="AU14" s="27" t="s">
        <v>39</v>
      </c>
      <c r="AV14" s="11" t="str">
        <f t="shared" si="9"/>
        <v/>
      </c>
      <c r="AW14" s="19">
        <v>21.0</v>
      </c>
      <c r="AX14" s="19">
        <v>24.0</v>
      </c>
      <c r="AY14" s="20" t="b">
        <v>0</v>
      </c>
      <c r="AZ14" s="27" t="s">
        <v>39</v>
      </c>
      <c r="BA14" s="11" t="str">
        <f t="shared" si="10"/>
        <v/>
      </c>
      <c r="BB14" s="19">
        <v>20.0</v>
      </c>
      <c r="BC14" s="19">
        <v>23.0</v>
      </c>
      <c r="BD14" s="20" t="b">
        <v>0</v>
      </c>
      <c r="BE14" s="27" t="s">
        <v>39</v>
      </c>
      <c r="BF14" s="11" t="str">
        <f t="shared" si="11"/>
        <v/>
      </c>
      <c r="BG14" s="19">
        <v>17.0</v>
      </c>
      <c r="BH14" s="19">
        <v>20.0</v>
      </c>
      <c r="BI14" s="20" t="b">
        <v>0</v>
      </c>
      <c r="BJ14" s="27" t="s">
        <v>84</v>
      </c>
      <c r="BK14" s="11" t="str">
        <f t="shared" si="12"/>
        <v/>
      </c>
      <c r="BL14" s="19">
        <v>27.0</v>
      </c>
      <c r="BM14" s="19">
        <v>24.0</v>
      </c>
      <c r="BN14" s="20" t="b">
        <v>0</v>
      </c>
      <c r="BO14" s="17"/>
      <c r="BP14" s="17"/>
      <c r="BQ14" s="17"/>
    </row>
    <row r="15">
      <c r="A15" s="16" t="s">
        <v>386</v>
      </c>
      <c r="B15" s="30" t="s">
        <v>389</v>
      </c>
      <c r="C15" s="18"/>
      <c r="D15" s="11" t="str">
        <f>IFERROR(__xludf.DUMMYFUNCTION("""COMPUTED_VALUE"""),"")</f>
        <v/>
      </c>
      <c r="E15" s="19"/>
      <c r="F15" s="20"/>
      <c r="G15" s="19" t="s">
        <v>79</v>
      </c>
      <c r="H15" s="11" t="str">
        <f t="shared" si="1"/>
        <v/>
      </c>
      <c r="I15" s="19">
        <v>13.0</v>
      </c>
      <c r="J15" s="19">
        <v>20.0</v>
      </c>
      <c r="K15" s="20" t="b">
        <v>0</v>
      </c>
      <c r="L15" s="19" t="s">
        <v>74</v>
      </c>
      <c r="M15" s="11" t="str">
        <f t="shared" si="2"/>
        <v/>
      </c>
      <c r="N15" s="19">
        <v>10.0</v>
      </c>
      <c r="O15" s="19">
        <v>7.0</v>
      </c>
      <c r="P15" s="19" t="b">
        <v>0</v>
      </c>
      <c r="Q15" s="27" t="s">
        <v>74</v>
      </c>
      <c r="R15" s="11" t="str">
        <f t="shared" si="3"/>
        <v/>
      </c>
      <c r="S15" s="19">
        <v>27.0</v>
      </c>
      <c r="T15" s="19">
        <v>24.0</v>
      </c>
      <c r="U15" s="20" t="b">
        <v>0</v>
      </c>
      <c r="V15" s="19" t="s">
        <v>74</v>
      </c>
      <c r="W15" s="11" t="str">
        <f t="shared" si="4"/>
        <v/>
      </c>
      <c r="X15" s="19">
        <v>20.0</v>
      </c>
      <c r="Y15" s="19">
        <v>17.0</v>
      </c>
      <c r="Z15" s="20" t="b">
        <v>0</v>
      </c>
      <c r="AA15" s="27" t="s">
        <v>74</v>
      </c>
      <c r="AB15" s="11" t="str">
        <f t="shared" si="5"/>
        <v/>
      </c>
      <c r="AC15" s="19">
        <v>24.0</v>
      </c>
      <c r="AD15" s="19">
        <v>17.0</v>
      </c>
      <c r="AE15" s="19" t="b">
        <v>0</v>
      </c>
      <c r="AF15" s="27" t="s">
        <v>79</v>
      </c>
      <c r="AG15" s="11" t="str">
        <f t="shared" si="6"/>
        <v/>
      </c>
      <c r="AH15" s="19">
        <v>24.0</v>
      </c>
      <c r="AI15" s="19">
        <v>27.0</v>
      </c>
      <c r="AJ15" s="20" t="b">
        <v>0</v>
      </c>
      <c r="AK15" s="19" t="s">
        <v>74</v>
      </c>
      <c r="AL15" s="11" t="str">
        <f t="shared" si="7"/>
        <v/>
      </c>
      <c r="AM15" s="19">
        <v>23.0</v>
      </c>
      <c r="AN15" s="19">
        <v>20.0</v>
      </c>
      <c r="AO15" s="20" t="b">
        <v>0</v>
      </c>
      <c r="AP15" s="27" t="s">
        <v>74</v>
      </c>
      <c r="AQ15" s="11" t="str">
        <f t="shared" si="8"/>
        <v/>
      </c>
      <c r="AR15" s="19">
        <v>24.0</v>
      </c>
      <c r="AS15" s="19">
        <v>16.0</v>
      </c>
      <c r="AT15" s="20" t="b">
        <v>0</v>
      </c>
      <c r="AU15" s="27" t="s">
        <v>79</v>
      </c>
      <c r="AV15" s="11" t="str">
        <f t="shared" si="9"/>
        <v/>
      </c>
      <c r="AW15" s="19">
        <v>24.0</v>
      </c>
      <c r="AX15" s="19">
        <v>27.0</v>
      </c>
      <c r="AY15" s="20" t="b">
        <v>0</v>
      </c>
      <c r="AZ15" s="27" t="s">
        <v>74</v>
      </c>
      <c r="BA15" s="11" t="str">
        <f t="shared" si="10"/>
        <v/>
      </c>
      <c r="BB15" s="19">
        <v>23.0</v>
      </c>
      <c r="BC15" s="19">
        <v>20.0</v>
      </c>
      <c r="BD15" s="20" t="b">
        <v>0</v>
      </c>
      <c r="BE15" s="27" t="s">
        <v>79</v>
      </c>
      <c r="BF15" s="11" t="str">
        <f t="shared" si="11"/>
        <v/>
      </c>
      <c r="BG15" s="19">
        <v>17.0</v>
      </c>
      <c r="BH15" s="19">
        <v>20.0</v>
      </c>
      <c r="BI15" s="20" t="b">
        <v>0</v>
      </c>
      <c r="BJ15" s="27" t="s">
        <v>74</v>
      </c>
      <c r="BK15" s="11" t="str">
        <f t="shared" si="12"/>
        <v/>
      </c>
      <c r="BL15" s="19">
        <v>21.0</v>
      </c>
      <c r="BM15" s="19">
        <v>17.0</v>
      </c>
      <c r="BN15" s="20" t="b">
        <v>0</v>
      </c>
      <c r="BO15" s="17"/>
      <c r="BP15" s="17"/>
      <c r="BQ15" s="17"/>
    </row>
    <row r="16">
      <c r="A16" s="16" t="s">
        <v>392</v>
      </c>
      <c r="B16" s="30" t="s">
        <v>393</v>
      </c>
      <c r="C16" s="18"/>
      <c r="D16" s="11" t="str">
        <f>IFERROR(__xludf.DUMMYFUNCTION("""COMPUTED_VALUE"""),"")</f>
        <v/>
      </c>
      <c r="E16" s="19"/>
      <c r="F16" s="20"/>
      <c r="G16" s="19" t="s">
        <v>27</v>
      </c>
      <c r="H16" s="11" t="str">
        <f t="shared" si="1"/>
        <v/>
      </c>
      <c r="I16" s="19">
        <v>20.0</v>
      </c>
      <c r="J16" s="19">
        <v>17.0</v>
      </c>
      <c r="K16" s="20" t="b">
        <v>0</v>
      </c>
      <c r="L16" s="19" t="s">
        <v>27</v>
      </c>
      <c r="M16" s="11" t="str">
        <f t="shared" si="2"/>
        <v/>
      </c>
      <c r="N16" s="19">
        <v>31.0</v>
      </c>
      <c r="O16" s="19">
        <v>24.0</v>
      </c>
      <c r="P16" s="19" t="b">
        <v>0</v>
      </c>
      <c r="Q16" s="27" t="s">
        <v>27</v>
      </c>
      <c r="R16" s="11" t="str">
        <f t="shared" si="3"/>
        <v/>
      </c>
      <c r="S16" s="19">
        <v>17.0</v>
      </c>
      <c r="T16" s="19">
        <v>14.0</v>
      </c>
      <c r="U16" s="20" t="b">
        <v>0</v>
      </c>
      <c r="V16" s="19" t="s">
        <v>27</v>
      </c>
      <c r="W16" s="11" t="str">
        <f t="shared" si="4"/>
        <v/>
      </c>
      <c r="X16" s="19">
        <v>20.0</v>
      </c>
      <c r="Y16" s="19">
        <v>17.0</v>
      </c>
      <c r="Z16" s="20" t="b">
        <v>0</v>
      </c>
      <c r="AA16" s="27" t="s">
        <v>51</v>
      </c>
      <c r="AB16" s="11" t="str">
        <f t="shared" si="5"/>
        <v/>
      </c>
      <c r="AC16" s="19">
        <v>17.0</v>
      </c>
      <c r="AD16" s="19">
        <v>24.0</v>
      </c>
      <c r="AE16" s="19" t="b">
        <v>0</v>
      </c>
      <c r="AF16" s="27" t="s">
        <v>51</v>
      </c>
      <c r="AG16" s="11" t="str">
        <f t="shared" si="6"/>
        <v/>
      </c>
      <c r="AH16" s="19">
        <v>7.0</v>
      </c>
      <c r="AI16" s="19">
        <v>10.0</v>
      </c>
      <c r="AJ16" s="20" t="b">
        <v>0</v>
      </c>
      <c r="AK16" s="19" t="s">
        <v>51</v>
      </c>
      <c r="AL16" s="11" t="str">
        <f t="shared" si="7"/>
        <v/>
      </c>
      <c r="AM16" s="19">
        <v>24.0</v>
      </c>
      <c r="AN16" s="19">
        <v>27.0</v>
      </c>
      <c r="AO16" s="20" t="b">
        <v>0</v>
      </c>
      <c r="AP16" s="27" t="s">
        <v>27</v>
      </c>
      <c r="AQ16" s="11" t="str">
        <f t="shared" si="8"/>
        <v/>
      </c>
      <c r="AR16" s="19">
        <v>27.0</v>
      </c>
      <c r="AS16" s="19">
        <v>24.0</v>
      </c>
      <c r="AT16" s="20" t="b">
        <v>0</v>
      </c>
      <c r="AU16" s="27" t="s">
        <v>51</v>
      </c>
      <c r="AV16" s="11" t="str">
        <f t="shared" si="9"/>
        <v/>
      </c>
      <c r="AW16" s="19">
        <v>21.0</v>
      </c>
      <c r="AX16" s="19">
        <v>28.0</v>
      </c>
      <c r="AY16" s="20" t="b">
        <v>0</v>
      </c>
      <c r="AZ16" s="27" t="s">
        <v>27</v>
      </c>
      <c r="BA16" s="11" t="str">
        <f t="shared" si="10"/>
        <v/>
      </c>
      <c r="BB16" s="19">
        <v>23.0</v>
      </c>
      <c r="BC16" s="19">
        <v>20.0</v>
      </c>
      <c r="BD16" s="20" t="b">
        <v>0</v>
      </c>
      <c r="BE16" s="27" t="s">
        <v>51</v>
      </c>
      <c r="BF16" s="11" t="str">
        <f t="shared" si="11"/>
        <v/>
      </c>
      <c r="BG16" s="19">
        <v>21.0</v>
      </c>
      <c r="BH16" s="19">
        <v>28.0</v>
      </c>
      <c r="BI16" s="20" t="b">
        <v>0</v>
      </c>
      <c r="BJ16" s="27" t="s">
        <v>51</v>
      </c>
      <c r="BK16" s="11" t="str">
        <f t="shared" si="12"/>
        <v/>
      </c>
      <c r="BL16" s="19">
        <v>14.0</v>
      </c>
      <c r="BM16" s="19">
        <v>17.0</v>
      </c>
      <c r="BN16" s="20" t="b">
        <v>0</v>
      </c>
      <c r="BO16" s="17"/>
      <c r="BP16" s="17"/>
      <c r="BQ16" s="17"/>
    </row>
    <row r="17">
      <c r="A17" s="32" t="s">
        <v>396</v>
      </c>
      <c r="B17" s="33" t="s">
        <v>397</v>
      </c>
      <c r="C17" s="34"/>
      <c r="D17" s="35" t="str">
        <f>IFERROR(__xludf.DUMMYFUNCTION("""COMPUTED_VALUE"""),"")</f>
        <v/>
      </c>
      <c r="E17" s="36"/>
      <c r="F17" s="37"/>
      <c r="G17" s="36" t="s">
        <v>88</v>
      </c>
      <c r="H17" s="35" t="str">
        <f t="shared" si="1"/>
        <v/>
      </c>
      <c r="I17" s="36">
        <v>14.0</v>
      </c>
      <c r="J17" s="36">
        <v>20.0</v>
      </c>
      <c r="K17" s="37" t="b">
        <v>0</v>
      </c>
      <c r="L17" s="36" t="s">
        <v>88</v>
      </c>
      <c r="M17" s="35" t="str">
        <f t="shared" si="2"/>
        <v/>
      </c>
      <c r="N17" s="36">
        <v>17.0</v>
      </c>
      <c r="O17" s="36">
        <v>20.0</v>
      </c>
      <c r="P17" s="36" t="b">
        <v>0</v>
      </c>
      <c r="Q17" s="38" t="s">
        <v>28</v>
      </c>
      <c r="R17" s="35" t="str">
        <f t="shared" si="3"/>
        <v/>
      </c>
      <c r="S17" s="36">
        <v>28.0</v>
      </c>
      <c r="T17" s="36">
        <v>21.0</v>
      </c>
      <c r="U17" s="37" t="b">
        <v>0</v>
      </c>
      <c r="V17" s="36" t="s">
        <v>88</v>
      </c>
      <c r="W17" s="35" t="str">
        <f t="shared" si="4"/>
        <v/>
      </c>
      <c r="X17" s="36">
        <v>21.0</v>
      </c>
      <c r="Y17" s="36">
        <v>24.0</v>
      </c>
      <c r="Z17" s="37" t="b">
        <v>0</v>
      </c>
      <c r="AA17" s="38" t="s">
        <v>88</v>
      </c>
      <c r="AB17" s="35" t="str">
        <f t="shared" si="5"/>
        <v/>
      </c>
      <c r="AC17" s="36">
        <v>17.0</v>
      </c>
      <c r="AD17" s="36">
        <v>24.0</v>
      </c>
      <c r="AE17" s="36" t="b">
        <v>0</v>
      </c>
      <c r="AF17" s="38" t="s">
        <v>88</v>
      </c>
      <c r="AG17" s="35" t="str">
        <f t="shared" si="6"/>
        <v/>
      </c>
      <c r="AH17" s="36">
        <v>17.0</v>
      </c>
      <c r="AI17" s="36">
        <v>27.0</v>
      </c>
      <c r="AJ17" s="37" t="b">
        <v>0</v>
      </c>
      <c r="AK17" s="36" t="s">
        <v>88</v>
      </c>
      <c r="AL17" s="35" t="str">
        <f t="shared" si="7"/>
        <v/>
      </c>
      <c r="AM17" s="36">
        <v>14.0</v>
      </c>
      <c r="AN17" s="36">
        <v>17.0</v>
      </c>
      <c r="AO17" s="37" t="b">
        <v>1</v>
      </c>
      <c r="AP17" s="38" t="s">
        <v>88</v>
      </c>
      <c r="AQ17" s="35" t="str">
        <f t="shared" si="8"/>
        <v/>
      </c>
      <c r="AR17" s="36">
        <v>16.0</v>
      </c>
      <c r="AS17" s="36">
        <v>27.0</v>
      </c>
      <c r="AT17" s="37" t="b">
        <v>0</v>
      </c>
      <c r="AU17" s="38" t="s">
        <v>28</v>
      </c>
      <c r="AV17" s="35" t="str">
        <f t="shared" si="9"/>
        <v/>
      </c>
      <c r="AW17" s="36">
        <v>17.0</v>
      </c>
      <c r="AX17" s="36">
        <v>14.0</v>
      </c>
      <c r="AY17" s="37" t="b">
        <v>0</v>
      </c>
      <c r="AZ17" s="38" t="s">
        <v>28</v>
      </c>
      <c r="BA17" s="35" t="str">
        <f t="shared" si="10"/>
        <v/>
      </c>
      <c r="BB17" s="36">
        <v>23.0</v>
      </c>
      <c r="BC17" s="36">
        <v>20.0</v>
      </c>
      <c r="BD17" s="37" t="b">
        <v>0</v>
      </c>
      <c r="BE17" s="38" t="s">
        <v>28</v>
      </c>
      <c r="BF17" s="35" t="str">
        <f t="shared" si="11"/>
        <v/>
      </c>
      <c r="BG17" s="36">
        <v>14.0</v>
      </c>
      <c r="BH17" s="36">
        <v>10.0</v>
      </c>
      <c r="BI17" s="37" t="b">
        <v>0</v>
      </c>
      <c r="BJ17" s="38" t="s">
        <v>28</v>
      </c>
      <c r="BK17" s="35" t="str">
        <f t="shared" si="12"/>
        <v/>
      </c>
      <c r="BL17" s="36">
        <v>31.0</v>
      </c>
      <c r="BM17" s="36">
        <v>24.0</v>
      </c>
      <c r="BN17" s="37" t="b">
        <v>0</v>
      </c>
      <c r="BO17" s="19"/>
      <c r="BP17" s="19"/>
      <c r="BQ17" s="19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6">
        <f t="shared" ref="C19:C34" si="13">MIN(I19,N19,S19,X19,AC19,AH19,AM19,AR19,AW19,BB19,BG19,BL19)</f>
        <v>0</v>
      </c>
      <c r="D19" s="49"/>
      <c r="E19" s="49"/>
      <c r="F19" s="49"/>
      <c r="G19" s="47" t="str">
        <f t="shared" ref="G19:G34" si="14">IF(G2=C2,ABS(I2-E2),"")</f>
        <v/>
      </c>
      <c r="H19" s="47" t="str">
        <f t="shared" ref="H19:H34" si="15">IF(G2=C2,ABS(J2-F2),"")</f>
        <v/>
      </c>
      <c r="I19" s="48" t="str">
        <f t="shared" ref="I19:I34" si="16">IF(G2=C2,SUM(G19,H19),"")</f>
        <v/>
      </c>
      <c r="J19" s="9">
        <f t="shared" ref="J19:J34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
)</f>
        <v>0</v>
      </c>
      <c r="K19" s="49" t="str">
        <f t="shared" ref="K19:K34" si="18">IF($C2="","",
IF(G2=$C2,TRUE,FALSE))</f>
        <v/>
      </c>
      <c r="L19" s="47" t="str">
        <f t="shared" ref="L19:L34" si="19">IF(L2=C2,ABS(N2-E2),"")</f>
        <v/>
      </c>
      <c r="M19" s="47" t="str">
        <f t="shared" ref="M19:M34" si="20">IF(L2=C2,ABS(O2-F2),"")</f>
        <v/>
      </c>
      <c r="N19" s="48" t="str">
        <f t="shared" ref="N19:N34" si="21">IF(L2=C2,SUM(L19,M19),"")</f>
        <v/>
      </c>
      <c r="O19" s="9">
        <f t="shared" ref="O19:O34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
)</f>
        <v>0</v>
      </c>
      <c r="P19" s="49" t="str">
        <f t="shared" ref="P19:P34" si="23">IF($C2="","",
IF(L2=$C2,TRUE,FALSE))</f>
        <v/>
      </c>
      <c r="Q19" s="47" t="str">
        <f t="shared" ref="Q19:Q34" si="24">IF(Q2=C2,ABS(S2-E2),"")</f>
        <v/>
      </c>
      <c r="R19" s="47" t="str">
        <f t="shared" ref="R19:R34" si="25">IF(Q2=C2,ABS(T2-F2),"")</f>
        <v/>
      </c>
      <c r="S19" s="48" t="str">
        <f t="shared" ref="S19:S34" si="26">IF(Q2=C2,SUM(Q19,R19),"")</f>
        <v/>
      </c>
      <c r="T19" s="9">
        <f t="shared" ref="T19:T34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
)</f>
        <v>0</v>
      </c>
      <c r="U19" s="49" t="str">
        <f t="shared" ref="U19:U34" si="28">IF($C2="","",
IF(Q2=$C2,TRUE,FALSE))</f>
        <v/>
      </c>
      <c r="V19" s="47" t="str">
        <f t="shared" ref="V19:V34" si="29">IF(V2=C2,ABS(X2-E2),"")</f>
        <v/>
      </c>
      <c r="W19" s="47" t="str">
        <f t="shared" ref="W19:W34" si="30">IF(V2=C2,ABS(Y2-F2),"")</f>
        <v/>
      </c>
      <c r="X19" s="48" t="str">
        <f t="shared" ref="X19:X34" si="31">IF(V2=C2,SUM(V19,W19),"")</f>
        <v/>
      </c>
      <c r="Y19" s="9">
        <f t="shared" ref="Y19:Y34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
)</f>
        <v>0</v>
      </c>
      <c r="Z19" s="49" t="str">
        <f t="shared" ref="Z19:Z34" si="33">IF($C2="","",
IF(V2=$C2,TRUE,FALSE))</f>
        <v/>
      </c>
      <c r="AA19" s="47" t="str">
        <f t="shared" ref="AA19:AA34" si="34">IF(AA2=C2,ABS(AC2-E2),"")</f>
        <v/>
      </c>
      <c r="AB19" s="47" t="str">
        <f t="shared" ref="AB19:AB34" si="35">IF(AA2=C2,ABS(AD2-F2),"")</f>
        <v/>
      </c>
      <c r="AC19" s="48" t="str">
        <f t="shared" ref="AC19:AC34" si="36">IF(AA2=C2,SUM(AA19,AB19),"")</f>
        <v/>
      </c>
      <c r="AD19" s="9">
        <f t="shared" ref="AD19:AD34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
)</f>
        <v>0</v>
      </c>
      <c r="AE19" s="49" t="str">
        <f t="shared" ref="AE19:AE34" si="38">IF($C2="","",
IF(AA2=$C2,TRUE,FALSE))</f>
        <v/>
      </c>
      <c r="AF19" s="47" t="str">
        <f t="shared" ref="AF19:AF34" si="39">IF(AF2=C2,ABS(AH2-E2),"")</f>
        <v/>
      </c>
      <c r="AG19" s="47" t="str">
        <f t="shared" ref="AG19:AG34" si="40">IF(AF2=C2,ABS(AI2-F2),"")</f>
        <v/>
      </c>
      <c r="AH19" s="48" t="str">
        <f t="shared" ref="AH19:AH34" si="41">IF(AF2=C2,SUM(AF19,AG19),"")</f>
        <v/>
      </c>
      <c r="AI19" s="9">
        <f t="shared" ref="AI19:AI34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
)</f>
        <v>0</v>
      </c>
      <c r="AJ19" s="49" t="str">
        <f t="shared" ref="AJ19:AJ34" si="43">IF($C2="","",
IF(AF2=$C2,TRUE,FALSE))</f>
        <v/>
      </c>
      <c r="AK19" s="47" t="str">
        <f t="shared" ref="AK19:AK34" si="44">IF(AK2=C2,ABS(AM2-E2),"")</f>
        <v/>
      </c>
      <c r="AL19" s="47" t="str">
        <f t="shared" ref="AL19:AL34" si="45">IF(AK2=C2,ABS(AN2-F2),"")</f>
        <v/>
      </c>
      <c r="AM19" s="48" t="str">
        <f t="shared" ref="AM19:AM34" si="46">IF(AK2=C2,SUM(AK19,AL19),"")</f>
        <v/>
      </c>
      <c r="AN19" s="9">
        <f t="shared" ref="AN19:AN34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
)</f>
        <v>0</v>
      </c>
      <c r="AO19" s="49" t="str">
        <f t="shared" ref="AO19:AO34" si="48">IF($C2="","",
IF(AK2=$C2,TRUE,FALSE))</f>
        <v/>
      </c>
      <c r="AP19" s="47" t="str">
        <f t="shared" ref="AP19:AP34" si="49">IF(AP2=C2,ABS(AR2-E2),"")</f>
        <v/>
      </c>
      <c r="AQ19" s="47" t="str">
        <f t="shared" ref="AQ19:AQ34" si="50">IF(AP2=C2,ABS(AS2-F2),"")</f>
        <v/>
      </c>
      <c r="AR19" s="48" t="str">
        <f t="shared" ref="AR19:AR34" si="51">IF(AP2=C2,SUM(AP19,AQ19),"")</f>
        <v/>
      </c>
      <c r="AS19" s="9">
        <f t="shared" ref="AS19:AS34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
)</f>
        <v>0</v>
      </c>
      <c r="AT19" s="49" t="str">
        <f t="shared" ref="AT19:AT34" si="53">IF($C2="","",
IF(AP2=$C2,TRUE,FALSE))</f>
        <v/>
      </c>
      <c r="AU19" s="47" t="str">
        <f t="shared" ref="AU19:AU34" si="54">IF(AU2=C2,ABS(AW2-E2),"")</f>
        <v/>
      </c>
      <c r="AV19" s="47" t="str">
        <f t="shared" ref="AV19:AV34" si="55">IF(AU2=C2,ABS(AX2-F2),"")</f>
        <v/>
      </c>
      <c r="AW19" s="48" t="str">
        <f t="shared" ref="AW19:AW34" si="56">IF(AU2=C2,SUM(AU19,AV19),"")</f>
        <v/>
      </c>
      <c r="AX19" s="9">
        <f t="shared" ref="AX19:AX34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
)</f>
        <v>0</v>
      </c>
      <c r="AY19" s="49" t="str">
        <f t="shared" ref="AY19:AY34" si="58">IF($C2="","",
IF(AU2=$C2,TRUE,FALSE))</f>
        <v/>
      </c>
      <c r="AZ19" s="47" t="str">
        <f t="shared" ref="AZ19:AZ34" si="59">IF(AZ2=C2,ABS(BB2-E2),"")</f>
        <v/>
      </c>
      <c r="BA19" s="47" t="str">
        <f t="shared" ref="BA19:BA34" si="60">IF(AZ2=C2,ABS(BC2-F2),"")</f>
        <v/>
      </c>
      <c r="BB19" s="48" t="str">
        <f t="shared" ref="BB19:BB34" si="61">IF(AZ2=C2,SUM(AZ19,BA19),"")</f>
        <v/>
      </c>
      <c r="BC19" s="9">
        <f t="shared" ref="BC19:BC34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
)</f>
        <v>0</v>
      </c>
      <c r="BD19" s="49" t="str">
        <f t="shared" ref="BD19:BD34" si="63">IF($C2="","",
IF(AZ2=$C2,TRUE,FALSE))</f>
        <v/>
      </c>
      <c r="BE19" s="47" t="str">
        <f t="shared" ref="BE19:BE34" si="64">IF(BE2=C2,ABS(BG2-E2),"")</f>
        <v/>
      </c>
      <c r="BF19" s="47" t="str">
        <f t="shared" ref="BF19:BF34" si="65">IF(BE2=C2,ABS(BH2-F2),"")</f>
        <v/>
      </c>
      <c r="BG19" s="48" t="str">
        <f t="shared" ref="BG19:BG34" si="66">IF(BE2=C2,SUM(BE19,BF19),"")</f>
        <v/>
      </c>
      <c r="BH19" s="9">
        <f t="shared" ref="BH19:BH34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
)</f>
        <v>0</v>
      </c>
      <c r="BI19" s="49" t="str">
        <f t="shared" ref="BI19:BI34" si="68">IF($C2="","",
IF(BE2=$C2,TRUE,FALSE))</f>
        <v/>
      </c>
      <c r="BJ19" s="47" t="str">
        <f t="shared" ref="BJ19:BJ34" si="69">IF(BJ2=C2,ABS(BL2-E2),"")</f>
        <v/>
      </c>
      <c r="BK19" s="47" t="str">
        <f t="shared" ref="BK19:BK34" si="70">IF(BJ2=C2,ABS(BM2-F2),"")</f>
        <v/>
      </c>
      <c r="BL19" s="48" t="str">
        <f t="shared" ref="BL19:BL34" si="71">IF(BJ2=C2,SUM(BJ19,BK19),"")</f>
        <v/>
      </c>
      <c r="BM19" s="9">
        <f t="shared" ref="BM19:BM34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
)</f>
        <v>0</v>
      </c>
      <c r="BN19" s="49" t="str">
        <f t="shared" ref="BN19:BN34" si="73">IF($C2="","",
IF(BJ2=$C2,TRUE,FALSE))</f>
        <v/>
      </c>
      <c r="BO19" s="41"/>
      <c r="BP19" s="41"/>
      <c r="BQ19" s="41"/>
    </row>
    <row r="20" hidden="1">
      <c r="A20" s="40"/>
      <c r="B20" s="40"/>
      <c r="C20" s="46">
        <f t="shared" si="13"/>
        <v>0</v>
      </c>
      <c r="D20" s="49"/>
      <c r="E20" s="49"/>
      <c r="F20" s="49"/>
      <c r="G20" s="47" t="str">
        <f t="shared" si="14"/>
        <v/>
      </c>
      <c r="H20" s="47" t="str">
        <f t="shared" si="15"/>
        <v/>
      </c>
      <c r="I20" s="48" t="str">
        <f t="shared" si="16"/>
        <v/>
      </c>
      <c r="J20" s="9">
        <f t="shared" si="17"/>
        <v>0</v>
      </c>
      <c r="K20" s="49" t="str">
        <f t="shared" si="18"/>
        <v/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str">
        <f t="shared" si="23"/>
        <v/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str">
        <f t="shared" si="28"/>
        <v/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str">
        <f t="shared" si="33"/>
        <v/>
      </c>
      <c r="AA20" s="47" t="str">
        <f t="shared" si="34"/>
        <v/>
      </c>
      <c r="AB20" s="47" t="str">
        <f t="shared" si="35"/>
        <v/>
      </c>
      <c r="AC20" s="48" t="str">
        <f t="shared" si="36"/>
        <v/>
      </c>
      <c r="AD20" s="9">
        <f t="shared" si="37"/>
        <v>0</v>
      </c>
      <c r="AE20" s="49" t="str">
        <f t="shared" si="38"/>
        <v/>
      </c>
      <c r="AF20" s="47" t="str">
        <f t="shared" si="39"/>
        <v/>
      </c>
      <c r="AG20" s="47" t="str">
        <f t="shared" si="40"/>
        <v/>
      </c>
      <c r="AH20" s="48" t="str">
        <f t="shared" si="41"/>
        <v/>
      </c>
      <c r="AI20" s="9">
        <f t="shared" si="42"/>
        <v>0</v>
      </c>
      <c r="AJ20" s="49" t="str">
        <f t="shared" si="43"/>
        <v/>
      </c>
      <c r="AK20" s="47" t="str">
        <f t="shared" si="44"/>
        <v/>
      </c>
      <c r="AL20" s="47" t="str">
        <f t="shared" si="45"/>
        <v/>
      </c>
      <c r="AM20" s="48" t="str">
        <f t="shared" si="46"/>
        <v/>
      </c>
      <c r="AN20" s="9">
        <f t="shared" si="47"/>
        <v>0</v>
      </c>
      <c r="AO20" s="49" t="str">
        <f t="shared" si="48"/>
        <v/>
      </c>
      <c r="AP20" s="47" t="str">
        <f t="shared" si="49"/>
        <v/>
      </c>
      <c r="AQ20" s="47" t="str">
        <f t="shared" si="50"/>
        <v/>
      </c>
      <c r="AR20" s="48" t="str">
        <f t="shared" si="51"/>
        <v/>
      </c>
      <c r="AS20" s="9">
        <f t="shared" si="52"/>
        <v>0</v>
      </c>
      <c r="AT20" s="49" t="str">
        <f t="shared" si="53"/>
        <v/>
      </c>
      <c r="AU20" s="47" t="str">
        <f t="shared" si="54"/>
        <v/>
      </c>
      <c r="AV20" s="47" t="str">
        <f t="shared" si="55"/>
        <v/>
      </c>
      <c r="AW20" s="48" t="str">
        <f t="shared" si="56"/>
        <v/>
      </c>
      <c r="AX20" s="9">
        <f t="shared" si="57"/>
        <v>0</v>
      </c>
      <c r="AY20" s="49" t="str">
        <f t="shared" si="58"/>
        <v/>
      </c>
      <c r="AZ20" s="47" t="str">
        <f t="shared" si="59"/>
        <v/>
      </c>
      <c r="BA20" s="47" t="str">
        <f t="shared" si="60"/>
        <v/>
      </c>
      <c r="BB20" s="48" t="str">
        <f t="shared" si="61"/>
        <v/>
      </c>
      <c r="BC20" s="9">
        <f t="shared" si="62"/>
        <v>0</v>
      </c>
      <c r="BD20" s="49" t="str">
        <f t="shared" si="63"/>
        <v/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str">
        <f t="shared" si="68"/>
        <v/>
      </c>
      <c r="BJ20" s="47" t="str">
        <f t="shared" si="69"/>
        <v/>
      </c>
      <c r="BK20" s="47" t="str">
        <f t="shared" si="70"/>
        <v/>
      </c>
      <c r="BL20" s="48" t="str">
        <f t="shared" si="71"/>
        <v/>
      </c>
      <c r="BM20" s="9">
        <f t="shared" si="72"/>
        <v>0</v>
      </c>
      <c r="BN20" s="49" t="str">
        <f t="shared" si="73"/>
        <v/>
      </c>
      <c r="BO20" s="40"/>
      <c r="BP20" s="40"/>
      <c r="BQ20" s="40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9"/>
      <c r="E33" s="49"/>
      <c r="F33" s="49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9"/>
      <c r="E34" s="49"/>
      <c r="F34" s="49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0"/>
      <c r="BP34" s="40"/>
      <c r="BQ34" s="40"/>
    </row>
    <row r="35" hidden="1">
      <c r="A35" s="40"/>
      <c r="B35" s="40"/>
      <c r="C35" s="49"/>
      <c r="D35" s="49"/>
      <c r="E35" s="49"/>
      <c r="F35" s="49"/>
      <c r="G35" s="49"/>
      <c r="H35" s="49"/>
      <c r="I35" s="49"/>
      <c r="J35" s="59">
        <f>MULTIPLY(SUM(J19:J34),10)</f>
        <v>0</v>
      </c>
      <c r="K35" s="62">
        <f>COUNTIF(K19:K34,"TRUE")</f>
        <v>0</v>
      </c>
      <c r="L35" s="49"/>
      <c r="M35" s="49"/>
      <c r="N35" s="49"/>
      <c r="O35" s="59">
        <f>MULTIPLY(SUM(O19:O34),10)</f>
        <v>0</v>
      </c>
      <c r="P35" s="62">
        <f>COUNTIF(P19:P34,"TRUE")</f>
        <v>0</v>
      </c>
      <c r="Q35" s="49"/>
      <c r="R35" s="49"/>
      <c r="S35" s="49"/>
      <c r="T35" s="59">
        <f>MULTIPLY(SUM(T19:T34),10)</f>
        <v>0</v>
      </c>
      <c r="U35" s="62">
        <f>COUNTIF(U19:U34,"TRUE")</f>
        <v>0</v>
      </c>
      <c r="V35" s="49"/>
      <c r="W35" s="49"/>
      <c r="X35" s="49"/>
      <c r="Y35" s="59">
        <f>MULTIPLY(SUM(Y19:Y34),10)</f>
        <v>0</v>
      </c>
      <c r="Z35" s="62">
        <f>COUNTIF(Z19:Z34,"TRUE")</f>
        <v>0</v>
      </c>
      <c r="AA35" s="49"/>
      <c r="AB35" s="49"/>
      <c r="AC35" s="49"/>
      <c r="AD35" s="59">
        <f>MULTIPLY(SUM(AD19:AD34),10)</f>
        <v>0</v>
      </c>
      <c r="AE35" s="62">
        <f>COUNTIF(AE19:AE34,"TRUE")</f>
        <v>0</v>
      </c>
      <c r="AF35" s="49"/>
      <c r="AG35" s="49"/>
      <c r="AH35" s="49"/>
      <c r="AI35" s="59">
        <f>MULTIPLY(SUM(AI19:AI34),10)</f>
        <v>0</v>
      </c>
      <c r="AJ35" s="62">
        <f>COUNTIF(AJ19:AJ34,"TRUE")</f>
        <v>0</v>
      </c>
      <c r="AK35" s="49"/>
      <c r="AL35" s="49"/>
      <c r="AM35" s="49"/>
      <c r="AN35" s="59">
        <f>MULTIPLY(SUM(AN19:AN34),10)</f>
        <v>0</v>
      </c>
      <c r="AO35" s="62">
        <f>COUNTIF(AO19:AO34,"TRUE")</f>
        <v>0</v>
      </c>
      <c r="AP35" s="49"/>
      <c r="AQ35" s="49"/>
      <c r="AR35" s="49"/>
      <c r="AS35" s="59">
        <f>MULTIPLY(SUM(AS19:AS34),10)</f>
        <v>0</v>
      </c>
      <c r="AT35" s="62">
        <f>COUNTIF(AT19:AT34,"TRUE")</f>
        <v>0</v>
      </c>
      <c r="AU35" s="49"/>
      <c r="AV35" s="49"/>
      <c r="AW35" s="49"/>
      <c r="AX35" s="59">
        <f>MULTIPLY(SUM(AX19:AX34),10)</f>
        <v>0</v>
      </c>
      <c r="AY35" s="62">
        <f>COUNTIF(AY19:AY34,"TRUE")</f>
        <v>0</v>
      </c>
      <c r="AZ35" s="49"/>
      <c r="BA35" s="49"/>
      <c r="BB35" s="49"/>
      <c r="BC35" s="59">
        <f>MULTIPLY(SUM(BC19:BC34),10)</f>
        <v>0</v>
      </c>
      <c r="BD35" s="62">
        <f>COUNTIF(BD19:BD34,"TRUE")</f>
        <v>0</v>
      </c>
      <c r="BE35" s="49"/>
      <c r="BF35" s="49"/>
      <c r="BG35" s="49"/>
      <c r="BH35" s="59">
        <f>MULTIPLY(SUM(BH19:BH34),10)</f>
        <v>0</v>
      </c>
      <c r="BI35" s="62">
        <f>COUNTIF(BI19:BI34,"TRUE")</f>
        <v>0</v>
      </c>
      <c r="BJ35" s="49"/>
      <c r="BK35" s="49"/>
      <c r="BL35" s="49"/>
      <c r="BM35" s="59">
        <f>MULTIPLY(SUM(BM19:BM34),10)</f>
        <v>0</v>
      </c>
      <c r="BN35" s="62">
        <f>COUNTIF(BN19:BN34,"TRUE")</f>
        <v>0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40"/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40"/>
      <c r="B38" s="57" t="s">
        <v>141</v>
      </c>
      <c r="C38" s="58">
        <f t="array" ref="C38">INDEX(J35,0)</f>
        <v>0</v>
      </c>
      <c r="D38" s="58">
        <f t="array" ref="D38">INDEX(O35,0)</f>
        <v>0</v>
      </c>
      <c r="E38" s="58">
        <f t="array" ref="E38">INDEX(T35,0)</f>
        <v>0</v>
      </c>
      <c r="F38" s="58">
        <f t="array" ref="F38">INDEX(Y35,0)</f>
        <v>0</v>
      </c>
      <c r="G38" s="58">
        <f t="array" ref="G38">INDEX(AD35,0)</f>
        <v>0</v>
      </c>
      <c r="H38" s="58">
        <f t="array" ref="H38">INDEX(AI35,0)</f>
        <v>0</v>
      </c>
      <c r="I38" s="58">
        <f t="array" ref="I38">INDEX(AN35,0)</f>
        <v>0</v>
      </c>
      <c r="J38" s="58">
        <f t="array" ref="J38">INDEX(AS35,0)</f>
        <v>0</v>
      </c>
      <c r="K38" s="58">
        <f t="array" ref="K38">INDEX(AX35,0)</f>
        <v>0</v>
      </c>
      <c r="L38" s="58">
        <f t="array" ref="L38">INDEX(BC35,0)</f>
        <v>0</v>
      </c>
      <c r="M38" s="58">
        <f t="array" ref="M38">INDEX(BH35,0)</f>
        <v>0</v>
      </c>
      <c r="N38" s="60">
        <f t="array" ref="N38">INDEX(BM35,0)</f>
        <v>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63" t="s">
        <v>142</v>
      </c>
      <c r="C39" s="64">
        <f>COUNTIF(K19:K34,true)</f>
        <v>0</v>
      </c>
      <c r="D39" s="64">
        <f>COUNTIF(P19:P34,true)</f>
        <v>0</v>
      </c>
      <c r="E39" s="64">
        <f>COUNTIF(U19:U34,true)</f>
        <v>0</v>
      </c>
      <c r="F39" s="64">
        <f>COUNTIF(Z19:Z34,true)</f>
        <v>0</v>
      </c>
      <c r="G39" s="64">
        <f>COUNTIF(AE19:AE34,true)</f>
        <v>0</v>
      </c>
      <c r="H39" s="64">
        <f>COUNTIF(AJ19:AJ34,true)</f>
        <v>0</v>
      </c>
      <c r="I39" s="64">
        <f>COUNTIF(AO19:AO34,true)</f>
        <v>0</v>
      </c>
      <c r="J39" s="64">
        <f>COUNTIF(AT19:AT34,true)</f>
        <v>0</v>
      </c>
      <c r="K39" s="64">
        <f>COUNTIF(AY19:AY34,true)</f>
        <v>0</v>
      </c>
      <c r="L39" s="64">
        <f>COUNTIF(BD19:BD34,true)</f>
        <v>0</v>
      </c>
      <c r="M39" s="64">
        <f>COUNTIF(BI19:BI34,true)</f>
        <v>0</v>
      </c>
      <c r="N39" s="65">
        <f>COUNTIF(BN19:BN34,true)</f>
        <v>0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63" t="s">
        <v>143</v>
      </c>
      <c r="C40" s="68">
        <f>COUNTIF(K19:K34,FALSE)</f>
        <v>0</v>
      </c>
      <c r="D40" s="68">
        <f>COUNTIF(P19:P34,FALSE)</f>
        <v>0</v>
      </c>
      <c r="E40" s="68">
        <f>COUNTIF(U19:U34,FALSE)</f>
        <v>0</v>
      </c>
      <c r="F40" s="68">
        <f>COUNTIF(Z19:Z34,FALSE)</f>
        <v>0</v>
      </c>
      <c r="G40" s="68">
        <f>COUNTIF(AE19:AE34,FALSE)</f>
        <v>0</v>
      </c>
      <c r="H40" s="68">
        <f>COUNTIF(AJ19:AJ34,FALSE)</f>
        <v>0</v>
      </c>
      <c r="I40" s="68">
        <f>COUNTIF(AO19:AO34,FALSE)</f>
        <v>0</v>
      </c>
      <c r="J40" s="68">
        <f>COUNTIF(AT19:AT34,FALSE)</f>
        <v>0</v>
      </c>
      <c r="K40" s="68">
        <f>COUNTIF(AY19:AY34,FALSE)</f>
        <v>0</v>
      </c>
      <c r="L40" s="68">
        <f>COUNTIF(BD19:BD34,FALSE)</f>
        <v>0</v>
      </c>
      <c r="M40" s="68">
        <f>COUNTIF(BI19:BI34,FALSE)</f>
        <v>0</v>
      </c>
      <c r="N40" s="69">
        <f>COUNTIF(BN19:BN34,FALSE)</f>
        <v>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>SUM('Week 1'!C38,'Week 2'!C38,'Week 3'!C38,'Week 4'!C38,'Week 5'!C39,'Week 6'!C35,'Week 7'!C35,'Week 8'!C37,'Week 9'!C38,'Week 10'!C36,'Week 11'!C33,'Week 12'!C40,'Week 13'!C34,'Week 14'!C38,C38)</f>
        <v>325</v>
      </c>
      <c r="D42" s="71">
        <f>SUM('Week 1'!D38,'Week 2'!D38,'Week 3'!D38,'Week 4'!D38,'Week 5'!D39,'Week 6'!D35,'Week 7'!D35,'Week 8'!D37,'Week 9'!D38,'Week 10'!D36,'Week 11'!D33,'Week 12'!D40,'Week 13'!D34,'Week 14'!D38,D38)</f>
        <v>275</v>
      </c>
      <c r="E42" s="71">
        <f>SUM('Week 1'!E38,'Week 2'!E38,'Week 3'!E38,'Week 4'!E38,'Week 5'!E39,'Week 6'!E35,'Week 7'!E35,'Week 8'!E37,'Week 9'!E38,'Week 10'!E36,'Week 11'!E33,'Week 12'!E40,'Week 13'!E34,'Week 14'!E38,E38)</f>
        <v>290</v>
      </c>
      <c r="F42" s="71">
        <f>SUM('Week 1'!F38,'Week 2'!F38,'Week 3'!F38,'Week 4'!F38,'Week 5'!F39,'Week 6'!F35,'Week 7'!F35,'Week 8'!F37,'Week 9'!F38,'Week 10'!F36,'Week 11'!F33,'Week 12'!F40,'Week 13'!F34,'Week 14'!F38,F38)</f>
        <v>375</v>
      </c>
      <c r="G42" s="71">
        <f>SUM('Week 1'!G38,'Week 2'!G38,'Week 3'!G38,'Week 4'!G38,'Week 5'!G39,'Week 6'!G35,'Week 7'!G35,'Week 8'!G37,'Week 9'!G38,'Week 10'!G36,'Week 11'!G33,'Week 12'!G40,'Week 13'!G34,'Week 14'!G38,G38)</f>
        <v>410</v>
      </c>
      <c r="H42" s="71">
        <f>SUM('Week 1'!H38,'Week 2'!H38,'Week 3'!H38,'Week 4'!H38,'Week 5'!H39,'Week 6'!H35,'Week 7'!H35,'Week 8'!H37,'Week 9'!H38,'Week 10'!H36,'Week 11'!H33,'Week 12'!H40,'Week 13'!H34,'Week 14'!H38,H38)</f>
        <v>480</v>
      </c>
      <c r="I42" s="71">
        <f>SUM('Week 1'!I38,'Week 2'!I38,'Week 3'!I38,'Week 4'!I38,'Week 5'!I39,'Week 6'!I35,'Week 7'!I35,'Week 8'!I37,'Week 9'!I38,'Week 10'!I36,'Week 11'!I33,'Week 12'!I40,'Week 13'!I34,'Week 14'!I38,I38)</f>
        <v>320</v>
      </c>
      <c r="J42" s="71">
        <f>SUM('Week 1'!J38,'Week 2'!J38,'Week 3'!J38,'Week 4'!J38,'Week 5'!J39,'Week 6'!J35,'Week 7'!J35,'Week 8'!J37,'Week 9'!J38,'Week 10'!J36,'Week 11'!J33,'Week 12'!J40,'Week 13'!J34,'Week 14'!J38,J38)</f>
        <v>445</v>
      </c>
      <c r="K42" s="71">
        <f>SUM('Week 1'!K38,'Week 2'!K38,'Week 3'!K38,'Week 4'!K38,'Week 5'!K39,'Week 6'!K35,'Week 7'!K35,'Week 8'!K37,'Week 9'!K38,'Week 10'!K36,'Week 11'!K33,'Week 12'!K40,'Week 13'!K34,'Week 14'!K38,K38)</f>
        <v>370</v>
      </c>
      <c r="L42" s="71">
        <f>SUM('Week 1'!L38,'Week 2'!L38,'Week 3'!L38,'Week 4'!L38,'Week 5'!L39,'Week 6'!L35,'Week 7'!L35,'Week 8'!L37,'Week 9'!L38,'Week 10'!L36,'Week 11'!L33,'Week 12'!L40,'Week 13'!L34,'Week 14'!L38,L38)</f>
        <v>280</v>
      </c>
      <c r="M42" s="71">
        <f>SUM('Week 1'!M38,'Week 2'!M38,'Week 3'!M38,'Week 4'!M38,'Week 5'!M39,'Week 6'!M35,'Week 7'!M35,'Week 8'!M37,'Week 9'!M38,'Week 10'!M36,'Week 11'!M33,'Week 12'!M40,'Week 13'!M34,'Week 14'!M38,M38)</f>
        <v>365</v>
      </c>
      <c r="N42" s="72">
        <f>SUM('Week 1'!N38,'Week 2'!N38,'Week 3'!N38,'Week 4'!N38,'Week 5'!N39,'Week 6'!N35,'Week 7'!N35,'Week 8'!N37,'Week 9'!N38,'Week 10'!N36,'Week 11'!N33,'Week 12'!N40,'Week 13'!N34,'Week 14'!N38,N38)</f>
        <v>290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>CONCATENATE(SUM('Week 1'!C39,'Week 2'!C39,'Week 3'!C39,'Week 4'!C39,'Week 5'!C40,'Week 6'!C36,'Week 7'!C36,'Week 8'!C38,'Week 9'!C39,'Week 10'!C37,'Week 11'!C34,'Week 12'!C41,'Week 13'!C35,'Week 14'!C39,C39)," - ",SUM('Week 1'!C40,'Week 2'!C40,'Week 3'!C40,'Week 4'!C40,'Week 5'!C41,'Week 6'!C37,'Week 7'!C37,'Week 8'!C39,'Week 9'!C40,'Week 10'!C38,'Week 11'!C35,'Week 12'!C42,'Week 13'!C36,'Week 14'!C40,C40))</f>
        <v>25 - 21</v>
      </c>
      <c r="D43" s="73" t="str">
        <f>CONCATENATE(SUM('Week 1'!D39,'Week 2'!D39,'Week 3'!D39,'Week 4'!D39,'Week 5'!D40,'Week 6'!D36,'Week 7'!D36,'Week 8'!D38,'Week 9'!D39,'Week 10'!D37,'Week 11'!D34,'Week 12'!D41,'Week 13'!D35,'Week 14'!D39,D39)," - ",SUM('Week 1'!D40,'Week 2'!D40,'Week 3'!D40,'Week 4'!D40,'Week 5'!D41,'Week 6'!D37,'Week 7'!D37,'Week 8'!D39,'Week 9'!D40,'Week 10'!D38,'Week 11'!D35,'Week 12'!D42,'Week 13'!D36,'Week 14'!D40,D40))</f>
        <v>24 - 22</v>
      </c>
      <c r="E43" s="73" t="str">
        <f>CONCATENATE(SUM('Week 1'!E39,'Week 2'!E39,'Week 3'!E39,'Week 4'!E39,'Week 5'!E40,'Week 6'!E36,'Week 7'!E36,'Week 8'!E38,'Week 9'!E39,'Week 10'!E37,'Week 11'!E34,'Week 12'!E41,'Week 13'!E35,'Week 14'!E39,E39)," - ",SUM('Week 1'!E40,'Week 2'!E40,'Week 3'!E40,'Week 4'!E40,'Week 5'!E41,'Week 6'!E37,'Week 7'!E37,'Week 8'!E39,'Week 9'!E40,'Week 10'!E38,'Week 11'!E35,'Week 12'!E42,'Week 13'!E36,'Week 14'!E40,E40))</f>
        <v>23 - 23</v>
      </c>
      <c r="F43" s="73" t="str">
        <f>CONCATENATE(SUM('Week 1'!F39,'Week 2'!F39,'Week 3'!F39,'Week 4'!F39,'Week 5'!F40,'Week 6'!F36,'Week 7'!F36,'Week 8'!F38,'Week 9'!F39,'Week 10'!F37,'Week 11'!F34,'Week 12'!F41,'Week 13'!F35,'Week 14'!F39,F39)," - ",SUM('Week 1'!F40,'Week 2'!F40,'Week 3'!F40,'Week 4'!F40,'Week 5'!F41,'Week 6'!F37,'Week 7'!F37,'Week 8'!F39,'Week 9'!F40,'Week 10'!F38,'Week 11'!F35,'Week 12'!F42,'Week 13'!F36,'Week 14'!F40,F40))</f>
        <v>26 - 20</v>
      </c>
      <c r="G43" s="73" t="str">
        <f>CONCATENATE(SUM('Week 1'!G39,'Week 2'!G39,'Week 3'!G39,'Week 4'!G39,'Week 5'!G40,'Week 6'!G36,'Week 7'!G36,'Week 8'!G38,'Week 9'!G39,'Week 10'!G37,'Week 11'!G34,'Week 12'!G41,'Week 13'!G35,'Week 14'!G39,G39)," - ",SUM('Week 1'!G40,'Week 2'!G40,'Week 3'!G40,'Week 4'!G40,'Week 5'!G41,'Week 6'!G37,'Week 7'!G37,'Week 8'!G39,'Week 9'!G40,'Week 10'!G38,'Week 11'!G35,'Week 12'!G42,'Week 13'!G36,'Week 14'!G40,G40))</f>
        <v>30 - 16</v>
      </c>
      <c r="H43" s="73" t="str">
        <f>CONCATENATE(SUM('Week 1'!H39,'Week 2'!H39,'Week 3'!H39,'Week 4'!H39,'Week 5'!H40,'Week 6'!H36,'Week 7'!H36,'Week 8'!H38,'Week 9'!H39,'Week 10'!H37,'Week 11'!H34,'Week 12'!H41,'Week 13'!H35,'Week 14'!H39,H39)," - ",SUM('Week 1'!H40,'Week 2'!H40,'Week 3'!H40,'Week 4'!H40,'Week 5'!H41,'Week 6'!H37,'Week 7'!H37,'Week 8'!H39,'Week 9'!H40,'Week 10'!H38,'Week 11'!H35,'Week 12'!H42,'Week 13'!H36,'Week 14'!H40,H40))</f>
        <v>33 - 13</v>
      </c>
      <c r="I43" s="73" t="str">
        <f>CONCATENATE(SUM('Week 1'!I39,'Week 2'!I39,'Week 3'!I39,'Week 4'!I39,'Week 5'!I40,'Week 6'!I36,'Week 7'!I36,'Week 8'!I38,'Week 9'!I39,'Week 10'!I37,'Week 11'!I34,'Week 12'!I41,'Week 13'!I35,'Week 14'!I39,I39)," - ",SUM('Week 1'!I40,'Week 2'!I40,'Week 3'!I40,'Week 4'!I40,'Week 5'!I41,'Week 6'!I37,'Week 7'!I37,'Week 8'!I39,'Week 9'!I40,'Week 10'!I38,'Week 11'!I35,'Week 12'!I42,'Week 13'!I36,'Week 14'!I40,I40))</f>
        <v>26 - 20</v>
      </c>
      <c r="J43" s="73" t="str">
        <f>CONCATENATE(SUM('Week 1'!J39,'Week 2'!J39,'Week 3'!J39,'Week 4'!J39,'Week 5'!J40,'Week 6'!J36,'Week 7'!J36,'Week 8'!J38,'Week 9'!J39,'Week 10'!J37,'Week 11'!J34,'Week 12'!J41,'Week 13'!J35,'Week 14'!J39,J39)," - ",SUM('Week 1'!J40,'Week 2'!J40,'Week 3'!J40,'Week 4'!J40,'Week 5'!J41,'Week 6'!J37,'Week 7'!J37,'Week 8'!J39,'Week 9'!J40,'Week 10'!J38,'Week 11'!J35,'Week 12'!J42,'Week 13'!J36,'Week 14'!J40,J40))</f>
        <v>27 - 19</v>
      </c>
      <c r="K43" s="73" t="str">
        <f>CONCATENATE(SUM('Week 1'!K39,'Week 2'!K39,'Week 3'!K39,'Week 4'!K39,'Week 5'!K40,'Week 6'!K36,'Week 7'!K36,'Week 8'!K38,'Week 9'!K39,'Week 10'!K37,'Week 11'!K34,'Week 12'!K41,'Week 13'!K35,'Week 14'!K39,K39)," - ",SUM('Week 1'!K40,'Week 2'!K40,'Week 3'!K40,'Week 4'!K40,'Week 5'!K41,'Week 6'!K37,'Week 7'!K37,'Week 8'!K39,'Week 9'!K40,'Week 10'!K38,'Week 11'!K35,'Week 12'!K42,'Week 13'!K36,'Week 14'!K40,K40))</f>
        <v>29 - 17</v>
      </c>
      <c r="L43" s="73" t="str">
        <f>CONCATENATE(SUM('Week 1'!L39,'Week 2'!L39,'Week 3'!L39,'Week 4'!L39,'Week 5'!L40,'Week 6'!L36,'Week 7'!L36,'Week 8'!L38,'Week 9'!L39,'Week 10'!L37,'Week 11'!L34,'Week 12'!L41,'Week 13'!L35,'Week 14'!L39,L39)," - ",SUM('Week 1'!L40,'Week 2'!L40,'Week 3'!L40,'Week 4'!L40,'Week 5'!L41,'Week 6'!L37,'Week 7'!L37,'Week 8'!L39,'Week 9'!L40,'Week 10'!L38,'Week 11'!L35,'Week 12'!L42,'Week 13'!L36,'Week 14'!L40,L40))</f>
        <v>26 - 20</v>
      </c>
      <c r="M43" s="73" t="str">
        <f>CONCATENATE(SUM('Week 1'!M39,'Week 2'!M39,'Week 3'!M39,'Week 4'!M39,'Week 5'!M40,'Week 6'!M36,'Week 7'!M36,'Week 8'!M38,'Week 9'!M39,'Week 10'!M37,'Week 11'!M34,'Week 12'!M41,'Week 13'!M35,'Week 14'!M39,M39)," - ",SUM('Week 1'!M40,'Week 2'!M40,'Week 3'!M40,'Week 4'!M40,'Week 5'!M41,'Week 6'!M37,'Week 7'!M37,'Week 8'!M39,'Week 9'!M40,'Week 10'!M38,'Week 11'!M35,'Week 12'!M42,'Week 13'!M36,'Week 14'!M40,M40))</f>
        <v>24 - 22</v>
      </c>
      <c r="N43" s="74" t="str">
        <f>CONCATENATE(SUM('Week 1'!N39,'Week 2'!N39,'Week 3'!N39,'Week 4'!N39,'Week 5'!N40,'Week 6'!N36,'Week 7'!N36,'Week 8'!N38,'Week 9'!N39,'Week 10'!N37,'Week 11'!N34,'Week 12'!N41,'Week 13'!N35,'Week 14'!N39,N39)," - ",SUM('Week 1'!N40,'Week 2'!N40,'Week 3'!N40,'Week 4'!N40,'Week 5'!N41,'Week 6'!N37,'Week 7'!N37,'Week 8'!N39,'Week 9'!N40,'Week 10'!N38,'Week 11'!N35,'Week 12'!N42,'Week 13'!N36,'Week 14'!N40,N40))</f>
        <v>20 - 26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11</v>
      </c>
      <c r="E45" s="29">
        <v>480.0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445.0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410.0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375.0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14</v>
      </c>
      <c r="E49" s="29">
        <v>370.0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16</v>
      </c>
      <c r="E50" s="29">
        <v>365.0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6</v>
      </c>
      <c r="E51" s="29">
        <v>325.0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12</v>
      </c>
      <c r="E52" s="29">
        <v>320.0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8</v>
      </c>
      <c r="E53" s="29">
        <v>290.0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17</v>
      </c>
      <c r="E54" s="29">
        <v>290.0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280.0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275.0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325</v>
      </c>
      <c r="D63" s="40"/>
      <c r="G63" s="40"/>
      <c r="H63" s="40">
        <f t="shared" ref="H63:H74" si="74">RANK(J63,$J$63:$J$79,false)</f>
        <v>1</v>
      </c>
      <c r="I63" s="40" t="str">
        <f t="array" ref="I63:J79">SORT(B63:C79,2,false)</f>
        <v>Caleb</v>
      </c>
      <c r="J63" s="40">
        <v>480.0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275</v>
      </c>
      <c r="D64" s="40"/>
      <c r="G64" s="40"/>
      <c r="H64" s="40">
        <f t="shared" si="74"/>
        <v>2</v>
      </c>
      <c r="I64" s="40" t="s">
        <v>13</v>
      </c>
      <c r="J64" s="40">
        <v>445.0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290</v>
      </c>
      <c r="D65" s="40"/>
      <c r="G65" s="40"/>
      <c r="H65" s="40">
        <f t="shared" si="74"/>
        <v>3</v>
      </c>
      <c r="I65" s="40" t="s">
        <v>10</v>
      </c>
      <c r="J65" s="40">
        <v>410.0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375</v>
      </c>
      <c r="D66" s="40"/>
      <c r="G66" s="40"/>
      <c r="H66" s="40">
        <f t="shared" si="74"/>
        <v>4</v>
      </c>
      <c r="I66" s="40" t="s">
        <v>9</v>
      </c>
      <c r="J66" s="40">
        <v>375.0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410</v>
      </c>
      <c r="D67" s="40"/>
      <c r="G67" s="40"/>
      <c r="H67" s="40">
        <f t="shared" si="74"/>
        <v>5</v>
      </c>
      <c r="I67" s="40" t="s">
        <v>14</v>
      </c>
      <c r="J67" s="40">
        <v>370.0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480</v>
      </c>
      <c r="D68" s="40"/>
      <c r="G68" s="40"/>
      <c r="H68" s="40">
        <f t="shared" si="74"/>
        <v>6</v>
      </c>
      <c r="I68" s="40" t="s">
        <v>16</v>
      </c>
      <c r="J68" s="40">
        <v>365.0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320</v>
      </c>
      <c r="D69" s="40"/>
      <c r="G69" s="40"/>
      <c r="H69" s="40">
        <f t="shared" si="74"/>
        <v>7</v>
      </c>
      <c r="I69" s="40" t="s">
        <v>6</v>
      </c>
      <c r="J69" s="40">
        <v>325.0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445</v>
      </c>
      <c r="D70" s="40"/>
      <c r="G70" s="40"/>
      <c r="H70" s="40">
        <f t="shared" si="74"/>
        <v>8</v>
      </c>
      <c r="I70" s="40" t="s">
        <v>12</v>
      </c>
      <c r="J70" s="40">
        <v>320.0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370</v>
      </c>
      <c r="D71" s="40"/>
      <c r="G71" s="40"/>
      <c r="H71" s="40">
        <f t="shared" si="74"/>
        <v>9</v>
      </c>
      <c r="I71" s="40" t="s">
        <v>8</v>
      </c>
      <c r="J71" s="40">
        <v>290.0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280</v>
      </c>
      <c r="D72" s="40"/>
      <c r="G72" s="40"/>
      <c r="H72" s="40">
        <f t="shared" si="74"/>
        <v>9</v>
      </c>
      <c r="I72" s="40" t="s">
        <v>17</v>
      </c>
      <c r="J72" s="40">
        <v>290.0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365</v>
      </c>
      <c r="D73" s="40"/>
      <c r="G73" s="40"/>
      <c r="H73" s="40">
        <f t="shared" si="74"/>
        <v>11</v>
      </c>
      <c r="I73" s="40" t="s">
        <v>15</v>
      </c>
      <c r="J73" s="40">
        <v>280.0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290</v>
      </c>
      <c r="D74" s="40"/>
      <c r="G74" s="40"/>
      <c r="H74" s="40">
        <f t="shared" si="74"/>
        <v>12</v>
      </c>
      <c r="I74" s="40" t="s">
        <v>7</v>
      </c>
      <c r="J74" s="40">
        <v>275.0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AND($I19=$C19,$C19=0)</formula>
    </cfRule>
  </conditionalFormatting>
  <conditionalFormatting sqref="G2:K17">
    <cfRule type="expression" dxfId="7" priority="2">
      <formula>$I19=$C19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AND($N19=$C19,$C19=0)</formula>
    </cfRule>
  </conditionalFormatting>
  <conditionalFormatting sqref="L2:P17">
    <cfRule type="expression" dxfId="7" priority="9">
      <formula>$N19=$C19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AND($S19=$C19,$C19=0)</formula>
    </cfRule>
  </conditionalFormatting>
  <conditionalFormatting sqref="Q2:U17">
    <cfRule type="expression" dxfId="7" priority="16">
      <formula>$S19=$C19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AND($X19=$C19,$C19=0)</formula>
    </cfRule>
  </conditionalFormatting>
  <conditionalFormatting sqref="V2:Z17">
    <cfRule type="expression" dxfId="7" priority="78">
      <formula>$X19=$C19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AND($AC19=$C19,$C19=0)</formula>
    </cfRule>
  </conditionalFormatting>
  <conditionalFormatting sqref="AA2:AE17">
    <cfRule type="expression" dxfId="7" priority="81">
      <formula>$AC19=$C19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AND($AH19=$C19,$C19=0)</formula>
    </cfRule>
  </conditionalFormatting>
  <conditionalFormatting sqref="AF2:AJ17">
    <cfRule type="expression" dxfId="7" priority="84">
      <formula>$AH19=$C19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AND($AM19=$C19,$C19=0)</formula>
    </cfRule>
  </conditionalFormatting>
  <conditionalFormatting sqref="AK2:AO17">
    <cfRule type="expression" dxfId="7" priority="87">
      <formula>$AM19=$C19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AND($AR19=$C19,$C19=0)</formula>
    </cfRule>
  </conditionalFormatting>
  <conditionalFormatting sqref="AP2:AT17">
    <cfRule type="expression" dxfId="7" priority="90">
      <formula>$AR19=$C19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AND($AW19=$C19,$C19=0)</formula>
    </cfRule>
  </conditionalFormatting>
  <conditionalFormatting sqref="AU2:AY17">
    <cfRule type="expression" dxfId="7" priority="93">
      <formula>$AW19=$C19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AND($BB19=$C19,$C19=0)</formula>
    </cfRule>
  </conditionalFormatting>
  <conditionalFormatting sqref="AZ2:BD17">
    <cfRule type="expression" dxfId="7" priority="96">
      <formula>$BB19=$C19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AND($BG19=$C19,$C19=0)</formula>
    </cfRule>
  </conditionalFormatting>
  <conditionalFormatting sqref="BE2:BI17">
    <cfRule type="expression" dxfId="7" priority="99">
      <formula>$BG19=$C19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AND($BL19=$C19,$C19=0)</formula>
    </cfRule>
  </conditionalFormatting>
  <conditionalFormatting sqref="BJ2:BN17">
    <cfRule type="expression" dxfId="7" priority="102">
      <formula>$BL19=$C19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345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349</v>
      </c>
      <c r="B2" s="17" t="s">
        <v>350</v>
      </c>
      <c r="C2" s="18" t="str">
        <f>IFERROR(__xludf.DUMMYFUNCTION("IMPORTRANGE(""https://docs.google.com/spreadsheets/d/1v9a6MxzpyXdVbef97sptWrOJUpuAu6ldKC6wbegqpyg/edit?gid=2102188581#gid=2102188581"",""Week 16!C3:F18"")"),"")</f>
        <v/>
      </c>
      <c r="D2" s="11" t="str">
        <f>IFERROR(__xludf.DUMMYFUNCTION("""COMPUTED_VALUE"""),"")</f>
        <v/>
      </c>
      <c r="E2" s="19"/>
      <c r="F2" s="20"/>
      <c r="G2" s="19" t="s">
        <v>54</v>
      </c>
      <c r="H2" s="11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24.0</v>
      </c>
      <c r="J2" s="19">
        <v>31.0</v>
      </c>
      <c r="K2" s="20" t="b">
        <v>0</v>
      </c>
      <c r="L2" s="24" t="s">
        <v>69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17.0</v>
      </c>
      <c r="O2" s="24">
        <v>14.0</v>
      </c>
      <c r="P2" s="24" t="b">
        <v>0</v>
      </c>
      <c r="Q2" s="27" t="s">
        <v>54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17.0</v>
      </c>
      <c r="T2" s="19">
        <v>21.0</v>
      </c>
      <c r="U2" s="20" t="b">
        <v>0</v>
      </c>
      <c r="V2" s="19" t="s">
        <v>69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17.0</v>
      </c>
      <c r="Y2" s="19">
        <v>14.0</v>
      </c>
      <c r="Z2" s="20" t="b">
        <v>0</v>
      </c>
      <c r="AA2" s="27" t="s">
        <v>54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54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14.0</v>
      </c>
      <c r="AI2" s="19">
        <v>17.0</v>
      </c>
      <c r="AJ2" s="20" t="b">
        <v>0</v>
      </c>
      <c r="AK2" s="19" t="s">
        <v>69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31.0</v>
      </c>
      <c r="AN2" s="19">
        <v>24.0</v>
      </c>
      <c r="AO2" s="20" t="b">
        <v>0</v>
      </c>
      <c r="AP2" s="27" t="s">
        <v>54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21.0</v>
      </c>
      <c r="AS2" s="19">
        <v>24.0</v>
      </c>
      <c r="AT2" s="20" t="b">
        <v>0</v>
      </c>
      <c r="AU2" s="27" t="s">
        <v>54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24.0</v>
      </c>
      <c r="AX2" s="19">
        <v>27.0</v>
      </c>
      <c r="AY2" s="20" t="b">
        <v>0</v>
      </c>
      <c r="AZ2" s="27" t="s">
        <v>54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20.0</v>
      </c>
      <c r="BC2" s="19">
        <v>23.0</v>
      </c>
      <c r="BD2" s="20" t="b">
        <v>0</v>
      </c>
      <c r="BE2" s="27" t="s">
        <v>54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20.0</v>
      </c>
      <c r="BH2" s="19">
        <v>23.0</v>
      </c>
      <c r="BI2" s="20" t="b">
        <v>0</v>
      </c>
      <c r="BJ2" s="27" t="s">
        <v>54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14.0</v>
      </c>
      <c r="BM2" s="19">
        <v>17.0</v>
      </c>
      <c r="BN2" s="20" t="b">
        <v>0</v>
      </c>
      <c r="BO2" s="19"/>
      <c r="BP2" s="19"/>
      <c r="BQ2" s="19"/>
    </row>
    <row r="3">
      <c r="A3" s="16" t="s">
        <v>398</v>
      </c>
      <c r="B3" s="30" t="s">
        <v>399</v>
      </c>
      <c r="C3" s="18"/>
      <c r="D3" s="11" t="str">
        <f>IFERROR(__xludf.DUMMYFUNCTION("""COMPUTED_VALUE"""),"")</f>
        <v/>
      </c>
      <c r="E3" s="17"/>
      <c r="F3" s="31"/>
      <c r="G3" s="19" t="s">
        <v>44</v>
      </c>
      <c r="H3" s="11" t="str">
        <f t="shared" si="1"/>
        <v/>
      </c>
      <c r="I3" s="19">
        <v>21.0</v>
      </c>
      <c r="J3" s="19">
        <v>24.0</v>
      </c>
      <c r="K3" s="20" t="b">
        <v>0</v>
      </c>
      <c r="L3" s="19" t="s">
        <v>26</v>
      </c>
      <c r="M3" s="11" t="str">
        <f t="shared" si="2"/>
        <v/>
      </c>
      <c r="N3" s="19">
        <v>27.0</v>
      </c>
      <c r="O3" s="19">
        <v>24.0</v>
      </c>
      <c r="P3" s="19" t="b">
        <v>0</v>
      </c>
      <c r="Q3" s="27" t="s">
        <v>26</v>
      </c>
      <c r="R3" s="11" t="str">
        <f t="shared" si="3"/>
        <v/>
      </c>
      <c r="S3" s="19">
        <v>27.0</v>
      </c>
      <c r="T3" s="19">
        <v>24.0</v>
      </c>
      <c r="U3" s="20" t="b">
        <v>0</v>
      </c>
      <c r="V3" s="19" t="s">
        <v>26</v>
      </c>
      <c r="W3" s="11" t="str">
        <f t="shared" si="4"/>
        <v/>
      </c>
      <c r="X3" s="19">
        <v>24.0</v>
      </c>
      <c r="Y3" s="19">
        <v>21.0</v>
      </c>
      <c r="Z3" s="20" t="b">
        <v>0</v>
      </c>
      <c r="AA3" s="27" t="s">
        <v>44</v>
      </c>
      <c r="AB3" s="11" t="str">
        <f t="shared" si="5"/>
        <v/>
      </c>
      <c r="AC3" s="19">
        <v>17.0</v>
      </c>
      <c r="AD3" s="19">
        <v>24.0</v>
      </c>
      <c r="AE3" s="19" t="b">
        <v>0</v>
      </c>
      <c r="AF3" s="27" t="s">
        <v>26</v>
      </c>
      <c r="AG3" s="11" t="str">
        <f t="shared" si="6"/>
        <v/>
      </c>
      <c r="AH3" s="19">
        <v>23.0</v>
      </c>
      <c r="AI3" s="19">
        <v>20.0</v>
      </c>
      <c r="AJ3" s="20" t="b">
        <v>0</v>
      </c>
      <c r="AK3" s="19" t="s">
        <v>44</v>
      </c>
      <c r="AL3" s="11" t="str">
        <f t="shared" si="7"/>
        <v/>
      </c>
      <c r="AM3" s="19">
        <v>14.0</v>
      </c>
      <c r="AN3" s="19">
        <v>17.0</v>
      </c>
      <c r="AO3" s="20" t="b">
        <v>0</v>
      </c>
      <c r="AP3" s="27" t="s">
        <v>44</v>
      </c>
      <c r="AQ3" s="11" t="str">
        <f t="shared" si="8"/>
        <v/>
      </c>
      <c r="AR3" s="19">
        <v>24.0</v>
      </c>
      <c r="AS3" s="19">
        <v>27.0</v>
      </c>
      <c r="AT3" s="20" t="b">
        <v>0</v>
      </c>
      <c r="AU3" s="27" t="s">
        <v>26</v>
      </c>
      <c r="AV3" s="11" t="str">
        <f t="shared" si="9"/>
        <v/>
      </c>
      <c r="AW3" s="19">
        <v>23.0</v>
      </c>
      <c r="AX3" s="19">
        <v>20.0</v>
      </c>
      <c r="AY3" s="20" t="b">
        <v>0</v>
      </c>
      <c r="AZ3" s="27" t="s">
        <v>26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44</v>
      </c>
      <c r="BF3" s="11" t="str">
        <f t="shared" si="11"/>
        <v/>
      </c>
      <c r="BG3" s="19">
        <v>24.0</v>
      </c>
      <c r="BH3" s="19">
        <v>27.0</v>
      </c>
      <c r="BI3" s="20" t="b">
        <v>0</v>
      </c>
      <c r="BJ3" s="27" t="s">
        <v>44</v>
      </c>
      <c r="BK3" s="11" t="str">
        <f t="shared" si="12"/>
        <v/>
      </c>
      <c r="BL3" s="19">
        <v>21.0</v>
      </c>
      <c r="BM3" s="19">
        <v>28.0</v>
      </c>
      <c r="BN3" s="20" t="b">
        <v>0</v>
      </c>
      <c r="BO3" s="17"/>
      <c r="BP3" s="17"/>
      <c r="BQ3" s="17"/>
    </row>
    <row r="4">
      <c r="A4" s="16" t="s">
        <v>400</v>
      </c>
      <c r="B4" s="17" t="s">
        <v>401</v>
      </c>
      <c r="C4" s="18"/>
      <c r="D4" s="11" t="str">
        <f>IFERROR(__xludf.DUMMYFUNCTION("""COMPUTED_VALUE"""),"")</f>
        <v/>
      </c>
      <c r="E4" s="19"/>
      <c r="F4" s="20"/>
      <c r="G4" s="19" t="s">
        <v>23</v>
      </c>
      <c r="H4" s="11" t="str">
        <f t="shared" si="1"/>
        <v/>
      </c>
      <c r="I4" s="19">
        <v>24.0</v>
      </c>
      <c r="J4" s="19">
        <v>21.0</v>
      </c>
      <c r="K4" s="20" t="b">
        <v>0</v>
      </c>
      <c r="L4" s="19" t="s">
        <v>23</v>
      </c>
      <c r="M4" s="11" t="str">
        <f t="shared" si="2"/>
        <v/>
      </c>
      <c r="N4" s="19">
        <v>28.0</v>
      </c>
      <c r="O4" s="19">
        <v>21.0</v>
      </c>
      <c r="P4" s="19" t="b">
        <v>0</v>
      </c>
      <c r="Q4" s="27" t="s">
        <v>23</v>
      </c>
      <c r="R4" s="11" t="str">
        <f t="shared" si="3"/>
        <v/>
      </c>
      <c r="S4" s="19">
        <v>24.0</v>
      </c>
      <c r="T4" s="19">
        <v>21.0</v>
      </c>
      <c r="U4" s="20" t="b">
        <v>0</v>
      </c>
      <c r="V4" s="19" t="s">
        <v>74</v>
      </c>
      <c r="W4" s="11" t="str">
        <f t="shared" si="4"/>
        <v/>
      </c>
      <c r="X4" s="19">
        <v>24.0</v>
      </c>
      <c r="Y4" s="19">
        <v>27.0</v>
      </c>
      <c r="Z4" s="20" t="b">
        <v>1</v>
      </c>
      <c r="AA4" s="27" t="s">
        <v>74</v>
      </c>
      <c r="AB4" s="11" t="str">
        <f t="shared" si="5"/>
        <v/>
      </c>
      <c r="AC4" s="19">
        <v>17.0</v>
      </c>
      <c r="AD4" s="19">
        <v>24.0</v>
      </c>
      <c r="AE4" s="19" t="b">
        <v>0</v>
      </c>
      <c r="AF4" s="27" t="s">
        <v>74</v>
      </c>
      <c r="AG4" s="11" t="str">
        <f t="shared" si="6"/>
        <v/>
      </c>
      <c r="AH4" s="19">
        <v>17.0</v>
      </c>
      <c r="AI4" s="19">
        <v>21.0</v>
      </c>
      <c r="AJ4" s="20" t="b">
        <v>0</v>
      </c>
      <c r="AK4" s="19" t="s">
        <v>23</v>
      </c>
      <c r="AL4" s="11" t="str">
        <f t="shared" si="7"/>
        <v/>
      </c>
      <c r="AM4" s="19">
        <v>24.0</v>
      </c>
      <c r="AN4" s="19">
        <v>21.0</v>
      </c>
      <c r="AO4" s="20" t="b">
        <v>0</v>
      </c>
      <c r="AP4" s="27" t="s">
        <v>74</v>
      </c>
      <c r="AQ4" s="11" t="str">
        <f t="shared" si="8"/>
        <v/>
      </c>
      <c r="AR4" s="19">
        <v>17.0</v>
      </c>
      <c r="AS4" s="19">
        <v>24.0</v>
      </c>
      <c r="AT4" s="20" t="b">
        <v>0</v>
      </c>
      <c r="AU4" s="27" t="s">
        <v>23</v>
      </c>
      <c r="AV4" s="11" t="str">
        <f t="shared" si="9"/>
        <v/>
      </c>
      <c r="AW4" s="19">
        <v>21.0</v>
      </c>
      <c r="AX4" s="19">
        <v>17.0</v>
      </c>
      <c r="AY4" s="20" t="b">
        <v>0</v>
      </c>
      <c r="AZ4" s="27" t="s">
        <v>23</v>
      </c>
      <c r="BA4" s="11" t="str">
        <f t="shared" si="10"/>
        <v/>
      </c>
      <c r="BB4" s="19">
        <v>23.0</v>
      </c>
      <c r="BC4" s="19">
        <v>20.0</v>
      </c>
      <c r="BD4" s="20" t="b">
        <v>0</v>
      </c>
      <c r="BE4" s="27" t="s">
        <v>23</v>
      </c>
      <c r="BF4" s="11" t="str">
        <f t="shared" si="11"/>
        <v/>
      </c>
      <c r="BG4" s="19">
        <v>10.0</v>
      </c>
      <c r="BH4" s="19">
        <v>7.0</v>
      </c>
      <c r="BI4" s="20" t="b">
        <v>1</v>
      </c>
      <c r="BJ4" s="27" t="s">
        <v>23</v>
      </c>
      <c r="BK4" s="11" t="str">
        <f t="shared" si="12"/>
        <v/>
      </c>
      <c r="BL4" s="19">
        <v>28.0</v>
      </c>
      <c r="BM4" s="19">
        <v>21.0</v>
      </c>
      <c r="BN4" s="20" t="b">
        <v>0</v>
      </c>
      <c r="BO4" s="17"/>
      <c r="BP4" s="17"/>
      <c r="BQ4" s="17"/>
    </row>
    <row r="5">
      <c r="A5" s="16" t="s">
        <v>402</v>
      </c>
      <c r="B5" s="30" t="s">
        <v>403</v>
      </c>
      <c r="C5" s="18"/>
      <c r="D5" s="11" t="str">
        <f>IFERROR(__xludf.DUMMYFUNCTION("""COMPUTED_VALUE"""),"")</f>
        <v/>
      </c>
      <c r="E5" s="19"/>
      <c r="F5" s="20"/>
      <c r="G5" s="19" t="s">
        <v>39</v>
      </c>
      <c r="H5" s="11" t="str">
        <f t="shared" si="1"/>
        <v/>
      </c>
      <c r="I5" s="19">
        <v>28.0</v>
      </c>
      <c r="J5" s="19">
        <v>21.0</v>
      </c>
      <c r="K5" s="20" t="b">
        <v>0</v>
      </c>
      <c r="L5" s="19" t="s">
        <v>24</v>
      </c>
      <c r="M5" s="11" t="str">
        <f t="shared" si="2"/>
        <v/>
      </c>
      <c r="N5" s="19">
        <v>24.0</v>
      </c>
      <c r="O5" s="19">
        <v>27.0</v>
      </c>
      <c r="P5" s="19" t="b">
        <v>0</v>
      </c>
      <c r="Q5" s="27" t="s">
        <v>24</v>
      </c>
      <c r="R5" s="11" t="str">
        <f t="shared" si="3"/>
        <v/>
      </c>
      <c r="S5" s="19">
        <v>17.0</v>
      </c>
      <c r="T5" s="19">
        <v>20.0</v>
      </c>
      <c r="U5" s="20" t="b">
        <v>0</v>
      </c>
      <c r="V5" s="19" t="s">
        <v>39</v>
      </c>
      <c r="W5" s="11" t="str">
        <f t="shared" si="4"/>
        <v/>
      </c>
      <c r="X5" s="19">
        <v>27.0</v>
      </c>
      <c r="Y5" s="19">
        <v>24.0</v>
      </c>
      <c r="Z5" s="20" t="b">
        <v>0</v>
      </c>
      <c r="AA5" s="27" t="s">
        <v>39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39</v>
      </c>
      <c r="AG5" s="11" t="str">
        <f t="shared" si="6"/>
        <v/>
      </c>
      <c r="AH5" s="19">
        <v>23.0</v>
      </c>
      <c r="AI5" s="19">
        <v>20.0</v>
      </c>
      <c r="AJ5" s="20" t="b">
        <v>0</v>
      </c>
      <c r="AK5" s="19" t="s">
        <v>24</v>
      </c>
      <c r="AL5" s="11" t="str">
        <f t="shared" si="7"/>
        <v/>
      </c>
      <c r="AM5" s="19">
        <v>17.0</v>
      </c>
      <c r="AN5" s="19">
        <v>21.0</v>
      </c>
      <c r="AO5" s="20" t="b">
        <v>0</v>
      </c>
      <c r="AP5" s="27" t="s">
        <v>24</v>
      </c>
      <c r="AQ5" s="11" t="str">
        <f t="shared" si="8"/>
        <v/>
      </c>
      <c r="AR5" s="19">
        <v>20.0</v>
      </c>
      <c r="AS5" s="19">
        <v>23.0</v>
      </c>
      <c r="AT5" s="20" t="b">
        <v>0</v>
      </c>
      <c r="AU5" s="27" t="s">
        <v>24</v>
      </c>
      <c r="AV5" s="11" t="str">
        <f t="shared" si="9"/>
        <v/>
      </c>
      <c r="AW5" s="19">
        <v>17.0</v>
      </c>
      <c r="AX5" s="19">
        <v>20.0</v>
      </c>
      <c r="AY5" s="20" t="b">
        <v>0</v>
      </c>
      <c r="AZ5" s="27" t="s">
        <v>24</v>
      </c>
      <c r="BA5" s="11" t="str">
        <f t="shared" si="10"/>
        <v/>
      </c>
      <c r="BB5" s="19">
        <v>20.0</v>
      </c>
      <c r="BC5" s="19">
        <v>23.0</v>
      </c>
      <c r="BD5" s="20" t="b">
        <v>0</v>
      </c>
      <c r="BE5" s="27" t="s">
        <v>39</v>
      </c>
      <c r="BF5" s="11" t="str">
        <f t="shared" si="11"/>
        <v/>
      </c>
      <c r="BG5" s="19">
        <v>31.0</v>
      </c>
      <c r="BH5" s="19">
        <v>24.0</v>
      </c>
      <c r="BI5" s="20" t="b">
        <v>0</v>
      </c>
      <c r="BJ5" s="27" t="s">
        <v>39</v>
      </c>
      <c r="BK5" s="11" t="str">
        <f t="shared" si="12"/>
        <v/>
      </c>
      <c r="BL5" s="19">
        <v>28.0</v>
      </c>
      <c r="BM5" s="19">
        <v>21.0</v>
      </c>
      <c r="BN5" s="20" t="b">
        <v>0</v>
      </c>
      <c r="BO5" s="17"/>
      <c r="BP5" s="17"/>
      <c r="BQ5" s="17"/>
    </row>
    <row r="6">
      <c r="A6" s="16" t="s">
        <v>404</v>
      </c>
      <c r="B6" s="30" t="s">
        <v>405</v>
      </c>
      <c r="C6" s="18"/>
      <c r="D6" s="11" t="str">
        <f>IFERROR(__xludf.DUMMYFUNCTION("""COMPUTED_VALUE"""),"")</f>
        <v/>
      </c>
      <c r="E6" s="19"/>
      <c r="F6" s="20"/>
      <c r="G6" s="19" t="s">
        <v>29</v>
      </c>
      <c r="H6" s="11" t="str">
        <f t="shared" si="1"/>
        <v/>
      </c>
      <c r="I6" s="19">
        <v>14.0</v>
      </c>
      <c r="J6" s="19">
        <v>20.0</v>
      </c>
      <c r="K6" s="20" t="b">
        <v>0</v>
      </c>
      <c r="L6" s="19" t="s">
        <v>48</v>
      </c>
      <c r="M6" s="11" t="str">
        <f t="shared" si="2"/>
        <v/>
      </c>
      <c r="N6" s="19">
        <v>23.0</v>
      </c>
      <c r="O6" s="19">
        <v>20.0</v>
      </c>
      <c r="P6" s="19" t="b">
        <v>0</v>
      </c>
      <c r="Q6" s="27" t="s">
        <v>48</v>
      </c>
      <c r="R6" s="11" t="str">
        <f t="shared" si="3"/>
        <v/>
      </c>
      <c r="S6" s="19">
        <v>10.0</v>
      </c>
      <c r="T6" s="19">
        <v>7.0</v>
      </c>
      <c r="U6" s="20" t="b">
        <v>0</v>
      </c>
      <c r="V6" s="19" t="s">
        <v>48</v>
      </c>
      <c r="W6" s="11" t="str">
        <f t="shared" si="4"/>
        <v/>
      </c>
      <c r="X6" s="19">
        <v>10.0</v>
      </c>
      <c r="Y6" s="19">
        <v>7.0</v>
      </c>
      <c r="Z6" s="20" t="b">
        <v>0</v>
      </c>
      <c r="AA6" s="27" t="s">
        <v>48</v>
      </c>
      <c r="AB6" s="11" t="str">
        <f t="shared" si="5"/>
        <v/>
      </c>
      <c r="AC6" s="19">
        <v>24.0</v>
      </c>
      <c r="AD6" s="19">
        <v>17.0</v>
      </c>
      <c r="AE6" s="19" t="b">
        <v>0</v>
      </c>
      <c r="AF6" s="27" t="s">
        <v>29</v>
      </c>
      <c r="AG6" s="11" t="str">
        <f t="shared" si="6"/>
        <v/>
      </c>
      <c r="AH6" s="19">
        <v>14.0</v>
      </c>
      <c r="AI6" s="19">
        <v>17.0</v>
      </c>
      <c r="AJ6" s="20" t="b">
        <v>0</v>
      </c>
      <c r="AK6" s="19" t="s">
        <v>29</v>
      </c>
      <c r="AL6" s="11" t="str">
        <f t="shared" si="7"/>
        <v/>
      </c>
      <c r="AM6" s="19">
        <v>21.0</v>
      </c>
      <c r="AN6" s="19">
        <v>28.0</v>
      </c>
      <c r="AO6" s="20" t="b">
        <v>0</v>
      </c>
      <c r="AP6" s="27" t="s">
        <v>29</v>
      </c>
      <c r="AQ6" s="11" t="str">
        <f t="shared" si="8"/>
        <v/>
      </c>
      <c r="AR6" s="19">
        <v>21.0</v>
      </c>
      <c r="AS6" s="19">
        <v>24.0</v>
      </c>
      <c r="AT6" s="20" t="b">
        <v>0</v>
      </c>
      <c r="AU6" s="27" t="s">
        <v>29</v>
      </c>
      <c r="AV6" s="11" t="str">
        <f t="shared" si="9"/>
        <v/>
      </c>
      <c r="AW6" s="19">
        <v>17.0</v>
      </c>
      <c r="AX6" s="19">
        <v>20.0</v>
      </c>
      <c r="AY6" s="20" t="b">
        <v>0</v>
      </c>
      <c r="AZ6" s="27" t="s">
        <v>48</v>
      </c>
      <c r="BA6" s="11" t="str">
        <f t="shared" si="10"/>
        <v/>
      </c>
      <c r="BB6" s="19">
        <v>23.0</v>
      </c>
      <c r="BC6" s="19">
        <v>20.0</v>
      </c>
      <c r="BD6" s="20" t="b">
        <v>0</v>
      </c>
      <c r="BE6" s="27" t="s">
        <v>48</v>
      </c>
      <c r="BF6" s="11" t="str">
        <f t="shared" si="11"/>
        <v/>
      </c>
      <c r="BG6" s="19">
        <v>31.0</v>
      </c>
      <c r="BH6" s="19">
        <v>24.0</v>
      </c>
      <c r="BI6" s="20" t="b">
        <v>0</v>
      </c>
      <c r="BJ6" s="27" t="s">
        <v>48</v>
      </c>
      <c r="BK6" s="11" t="str">
        <f t="shared" si="12"/>
        <v/>
      </c>
      <c r="BL6" s="19">
        <v>14.0</v>
      </c>
      <c r="BM6" s="19">
        <v>10.0</v>
      </c>
      <c r="BN6" s="20" t="b">
        <v>1</v>
      </c>
      <c r="BO6" s="17"/>
      <c r="BP6" s="17"/>
      <c r="BQ6" s="17"/>
    </row>
    <row r="7">
      <c r="A7" s="16" t="s">
        <v>404</v>
      </c>
      <c r="B7" s="17" t="s">
        <v>406</v>
      </c>
      <c r="C7" s="18"/>
      <c r="D7" s="11" t="str">
        <f>IFERROR(__xludf.DUMMYFUNCTION("""COMPUTED_VALUE"""),"")</f>
        <v/>
      </c>
      <c r="E7" s="19"/>
      <c r="F7" s="20"/>
      <c r="G7" s="19" t="s">
        <v>46</v>
      </c>
      <c r="H7" s="11" t="str">
        <f t="shared" si="1"/>
        <v/>
      </c>
      <c r="I7" s="19">
        <v>20.0</v>
      </c>
      <c r="J7" s="19">
        <v>17.0</v>
      </c>
      <c r="K7" s="20" t="b">
        <v>0</v>
      </c>
      <c r="L7" s="19" t="s">
        <v>46</v>
      </c>
      <c r="M7" s="11" t="str">
        <f t="shared" si="2"/>
        <v/>
      </c>
      <c r="N7" s="19">
        <v>10.0</v>
      </c>
      <c r="O7" s="19">
        <v>7.0</v>
      </c>
      <c r="P7" s="19" t="b">
        <v>0</v>
      </c>
      <c r="Q7" s="27" t="s">
        <v>76</v>
      </c>
      <c r="R7" s="11" t="str">
        <f t="shared" si="3"/>
        <v/>
      </c>
      <c r="S7" s="19">
        <v>24.0</v>
      </c>
      <c r="T7" s="19">
        <v>31.0</v>
      </c>
      <c r="U7" s="20" t="b">
        <v>0</v>
      </c>
      <c r="V7" s="19" t="s">
        <v>46</v>
      </c>
      <c r="W7" s="11" t="str">
        <f t="shared" si="4"/>
        <v/>
      </c>
      <c r="X7" s="19">
        <v>24.0</v>
      </c>
      <c r="Y7" s="19">
        <v>21.0</v>
      </c>
      <c r="Z7" s="20" t="b">
        <v>0</v>
      </c>
      <c r="AA7" s="27" t="s">
        <v>76</v>
      </c>
      <c r="AB7" s="11" t="str">
        <f t="shared" si="5"/>
        <v/>
      </c>
      <c r="AC7" s="19">
        <v>17.0</v>
      </c>
      <c r="AD7" s="19">
        <v>24.0</v>
      </c>
      <c r="AE7" s="19" t="b">
        <v>0</v>
      </c>
      <c r="AF7" s="27" t="s">
        <v>46</v>
      </c>
      <c r="AG7" s="11" t="str">
        <f t="shared" si="6"/>
        <v/>
      </c>
      <c r="AH7" s="19">
        <v>24.0</v>
      </c>
      <c r="AI7" s="19">
        <v>21.0</v>
      </c>
      <c r="AJ7" s="20" t="b">
        <v>0</v>
      </c>
      <c r="AK7" s="19" t="s">
        <v>76</v>
      </c>
      <c r="AL7" s="11" t="str">
        <f t="shared" si="7"/>
        <v/>
      </c>
      <c r="AM7" s="19">
        <v>21.0</v>
      </c>
      <c r="AN7" s="19">
        <v>24.0</v>
      </c>
      <c r="AO7" s="20" t="b">
        <v>0</v>
      </c>
      <c r="AP7" s="27" t="s">
        <v>46</v>
      </c>
      <c r="AQ7" s="11" t="str">
        <f t="shared" si="8"/>
        <v/>
      </c>
      <c r="AR7" s="19">
        <v>28.0</v>
      </c>
      <c r="AS7" s="19">
        <v>21.0</v>
      </c>
      <c r="AT7" s="20" t="b">
        <v>0</v>
      </c>
      <c r="AU7" s="27" t="s">
        <v>46</v>
      </c>
      <c r="AV7" s="11" t="str">
        <f t="shared" si="9"/>
        <v/>
      </c>
      <c r="AW7" s="19">
        <v>20.0</v>
      </c>
      <c r="AX7" s="19">
        <v>17.0</v>
      </c>
      <c r="AY7" s="20" t="b">
        <v>0</v>
      </c>
      <c r="AZ7" s="27" t="s">
        <v>46</v>
      </c>
      <c r="BA7" s="11" t="str">
        <f t="shared" si="10"/>
        <v/>
      </c>
      <c r="BB7" s="19">
        <v>23.0</v>
      </c>
      <c r="BC7" s="19">
        <v>20.0</v>
      </c>
      <c r="BD7" s="20" t="b">
        <v>0</v>
      </c>
      <c r="BE7" s="27" t="s">
        <v>46</v>
      </c>
      <c r="BF7" s="11" t="str">
        <f t="shared" si="11"/>
        <v/>
      </c>
      <c r="BG7" s="19">
        <v>14.0</v>
      </c>
      <c r="BH7" s="19">
        <v>10.0</v>
      </c>
      <c r="BI7" s="20" t="b">
        <v>0</v>
      </c>
      <c r="BJ7" s="27" t="s">
        <v>76</v>
      </c>
      <c r="BK7" s="11" t="str">
        <f t="shared" si="12"/>
        <v/>
      </c>
      <c r="BL7" s="19">
        <v>10.0</v>
      </c>
      <c r="BM7" s="19">
        <v>14.0</v>
      </c>
      <c r="BN7" s="20" t="b">
        <v>0</v>
      </c>
      <c r="BO7" s="17"/>
      <c r="BP7" s="17"/>
      <c r="BQ7" s="17"/>
    </row>
    <row r="8">
      <c r="A8" s="16" t="s">
        <v>404</v>
      </c>
      <c r="B8" s="17" t="s">
        <v>407</v>
      </c>
      <c r="C8" s="18"/>
      <c r="D8" s="11" t="str">
        <f>IFERROR(__xludf.DUMMYFUNCTION("""COMPUTED_VALUE"""),"")</f>
        <v/>
      </c>
      <c r="E8" s="19"/>
      <c r="F8" s="20"/>
      <c r="G8" s="19" t="s">
        <v>51</v>
      </c>
      <c r="H8" s="11" t="str">
        <f t="shared" si="1"/>
        <v/>
      </c>
      <c r="I8" s="19">
        <v>10.0</v>
      </c>
      <c r="J8" s="19">
        <v>14.0</v>
      </c>
      <c r="K8" s="20" t="b">
        <v>0</v>
      </c>
      <c r="L8" s="19" t="s">
        <v>51</v>
      </c>
      <c r="M8" s="11" t="str">
        <f t="shared" si="2"/>
        <v/>
      </c>
      <c r="N8" s="19">
        <v>10.0</v>
      </c>
      <c r="O8" s="19">
        <v>14.0</v>
      </c>
      <c r="P8" s="19" t="b">
        <v>0</v>
      </c>
      <c r="Q8" s="27" t="s">
        <v>51</v>
      </c>
      <c r="R8" s="11" t="str">
        <f t="shared" si="3"/>
        <v/>
      </c>
      <c r="S8" s="19">
        <v>17.0</v>
      </c>
      <c r="T8" s="19">
        <v>20.0</v>
      </c>
      <c r="U8" s="20" t="b">
        <v>0</v>
      </c>
      <c r="V8" s="19" t="s">
        <v>51</v>
      </c>
      <c r="W8" s="11" t="str">
        <f t="shared" si="4"/>
        <v/>
      </c>
      <c r="X8" s="19">
        <v>20.0</v>
      </c>
      <c r="Y8" s="19">
        <v>23.0</v>
      </c>
      <c r="Z8" s="20" t="b">
        <v>0</v>
      </c>
      <c r="AA8" s="27" t="s">
        <v>85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85</v>
      </c>
      <c r="AG8" s="11" t="str">
        <f t="shared" si="6"/>
        <v/>
      </c>
      <c r="AH8" s="19">
        <v>10.0</v>
      </c>
      <c r="AI8" s="19">
        <v>7.0</v>
      </c>
      <c r="AJ8" s="20" t="b">
        <v>0</v>
      </c>
      <c r="AK8" s="19" t="s">
        <v>51</v>
      </c>
      <c r="AL8" s="11" t="str">
        <f t="shared" si="7"/>
        <v/>
      </c>
      <c r="AM8" s="19">
        <v>24.0</v>
      </c>
      <c r="AN8" s="19">
        <v>27.0</v>
      </c>
      <c r="AO8" s="20" t="b">
        <v>0</v>
      </c>
      <c r="AP8" s="27" t="s">
        <v>51</v>
      </c>
      <c r="AQ8" s="11" t="str">
        <f t="shared" si="8"/>
        <v/>
      </c>
      <c r="AR8" s="19">
        <v>20.0</v>
      </c>
      <c r="AS8" s="19">
        <v>24.0</v>
      </c>
      <c r="AT8" s="20" t="b">
        <v>0</v>
      </c>
      <c r="AU8" s="27" t="s">
        <v>85</v>
      </c>
      <c r="AV8" s="11" t="str">
        <f t="shared" si="9"/>
        <v/>
      </c>
      <c r="AW8" s="19">
        <v>28.0</v>
      </c>
      <c r="AX8" s="19">
        <v>21.0</v>
      </c>
      <c r="AY8" s="20" t="b">
        <v>0</v>
      </c>
      <c r="AZ8" s="27" t="s">
        <v>51</v>
      </c>
      <c r="BA8" s="11" t="str">
        <f t="shared" si="10"/>
        <v/>
      </c>
      <c r="BB8" s="19">
        <v>20.0</v>
      </c>
      <c r="BC8" s="19">
        <v>23.0</v>
      </c>
      <c r="BD8" s="20" t="b">
        <v>0</v>
      </c>
      <c r="BE8" s="27" t="s">
        <v>51</v>
      </c>
      <c r="BF8" s="11" t="str">
        <f t="shared" si="11"/>
        <v/>
      </c>
      <c r="BG8" s="19">
        <v>24.0</v>
      </c>
      <c r="BH8" s="19">
        <v>31.0</v>
      </c>
      <c r="BI8" s="20" t="b">
        <v>0</v>
      </c>
      <c r="BJ8" s="27" t="s">
        <v>85</v>
      </c>
      <c r="BK8" s="11" t="str">
        <f t="shared" si="12"/>
        <v/>
      </c>
      <c r="BL8" s="19">
        <v>21.0</v>
      </c>
      <c r="BM8" s="19">
        <v>17.0</v>
      </c>
      <c r="BN8" s="20" t="b">
        <v>0</v>
      </c>
      <c r="BO8" s="19"/>
      <c r="BP8" s="19"/>
      <c r="BQ8" s="19"/>
    </row>
    <row r="9">
      <c r="A9" s="16" t="s">
        <v>404</v>
      </c>
      <c r="B9" s="17" t="s">
        <v>408</v>
      </c>
      <c r="C9" s="18"/>
      <c r="D9" s="11" t="str">
        <f>IFERROR(__xludf.DUMMYFUNCTION("""COMPUTED_VALUE"""),"")</f>
        <v/>
      </c>
      <c r="E9" s="19"/>
      <c r="F9" s="20"/>
      <c r="G9" s="19" t="s">
        <v>33</v>
      </c>
      <c r="H9" s="11" t="str">
        <f t="shared" si="1"/>
        <v/>
      </c>
      <c r="I9" s="19">
        <v>20.0</v>
      </c>
      <c r="J9" s="19">
        <v>23.0</v>
      </c>
      <c r="K9" s="20" t="b">
        <v>0</v>
      </c>
      <c r="L9" s="19" t="s">
        <v>33</v>
      </c>
      <c r="M9" s="11" t="str">
        <f t="shared" si="2"/>
        <v/>
      </c>
      <c r="N9" s="19">
        <v>21.0</v>
      </c>
      <c r="O9" s="19">
        <v>24.0</v>
      </c>
      <c r="P9" s="19" t="b">
        <v>0</v>
      </c>
      <c r="Q9" s="27" t="s">
        <v>41</v>
      </c>
      <c r="R9" s="11" t="str">
        <f t="shared" si="3"/>
        <v/>
      </c>
      <c r="S9" s="19">
        <v>14.0</v>
      </c>
      <c r="T9" s="19">
        <v>10.0</v>
      </c>
      <c r="U9" s="20" t="b">
        <v>0</v>
      </c>
      <c r="V9" s="19" t="s">
        <v>33</v>
      </c>
      <c r="W9" s="11" t="str">
        <f t="shared" si="4"/>
        <v/>
      </c>
      <c r="X9" s="19">
        <v>24.0</v>
      </c>
      <c r="Y9" s="19">
        <v>27.0</v>
      </c>
      <c r="Z9" s="20" t="b">
        <v>0</v>
      </c>
      <c r="AA9" s="27" t="s">
        <v>33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41</v>
      </c>
      <c r="AG9" s="11" t="str">
        <f t="shared" si="6"/>
        <v/>
      </c>
      <c r="AH9" s="19">
        <v>14.0</v>
      </c>
      <c r="AI9" s="19">
        <v>10.0</v>
      </c>
      <c r="AJ9" s="20" t="b">
        <v>0</v>
      </c>
      <c r="AK9" s="19" t="s">
        <v>41</v>
      </c>
      <c r="AL9" s="11" t="str">
        <f t="shared" si="7"/>
        <v/>
      </c>
      <c r="AM9" s="19">
        <v>27.0</v>
      </c>
      <c r="AN9" s="19">
        <v>24.0</v>
      </c>
      <c r="AO9" s="20" t="b">
        <v>0</v>
      </c>
      <c r="AP9" s="27" t="s">
        <v>33</v>
      </c>
      <c r="AQ9" s="11" t="str">
        <f t="shared" si="8"/>
        <v/>
      </c>
      <c r="AR9" s="19">
        <v>13.0</v>
      </c>
      <c r="AS9" s="19">
        <v>20.0</v>
      </c>
      <c r="AT9" s="20" t="b">
        <v>0</v>
      </c>
      <c r="AU9" s="27" t="s">
        <v>41</v>
      </c>
      <c r="AV9" s="11" t="str">
        <f t="shared" si="9"/>
        <v/>
      </c>
      <c r="AW9" s="19">
        <v>31.0</v>
      </c>
      <c r="AX9" s="19">
        <v>24.0</v>
      </c>
      <c r="AY9" s="20" t="b">
        <v>1</v>
      </c>
      <c r="AZ9" s="27" t="s">
        <v>33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33</v>
      </c>
      <c r="BF9" s="11" t="str">
        <f t="shared" si="11"/>
        <v/>
      </c>
      <c r="BG9" s="19">
        <v>20.0</v>
      </c>
      <c r="BH9" s="19">
        <v>23.0</v>
      </c>
      <c r="BI9" s="20" t="b">
        <v>0</v>
      </c>
      <c r="BJ9" s="27" t="s">
        <v>41</v>
      </c>
      <c r="BK9" s="11" t="str">
        <f t="shared" si="12"/>
        <v/>
      </c>
      <c r="BL9" s="19">
        <v>31.0</v>
      </c>
      <c r="BM9" s="19">
        <v>24.0</v>
      </c>
      <c r="BN9" s="20" t="b">
        <v>0</v>
      </c>
      <c r="BO9" s="17"/>
      <c r="BP9" s="17"/>
      <c r="BQ9" s="17"/>
    </row>
    <row r="10">
      <c r="A10" s="16" t="s">
        <v>404</v>
      </c>
      <c r="B10" s="17" t="s">
        <v>409</v>
      </c>
      <c r="C10" s="18"/>
      <c r="D10" s="11" t="str">
        <f>IFERROR(__xludf.DUMMYFUNCTION("""COMPUTED_VALUE"""),"")</f>
        <v/>
      </c>
      <c r="E10" s="19"/>
      <c r="F10" s="20"/>
      <c r="G10" s="19" t="s">
        <v>50</v>
      </c>
      <c r="H10" s="11" t="str">
        <f t="shared" si="1"/>
        <v/>
      </c>
      <c r="I10" s="19">
        <v>21.0</v>
      </c>
      <c r="J10" s="19">
        <v>17.0</v>
      </c>
      <c r="K10" s="20" t="b">
        <v>1</v>
      </c>
      <c r="L10" s="19" t="s">
        <v>50</v>
      </c>
      <c r="M10" s="11" t="str">
        <f t="shared" si="2"/>
        <v/>
      </c>
      <c r="N10" s="19">
        <v>28.0</v>
      </c>
      <c r="O10" s="19">
        <v>21.0</v>
      </c>
      <c r="P10" s="19" t="b">
        <v>0</v>
      </c>
      <c r="Q10" s="27" t="s">
        <v>50</v>
      </c>
      <c r="R10" s="11" t="str">
        <f t="shared" si="3"/>
        <v/>
      </c>
      <c r="S10" s="19">
        <v>23.0</v>
      </c>
      <c r="T10" s="19">
        <v>20.0</v>
      </c>
      <c r="U10" s="20" t="b">
        <v>1</v>
      </c>
      <c r="V10" s="19" t="s">
        <v>87</v>
      </c>
      <c r="W10" s="11" t="str">
        <f t="shared" si="4"/>
        <v/>
      </c>
      <c r="X10" s="19">
        <v>10.0</v>
      </c>
      <c r="Y10" s="19">
        <v>14.0</v>
      </c>
      <c r="Z10" s="20" t="b">
        <v>0</v>
      </c>
      <c r="AA10" s="27" t="s">
        <v>50</v>
      </c>
      <c r="AB10" s="11" t="str">
        <f t="shared" si="5"/>
        <v/>
      </c>
      <c r="AC10" s="19">
        <v>24.0</v>
      </c>
      <c r="AD10" s="19">
        <v>17.0</v>
      </c>
      <c r="AE10" s="19" t="b">
        <v>0</v>
      </c>
      <c r="AF10" s="27" t="s">
        <v>50</v>
      </c>
      <c r="AG10" s="11" t="str">
        <f t="shared" si="6"/>
        <v/>
      </c>
      <c r="AH10" s="19">
        <v>10.0</v>
      </c>
      <c r="AI10" s="19">
        <v>7.0</v>
      </c>
      <c r="AJ10" s="20" t="b">
        <v>0</v>
      </c>
      <c r="AK10" s="19" t="s">
        <v>50</v>
      </c>
      <c r="AL10" s="11" t="str">
        <f t="shared" si="7"/>
        <v/>
      </c>
      <c r="AM10" s="19">
        <v>24.0</v>
      </c>
      <c r="AN10" s="19">
        <v>21.0</v>
      </c>
      <c r="AO10" s="20" t="b">
        <v>0</v>
      </c>
      <c r="AP10" s="27" t="s">
        <v>87</v>
      </c>
      <c r="AQ10" s="11" t="str">
        <f t="shared" si="8"/>
        <v/>
      </c>
      <c r="AR10" s="19">
        <v>20.0</v>
      </c>
      <c r="AS10" s="19">
        <v>23.0</v>
      </c>
      <c r="AT10" s="20" t="b">
        <v>0</v>
      </c>
      <c r="AU10" s="27" t="s">
        <v>87</v>
      </c>
      <c r="AV10" s="11" t="str">
        <f t="shared" si="9"/>
        <v/>
      </c>
      <c r="AW10" s="19">
        <v>14.0</v>
      </c>
      <c r="AX10" s="19">
        <v>17.0</v>
      </c>
      <c r="AY10" s="20" t="b">
        <v>0</v>
      </c>
      <c r="AZ10" s="27" t="s">
        <v>50</v>
      </c>
      <c r="BA10" s="11" t="str">
        <f t="shared" si="10"/>
        <v/>
      </c>
      <c r="BB10" s="19">
        <v>23.0</v>
      </c>
      <c r="BC10" s="19">
        <v>20.0</v>
      </c>
      <c r="BD10" s="20" t="b">
        <v>1</v>
      </c>
      <c r="BE10" s="27" t="s">
        <v>87</v>
      </c>
      <c r="BF10" s="11" t="str">
        <f t="shared" si="11"/>
        <v/>
      </c>
      <c r="BG10" s="19">
        <v>17.0</v>
      </c>
      <c r="BH10" s="19">
        <v>20.0</v>
      </c>
      <c r="BI10" s="20" t="b">
        <v>0</v>
      </c>
      <c r="BJ10" s="27" t="s">
        <v>87</v>
      </c>
      <c r="BK10" s="11" t="str">
        <f t="shared" si="12"/>
        <v/>
      </c>
      <c r="BL10" s="19">
        <v>21.0</v>
      </c>
      <c r="BM10" s="19">
        <v>24.0</v>
      </c>
      <c r="BN10" s="20" t="b">
        <v>0</v>
      </c>
      <c r="BO10" s="17"/>
      <c r="BP10" s="17"/>
      <c r="BQ10" s="17"/>
    </row>
    <row r="11">
      <c r="A11" s="16" t="s">
        <v>404</v>
      </c>
      <c r="B11" s="17" t="s">
        <v>410</v>
      </c>
      <c r="C11" s="18"/>
      <c r="D11" s="11" t="str">
        <f>IFERROR(__xludf.DUMMYFUNCTION("""COMPUTED_VALUE"""),"")</f>
        <v/>
      </c>
      <c r="E11" s="19"/>
      <c r="F11" s="20"/>
      <c r="G11" s="19" t="s">
        <v>126</v>
      </c>
      <c r="H11" s="11" t="str">
        <f t="shared" si="1"/>
        <v/>
      </c>
      <c r="I11" s="19">
        <v>21.0</v>
      </c>
      <c r="J11" s="19">
        <v>28.0</v>
      </c>
      <c r="K11" s="20" t="b">
        <v>0</v>
      </c>
      <c r="L11" s="19" t="s">
        <v>93</v>
      </c>
      <c r="M11" s="11" t="str">
        <f t="shared" si="2"/>
        <v/>
      </c>
      <c r="N11" s="19">
        <v>17.0</v>
      </c>
      <c r="O11" s="19">
        <v>14.0</v>
      </c>
      <c r="P11" s="19" t="b">
        <v>0</v>
      </c>
      <c r="Q11" s="27" t="s">
        <v>93</v>
      </c>
      <c r="R11" s="11" t="str">
        <f t="shared" si="3"/>
        <v/>
      </c>
      <c r="S11" s="19">
        <v>31.0</v>
      </c>
      <c r="T11" s="19">
        <v>24.0</v>
      </c>
      <c r="U11" s="20" t="b">
        <v>0</v>
      </c>
      <c r="V11" s="19" t="s">
        <v>93</v>
      </c>
      <c r="W11" s="11" t="str">
        <f t="shared" si="4"/>
        <v/>
      </c>
      <c r="X11" s="19">
        <v>17.0</v>
      </c>
      <c r="Y11" s="19">
        <v>14.0</v>
      </c>
      <c r="Z11" s="20" t="b">
        <v>0</v>
      </c>
      <c r="AA11" s="27" t="s">
        <v>126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93</v>
      </c>
      <c r="AG11" s="11" t="str">
        <f t="shared" si="6"/>
        <v/>
      </c>
      <c r="AH11" s="19">
        <v>24.0</v>
      </c>
      <c r="AI11" s="19">
        <v>21.0</v>
      </c>
      <c r="AJ11" s="20" t="b">
        <v>0</v>
      </c>
      <c r="AK11" s="19" t="s">
        <v>126</v>
      </c>
      <c r="AL11" s="11" t="str">
        <f t="shared" si="7"/>
        <v/>
      </c>
      <c r="AM11" s="19">
        <v>20.0</v>
      </c>
      <c r="AN11" s="19">
        <v>23.0</v>
      </c>
      <c r="AO11" s="20" t="b">
        <v>0</v>
      </c>
      <c r="AP11" s="27" t="s">
        <v>126</v>
      </c>
      <c r="AQ11" s="11" t="str">
        <f t="shared" si="8"/>
        <v/>
      </c>
      <c r="AR11" s="19">
        <v>20.0</v>
      </c>
      <c r="AS11" s="19">
        <v>24.0</v>
      </c>
      <c r="AT11" s="20" t="b">
        <v>0</v>
      </c>
      <c r="AU11" s="27" t="s">
        <v>126</v>
      </c>
      <c r="AV11" s="11" t="str">
        <f t="shared" si="9"/>
        <v/>
      </c>
      <c r="AW11" s="19">
        <v>20.0</v>
      </c>
      <c r="AX11" s="19">
        <v>23.0</v>
      </c>
      <c r="AY11" s="20" t="b">
        <v>0</v>
      </c>
      <c r="AZ11" s="27" t="s">
        <v>126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93</v>
      </c>
      <c r="BF11" s="11" t="str">
        <f t="shared" si="11"/>
        <v/>
      </c>
      <c r="BG11" s="19">
        <v>31.0</v>
      </c>
      <c r="BH11" s="19">
        <v>24.0</v>
      </c>
      <c r="BI11" s="20" t="b">
        <v>0</v>
      </c>
      <c r="BJ11" s="27" t="s">
        <v>126</v>
      </c>
      <c r="BK11" s="11" t="str">
        <f t="shared" si="12"/>
        <v/>
      </c>
      <c r="BL11" s="19">
        <v>10.0</v>
      </c>
      <c r="BM11" s="19">
        <v>14.0</v>
      </c>
      <c r="BN11" s="20" t="b">
        <v>0</v>
      </c>
      <c r="BO11" s="19"/>
      <c r="BP11" s="19"/>
      <c r="BQ11" s="19"/>
    </row>
    <row r="12">
      <c r="A12" s="16" t="s">
        <v>404</v>
      </c>
      <c r="B12" s="30" t="s">
        <v>411</v>
      </c>
      <c r="C12" s="18"/>
      <c r="D12" s="11" t="str">
        <f>IFERROR(__xludf.DUMMYFUNCTION("""COMPUTED_VALUE"""),"")</f>
        <v/>
      </c>
      <c r="E12" s="19"/>
      <c r="F12" s="20"/>
      <c r="G12" s="19" t="s">
        <v>28</v>
      </c>
      <c r="H12" s="11" t="str">
        <f t="shared" si="1"/>
        <v/>
      </c>
      <c r="I12" s="19">
        <v>20.0</v>
      </c>
      <c r="J12" s="19">
        <v>13.0</v>
      </c>
      <c r="K12" s="20" t="b">
        <v>0</v>
      </c>
      <c r="L12" s="19" t="s">
        <v>28</v>
      </c>
      <c r="M12" s="11" t="str">
        <f t="shared" si="2"/>
        <v/>
      </c>
      <c r="N12" s="19">
        <v>27.0</v>
      </c>
      <c r="O12" s="19">
        <v>24.0</v>
      </c>
      <c r="P12" s="19" t="b">
        <v>0</v>
      </c>
      <c r="Q12" s="27" t="s">
        <v>28</v>
      </c>
      <c r="R12" s="11" t="str">
        <f t="shared" si="3"/>
        <v/>
      </c>
      <c r="S12" s="19">
        <v>27.0</v>
      </c>
      <c r="T12" s="19">
        <v>24.0</v>
      </c>
      <c r="U12" s="20" t="b">
        <v>0</v>
      </c>
      <c r="V12" s="19" t="s">
        <v>58</v>
      </c>
      <c r="W12" s="11" t="str">
        <f t="shared" si="4"/>
        <v/>
      </c>
      <c r="X12" s="19">
        <v>14.0</v>
      </c>
      <c r="Y12" s="19">
        <v>17.0</v>
      </c>
      <c r="Z12" s="20" t="b">
        <v>0</v>
      </c>
      <c r="AA12" s="27" t="s">
        <v>28</v>
      </c>
      <c r="AB12" s="11" t="str">
        <f t="shared" si="5"/>
        <v/>
      </c>
      <c r="AC12" s="19">
        <v>24.0</v>
      </c>
      <c r="AD12" s="19">
        <v>17.0</v>
      </c>
      <c r="AE12" s="19" t="b">
        <v>0</v>
      </c>
      <c r="AF12" s="27" t="s">
        <v>28</v>
      </c>
      <c r="AG12" s="11" t="str">
        <f t="shared" si="6"/>
        <v/>
      </c>
      <c r="AH12" s="19">
        <v>27.0</v>
      </c>
      <c r="AI12" s="19">
        <v>20.0</v>
      </c>
      <c r="AJ12" s="20" t="b">
        <v>1</v>
      </c>
      <c r="AK12" s="19" t="s">
        <v>28</v>
      </c>
      <c r="AL12" s="11" t="str">
        <f t="shared" si="7"/>
        <v/>
      </c>
      <c r="AM12" s="19">
        <v>14.0</v>
      </c>
      <c r="AN12" s="19">
        <v>10.0</v>
      </c>
      <c r="AO12" s="20" t="b">
        <v>0</v>
      </c>
      <c r="AP12" s="27" t="s">
        <v>28</v>
      </c>
      <c r="AQ12" s="11" t="str">
        <f t="shared" si="8"/>
        <v/>
      </c>
      <c r="AR12" s="19">
        <v>20.0</v>
      </c>
      <c r="AS12" s="19">
        <v>17.0</v>
      </c>
      <c r="AT12" s="20" t="b">
        <v>0</v>
      </c>
      <c r="AU12" s="27" t="s">
        <v>28</v>
      </c>
      <c r="AV12" s="11" t="str">
        <f t="shared" si="9"/>
        <v/>
      </c>
      <c r="AW12" s="19">
        <v>14.0</v>
      </c>
      <c r="AX12" s="19">
        <v>10.0</v>
      </c>
      <c r="AY12" s="20" t="b">
        <v>0</v>
      </c>
      <c r="AZ12" s="27" t="s">
        <v>28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28</v>
      </c>
      <c r="BF12" s="11" t="str">
        <f t="shared" si="11"/>
        <v/>
      </c>
      <c r="BG12" s="19">
        <v>28.0</v>
      </c>
      <c r="BH12" s="19">
        <v>21.0</v>
      </c>
      <c r="BI12" s="20" t="b">
        <v>0</v>
      </c>
      <c r="BJ12" s="27" t="s">
        <v>58</v>
      </c>
      <c r="BK12" s="11" t="str">
        <f t="shared" si="12"/>
        <v/>
      </c>
      <c r="BL12" s="19">
        <v>24.0</v>
      </c>
      <c r="BM12" s="19">
        <v>31.0</v>
      </c>
      <c r="BN12" s="20" t="b">
        <v>0</v>
      </c>
      <c r="BO12" s="17"/>
      <c r="BP12" s="17"/>
      <c r="BQ12" s="17"/>
    </row>
    <row r="13">
      <c r="A13" s="16" t="s">
        <v>404</v>
      </c>
      <c r="B13" s="30" t="s">
        <v>412</v>
      </c>
      <c r="C13" s="18"/>
      <c r="D13" s="11" t="str">
        <f>IFERROR(__xludf.DUMMYFUNCTION("""COMPUTED_VALUE"""),"")</f>
        <v/>
      </c>
      <c r="E13" s="19"/>
      <c r="F13" s="20"/>
      <c r="G13" s="19" t="s">
        <v>61</v>
      </c>
      <c r="H13" s="11" t="str">
        <f t="shared" si="1"/>
        <v/>
      </c>
      <c r="I13" s="19">
        <v>21.0</v>
      </c>
      <c r="J13" s="19">
        <v>24.0</v>
      </c>
      <c r="K13" s="20" t="b">
        <v>0</v>
      </c>
      <c r="L13" s="19" t="s">
        <v>61</v>
      </c>
      <c r="M13" s="11" t="str">
        <f t="shared" si="2"/>
        <v/>
      </c>
      <c r="N13" s="19">
        <v>14.0</v>
      </c>
      <c r="O13" s="19">
        <v>17.0</v>
      </c>
      <c r="P13" s="19" t="b">
        <v>0</v>
      </c>
      <c r="Q13" s="27" t="s">
        <v>61</v>
      </c>
      <c r="R13" s="11" t="str">
        <f t="shared" si="3"/>
        <v/>
      </c>
      <c r="S13" s="19">
        <v>10.0</v>
      </c>
      <c r="T13" s="19">
        <v>14.0</v>
      </c>
      <c r="U13" s="20" t="b">
        <v>0</v>
      </c>
      <c r="V13" s="19" t="s">
        <v>34</v>
      </c>
      <c r="W13" s="11" t="str">
        <f t="shared" si="4"/>
        <v/>
      </c>
      <c r="X13" s="19">
        <v>31.0</v>
      </c>
      <c r="Y13" s="19">
        <v>24.0</v>
      </c>
      <c r="Z13" s="20" t="b">
        <v>0</v>
      </c>
      <c r="AA13" s="27" t="s">
        <v>61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61</v>
      </c>
      <c r="AG13" s="11" t="str">
        <f t="shared" si="6"/>
        <v/>
      </c>
      <c r="AH13" s="19">
        <v>17.0</v>
      </c>
      <c r="AI13" s="19">
        <v>21.0</v>
      </c>
      <c r="AJ13" s="20" t="b">
        <v>0</v>
      </c>
      <c r="AK13" s="19" t="s">
        <v>61</v>
      </c>
      <c r="AL13" s="11" t="str">
        <f t="shared" si="7"/>
        <v/>
      </c>
      <c r="AM13" s="19">
        <v>14.0</v>
      </c>
      <c r="AN13" s="19">
        <v>17.0</v>
      </c>
      <c r="AO13" s="20" t="b">
        <v>0</v>
      </c>
      <c r="AP13" s="27" t="s">
        <v>61</v>
      </c>
      <c r="AQ13" s="11" t="str">
        <f t="shared" si="8"/>
        <v/>
      </c>
      <c r="AR13" s="19">
        <v>17.0</v>
      </c>
      <c r="AS13" s="19">
        <v>27.0</v>
      </c>
      <c r="AT13" s="20" t="b">
        <v>0</v>
      </c>
      <c r="AU13" s="27" t="s">
        <v>61</v>
      </c>
      <c r="AV13" s="11" t="str">
        <f t="shared" si="9"/>
        <v/>
      </c>
      <c r="AW13" s="19">
        <v>24.0</v>
      </c>
      <c r="AX13" s="19">
        <v>31.0</v>
      </c>
      <c r="AY13" s="20" t="b">
        <v>0</v>
      </c>
      <c r="AZ13" s="27" t="s">
        <v>61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34</v>
      </c>
      <c r="BF13" s="11" t="str">
        <f t="shared" si="11"/>
        <v/>
      </c>
      <c r="BG13" s="19">
        <v>27.0</v>
      </c>
      <c r="BH13" s="19">
        <v>24.0</v>
      </c>
      <c r="BI13" s="20" t="b">
        <v>0</v>
      </c>
      <c r="BJ13" s="27" t="s">
        <v>61</v>
      </c>
      <c r="BK13" s="11" t="str">
        <f t="shared" si="12"/>
        <v/>
      </c>
      <c r="BL13" s="19">
        <v>20.0</v>
      </c>
      <c r="BM13" s="19">
        <v>23.0</v>
      </c>
      <c r="BN13" s="20" t="b">
        <v>0</v>
      </c>
      <c r="BO13" s="17"/>
      <c r="BP13" s="17"/>
      <c r="BQ13" s="17"/>
    </row>
    <row r="14">
      <c r="A14" s="16" t="s">
        <v>413</v>
      </c>
      <c r="B14" s="17" t="s">
        <v>414</v>
      </c>
      <c r="C14" s="18"/>
      <c r="D14" s="11" t="str">
        <f>IFERROR(__xludf.DUMMYFUNCTION("""COMPUTED_VALUE"""),"")</f>
        <v/>
      </c>
      <c r="E14" s="19"/>
      <c r="F14" s="20"/>
      <c r="G14" s="19" t="s">
        <v>79</v>
      </c>
      <c r="H14" s="11" t="str">
        <f t="shared" si="1"/>
        <v/>
      </c>
      <c r="I14" s="19">
        <v>21.0</v>
      </c>
      <c r="J14" s="19">
        <v>24.0</v>
      </c>
      <c r="K14" s="20" t="b">
        <v>0</v>
      </c>
      <c r="L14" s="19" t="s">
        <v>55</v>
      </c>
      <c r="M14" s="11" t="str">
        <f t="shared" si="2"/>
        <v/>
      </c>
      <c r="N14" s="19">
        <v>23.0</v>
      </c>
      <c r="O14" s="19">
        <v>20.0</v>
      </c>
      <c r="P14" s="19" t="b">
        <v>0</v>
      </c>
      <c r="Q14" s="27" t="s">
        <v>79</v>
      </c>
      <c r="R14" s="11" t="str">
        <f t="shared" si="3"/>
        <v/>
      </c>
      <c r="S14" s="19">
        <v>14.0</v>
      </c>
      <c r="T14" s="19">
        <v>17.0</v>
      </c>
      <c r="U14" s="20" t="b">
        <v>0</v>
      </c>
      <c r="V14" s="19" t="s">
        <v>79</v>
      </c>
      <c r="W14" s="11" t="str">
        <f t="shared" si="4"/>
        <v/>
      </c>
      <c r="X14" s="19">
        <v>14.0</v>
      </c>
      <c r="Y14" s="19">
        <v>17.0</v>
      </c>
      <c r="Z14" s="20" t="b">
        <v>0</v>
      </c>
      <c r="AA14" s="27" t="s">
        <v>55</v>
      </c>
      <c r="AB14" s="11" t="str">
        <f t="shared" si="5"/>
        <v/>
      </c>
      <c r="AC14" s="19">
        <v>24.0</v>
      </c>
      <c r="AD14" s="19">
        <v>17.0</v>
      </c>
      <c r="AE14" s="19" t="b">
        <v>0</v>
      </c>
      <c r="AF14" s="27" t="s">
        <v>55</v>
      </c>
      <c r="AG14" s="11" t="str">
        <f t="shared" si="6"/>
        <v/>
      </c>
      <c r="AH14" s="19">
        <v>24.0</v>
      </c>
      <c r="AI14" s="19">
        <v>17.0</v>
      </c>
      <c r="AJ14" s="20" t="b">
        <v>0</v>
      </c>
      <c r="AK14" s="19" t="s">
        <v>79</v>
      </c>
      <c r="AL14" s="11" t="str">
        <f t="shared" si="7"/>
        <v/>
      </c>
      <c r="AM14" s="19">
        <v>24.0</v>
      </c>
      <c r="AN14" s="19">
        <v>27.0</v>
      </c>
      <c r="AO14" s="20" t="b">
        <v>0</v>
      </c>
      <c r="AP14" s="27" t="s">
        <v>79</v>
      </c>
      <c r="AQ14" s="11" t="str">
        <f t="shared" si="8"/>
        <v/>
      </c>
      <c r="AR14" s="19">
        <v>17.0</v>
      </c>
      <c r="AS14" s="19">
        <v>20.0</v>
      </c>
      <c r="AT14" s="20" t="b">
        <v>0</v>
      </c>
      <c r="AU14" s="27" t="s">
        <v>79</v>
      </c>
      <c r="AV14" s="11" t="str">
        <f t="shared" si="9"/>
        <v/>
      </c>
      <c r="AW14" s="19">
        <v>21.0</v>
      </c>
      <c r="AX14" s="19">
        <v>28.0</v>
      </c>
      <c r="AY14" s="20" t="b">
        <v>0</v>
      </c>
      <c r="AZ14" s="27" t="s">
        <v>79</v>
      </c>
      <c r="BA14" s="11" t="str">
        <f t="shared" si="10"/>
        <v/>
      </c>
      <c r="BB14" s="19">
        <v>20.0</v>
      </c>
      <c r="BC14" s="19">
        <v>23.0</v>
      </c>
      <c r="BD14" s="20" t="b">
        <v>0</v>
      </c>
      <c r="BE14" s="27" t="s">
        <v>79</v>
      </c>
      <c r="BF14" s="11" t="str">
        <f t="shared" si="11"/>
        <v/>
      </c>
      <c r="BG14" s="19">
        <v>7.0</v>
      </c>
      <c r="BH14" s="19">
        <v>10.0</v>
      </c>
      <c r="BI14" s="20" t="b">
        <v>0</v>
      </c>
      <c r="BJ14" s="27" t="s">
        <v>79</v>
      </c>
      <c r="BK14" s="11" t="str">
        <f t="shared" si="12"/>
        <v/>
      </c>
      <c r="BL14" s="19">
        <v>17.0</v>
      </c>
      <c r="BM14" s="19">
        <v>20.0</v>
      </c>
      <c r="BN14" s="20" t="b">
        <v>0</v>
      </c>
      <c r="BO14" s="17"/>
      <c r="BP14" s="17"/>
      <c r="BQ14" s="17"/>
    </row>
    <row r="15">
      <c r="A15" s="16" t="s">
        <v>415</v>
      </c>
      <c r="B15" s="17" t="s">
        <v>416</v>
      </c>
      <c r="C15" s="18"/>
      <c r="D15" s="11" t="str">
        <f>IFERROR(__xludf.DUMMYFUNCTION("""COMPUTED_VALUE"""),"")</f>
        <v/>
      </c>
      <c r="E15" s="19"/>
      <c r="F15" s="20"/>
      <c r="G15" s="19" t="s">
        <v>88</v>
      </c>
      <c r="H15" s="11" t="str">
        <f t="shared" si="1"/>
        <v/>
      </c>
      <c r="I15" s="19">
        <v>10.0</v>
      </c>
      <c r="J15" s="19">
        <v>14.0</v>
      </c>
      <c r="K15" s="20" t="b">
        <v>0</v>
      </c>
      <c r="L15" s="19" t="s">
        <v>88</v>
      </c>
      <c r="M15" s="11" t="str">
        <f t="shared" si="2"/>
        <v/>
      </c>
      <c r="N15" s="19">
        <v>17.0</v>
      </c>
      <c r="O15" s="19">
        <v>20.0</v>
      </c>
      <c r="P15" s="19" t="b">
        <v>0</v>
      </c>
      <c r="Q15" s="27" t="s">
        <v>88</v>
      </c>
      <c r="R15" s="11" t="str">
        <f t="shared" si="3"/>
        <v/>
      </c>
      <c r="S15" s="19">
        <v>10.0</v>
      </c>
      <c r="T15" s="19">
        <v>14.0</v>
      </c>
      <c r="U15" s="20" t="b">
        <v>0</v>
      </c>
      <c r="V15" s="19" t="s">
        <v>40</v>
      </c>
      <c r="W15" s="11" t="str">
        <f t="shared" si="4"/>
        <v/>
      </c>
      <c r="X15" s="19">
        <v>23.0</v>
      </c>
      <c r="Y15" s="19">
        <v>20.0</v>
      </c>
      <c r="Z15" s="20" t="b">
        <v>0</v>
      </c>
      <c r="AA15" s="27" t="s">
        <v>40</v>
      </c>
      <c r="AB15" s="11" t="str">
        <f t="shared" si="5"/>
        <v/>
      </c>
      <c r="AC15" s="19">
        <v>24.0</v>
      </c>
      <c r="AD15" s="19">
        <v>17.0</v>
      </c>
      <c r="AE15" s="19" t="b">
        <v>1</v>
      </c>
      <c r="AF15" s="27" t="s">
        <v>40</v>
      </c>
      <c r="AG15" s="11" t="str">
        <f t="shared" si="6"/>
        <v/>
      </c>
      <c r="AH15" s="19">
        <v>27.0</v>
      </c>
      <c r="AI15" s="19">
        <v>17.0</v>
      </c>
      <c r="AJ15" s="20" t="b">
        <v>0</v>
      </c>
      <c r="AK15" s="19" t="s">
        <v>88</v>
      </c>
      <c r="AL15" s="11" t="str">
        <f t="shared" si="7"/>
        <v/>
      </c>
      <c r="AM15" s="19">
        <v>21.0</v>
      </c>
      <c r="AN15" s="19">
        <v>28.0</v>
      </c>
      <c r="AO15" s="20" t="b">
        <v>0</v>
      </c>
      <c r="AP15" s="27" t="s">
        <v>88</v>
      </c>
      <c r="AQ15" s="11" t="str">
        <f t="shared" si="8"/>
        <v/>
      </c>
      <c r="AR15" s="19">
        <v>23.0</v>
      </c>
      <c r="AS15" s="19">
        <v>27.0</v>
      </c>
      <c r="AT15" s="20" t="b">
        <v>0</v>
      </c>
      <c r="AU15" s="27" t="s">
        <v>40</v>
      </c>
      <c r="AV15" s="11" t="str">
        <f t="shared" si="9"/>
        <v/>
      </c>
      <c r="AW15" s="19">
        <v>21.0</v>
      </c>
      <c r="AX15" s="19">
        <v>17.0</v>
      </c>
      <c r="AY15" s="20" t="b">
        <v>0</v>
      </c>
      <c r="AZ15" s="27" t="s">
        <v>88</v>
      </c>
      <c r="BA15" s="11" t="str">
        <f t="shared" si="10"/>
        <v/>
      </c>
      <c r="BB15" s="19">
        <v>20.0</v>
      </c>
      <c r="BC15" s="19">
        <v>23.0</v>
      </c>
      <c r="BD15" s="20" t="b">
        <v>0</v>
      </c>
      <c r="BE15" s="27" t="s">
        <v>88</v>
      </c>
      <c r="BF15" s="11" t="str">
        <f t="shared" si="11"/>
        <v/>
      </c>
      <c r="BG15" s="19">
        <v>14.0</v>
      </c>
      <c r="BH15" s="19">
        <v>17.0</v>
      </c>
      <c r="BI15" s="20" t="b">
        <v>0</v>
      </c>
      <c r="BJ15" s="27" t="s">
        <v>40</v>
      </c>
      <c r="BK15" s="11" t="str">
        <f t="shared" si="12"/>
        <v/>
      </c>
      <c r="BL15" s="19">
        <v>17.0</v>
      </c>
      <c r="BM15" s="19">
        <v>14.0</v>
      </c>
      <c r="BN15" s="20" t="b">
        <v>0</v>
      </c>
      <c r="BO15" s="17"/>
      <c r="BP15" s="17"/>
      <c r="BQ15" s="17"/>
    </row>
    <row r="16">
      <c r="A16" s="16" t="s">
        <v>417</v>
      </c>
      <c r="B16" s="17" t="s">
        <v>418</v>
      </c>
      <c r="C16" s="18"/>
      <c r="D16" s="11" t="str">
        <f>IFERROR(__xludf.DUMMYFUNCTION("""COMPUTED_VALUE"""),"")</f>
        <v/>
      </c>
      <c r="E16" s="19"/>
      <c r="F16" s="20"/>
      <c r="G16" s="19" t="s">
        <v>84</v>
      </c>
      <c r="H16" s="11" t="str">
        <f t="shared" si="1"/>
        <v/>
      </c>
      <c r="I16" s="19">
        <v>21.0</v>
      </c>
      <c r="J16" s="19">
        <v>24.0</v>
      </c>
      <c r="K16" s="20" t="b">
        <v>0</v>
      </c>
      <c r="L16" s="19" t="s">
        <v>71</v>
      </c>
      <c r="M16" s="11" t="str">
        <f t="shared" si="2"/>
        <v/>
      </c>
      <c r="N16" s="19">
        <v>23.0</v>
      </c>
      <c r="O16" s="19">
        <v>20.0</v>
      </c>
      <c r="P16" s="19" t="b">
        <v>0</v>
      </c>
      <c r="Q16" s="27" t="s">
        <v>71</v>
      </c>
      <c r="R16" s="11" t="str">
        <f t="shared" si="3"/>
        <v/>
      </c>
      <c r="S16" s="19">
        <v>28.0</v>
      </c>
      <c r="T16" s="19">
        <v>21.0</v>
      </c>
      <c r="U16" s="20" t="b">
        <v>0</v>
      </c>
      <c r="V16" s="19" t="s">
        <v>71</v>
      </c>
      <c r="W16" s="11" t="str">
        <f t="shared" si="4"/>
        <v/>
      </c>
      <c r="X16" s="19">
        <v>23.0</v>
      </c>
      <c r="Y16" s="19">
        <v>20.0</v>
      </c>
      <c r="Z16" s="20" t="b">
        <v>0</v>
      </c>
      <c r="AA16" s="27" t="s">
        <v>84</v>
      </c>
      <c r="AB16" s="11" t="str">
        <f t="shared" si="5"/>
        <v/>
      </c>
      <c r="AC16" s="19">
        <v>17.0</v>
      </c>
      <c r="AD16" s="19">
        <v>24.0</v>
      </c>
      <c r="AE16" s="19" t="b">
        <v>0</v>
      </c>
      <c r="AF16" s="27" t="s">
        <v>71</v>
      </c>
      <c r="AG16" s="11" t="str">
        <f t="shared" si="6"/>
        <v/>
      </c>
      <c r="AH16" s="19">
        <v>14.0</v>
      </c>
      <c r="AI16" s="19">
        <v>10.0</v>
      </c>
      <c r="AJ16" s="20" t="b">
        <v>0</v>
      </c>
      <c r="AK16" s="19" t="s">
        <v>84</v>
      </c>
      <c r="AL16" s="11" t="str">
        <f t="shared" si="7"/>
        <v/>
      </c>
      <c r="AM16" s="19">
        <v>17.0</v>
      </c>
      <c r="AN16" s="19">
        <v>24.0</v>
      </c>
      <c r="AO16" s="20" t="b">
        <v>1</v>
      </c>
      <c r="AP16" s="27" t="s">
        <v>84</v>
      </c>
      <c r="AQ16" s="11" t="str">
        <f t="shared" si="8"/>
        <v/>
      </c>
      <c r="AR16" s="19">
        <v>20.0</v>
      </c>
      <c r="AS16" s="19">
        <v>27.0</v>
      </c>
      <c r="AT16" s="20" t="b">
        <v>0</v>
      </c>
      <c r="AU16" s="27" t="s">
        <v>71</v>
      </c>
      <c r="AV16" s="11" t="str">
        <f t="shared" si="9"/>
        <v/>
      </c>
      <c r="AW16" s="19">
        <v>21.0</v>
      </c>
      <c r="AX16" s="19">
        <v>17.0</v>
      </c>
      <c r="AY16" s="20" t="b">
        <v>0</v>
      </c>
      <c r="AZ16" s="27" t="s">
        <v>84</v>
      </c>
      <c r="BA16" s="11" t="str">
        <f t="shared" si="10"/>
        <v/>
      </c>
      <c r="BB16" s="19">
        <v>20.0</v>
      </c>
      <c r="BC16" s="19">
        <v>23.0</v>
      </c>
      <c r="BD16" s="20" t="b">
        <v>0</v>
      </c>
      <c r="BE16" s="27" t="s">
        <v>71</v>
      </c>
      <c r="BF16" s="11" t="str">
        <f t="shared" si="11"/>
        <v/>
      </c>
      <c r="BG16" s="19">
        <v>24.0</v>
      </c>
      <c r="BH16" s="19">
        <v>21.0</v>
      </c>
      <c r="BI16" s="20" t="b">
        <v>0</v>
      </c>
      <c r="BJ16" s="27" t="s">
        <v>84</v>
      </c>
      <c r="BK16" s="11" t="str">
        <f t="shared" si="12"/>
        <v/>
      </c>
      <c r="BL16" s="19">
        <v>24.0</v>
      </c>
      <c r="BM16" s="19">
        <v>27.0</v>
      </c>
      <c r="BN16" s="20" t="b">
        <v>0</v>
      </c>
      <c r="BO16" s="17"/>
      <c r="BP16" s="17"/>
      <c r="BQ16" s="17"/>
    </row>
    <row r="17">
      <c r="A17" s="32" t="s">
        <v>419</v>
      </c>
      <c r="B17" s="33" t="s">
        <v>420</v>
      </c>
      <c r="C17" s="34"/>
      <c r="D17" s="35" t="str">
        <f>IFERROR(__xludf.DUMMYFUNCTION("""COMPUTED_VALUE"""),"")</f>
        <v/>
      </c>
      <c r="E17" s="36"/>
      <c r="F17" s="37"/>
      <c r="G17" s="36" t="s">
        <v>27</v>
      </c>
      <c r="H17" s="35" t="str">
        <f t="shared" si="1"/>
        <v/>
      </c>
      <c r="I17" s="36">
        <v>20.0</v>
      </c>
      <c r="J17" s="36">
        <v>23.0</v>
      </c>
      <c r="K17" s="37" t="b">
        <v>0</v>
      </c>
      <c r="L17" s="36" t="s">
        <v>27</v>
      </c>
      <c r="M17" s="35" t="str">
        <f t="shared" si="2"/>
        <v/>
      </c>
      <c r="N17" s="36">
        <v>17.0</v>
      </c>
      <c r="O17" s="36">
        <v>20.0</v>
      </c>
      <c r="P17" s="36" t="b">
        <v>1</v>
      </c>
      <c r="Q17" s="38" t="s">
        <v>27</v>
      </c>
      <c r="R17" s="35" t="str">
        <f t="shared" si="3"/>
        <v/>
      </c>
      <c r="S17" s="36">
        <v>14.0</v>
      </c>
      <c r="T17" s="36">
        <v>17.0</v>
      </c>
      <c r="U17" s="37" t="b">
        <v>0</v>
      </c>
      <c r="V17" s="36" t="s">
        <v>92</v>
      </c>
      <c r="W17" s="35" t="str">
        <f t="shared" si="4"/>
        <v/>
      </c>
      <c r="X17" s="36">
        <v>14.0</v>
      </c>
      <c r="Y17" s="36">
        <v>10.0</v>
      </c>
      <c r="Z17" s="37" t="b">
        <v>0</v>
      </c>
      <c r="AA17" s="38" t="s">
        <v>27</v>
      </c>
      <c r="AB17" s="35" t="str">
        <f t="shared" si="5"/>
        <v/>
      </c>
      <c r="AC17" s="36">
        <v>17.0</v>
      </c>
      <c r="AD17" s="36">
        <v>24.0</v>
      </c>
      <c r="AE17" s="36" t="b">
        <v>0</v>
      </c>
      <c r="AF17" s="38" t="s">
        <v>92</v>
      </c>
      <c r="AG17" s="35" t="str">
        <f t="shared" si="6"/>
        <v/>
      </c>
      <c r="AH17" s="36">
        <v>23.0</v>
      </c>
      <c r="AI17" s="36">
        <v>20.0</v>
      </c>
      <c r="AJ17" s="37" t="b">
        <v>0</v>
      </c>
      <c r="AK17" s="36" t="s">
        <v>27</v>
      </c>
      <c r="AL17" s="35" t="str">
        <f t="shared" si="7"/>
        <v/>
      </c>
      <c r="AM17" s="36">
        <v>20.0</v>
      </c>
      <c r="AN17" s="36">
        <v>23.0</v>
      </c>
      <c r="AO17" s="37" t="b">
        <v>0</v>
      </c>
      <c r="AP17" s="38" t="s">
        <v>27</v>
      </c>
      <c r="AQ17" s="35" t="str">
        <f t="shared" si="8"/>
        <v/>
      </c>
      <c r="AR17" s="36">
        <v>20.0</v>
      </c>
      <c r="AS17" s="36">
        <v>31.0</v>
      </c>
      <c r="AT17" s="37" t="b">
        <v>1</v>
      </c>
      <c r="AU17" s="38" t="s">
        <v>92</v>
      </c>
      <c r="AV17" s="35" t="str">
        <f t="shared" si="9"/>
        <v/>
      </c>
      <c r="AW17" s="36">
        <v>14.0</v>
      </c>
      <c r="AX17" s="36">
        <v>10.0</v>
      </c>
      <c r="AY17" s="37" t="b">
        <v>0</v>
      </c>
      <c r="AZ17" s="38" t="s">
        <v>27</v>
      </c>
      <c r="BA17" s="35" t="str">
        <f t="shared" si="10"/>
        <v/>
      </c>
      <c r="BB17" s="36">
        <v>20.0</v>
      </c>
      <c r="BC17" s="36">
        <v>23.0</v>
      </c>
      <c r="BD17" s="37" t="b">
        <v>0</v>
      </c>
      <c r="BE17" s="38" t="s">
        <v>27</v>
      </c>
      <c r="BF17" s="35" t="str">
        <f t="shared" si="11"/>
        <v/>
      </c>
      <c r="BG17" s="36">
        <v>17.0</v>
      </c>
      <c r="BH17" s="36">
        <v>21.0</v>
      </c>
      <c r="BI17" s="37" t="b">
        <v>0</v>
      </c>
      <c r="BJ17" s="38" t="s">
        <v>92</v>
      </c>
      <c r="BK17" s="35" t="str">
        <f t="shared" si="12"/>
        <v/>
      </c>
      <c r="BL17" s="36">
        <v>28.0</v>
      </c>
      <c r="BM17" s="36">
        <v>21.0</v>
      </c>
      <c r="BN17" s="37" t="b">
        <v>0</v>
      </c>
      <c r="BO17" s="19"/>
      <c r="BP17" s="19"/>
      <c r="BQ17" s="19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6">
        <f t="shared" ref="C19:C34" si="13">MIN(I19,N19,S19,X19,AC19,AH19,AM19,AR19,AW19,BB19,BG19,BL19)</f>
        <v>0</v>
      </c>
      <c r="D19" s="49"/>
      <c r="E19" s="49"/>
      <c r="F19" s="49"/>
      <c r="G19" s="47" t="str">
        <f t="shared" ref="G19:G34" si="14">IF(G2=C2,ABS(I2-E2),"")</f>
        <v/>
      </c>
      <c r="H19" s="47" t="str">
        <f t="shared" ref="H19:H34" si="15">IF(G2=C2,ABS(J2-F2),"")</f>
        <v/>
      </c>
      <c r="I19" s="48" t="str">
        <f t="shared" ref="I19:I34" si="16">IF(G2=C2,SUM(G19,H19),"")</f>
        <v/>
      </c>
      <c r="J19" s="9">
        <f t="shared" ref="J19:J34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
)</f>
        <v>0</v>
      </c>
      <c r="K19" s="49" t="str">
        <f t="shared" ref="K19:K34" si="18">IF($C2="","",
IF(G2=$C2,TRUE,FALSE))</f>
        <v/>
      </c>
      <c r="L19" s="47" t="str">
        <f t="shared" ref="L19:L34" si="19">IF(L2=C2,ABS(N2-E2),"")</f>
        <v/>
      </c>
      <c r="M19" s="47" t="str">
        <f t="shared" ref="M19:M34" si="20">IF(L2=C2,ABS(O2-F2),"")</f>
        <v/>
      </c>
      <c r="N19" s="48" t="str">
        <f t="shared" ref="N19:N34" si="21">IF(L2=C2,SUM(L19,M19),"")</f>
        <v/>
      </c>
      <c r="O19" s="9">
        <f t="shared" ref="O19:O34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
)</f>
        <v>0</v>
      </c>
      <c r="P19" s="49" t="str">
        <f t="shared" ref="P19:P34" si="23">IF($C2="","",
IF(L2=$C2,TRUE,FALSE))</f>
        <v/>
      </c>
      <c r="Q19" s="47" t="str">
        <f t="shared" ref="Q19:Q34" si="24">IF(Q2=C2,ABS(S2-E2),"")</f>
        <v/>
      </c>
      <c r="R19" s="47" t="str">
        <f t="shared" ref="R19:R34" si="25">IF(Q2=C2,ABS(T2-F2),"")</f>
        <v/>
      </c>
      <c r="S19" s="48" t="str">
        <f t="shared" ref="S19:S34" si="26">IF(Q2=C2,SUM(Q19,R19),"")</f>
        <v/>
      </c>
      <c r="T19" s="9">
        <f t="shared" ref="T19:T34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
)</f>
        <v>0</v>
      </c>
      <c r="U19" s="49" t="str">
        <f t="shared" ref="U19:U34" si="28">IF($C2="","",
IF(Q2=$C2,TRUE,FALSE))</f>
        <v/>
      </c>
      <c r="V19" s="47" t="str">
        <f t="shared" ref="V19:V34" si="29">IF(V2=C2,ABS(X2-E2),"")</f>
        <v/>
      </c>
      <c r="W19" s="47" t="str">
        <f t="shared" ref="W19:W34" si="30">IF(V2=C2,ABS(Y2-F2),"")</f>
        <v/>
      </c>
      <c r="X19" s="48" t="str">
        <f t="shared" ref="X19:X34" si="31">IF(V2=C2,SUM(V19,W19),"")</f>
        <v/>
      </c>
      <c r="Y19" s="9">
        <f t="shared" ref="Y19:Y34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
)</f>
        <v>0</v>
      </c>
      <c r="Z19" s="49" t="str">
        <f t="shared" ref="Z19:Z34" si="33">IF($C2="","",
IF(V2=$C2,TRUE,FALSE))</f>
        <v/>
      </c>
      <c r="AA19" s="47" t="str">
        <f t="shared" ref="AA19:AA34" si="34">IF(AA2=C2,ABS(AC2-E2),"")</f>
        <v/>
      </c>
      <c r="AB19" s="47" t="str">
        <f t="shared" ref="AB19:AB34" si="35">IF(AA2=C2,ABS(AD2-F2),"")</f>
        <v/>
      </c>
      <c r="AC19" s="48" t="str">
        <f t="shared" ref="AC19:AC34" si="36">IF(AA2=C2,SUM(AA19,AB19),"")</f>
        <v/>
      </c>
      <c r="AD19" s="9">
        <f t="shared" ref="AD19:AD34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
)</f>
        <v>0</v>
      </c>
      <c r="AE19" s="49" t="str">
        <f t="shared" ref="AE19:AE34" si="38">IF($C2="","",
IF(AA2=$C2,TRUE,FALSE))</f>
        <v/>
      </c>
      <c r="AF19" s="47" t="str">
        <f t="shared" ref="AF19:AF34" si="39">IF(AF2=C2,ABS(AH2-E2),"")</f>
        <v/>
      </c>
      <c r="AG19" s="47" t="str">
        <f t="shared" ref="AG19:AG34" si="40">IF(AF2=C2,ABS(AI2-F2),"")</f>
        <v/>
      </c>
      <c r="AH19" s="48" t="str">
        <f t="shared" ref="AH19:AH34" si="41">IF(AF2=C2,SUM(AF19,AG19),"")</f>
        <v/>
      </c>
      <c r="AI19" s="9">
        <f t="shared" ref="AI19:AI34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
)</f>
        <v>0</v>
      </c>
      <c r="AJ19" s="49" t="str">
        <f t="shared" ref="AJ19:AJ34" si="43">IF($C2="","",
IF(AF2=$C2,TRUE,FALSE))</f>
        <v/>
      </c>
      <c r="AK19" s="47" t="str">
        <f t="shared" ref="AK19:AK34" si="44">IF(AK2=C2,ABS(AM2-E2),"")</f>
        <v/>
      </c>
      <c r="AL19" s="47" t="str">
        <f t="shared" ref="AL19:AL34" si="45">IF(AK2=C2,ABS(AN2-F2),"")</f>
        <v/>
      </c>
      <c r="AM19" s="48" t="str">
        <f t="shared" ref="AM19:AM34" si="46">IF(AK2=C2,SUM(AK19,AL19),"")</f>
        <v/>
      </c>
      <c r="AN19" s="9">
        <f t="shared" ref="AN19:AN34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
)</f>
        <v>0</v>
      </c>
      <c r="AO19" s="49" t="str">
        <f t="shared" ref="AO19:AO34" si="48">IF($C2="","",
IF(AK2=$C2,TRUE,FALSE))</f>
        <v/>
      </c>
      <c r="AP19" s="47" t="str">
        <f t="shared" ref="AP19:AP34" si="49">IF(AP2=C2,ABS(AR2-E2),"")</f>
        <v/>
      </c>
      <c r="AQ19" s="47" t="str">
        <f t="shared" ref="AQ19:AQ34" si="50">IF(AP2=C2,ABS(AS2-F2),"")</f>
        <v/>
      </c>
      <c r="AR19" s="48" t="str">
        <f t="shared" ref="AR19:AR34" si="51">IF(AP2=C2,SUM(AP19,AQ19),"")</f>
        <v/>
      </c>
      <c r="AS19" s="9">
        <f t="shared" ref="AS19:AS34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
)</f>
        <v>0</v>
      </c>
      <c r="AT19" s="49" t="str">
        <f t="shared" ref="AT19:AT34" si="53">IF($C2="","",
IF(AP2=$C2,TRUE,FALSE))</f>
        <v/>
      </c>
      <c r="AU19" s="47" t="str">
        <f t="shared" ref="AU19:AU34" si="54">IF(AU2=C2,ABS(AW2-E2),"")</f>
        <v/>
      </c>
      <c r="AV19" s="47" t="str">
        <f t="shared" ref="AV19:AV34" si="55">IF(AU2=C2,ABS(AX2-F2),"")</f>
        <v/>
      </c>
      <c r="AW19" s="48" t="str">
        <f t="shared" ref="AW19:AW34" si="56">IF(AU2=C2,SUM(AU19,AV19),"")</f>
        <v/>
      </c>
      <c r="AX19" s="9">
        <f t="shared" ref="AX19:AX34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
)</f>
        <v>0</v>
      </c>
      <c r="AY19" s="49" t="str">
        <f t="shared" ref="AY19:AY34" si="58">IF($C2="","",
IF(AU2=$C2,TRUE,FALSE))</f>
        <v/>
      </c>
      <c r="AZ19" s="47" t="str">
        <f t="shared" ref="AZ19:AZ34" si="59">IF(AZ2=C2,ABS(BB2-E2),"")</f>
        <v/>
      </c>
      <c r="BA19" s="47" t="str">
        <f t="shared" ref="BA19:BA34" si="60">IF(AZ2=C2,ABS(BC2-F2),"")</f>
        <v/>
      </c>
      <c r="BB19" s="48" t="str">
        <f t="shared" ref="BB19:BB34" si="61">IF(AZ2=C2,SUM(AZ19,BA19),"")</f>
        <v/>
      </c>
      <c r="BC19" s="9">
        <f t="shared" ref="BC19:BC34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
)</f>
        <v>0</v>
      </c>
      <c r="BD19" s="49" t="str">
        <f t="shared" ref="BD19:BD34" si="63">IF($C2="","",
IF(AZ2=$C2,TRUE,FALSE))</f>
        <v/>
      </c>
      <c r="BE19" s="47" t="str">
        <f t="shared" ref="BE19:BE34" si="64">IF(BE2=C2,ABS(BG2-E2),"")</f>
        <v/>
      </c>
      <c r="BF19" s="47" t="str">
        <f t="shared" ref="BF19:BF34" si="65">IF(BE2=C2,ABS(BH2-F2),"")</f>
        <v/>
      </c>
      <c r="BG19" s="48" t="str">
        <f t="shared" ref="BG19:BG34" si="66">IF(BE2=C2,SUM(BE19,BF19),"")</f>
        <v/>
      </c>
      <c r="BH19" s="9">
        <f t="shared" ref="BH19:BH34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
)</f>
        <v>0</v>
      </c>
      <c r="BI19" s="49" t="str">
        <f t="shared" ref="BI19:BI34" si="68">IF($C2="","",
IF(BE2=$C2,TRUE,FALSE))</f>
        <v/>
      </c>
      <c r="BJ19" s="47" t="str">
        <f t="shared" ref="BJ19:BJ34" si="69">IF(BJ2=C2,ABS(BL2-E2),"")</f>
        <v/>
      </c>
      <c r="BK19" s="47" t="str">
        <f t="shared" ref="BK19:BK34" si="70">IF(BJ2=C2,ABS(BM2-F2),"")</f>
        <v/>
      </c>
      <c r="BL19" s="48" t="str">
        <f t="shared" ref="BL19:BL34" si="71">IF(BJ2=C2,SUM(BJ19,BK19),"")</f>
        <v/>
      </c>
      <c r="BM19" s="9">
        <f t="shared" ref="BM19:BM34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
)</f>
        <v>0</v>
      </c>
      <c r="BN19" s="49" t="str">
        <f t="shared" ref="BN19:BN34" si="73">IF($C2="","",
IF(BJ2=$C2,TRUE,FALSE))</f>
        <v/>
      </c>
      <c r="BO19" s="41"/>
      <c r="BP19" s="41"/>
      <c r="BQ19" s="41"/>
    </row>
    <row r="20" hidden="1">
      <c r="A20" s="40"/>
      <c r="B20" s="40"/>
      <c r="C20" s="46">
        <f t="shared" si="13"/>
        <v>0</v>
      </c>
      <c r="D20" s="49"/>
      <c r="E20" s="49"/>
      <c r="F20" s="49"/>
      <c r="G20" s="47" t="str">
        <f t="shared" si="14"/>
        <v/>
      </c>
      <c r="H20" s="47" t="str">
        <f t="shared" si="15"/>
        <v/>
      </c>
      <c r="I20" s="48" t="str">
        <f t="shared" si="16"/>
        <v/>
      </c>
      <c r="J20" s="9">
        <f t="shared" si="17"/>
        <v>0</v>
      </c>
      <c r="K20" s="49" t="str">
        <f t="shared" si="18"/>
        <v/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str">
        <f t="shared" si="23"/>
        <v/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str">
        <f t="shared" si="28"/>
        <v/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str">
        <f t="shared" si="33"/>
        <v/>
      </c>
      <c r="AA20" s="47" t="str">
        <f t="shared" si="34"/>
        <v/>
      </c>
      <c r="AB20" s="47" t="str">
        <f t="shared" si="35"/>
        <v/>
      </c>
      <c r="AC20" s="48" t="str">
        <f t="shared" si="36"/>
        <v/>
      </c>
      <c r="AD20" s="9">
        <f t="shared" si="37"/>
        <v>0</v>
      </c>
      <c r="AE20" s="49" t="str">
        <f t="shared" si="38"/>
        <v/>
      </c>
      <c r="AF20" s="47" t="str">
        <f t="shared" si="39"/>
        <v/>
      </c>
      <c r="AG20" s="47" t="str">
        <f t="shared" si="40"/>
        <v/>
      </c>
      <c r="AH20" s="48" t="str">
        <f t="shared" si="41"/>
        <v/>
      </c>
      <c r="AI20" s="9">
        <f t="shared" si="42"/>
        <v>0</v>
      </c>
      <c r="AJ20" s="49" t="str">
        <f t="shared" si="43"/>
        <v/>
      </c>
      <c r="AK20" s="47" t="str">
        <f t="shared" si="44"/>
        <v/>
      </c>
      <c r="AL20" s="47" t="str">
        <f t="shared" si="45"/>
        <v/>
      </c>
      <c r="AM20" s="48" t="str">
        <f t="shared" si="46"/>
        <v/>
      </c>
      <c r="AN20" s="9">
        <f t="shared" si="47"/>
        <v>0</v>
      </c>
      <c r="AO20" s="49" t="str">
        <f t="shared" si="48"/>
        <v/>
      </c>
      <c r="AP20" s="47" t="str">
        <f t="shared" si="49"/>
        <v/>
      </c>
      <c r="AQ20" s="47" t="str">
        <f t="shared" si="50"/>
        <v/>
      </c>
      <c r="AR20" s="48" t="str">
        <f t="shared" si="51"/>
        <v/>
      </c>
      <c r="AS20" s="9">
        <f t="shared" si="52"/>
        <v>0</v>
      </c>
      <c r="AT20" s="49" t="str">
        <f t="shared" si="53"/>
        <v/>
      </c>
      <c r="AU20" s="47" t="str">
        <f t="shared" si="54"/>
        <v/>
      </c>
      <c r="AV20" s="47" t="str">
        <f t="shared" si="55"/>
        <v/>
      </c>
      <c r="AW20" s="48" t="str">
        <f t="shared" si="56"/>
        <v/>
      </c>
      <c r="AX20" s="9">
        <f t="shared" si="57"/>
        <v>0</v>
      </c>
      <c r="AY20" s="49" t="str">
        <f t="shared" si="58"/>
        <v/>
      </c>
      <c r="AZ20" s="47" t="str">
        <f t="shared" si="59"/>
        <v/>
      </c>
      <c r="BA20" s="47" t="str">
        <f t="shared" si="60"/>
        <v/>
      </c>
      <c r="BB20" s="48" t="str">
        <f t="shared" si="61"/>
        <v/>
      </c>
      <c r="BC20" s="9">
        <f t="shared" si="62"/>
        <v>0</v>
      </c>
      <c r="BD20" s="49" t="str">
        <f t="shared" si="63"/>
        <v/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str">
        <f t="shared" si="68"/>
        <v/>
      </c>
      <c r="BJ20" s="47" t="str">
        <f t="shared" si="69"/>
        <v/>
      </c>
      <c r="BK20" s="47" t="str">
        <f t="shared" si="70"/>
        <v/>
      </c>
      <c r="BL20" s="48" t="str">
        <f t="shared" si="71"/>
        <v/>
      </c>
      <c r="BM20" s="9">
        <f t="shared" si="72"/>
        <v>0</v>
      </c>
      <c r="BN20" s="49" t="str">
        <f t="shared" si="73"/>
        <v/>
      </c>
      <c r="BO20" s="40"/>
      <c r="BP20" s="40"/>
      <c r="BQ20" s="40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9"/>
      <c r="E33" s="49"/>
      <c r="F33" s="49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9"/>
      <c r="E34" s="49"/>
      <c r="F34" s="49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0"/>
      <c r="BP34" s="40"/>
      <c r="BQ34" s="40"/>
    </row>
    <row r="35" hidden="1">
      <c r="A35" s="40"/>
      <c r="B35" s="40"/>
      <c r="C35" s="49"/>
      <c r="D35" s="49"/>
      <c r="E35" s="49"/>
      <c r="F35" s="49"/>
      <c r="G35" s="49"/>
      <c r="H35" s="49"/>
      <c r="I35" s="49"/>
      <c r="J35" s="59">
        <f>MULTIPLY(SUM(J19:J34),10)</f>
        <v>0</v>
      </c>
      <c r="K35" s="62">
        <f>COUNTIF(K19:K34,"TRUE")</f>
        <v>0</v>
      </c>
      <c r="L35" s="49"/>
      <c r="M35" s="49"/>
      <c r="N35" s="49"/>
      <c r="O35" s="59">
        <f>MULTIPLY(SUM(O19:O34),10)</f>
        <v>0</v>
      </c>
      <c r="P35" s="62">
        <f>COUNTIF(P19:P34,"TRUE")</f>
        <v>0</v>
      </c>
      <c r="Q35" s="49"/>
      <c r="R35" s="49"/>
      <c r="S35" s="49"/>
      <c r="T35" s="59">
        <f>MULTIPLY(SUM(T19:T34),10)</f>
        <v>0</v>
      </c>
      <c r="U35" s="62">
        <f>COUNTIF(U19:U34,"TRUE")</f>
        <v>0</v>
      </c>
      <c r="V35" s="49"/>
      <c r="W35" s="49"/>
      <c r="X35" s="49"/>
      <c r="Y35" s="59">
        <f>MULTIPLY(SUM(Y19:Y34),10)</f>
        <v>0</v>
      </c>
      <c r="Z35" s="62">
        <f>COUNTIF(Z19:Z34,"TRUE")</f>
        <v>0</v>
      </c>
      <c r="AA35" s="49"/>
      <c r="AB35" s="49"/>
      <c r="AC35" s="49"/>
      <c r="AD35" s="59">
        <f>MULTIPLY(SUM(AD19:AD34),10)</f>
        <v>0</v>
      </c>
      <c r="AE35" s="62">
        <f>COUNTIF(AE19:AE34,"TRUE")</f>
        <v>0</v>
      </c>
      <c r="AF35" s="49"/>
      <c r="AG35" s="49"/>
      <c r="AH35" s="49"/>
      <c r="AI35" s="59">
        <f>MULTIPLY(SUM(AI19:AI34),10)</f>
        <v>0</v>
      </c>
      <c r="AJ35" s="62">
        <f>COUNTIF(AJ19:AJ34,"TRUE")</f>
        <v>0</v>
      </c>
      <c r="AK35" s="49"/>
      <c r="AL35" s="49"/>
      <c r="AM35" s="49"/>
      <c r="AN35" s="59">
        <f>MULTIPLY(SUM(AN19:AN34),10)</f>
        <v>0</v>
      </c>
      <c r="AO35" s="62">
        <f>COUNTIF(AO19:AO34,"TRUE")</f>
        <v>0</v>
      </c>
      <c r="AP35" s="49"/>
      <c r="AQ35" s="49"/>
      <c r="AR35" s="49"/>
      <c r="AS35" s="59">
        <f>MULTIPLY(SUM(AS19:AS34),10)</f>
        <v>0</v>
      </c>
      <c r="AT35" s="62">
        <f>COUNTIF(AT19:AT34,"TRUE")</f>
        <v>0</v>
      </c>
      <c r="AU35" s="49"/>
      <c r="AV35" s="49"/>
      <c r="AW35" s="49"/>
      <c r="AX35" s="59">
        <f>MULTIPLY(SUM(AX19:AX34),10)</f>
        <v>0</v>
      </c>
      <c r="AY35" s="62">
        <f>COUNTIF(AY19:AY34,"TRUE")</f>
        <v>0</v>
      </c>
      <c r="AZ35" s="49"/>
      <c r="BA35" s="49"/>
      <c r="BB35" s="49"/>
      <c r="BC35" s="59">
        <f>MULTIPLY(SUM(BC19:BC34),10)</f>
        <v>0</v>
      </c>
      <c r="BD35" s="62">
        <f>COUNTIF(BD19:BD34,"TRUE")</f>
        <v>0</v>
      </c>
      <c r="BE35" s="49"/>
      <c r="BF35" s="49"/>
      <c r="BG35" s="49"/>
      <c r="BH35" s="59">
        <f>MULTIPLY(SUM(BH19:BH34),10)</f>
        <v>0</v>
      </c>
      <c r="BI35" s="62">
        <f>COUNTIF(BI19:BI34,"TRUE")</f>
        <v>0</v>
      </c>
      <c r="BJ35" s="49"/>
      <c r="BK35" s="49"/>
      <c r="BL35" s="49"/>
      <c r="BM35" s="59">
        <f>MULTIPLY(SUM(BM19:BM34),10)</f>
        <v>0</v>
      </c>
      <c r="BN35" s="62">
        <f>COUNTIF(BN19:BN34,"TRUE")</f>
        <v>0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40"/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40"/>
      <c r="B38" s="57" t="s">
        <v>141</v>
      </c>
      <c r="C38" s="58">
        <f t="array" ref="C38">INDEX(J35,0)</f>
        <v>0</v>
      </c>
      <c r="D38" s="58">
        <f t="array" ref="D38">INDEX(O35,0)</f>
        <v>0</v>
      </c>
      <c r="E38" s="58">
        <f t="array" ref="E38">INDEX(T35,0)</f>
        <v>0</v>
      </c>
      <c r="F38" s="58">
        <f t="array" ref="F38">INDEX(Y35,0)</f>
        <v>0</v>
      </c>
      <c r="G38" s="58">
        <f t="array" ref="G38">INDEX(AD35,0)</f>
        <v>0</v>
      </c>
      <c r="H38" s="58">
        <f t="array" ref="H38">INDEX(AI35,0)</f>
        <v>0</v>
      </c>
      <c r="I38" s="58">
        <f t="array" ref="I38">INDEX(AN35,0)</f>
        <v>0</v>
      </c>
      <c r="J38" s="58">
        <f t="array" ref="J38">INDEX(AS35,0)</f>
        <v>0</v>
      </c>
      <c r="K38" s="58">
        <f t="array" ref="K38">INDEX(AX35,0)</f>
        <v>0</v>
      </c>
      <c r="L38" s="58">
        <f t="array" ref="L38">INDEX(BC35,0)</f>
        <v>0</v>
      </c>
      <c r="M38" s="58">
        <f t="array" ref="M38">INDEX(BH35,0)</f>
        <v>0</v>
      </c>
      <c r="N38" s="60">
        <f t="array" ref="N38">INDEX(BM35,0)</f>
        <v>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63" t="s">
        <v>142</v>
      </c>
      <c r="C39" s="64">
        <f>COUNTIF(K19:K34,true)</f>
        <v>0</v>
      </c>
      <c r="D39" s="64">
        <f>COUNTIF(P19:P34,true)</f>
        <v>0</v>
      </c>
      <c r="E39" s="64">
        <f>COUNTIF(U19:U34,true)</f>
        <v>0</v>
      </c>
      <c r="F39" s="64">
        <f>COUNTIF(Z19:Z34,true)</f>
        <v>0</v>
      </c>
      <c r="G39" s="64">
        <f>COUNTIF(AE19:AE34,true)</f>
        <v>0</v>
      </c>
      <c r="H39" s="64">
        <f>COUNTIF(AJ19:AJ34,true)</f>
        <v>0</v>
      </c>
      <c r="I39" s="64">
        <f>COUNTIF(AO19:AO34,true)</f>
        <v>0</v>
      </c>
      <c r="J39" s="64">
        <f>COUNTIF(AT19:AT34,true)</f>
        <v>0</v>
      </c>
      <c r="K39" s="64">
        <f>COUNTIF(AY19:AY34,true)</f>
        <v>0</v>
      </c>
      <c r="L39" s="64">
        <f>COUNTIF(BD19:BD34,true)</f>
        <v>0</v>
      </c>
      <c r="M39" s="64">
        <f>COUNTIF(BI19:BI34,true)</f>
        <v>0</v>
      </c>
      <c r="N39" s="65">
        <f>COUNTIF(BN19:BN34,true)</f>
        <v>0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63" t="s">
        <v>143</v>
      </c>
      <c r="C40" s="68">
        <f>COUNTIF(K19:K34,FALSE)</f>
        <v>0</v>
      </c>
      <c r="D40" s="68">
        <f>COUNTIF(P19:P34,FALSE)</f>
        <v>0</v>
      </c>
      <c r="E40" s="68">
        <f>COUNTIF(U19:U34,FALSE)</f>
        <v>0</v>
      </c>
      <c r="F40" s="68">
        <f>COUNTIF(Z19:Z34,FALSE)</f>
        <v>0</v>
      </c>
      <c r="G40" s="68">
        <f>COUNTIF(AE19:AE34,FALSE)</f>
        <v>0</v>
      </c>
      <c r="H40" s="68">
        <f>COUNTIF(AJ19:AJ34,FALSE)</f>
        <v>0</v>
      </c>
      <c r="I40" s="68">
        <f>COUNTIF(AO19:AO34,FALSE)</f>
        <v>0</v>
      </c>
      <c r="J40" s="68">
        <f>COUNTIF(AT19:AT34,FALSE)</f>
        <v>0</v>
      </c>
      <c r="K40" s="68">
        <f>COUNTIF(AY19:AY34,FALSE)</f>
        <v>0</v>
      </c>
      <c r="L40" s="68">
        <f>COUNTIF(BD19:BD34,FALSE)</f>
        <v>0</v>
      </c>
      <c r="M40" s="68">
        <f>COUNTIF(BI19:BI34,FALSE)</f>
        <v>0</v>
      </c>
      <c r="N40" s="69">
        <f>COUNTIF(BN19:BN34,FALSE)</f>
        <v>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>SUM('Week 1'!C38,'Week 2'!C38,'Week 3'!C38,'Week 4'!C38,'Week 5'!C39,'Week 6'!C35,'Week 7'!C35,'Week 8'!C37,'Week 9'!C38,'Week 10'!C36,'Week 11'!C33,'Week 12'!C40,'Week 13'!C34,'Week 14'!C38,'Week 15'!C38,C38)</f>
        <v>325</v>
      </c>
      <c r="D42" s="71">
        <f>SUM('Week 1'!D38,'Week 2'!D38,'Week 3'!D38,'Week 4'!D38,'Week 5'!D39,'Week 6'!D35,'Week 7'!D35,'Week 8'!D37,'Week 9'!D38,'Week 10'!D36,'Week 11'!D33,'Week 12'!D40,'Week 13'!D34,'Week 14'!D38,'Week 15'!D38,D38)</f>
        <v>275</v>
      </c>
      <c r="E42" s="71">
        <f>SUM('Week 1'!E38,'Week 2'!E38,'Week 3'!E38,'Week 4'!E38,'Week 5'!E39,'Week 6'!E35,'Week 7'!E35,'Week 8'!E37,'Week 9'!E38,'Week 10'!E36,'Week 11'!E33,'Week 12'!E40,'Week 13'!E34,'Week 14'!E38,'Week 15'!E38,E38)</f>
        <v>290</v>
      </c>
      <c r="F42" s="71">
        <f>SUM('Week 1'!F38,'Week 2'!F38,'Week 3'!F38,'Week 4'!F38,'Week 5'!F39,'Week 6'!F35,'Week 7'!F35,'Week 8'!F37,'Week 9'!F38,'Week 10'!F36,'Week 11'!F33,'Week 12'!F40,'Week 13'!F34,'Week 14'!F38,'Week 15'!F38,F38)</f>
        <v>375</v>
      </c>
      <c r="G42" s="71">
        <f>SUM('Week 1'!G38,'Week 2'!G38,'Week 3'!G38,'Week 4'!G38,'Week 5'!G39,'Week 6'!G35,'Week 7'!G35,'Week 8'!G37,'Week 9'!G38,'Week 10'!G36,'Week 11'!G33,'Week 12'!G40,'Week 13'!G34,'Week 14'!G38,'Week 15'!G38,G38)</f>
        <v>410</v>
      </c>
      <c r="H42" s="71">
        <f>SUM('Week 1'!H38,'Week 2'!H38,'Week 3'!H38,'Week 4'!H38,'Week 5'!H39,'Week 6'!H35,'Week 7'!H35,'Week 8'!H37,'Week 9'!H38,'Week 10'!H36,'Week 11'!H33,'Week 12'!H40,'Week 13'!H34,'Week 14'!H38,'Week 15'!H38,H38)</f>
        <v>480</v>
      </c>
      <c r="I42" s="71">
        <f>SUM('Week 1'!I38,'Week 2'!I38,'Week 3'!I38,'Week 4'!I38,'Week 5'!I39,'Week 6'!I35,'Week 7'!I35,'Week 8'!I37,'Week 9'!I38,'Week 10'!I36,'Week 11'!I33,'Week 12'!I40,'Week 13'!I34,'Week 14'!I38,'Week 15'!I38,I38)</f>
        <v>320</v>
      </c>
      <c r="J42" s="71">
        <f>SUM('Week 1'!J38,'Week 2'!J38,'Week 3'!J38,'Week 4'!J38,'Week 5'!J39,'Week 6'!J35,'Week 7'!J35,'Week 8'!J37,'Week 9'!J38,'Week 10'!J36,'Week 11'!J33,'Week 12'!J40,'Week 13'!J34,'Week 14'!J38,'Week 15'!J38,J38)</f>
        <v>445</v>
      </c>
      <c r="K42" s="71">
        <f>SUM('Week 1'!K38,'Week 2'!K38,'Week 3'!K38,'Week 4'!K38,'Week 5'!K39,'Week 6'!K35,'Week 7'!K35,'Week 8'!K37,'Week 9'!K38,'Week 10'!K36,'Week 11'!K33,'Week 12'!K40,'Week 13'!K34,'Week 14'!K38,'Week 15'!K38,K38)</f>
        <v>370</v>
      </c>
      <c r="L42" s="71">
        <f>SUM('Week 1'!L38,'Week 2'!L38,'Week 3'!L38,'Week 4'!L38,'Week 5'!L39,'Week 6'!L35,'Week 7'!L35,'Week 8'!L37,'Week 9'!L38,'Week 10'!L36,'Week 11'!L33,'Week 12'!L40,'Week 13'!L34,'Week 14'!L38,'Week 15'!L38,L38)</f>
        <v>280</v>
      </c>
      <c r="M42" s="71">
        <f>SUM('Week 1'!M38,'Week 2'!M38,'Week 3'!M38,'Week 4'!M38,'Week 5'!M39,'Week 6'!M35,'Week 7'!M35,'Week 8'!M37,'Week 9'!M38,'Week 10'!M36,'Week 11'!M33,'Week 12'!M40,'Week 13'!M34,'Week 14'!M38,'Week 15'!M38,M38)</f>
        <v>365</v>
      </c>
      <c r="N42" s="72">
        <f>SUM('Week 1'!N38,'Week 2'!N38,'Week 3'!N38,'Week 4'!N38,'Week 5'!N39,'Week 6'!N35,'Week 7'!N35,'Week 8'!N37,'Week 9'!N38,'Week 10'!N36,'Week 11'!N33,'Week 12'!N40,'Week 13'!N34,'Week 14'!N38,'Week 15'!N38,N38)</f>
        <v>290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>CONCATENATE(SUM('Week 1'!C39,'Week 2'!C39,'Week 3'!C39,'Week 4'!C39,'Week 5'!C40,'Week 6'!C36,'Week 7'!C36,'Week 8'!C38,'Week 9'!C39,'Week 10'!C37,'Week 11'!C34,'Week 12'!C41,'Week 13'!C35,'Week 14'!C39,'Week 15'!C39,C39)," - ",SUM('Week 1'!C40,'Week 2'!C40,'Week 3'!C40,'Week 4'!C40,'Week 5'!C41,'Week 6'!C37,'Week 7'!C37,'Week 8'!C39,'Week 9'!C40,'Week 10'!C38,'Week 11'!C35,'Week 12'!C42,'Week 13'!C36,'Week 14'!C40,'Week 15'!C40,C40))</f>
        <v>25 - 21</v>
      </c>
      <c r="D43" s="73" t="str">
        <f>CONCATENATE(SUM('Week 1'!D39,'Week 2'!D39,'Week 3'!D39,'Week 4'!D39,'Week 5'!D40,'Week 6'!D36,'Week 7'!D36,'Week 8'!D38,'Week 9'!D39,'Week 10'!D37,'Week 11'!D34,'Week 12'!D41,'Week 13'!D35,'Week 14'!D39,'Week 15'!D39,D39)," - ",SUM('Week 1'!D40,'Week 2'!D40,'Week 3'!D40,'Week 4'!D40,'Week 5'!D41,'Week 6'!D37,'Week 7'!D37,'Week 8'!D39,'Week 9'!D40,'Week 10'!D38,'Week 11'!D35,'Week 12'!D42,'Week 13'!D36,'Week 14'!D40,'Week 15'!D40,D40))</f>
        <v>24 - 22</v>
      </c>
      <c r="E43" s="73" t="str">
        <f>CONCATENATE(SUM('Week 1'!E39,'Week 2'!E39,'Week 3'!E39,'Week 4'!E39,'Week 5'!E40,'Week 6'!E36,'Week 7'!E36,'Week 8'!E38,'Week 9'!E39,'Week 10'!E37,'Week 11'!E34,'Week 12'!E41,'Week 13'!E35,'Week 14'!E39,'Week 15'!E39,E39)," - ",SUM('Week 1'!E40,'Week 2'!E40,'Week 3'!E40,'Week 4'!E40,'Week 5'!E41,'Week 6'!E37,'Week 7'!E37,'Week 8'!E39,'Week 9'!E40,'Week 10'!E38,'Week 11'!E35,'Week 12'!E42,'Week 13'!E36,'Week 14'!E40,'Week 15'!E40,E40))</f>
        <v>23 - 23</v>
      </c>
      <c r="F43" s="73" t="str">
        <f>CONCATENATE(SUM('Week 1'!F39,'Week 2'!F39,'Week 3'!F39,'Week 4'!F39,'Week 5'!F40,'Week 6'!F36,'Week 7'!F36,'Week 8'!F38,'Week 9'!F39,'Week 10'!F37,'Week 11'!F34,'Week 12'!F41,'Week 13'!F35,'Week 14'!F39,'Week 15'!F39,F39)," - ",SUM('Week 1'!F40,'Week 2'!F40,'Week 3'!F40,'Week 4'!F40,'Week 5'!F41,'Week 6'!F37,'Week 7'!F37,'Week 8'!F39,'Week 9'!F40,'Week 10'!F38,'Week 11'!F35,'Week 12'!F42,'Week 13'!F36,'Week 14'!F40,'Week 15'!F40,F40))</f>
        <v>26 - 20</v>
      </c>
      <c r="G43" s="73" t="str">
        <f>CONCATENATE(SUM('Week 1'!G39,'Week 2'!G39,'Week 3'!G39,'Week 4'!G39,'Week 5'!G40,'Week 6'!G36,'Week 7'!G36,'Week 8'!G38,'Week 9'!G39,'Week 10'!G37,'Week 11'!G34,'Week 12'!G41,'Week 13'!G35,'Week 14'!G39,'Week 15'!G39,G39)," - ",SUM('Week 1'!G40,'Week 2'!G40,'Week 3'!G40,'Week 4'!G40,'Week 5'!G41,'Week 6'!G37,'Week 7'!G37,'Week 8'!G39,'Week 9'!G40,'Week 10'!G38,'Week 11'!G35,'Week 12'!G42,'Week 13'!G36,'Week 14'!G40,'Week 15'!G40,G40))</f>
        <v>30 - 16</v>
      </c>
      <c r="H43" s="73" t="str">
        <f>CONCATENATE(SUM('Week 1'!H39,'Week 2'!H39,'Week 3'!H39,'Week 4'!H39,'Week 5'!H40,'Week 6'!H36,'Week 7'!H36,'Week 8'!H38,'Week 9'!H39,'Week 10'!H37,'Week 11'!H34,'Week 12'!H41,'Week 13'!H35,'Week 14'!H39,'Week 15'!H39,H39)," - ",SUM('Week 1'!H40,'Week 2'!H40,'Week 3'!H40,'Week 4'!H40,'Week 5'!H41,'Week 6'!H37,'Week 7'!H37,'Week 8'!H39,'Week 9'!H40,'Week 10'!H38,'Week 11'!H35,'Week 12'!H42,'Week 13'!H36,'Week 14'!H40,'Week 15'!H40,H40))</f>
        <v>33 - 13</v>
      </c>
      <c r="I43" s="73" t="str">
        <f>CONCATENATE(SUM('Week 1'!I39,'Week 2'!I39,'Week 3'!I39,'Week 4'!I39,'Week 5'!I40,'Week 6'!I36,'Week 7'!I36,'Week 8'!I38,'Week 9'!I39,'Week 10'!I37,'Week 11'!I34,'Week 12'!I41,'Week 13'!I35,'Week 14'!I39,'Week 15'!I39,I39)," - ",SUM('Week 1'!I40,'Week 2'!I40,'Week 3'!I40,'Week 4'!I40,'Week 5'!I41,'Week 6'!I37,'Week 7'!I37,'Week 8'!I39,'Week 9'!I40,'Week 10'!I38,'Week 11'!I35,'Week 12'!I42,'Week 13'!I36,'Week 14'!I40,'Week 15'!I40,I40))</f>
        <v>26 - 20</v>
      </c>
      <c r="J43" s="73" t="str">
        <f>CONCATENATE(SUM('Week 1'!J39,'Week 2'!J39,'Week 3'!J39,'Week 4'!J39,'Week 5'!J40,'Week 6'!J36,'Week 7'!J36,'Week 8'!J38,'Week 9'!J39,'Week 10'!J37,'Week 11'!J34,'Week 12'!J41,'Week 13'!J35,'Week 14'!J39,'Week 15'!J39,J39)," - ",SUM('Week 1'!J40,'Week 2'!J40,'Week 3'!J40,'Week 4'!J40,'Week 5'!J41,'Week 6'!J37,'Week 7'!J37,'Week 8'!J39,'Week 9'!J40,'Week 10'!J38,'Week 11'!J35,'Week 12'!J42,'Week 13'!J36,'Week 14'!J40,'Week 15'!J40,J40))</f>
        <v>27 - 19</v>
      </c>
      <c r="K43" s="73" t="str">
        <f>CONCATENATE(SUM('Week 1'!K39,'Week 2'!K39,'Week 3'!K39,'Week 4'!K39,'Week 5'!K40,'Week 6'!K36,'Week 7'!K36,'Week 8'!K38,'Week 9'!K39,'Week 10'!K37,'Week 11'!K34,'Week 12'!K41,'Week 13'!K35,'Week 14'!K39,'Week 15'!K39,K39)," - ",SUM('Week 1'!K40,'Week 2'!K40,'Week 3'!K40,'Week 4'!K40,'Week 5'!K41,'Week 6'!K37,'Week 7'!K37,'Week 8'!K39,'Week 9'!K40,'Week 10'!K38,'Week 11'!K35,'Week 12'!K42,'Week 13'!K36,'Week 14'!K40,'Week 15'!K40,K40))</f>
        <v>29 - 17</v>
      </c>
      <c r="L43" s="73" t="str">
        <f>CONCATENATE(SUM('Week 1'!L39,'Week 2'!L39,'Week 3'!L39,'Week 4'!L39,'Week 5'!L40,'Week 6'!L36,'Week 7'!L36,'Week 8'!L38,'Week 9'!L39,'Week 10'!L37,'Week 11'!L34,'Week 12'!L41,'Week 13'!L35,'Week 14'!L39,'Week 15'!L39,L39)," - ",SUM('Week 1'!L40,'Week 2'!L40,'Week 3'!L40,'Week 4'!L40,'Week 5'!L41,'Week 6'!L37,'Week 7'!L37,'Week 8'!L39,'Week 9'!L40,'Week 10'!L38,'Week 11'!L35,'Week 12'!L42,'Week 13'!L36,'Week 14'!L40,'Week 15'!L40,L40))</f>
        <v>26 - 20</v>
      </c>
      <c r="M43" s="73" t="str">
        <f>CONCATENATE(SUM('Week 1'!M39,'Week 2'!M39,'Week 3'!M39,'Week 4'!M39,'Week 5'!M40,'Week 6'!M36,'Week 7'!M36,'Week 8'!M38,'Week 9'!M39,'Week 10'!M37,'Week 11'!M34,'Week 12'!M41,'Week 13'!M35,'Week 14'!M39,'Week 15'!M39,M39)," - ",SUM('Week 1'!M40,'Week 2'!M40,'Week 3'!M40,'Week 4'!M40,'Week 5'!M41,'Week 6'!M37,'Week 7'!M37,'Week 8'!M39,'Week 9'!M40,'Week 10'!M38,'Week 11'!M35,'Week 12'!M42,'Week 13'!M36,'Week 14'!M40,'Week 15'!M40,M40))</f>
        <v>24 - 22</v>
      </c>
      <c r="N43" s="74" t="str">
        <f>CONCATENATE(SUM('Week 1'!N39,'Week 2'!N39,'Week 3'!N39,'Week 4'!N39,'Week 5'!N40,'Week 6'!N36,'Week 7'!N36,'Week 8'!N38,'Week 9'!N39,'Week 10'!N37,'Week 11'!N34,'Week 12'!N41,'Week 13'!N35,'Week 14'!N39,'Week 15'!N39,N39)," - ",SUM('Week 1'!N40,'Week 2'!N40,'Week 3'!N40,'Week 4'!N40,'Week 5'!N41,'Week 6'!N37,'Week 7'!N37,'Week 8'!N39,'Week 9'!N40,'Week 10'!N38,'Week 11'!N35,'Week 12'!N42,'Week 13'!N36,'Week 14'!N40,'Week 15'!N40,N40))</f>
        <v>20 - 26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11</v>
      </c>
      <c r="E45" s="29">
        <v>480.0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445.0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410.0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375.0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14</v>
      </c>
      <c r="E49" s="29">
        <v>370.0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16</v>
      </c>
      <c r="E50" s="29">
        <v>365.0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6</v>
      </c>
      <c r="E51" s="29">
        <v>325.0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12</v>
      </c>
      <c r="E52" s="29">
        <v>320.0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8</v>
      </c>
      <c r="E53" s="29">
        <v>290.0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17</v>
      </c>
      <c r="E54" s="29">
        <v>290.0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280.0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275.0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325</v>
      </c>
      <c r="D63" s="40"/>
      <c r="G63" s="40"/>
      <c r="H63" s="40">
        <f t="shared" ref="H63:H74" si="74">RANK(J63,$J$63:$J$79,false)</f>
        <v>1</v>
      </c>
      <c r="I63" s="40" t="str">
        <f t="array" ref="I63:J79">SORT(B63:C79,2,false)</f>
        <v>Caleb</v>
      </c>
      <c r="J63" s="40">
        <v>480.0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275</v>
      </c>
      <c r="D64" s="40"/>
      <c r="G64" s="40"/>
      <c r="H64" s="40">
        <f t="shared" si="74"/>
        <v>2</v>
      </c>
      <c r="I64" s="40" t="s">
        <v>13</v>
      </c>
      <c r="J64" s="40">
        <v>445.0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290</v>
      </c>
      <c r="D65" s="40"/>
      <c r="G65" s="40"/>
      <c r="H65" s="40">
        <f t="shared" si="74"/>
        <v>3</v>
      </c>
      <c r="I65" s="40" t="s">
        <v>10</v>
      </c>
      <c r="J65" s="40">
        <v>410.0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375</v>
      </c>
      <c r="D66" s="40"/>
      <c r="G66" s="40"/>
      <c r="H66" s="40">
        <f t="shared" si="74"/>
        <v>4</v>
      </c>
      <c r="I66" s="40" t="s">
        <v>9</v>
      </c>
      <c r="J66" s="40">
        <v>375.0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410</v>
      </c>
      <c r="D67" s="40"/>
      <c r="G67" s="40"/>
      <c r="H67" s="40">
        <f t="shared" si="74"/>
        <v>5</v>
      </c>
      <c r="I67" s="40" t="s">
        <v>14</v>
      </c>
      <c r="J67" s="40">
        <v>370.0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480</v>
      </c>
      <c r="D68" s="40"/>
      <c r="G68" s="40"/>
      <c r="H68" s="40">
        <f t="shared" si="74"/>
        <v>6</v>
      </c>
      <c r="I68" s="40" t="s">
        <v>16</v>
      </c>
      <c r="J68" s="40">
        <v>365.0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320</v>
      </c>
      <c r="D69" s="40"/>
      <c r="G69" s="40"/>
      <c r="H69" s="40">
        <f t="shared" si="74"/>
        <v>7</v>
      </c>
      <c r="I69" s="40" t="s">
        <v>6</v>
      </c>
      <c r="J69" s="40">
        <v>325.0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445</v>
      </c>
      <c r="D70" s="40"/>
      <c r="G70" s="40"/>
      <c r="H70" s="40">
        <f t="shared" si="74"/>
        <v>8</v>
      </c>
      <c r="I70" s="40" t="s">
        <v>12</v>
      </c>
      <c r="J70" s="40">
        <v>320.0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370</v>
      </c>
      <c r="D71" s="40"/>
      <c r="G71" s="40"/>
      <c r="H71" s="40">
        <f t="shared" si="74"/>
        <v>9</v>
      </c>
      <c r="I71" s="40" t="s">
        <v>8</v>
      </c>
      <c r="J71" s="40">
        <v>290.0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280</v>
      </c>
      <c r="D72" s="40"/>
      <c r="G72" s="40"/>
      <c r="H72" s="40">
        <f t="shared" si="74"/>
        <v>9</v>
      </c>
      <c r="I72" s="40" t="s">
        <v>17</v>
      </c>
      <c r="J72" s="40">
        <v>290.0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365</v>
      </c>
      <c r="D73" s="40"/>
      <c r="G73" s="40"/>
      <c r="H73" s="40">
        <f t="shared" si="74"/>
        <v>11</v>
      </c>
      <c r="I73" s="40" t="s">
        <v>15</v>
      </c>
      <c r="J73" s="40">
        <v>280.0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290</v>
      </c>
      <c r="D74" s="40"/>
      <c r="G74" s="40"/>
      <c r="H74" s="40">
        <f t="shared" si="74"/>
        <v>12</v>
      </c>
      <c r="I74" s="40" t="s">
        <v>7</v>
      </c>
      <c r="J74" s="40">
        <v>275.0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AND($I19=$C19,$C19=0)</formula>
    </cfRule>
  </conditionalFormatting>
  <conditionalFormatting sqref="G2:K17">
    <cfRule type="expression" dxfId="7" priority="2">
      <formula>$I19=$C19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AND($N19=$C19,$C19=0)</formula>
    </cfRule>
  </conditionalFormatting>
  <conditionalFormatting sqref="L2:P17">
    <cfRule type="expression" dxfId="7" priority="9">
      <formula>$N19=$C19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AND($S19=$C19,$C19=0)</formula>
    </cfRule>
  </conditionalFormatting>
  <conditionalFormatting sqref="Q2:U17">
    <cfRule type="expression" dxfId="7" priority="16">
      <formula>$S19=$C19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AND($X19=$C19,$C19=0)</formula>
    </cfRule>
  </conditionalFormatting>
  <conditionalFormatting sqref="V2:Z17">
    <cfRule type="expression" dxfId="7" priority="78">
      <formula>$X19=$C19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AND($AC19=$C19,$C19=0)</formula>
    </cfRule>
  </conditionalFormatting>
  <conditionalFormatting sqref="AA2:AE17">
    <cfRule type="expression" dxfId="7" priority="81">
      <formula>$AC19=$C19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AND($AH19=$C19,$C19=0)</formula>
    </cfRule>
  </conditionalFormatting>
  <conditionalFormatting sqref="AF2:AJ17">
    <cfRule type="expression" dxfId="7" priority="84">
      <formula>$AH19=$C19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AND($AM19=$C19,$C19=0)</formula>
    </cfRule>
  </conditionalFormatting>
  <conditionalFormatting sqref="AK2:AO17">
    <cfRule type="expression" dxfId="7" priority="87">
      <formula>$AM19=$C19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AND($AR19=$C19,$C19=0)</formula>
    </cfRule>
  </conditionalFormatting>
  <conditionalFormatting sqref="AP2:AT17">
    <cfRule type="expression" dxfId="7" priority="90">
      <formula>$AR19=$C19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AND($AW19=$C19,$C19=0)</formula>
    </cfRule>
  </conditionalFormatting>
  <conditionalFormatting sqref="AU2:AY17">
    <cfRule type="expression" dxfId="7" priority="93">
      <formula>$AW19=$C19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AND($BB19=$C19,$C19=0)</formula>
    </cfRule>
  </conditionalFormatting>
  <conditionalFormatting sqref="AZ2:BD17">
    <cfRule type="expression" dxfId="7" priority="96">
      <formula>$BB19=$C19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AND($BG19=$C19,$C19=0)</formula>
    </cfRule>
  </conditionalFormatting>
  <conditionalFormatting sqref="BE2:BI17">
    <cfRule type="expression" dxfId="7" priority="99">
      <formula>$BG19=$C19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AND($BL19=$C19,$C19=0)</formula>
    </cfRule>
  </conditionalFormatting>
  <conditionalFormatting sqref="BJ2:BN17">
    <cfRule type="expression" dxfId="7" priority="102">
      <formula>$BL19=$C19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75"/>
    <col customWidth="1" min="3" max="19" width="7.63"/>
    <col customWidth="1" min="20" max="69" width="5.13"/>
  </cols>
  <sheetData>
    <row r="1">
      <c r="A1" s="2" t="s">
        <v>1</v>
      </c>
      <c r="B1" s="2" t="s">
        <v>421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422</v>
      </c>
      <c r="B2" s="30" t="s">
        <v>423</v>
      </c>
      <c r="C2" s="18" t="str">
        <f>IFERROR(__xludf.DUMMYFUNCTION("IMPORTRANGE(""https://docs.google.com/spreadsheets/d/1v9a6MxzpyXdVbef97sptWrOJUpuAu6ldKC6wbegqpyg/edit?gid=206896088#gid=206896088"",""Week 17!C3:F18"")"),"")</f>
        <v/>
      </c>
      <c r="D2" s="11" t="str">
        <f>IFERROR(__xludf.DUMMYFUNCTION("""COMPUTED_VALUE"""),"")</f>
        <v/>
      </c>
      <c r="E2" s="19"/>
      <c r="F2" s="20"/>
      <c r="G2" s="19" t="s">
        <v>61</v>
      </c>
      <c r="H2" s="11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14.0</v>
      </c>
      <c r="J2" s="19">
        <v>10.0</v>
      </c>
      <c r="K2" s="20" t="b">
        <v>0</v>
      </c>
      <c r="L2" s="24" t="s">
        <v>61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28.0</v>
      </c>
      <c r="O2" s="24">
        <v>21.0</v>
      </c>
      <c r="P2" s="24" t="b">
        <v>0</v>
      </c>
      <c r="Q2" s="27" t="s">
        <v>61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20.0</v>
      </c>
      <c r="T2" s="19">
        <v>17.0</v>
      </c>
      <c r="U2" s="20" t="b">
        <v>0</v>
      </c>
      <c r="V2" s="19" t="s">
        <v>46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24.0</v>
      </c>
      <c r="Y2" s="19">
        <v>31.0</v>
      </c>
      <c r="Z2" s="20" t="b">
        <v>0</v>
      </c>
      <c r="AA2" s="27" t="s">
        <v>46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17.0</v>
      </c>
      <c r="AD2" s="19">
        <v>24.0</v>
      </c>
      <c r="AE2" s="19" t="b">
        <v>0</v>
      </c>
      <c r="AF2" s="27" t="s">
        <v>46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38.0</v>
      </c>
      <c r="AI2" s="19">
        <v>44.0</v>
      </c>
      <c r="AJ2" s="20" t="b">
        <v>0</v>
      </c>
      <c r="AK2" s="19" t="s">
        <v>46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21.0</v>
      </c>
      <c r="AN2" s="19">
        <v>28.0</v>
      </c>
      <c r="AO2" s="20" t="b">
        <v>0</v>
      </c>
      <c r="AP2" s="27" t="s">
        <v>46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24.0</v>
      </c>
      <c r="AS2" s="19">
        <v>27.0</v>
      </c>
      <c r="AT2" s="20" t="b">
        <v>0</v>
      </c>
      <c r="AU2" s="27" t="s">
        <v>61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20.0</v>
      </c>
      <c r="AX2" s="19">
        <v>17.0</v>
      </c>
      <c r="AY2" s="20" t="b">
        <v>0</v>
      </c>
      <c r="AZ2" s="27" t="s">
        <v>61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23.0</v>
      </c>
      <c r="BC2" s="19">
        <v>20.0</v>
      </c>
      <c r="BD2" s="20" t="b">
        <v>0</v>
      </c>
      <c r="BE2" s="27" t="s">
        <v>61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17.0</v>
      </c>
      <c r="BH2" s="19">
        <v>14.0</v>
      </c>
      <c r="BI2" s="20" t="b">
        <v>0</v>
      </c>
      <c r="BJ2" s="27" t="s">
        <v>46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10.0</v>
      </c>
      <c r="BM2" s="19">
        <v>14.0</v>
      </c>
      <c r="BN2" s="20" t="b">
        <v>0</v>
      </c>
      <c r="BO2" s="19"/>
      <c r="BP2" s="19"/>
      <c r="BQ2" s="19"/>
    </row>
    <row r="3">
      <c r="A3" s="16" t="s">
        <v>427</v>
      </c>
      <c r="B3" s="17" t="s">
        <v>428</v>
      </c>
      <c r="C3" s="18"/>
      <c r="D3" s="11" t="str">
        <f>IFERROR(__xludf.DUMMYFUNCTION("""COMPUTED_VALUE"""),"")</f>
        <v/>
      </c>
      <c r="E3" s="17"/>
      <c r="F3" s="31"/>
      <c r="G3" s="19" t="s">
        <v>24</v>
      </c>
      <c r="H3" s="11" t="str">
        <f t="shared" si="1"/>
        <v/>
      </c>
      <c r="I3" s="19">
        <v>21.0</v>
      </c>
      <c r="J3" s="19">
        <v>17.0</v>
      </c>
      <c r="K3" s="20" t="b">
        <v>1</v>
      </c>
      <c r="L3" s="19" t="s">
        <v>24</v>
      </c>
      <c r="M3" s="11" t="str">
        <f t="shared" si="2"/>
        <v/>
      </c>
      <c r="N3" s="19">
        <v>23.0</v>
      </c>
      <c r="O3" s="19">
        <v>20.0</v>
      </c>
      <c r="P3" s="19" t="b">
        <v>1</v>
      </c>
      <c r="Q3" s="27" t="s">
        <v>24</v>
      </c>
      <c r="R3" s="11" t="str">
        <f t="shared" si="3"/>
        <v/>
      </c>
      <c r="S3" s="19">
        <v>23.0</v>
      </c>
      <c r="T3" s="19">
        <v>20.0</v>
      </c>
      <c r="U3" s="20" t="b">
        <v>0</v>
      </c>
      <c r="V3" s="19" t="s">
        <v>24</v>
      </c>
      <c r="W3" s="11" t="str">
        <f t="shared" si="4"/>
        <v/>
      </c>
      <c r="X3" s="19">
        <v>23.0</v>
      </c>
      <c r="Y3" s="19">
        <v>20.0</v>
      </c>
      <c r="Z3" s="20" t="b">
        <v>0</v>
      </c>
      <c r="AA3" s="27" t="s">
        <v>24</v>
      </c>
      <c r="AB3" s="11" t="str">
        <f t="shared" si="5"/>
        <v/>
      </c>
      <c r="AC3" s="19">
        <v>24.0</v>
      </c>
      <c r="AD3" s="19">
        <v>17.0</v>
      </c>
      <c r="AE3" s="19" t="b">
        <v>0</v>
      </c>
      <c r="AF3" s="27" t="s">
        <v>24</v>
      </c>
      <c r="AG3" s="11" t="str">
        <f t="shared" si="6"/>
        <v/>
      </c>
      <c r="AH3" s="19">
        <v>31.0</v>
      </c>
      <c r="AI3" s="19">
        <v>24.0</v>
      </c>
      <c r="AJ3" s="20" t="b">
        <v>0</v>
      </c>
      <c r="AK3" s="19" t="s">
        <v>24</v>
      </c>
      <c r="AL3" s="11" t="str">
        <f t="shared" si="7"/>
        <v/>
      </c>
      <c r="AM3" s="19">
        <v>23.0</v>
      </c>
      <c r="AN3" s="19">
        <v>20.0</v>
      </c>
      <c r="AO3" s="20" t="b">
        <v>0</v>
      </c>
      <c r="AP3" s="27" t="s">
        <v>24</v>
      </c>
      <c r="AQ3" s="11" t="str">
        <f t="shared" si="8"/>
        <v/>
      </c>
      <c r="AR3" s="19">
        <v>24.0</v>
      </c>
      <c r="AS3" s="19">
        <v>17.0</v>
      </c>
      <c r="AT3" s="20" t="b">
        <v>0</v>
      </c>
      <c r="AU3" s="27" t="s">
        <v>41</v>
      </c>
      <c r="AV3" s="11" t="str">
        <f t="shared" si="9"/>
        <v/>
      </c>
      <c r="AW3" s="19">
        <v>21.0</v>
      </c>
      <c r="AX3" s="19">
        <v>28.0</v>
      </c>
      <c r="AY3" s="20" t="b">
        <v>0</v>
      </c>
      <c r="AZ3" s="27" t="s">
        <v>24</v>
      </c>
      <c r="BA3" s="11" t="str">
        <f t="shared" si="10"/>
        <v/>
      </c>
      <c r="BB3" s="19">
        <v>23.0</v>
      </c>
      <c r="BC3" s="19">
        <v>20.0</v>
      </c>
      <c r="BD3" s="20" t="b">
        <v>0</v>
      </c>
      <c r="BE3" s="27" t="s">
        <v>41</v>
      </c>
      <c r="BF3" s="11" t="str">
        <f t="shared" si="11"/>
        <v/>
      </c>
      <c r="BG3" s="19">
        <v>21.0</v>
      </c>
      <c r="BH3" s="19">
        <v>28.0</v>
      </c>
      <c r="BI3" s="20" t="b">
        <v>0</v>
      </c>
      <c r="BJ3" s="27" t="s">
        <v>24</v>
      </c>
      <c r="BK3" s="11" t="str">
        <f t="shared" si="12"/>
        <v/>
      </c>
      <c r="BL3" s="19">
        <v>17.0</v>
      </c>
      <c r="BM3" s="19">
        <v>14.0</v>
      </c>
      <c r="BN3" s="20" t="b">
        <v>0</v>
      </c>
      <c r="BO3" s="17"/>
      <c r="BP3" s="17"/>
      <c r="BQ3" s="17"/>
    </row>
    <row r="4">
      <c r="A4" s="16" t="s">
        <v>427</v>
      </c>
      <c r="B4" s="30" t="s">
        <v>429</v>
      </c>
      <c r="C4" s="18"/>
      <c r="D4" s="11" t="str">
        <f>IFERROR(__xludf.DUMMYFUNCTION("""COMPUTED_VALUE"""),"")</f>
        <v/>
      </c>
      <c r="E4" s="19"/>
      <c r="F4" s="20"/>
      <c r="G4" s="19" t="s">
        <v>126</v>
      </c>
      <c r="H4" s="11" t="str">
        <f t="shared" si="1"/>
        <v/>
      </c>
      <c r="I4" s="19">
        <v>28.0</v>
      </c>
      <c r="J4" s="19">
        <v>21.0</v>
      </c>
      <c r="K4" s="20" t="b">
        <v>0</v>
      </c>
      <c r="L4" s="19" t="s">
        <v>29</v>
      </c>
      <c r="M4" s="11" t="str">
        <f t="shared" si="2"/>
        <v/>
      </c>
      <c r="N4" s="19">
        <v>21.0</v>
      </c>
      <c r="O4" s="19">
        <v>24.0</v>
      </c>
      <c r="P4" s="19" t="b">
        <v>0</v>
      </c>
      <c r="Q4" s="27" t="s">
        <v>29</v>
      </c>
      <c r="R4" s="11" t="str">
        <f t="shared" si="3"/>
        <v/>
      </c>
      <c r="S4" s="19">
        <v>24.0</v>
      </c>
      <c r="T4" s="19">
        <v>31.0</v>
      </c>
      <c r="U4" s="20" t="b">
        <v>0</v>
      </c>
      <c r="V4" s="19" t="s">
        <v>126</v>
      </c>
      <c r="W4" s="11" t="str">
        <f t="shared" si="4"/>
        <v/>
      </c>
      <c r="X4" s="19">
        <v>10.0</v>
      </c>
      <c r="Y4" s="19">
        <v>7.0</v>
      </c>
      <c r="Z4" s="20" t="b">
        <v>1</v>
      </c>
      <c r="AA4" s="27" t="s">
        <v>126</v>
      </c>
      <c r="AB4" s="11" t="str">
        <f t="shared" si="5"/>
        <v/>
      </c>
      <c r="AC4" s="19">
        <v>24.0</v>
      </c>
      <c r="AD4" s="19">
        <v>17.0</v>
      </c>
      <c r="AE4" s="19" t="b">
        <v>0</v>
      </c>
      <c r="AF4" s="27" t="s">
        <v>29</v>
      </c>
      <c r="AG4" s="11" t="str">
        <f t="shared" si="6"/>
        <v/>
      </c>
      <c r="AH4" s="19">
        <v>20.0</v>
      </c>
      <c r="AI4" s="19">
        <v>23.0</v>
      </c>
      <c r="AJ4" s="20" t="b">
        <v>0</v>
      </c>
      <c r="AK4" s="19" t="s">
        <v>29</v>
      </c>
      <c r="AL4" s="11" t="str">
        <f t="shared" si="7"/>
        <v/>
      </c>
      <c r="AM4" s="19">
        <v>21.0</v>
      </c>
      <c r="AN4" s="19">
        <v>24.0</v>
      </c>
      <c r="AO4" s="20" t="b">
        <v>0</v>
      </c>
      <c r="AP4" s="27" t="s">
        <v>29</v>
      </c>
      <c r="AQ4" s="11" t="str">
        <f t="shared" si="8"/>
        <v/>
      </c>
      <c r="AR4" s="19">
        <v>20.0</v>
      </c>
      <c r="AS4" s="19">
        <v>23.0</v>
      </c>
      <c r="AT4" s="20" t="b">
        <v>0</v>
      </c>
      <c r="AU4" s="27" t="s">
        <v>29</v>
      </c>
      <c r="AV4" s="11" t="str">
        <f t="shared" si="9"/>
        <v/>
      </c>
      <c r="AW4" s="19">
        <v>17.0</v>
      </c>
      <c r="AX4" s="19">
        <v>21.0</v>
      </c>
      <c r="AY4" s="20" t="b">
        <v>0</v>
      </c>
      <c r="AZ4" s="27" t="s">
        <v>29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29</v>
      </c>
      <c r="BF4" s="11" t="str">
        <f t="shared" si="11"/>
        <v/>
      </c>
      <c r="BG4" s="19">
        <v>20.0</v>
      </c>
      <c r="BH4" s="19">
        <v>23.0</v>
      </c>
      <c r="BI4" s="20" t="b">
        <v>0</v>
      </c>
      <c r="BJ4" s="27" t="s">
        <v>29</v>
      </c>
      <c r="BK4" s="11" t="str">
        <f t="shared" si="12"/>
        <v/>
      </c>
      <c r="BL4" s="19">
        <v>24.0</v>
      </c>
      <c r="BM4" s="19">
        <v>31.0</v>
      </c>
      <c r="BN4" s="20" t="b">
        <v>0</v>
      </c>
      <c r="BO4" s="17"/>
      <c r="BP4" s="17"/>
      <c r="BQ4" s="17"/>
    </row>
    <row r="5">
      <c r="A5" s="16" t="s">
        <v>427</v>
      </c>
      <c r="B5" s="30" t="s">
        <v>430</v>
      </c>
      <c r="C5" s="18"/>
      <c r="D5" s="11" t="str">
        <f>IFERROR(__xludf.DUMMYFUNCTION("""COMPUTED_VALUE"""),"")</f>
        <v/>
      </c>
      <c r="E5" s="19"/>
      <c r="F5" s="20"/>
      <c r="G5" s="19" t="s">
        <v>23</v>
      </c>
      <c r="H5" s="11" t="str">
        <f t="shared" si="1"/>
        <v/>
      </c>
      <c r="I5" s="19">
        <v>23.0</v>
      </c>
      <c r="J5" s="19">
        <v>20.0</v>
      </c>
      <c r="K5" s="20" t="b">
        <v>0</v>
      </c>
      <c r="L5" s="19" t="s">
        <v>23</v>
      </c>
      <c r="M5" s="11" t="str">
        <f t="shared" si="2"/>
        <v/>
      </c>
      <c r="N5" s="19">
        <v>21.0</v>
      </c>
      <c r="O5" s="19">
        <v>17.0</v>
      </c>
      <c r="P5" s="19" t="b">
        <v>0</v>
      </c>
      <c r="Q5" s="27" t="s">
        <v>23</v>
      </c>
      <c r="R5" s="11" t="str">
        <f t="shared" si="3"/>
        <v/>
      </c>
      <c r="S5" s="19">
        <v>20.0</v>
      </c>
      <c r="T5" s="19">
        <v>17.0</v>
      </c>
      <c r="U5" s="20" t="b">
        <v>1</v>
      </c>
      <c r="V5" s="19" t="s">
        <v>23</v>
      </c>
      <c r="W5" s="11" t="str">
        <f t="shared" si="4"/>
        <v/>
      </c>
      <c r="X5" s="19">
        <v>31.0</v>
      </c>
      <c r="Y5" s="19">
        <v>24.0</v>
      </c>
      <c r="Z5" s="20" t="b">
        <v>0</v>
      </c>
      <c r="AA5" s="27" t="s">
        <v>23</v>
      </c>
      <c r="AB5" s="11" t="str">
        <f t="shared" si="5"/>
        <v/>
      </c>
      <c r="AC5" s="19">
        <v>24.0</v>
      </c>
      <c r="AD5" s="19">
        <v>17.0</v>
      </c>
      <c r="AE5" s="19" t="b">
        <v>0</v>
      </c>
      <c r="AF5" s="27" t="s">
        <v>23</v>
      </c>
      <c r="AG5" s="11" t="str">
        <f t="shared" si="6"/>
        <v/>
      </c>
      <c r="AH5" s="19">
        <v>21.0</v>
      </c>
      <c r="AI5" s="19">
        <v>7.0</v>
      </c>
      <c r="AJ5" s="20" t="b">
        <v>1</v>
      </c>
      <c r="AK5" s="19" t="s">
        <v>23</v>
      </c>
      <c r="AL5" s="11" t="str">
        <f t="shared" si="7"/>
        <v/>
      </c>
      <c r="AM5" s="19">
        <v>28.0</v>
      </c>
      <c r="AN5" s="19">
        <v>21.0</v>
      </c>
      <c r="AO5" s="20" t="b">
        <v>0</v>
      </c>
      <c r="AP5" s="27" t="s">
        <v>23</v>
      </c>
      <c r="AQ5" s="11" t="str">
        <f t="shared" si="8"/>
        <v/>
      </c>
      <c r="AR5" s="19">
        <v>27.0</v>
      </c>
      <c r="AS5" s="19">
        <v>17.0</v>
      </c>
      <c r="AT5" s="20" t="b">
        <v>0</v>
      </c>
      <c r="AU5" s="27" t="s">
        <v>23</v>
      </c>
      <c r="AV5" s="11" t="str">
        <f t="shared" si="9"/>
        <v/>
      </c>
      <c r="AW5" s="19">
        <v>21.0</v>
      </c>
      <c r="AX5" s="19">
        <v>17.0</v>
      </c>
      <c r="AY5" s="20" t="b">
        <v>0</v>
      </c>
      <c r="AZ5" s="27" t="s">
        <v>23</v>
      </c>
      <c r="BA5" s="11" t="str">
        <f t="shared" si="10"/>
        <v/>
      </c>
      <c r="BB5" s="19">
        <v>23.0</v>
      </c>
      <c r="BC5" s="19">
        <v>20.0</v>
      </c>
      <c r="BD5" s="20" t="b">
        <v>0</v>
      </c>
      <c r="BE5" s="27" t="s">
        <v>23</v>
      </c>
      <c r="BF5" s="11" t="str">
        <f t="shared" si="11"/>
        <v/>
      </c>
      <c r="BG5" s="19">
        <v>28.0</v>
      </c>
      <c r="BH5" s="19">
        <v>21.0</v>
      </c>
      <c r="BI5" s="20" t="b">
        <v>0</v>
      </c>
      <c r="BJ5" s="27" t="s">
        <v>87</v>
      </c>
      <c r="BK5" s="11" t="str">
        <f t="shared" si="12"/>
        <v/>
      </c>
      <c r="BL5" s="19">
        <v>14.0</v>
      </c>
      <c r="BM5" s="19">
        <v>17.0</v>
      </c>
      <c r="BN5" s="20" t="b">
        <v>1</v>
      </c>
      <c r="BO5" s="17"/>
      <c r="BP5" s="17"/>
      <c r="BQ5" s="17"/>
    </row>
    <row r="6">
      <c r="A6" s="16" t="s">
        <v>427</v>
      </c>
      <c r="B6" s="17" t="s">
        <v>431</v>
      </c>
      <c r="C6" s="18"/>
      <c r="D6" s="11" t="str">
        <f>IFERROR(__xludf.DUMMYFUNCTION("""COMPUTED_VALUE"""),"")</f>
        <v/>
      </c>
      <c r="E6" s="19"/>
      <c r="F6" s="20"/>
      <c r="G6" s="19" t="s">
        <v>76</v>
      </c>
      <c r="H6" s="11" t="str">
        <f t="shared" si="1"/>
        <v/>
      </c>
      <c r="I6" s="19">
        <v>28.0</v>
      </c>
      <c r="J6" s="19">
        <v>21.0</v>
      </c>
      <c r="K6" s="20" t="b">
        <v>0</v>
      </c>
      <c r="L6" s="19" t="s">
        <v>76</v>
      </c>
      <c r="M6" s="11" t="str">
        <f t="shared" si="2"/>
        <v/>
      </c>
      <c r="N6" s="19">
        <v>31.0</v>
      </c>
      <c r="O6" s="19">
        <v>24.0</v>
      </c>
      <c r="P6" s="19" t="b">
        <v>0</v>
      </c>
      <c r="Q6" s="27" t="s">
        <v>76</v>
      </c>
      <c r="R6" s="11" t="str">
        <f t="shared" si="3"/>
        <v/>
      </c>
      <c r="S6" s="19">
        <v>10.0</v>
      </c>
      <c r="T6" s="19">
        <v>7.0</v>
      </c>
      <c r="U6" s="20" t="b">
        <v>0</v>
      </c>
      <c r="V6" s="19" t="s">
        <v>76</v>
      </c>
      <c r="W6" s="11" t="str">
        <f t="shared" si="4"/>
        <v/>
      </c>
      <c r="X6" s="19">
        <v>21.0</v>
      </c>
      <c r="Y6" s="19">
        <v>17.0</v>
      </c>
      <c r="Z6" s="20" t="b">
        <v>0</v>
      </c>
      <c r="AA6" s="27" t="s">
        <v>76</v>
      </c>
      <c r="AB6" s="11" t="str">
        <f t="shared" si="5"/>
        <v/>
      </c>
      <c r="AC6" s="19">
        <v>24.0</v>
      </c>
      <c r="AD6" s="19">
        <v>17.0</v>
      </c>
      <c r="AE6" s="19" t="b">
        <v>0</v>
      </c>
      <c r="AF6" s="27" t="s">
        <v>76</v>
      </c>
      <c r="AG6" s="11" t="str">
        <f t="shared" si="6"/>
        <v/>
      </c>
      <c r="AH6" s="19">
        <v>20.0</v>
      </c>
      <c r="AI6" s="19">
        <v>17.0</v>
      </c>
      <c r="AJ6" s="20" t="b">
        <v>0</v>
      </c>
      <c r="AK6" s="19" t="s">
        <v>34</v>
      </c>
      <c r="AL6" s="11" t="str">
        <f t="shared" si="7"/>
        <v/>
      </c>
      <c r="AM6" s="19">
        <v>10.0</v>
      </c>
      <c r="AN6" s="19">
        <v>14.0</v>
      </c>
      <c r="AO6" s="20" t="b">
        <v>0</v>
      </c>
      <c r="AP6" s="27" t="s">
        <v>34</v>
      </c>
      <c r="AQ6" s="11" t="str">
        <f t="shared" si="8"/>
        <v/>
      </c>
      <c r="AR6" s="19">
        <v>17.0</v>
      </c>
      <c r="AS6" s="19">
        <v>20.0</v>
      </c>
      <c r="AT6" s="20" t="b">
        <v>0</v>
      </c>
      <c r="AU6" s="27" t="s">
        <v>34</v>
      </c>
      <c r="AV6" s="11" t="str">
        <f t="shared" si="9"/>
        <v/>
      </c>
      <c r="AW6" s="19">
        <v>21.0</v>
      </c>
      <c r="AX6" s="19">
        <v>28.0</v>
      </c>
      <c r="AY6" s="20" t="b">
        <v>0</v>
      </c>
      <c r="AZ6" s="27" t="s">
        <v>34</v>
      </c>
      <c r="BA6" s="11" t="str">
        <f t="shared" si="10"/>
        <v/>
      </c>
      <c r="BB6" s="19">
        <v>20.0</v>
      </c>
      <c r="BC6" s="19">
        <v>23.0</v>
      </c>
      <c r="BD6" s="20" t="b">
        <v>0</v>
      </c>
      <c r="BE6" s="27" t="s">
        <v>76</v>
      </c>
      <c r="BF6" s="11" t="str">
        <f t="shared" si="11"/>
        <v/>
      </c>
      <c r="BG6" s="19">
        <v>23.0</v>
      </c>
      <c r="BH6" s="19">
        <v>20.0</v>
      </c>
      <c r="BI6" s="20" t="b">
        <v>0</v>
      </c>
      <c r="BJ6" s="27" t="s">
        <v>76</v>
      </c>
      <c r="BK6" s="11" t="str">
        <f t="shared" si="12"/>
        <v/>
      </c>
      <c r="BL6" s="19">
        <v>20.0</v>
      </c>
      <c r="BM6" s="19">
        <v>17.0</v>
      </c>
      <c r="BN6" s="20" t="b">
        <v>0</v>
      </c>
      <c r="BO6" s="17"/>
      <c r="BP6" s="17"/>
      <c r="BQ6" s="17"/>
    </row>
    <row r="7">
      <c r="A7" s="16" t="s">
        <v>427</v>
      </c>
      <c r="B7" s="17" t="s">
        <v>432</v>
      </c>
      <c r="C7" s="18"/>
      <c r="D7" s="11" t="str">
        <f>IFERROR(__xludf.DUMMYFUNCTION("""COMPUTED_VALUE"""),"")</f>
        <v/>
      </c>
      <c r="E7" s="19"/>
      <c r="F7" s="20"/>
      <c r="G7" s="19" t="s">
        <v>55</v>
      </c>
      <c r="H7" s="11" t="str">
        <f t="shared" si="1"/>
        <v/>
      </c>
      <c r="I7" s="19">
        <v>17.0</v>
      </c>
      <c r="J7" s="19">
        <v>20.0</v>
      </c>
      <c r="K7" s="20" t="b">
        <v>0</v>
      </c>
      <c r="L7" s="19" t="s">
        <v>33</v>
      </c>
      <c r="M7" s="11" t="str">
        <f t="shared" si="2"/>
        <v/>
      </c>
      <c r="N7" s="19">
        <v>31.0</v>
      </c>
      <c r="O7" s="19">
        <v>24.0</v>
      </c>
      <c r="P7" s="19" t="b">
        <v>0</v>
      </c>
      <c r="Q7" s="27" t="s">
        <v>33</v>
      </c>
      <c r="R7" s="11" t="str">
        <f t="shared" si="3"/>
        <v/>
      </c>
      <c r="S7" s="19">
        <v>17.0</v>
      </c>
      <c r="T7" s="19">
        <v>14.0</v>
      </c>
      <c r="U7" s="20" t="b">
        <v>0</v>
      </c>
      <c r="V7" s="19" t="s">
        <v>33</v>
      </c>
      <c r="W7" s="11" t="str">
        <f t="shared" si="4"/>
        <v/>
      </c>
      <c r="X7" s="19">
        <v>17.0</v>
      </c>
      <c r="Y7" s="19">
        <v>14.0</v>
      </c>
      <c r="Z7" s="20" t="b">
        <v>0</v>
      </c>
      <c r="AA7" s="27" t="s">
        <v>33</v>
      </c>
      <c r="AB7" s="11" t="str">
        <f t="shared" si="5"/>
        <v/>
      </c>
      <c r="AC7" s="19">
        <v>24.0</v>
      </c>
      <c r="AD7" s="19">
        <v>17.0</v>
      </c>
      <c r="AE7" s="19" t="b">
        <v>0</v>
      </c>
      <c r="AF7" s="27" t="s">
        <v>33</v>
      </c>
      <c r="AG7" s="11" t="str">
        <f t="shared" si="6"/>
        <v/>
      </c>
      <c r="AH7" s="19">
        <v>21.0</v>
      </c>
      <c r="AI7" s="19">
        <v>17.0</v>
      </c>
      <c r="AJ7" s="20" t="b">
        <v>0</v>
      </c>
      <c r="AK7" s="19" t="s">
        <v>55</v>
      </c>
      <c r="AL7" s="11" t="str">
        <f t="shared" si="7"/>
        <v/>
      </c>
      <c r="AM7" s="19">
        <v>14.0</v>
      </c>
      <c r="AN7" s="19">
        <v>17.0</v>
      </c>
      <c r="AO7" s="20" t="b">
        <v>0</v>
      </c>
      <c r="AP7" s="27" t="s">
        <v>33</v>
      </c>
      <c r="AQ7" s="11" t="str">
        <f t="shared" si="8"/>
        <v/>
      </c>
      <c r="AR7" s="19">
        <v>17.0</v>
      </c>
      <c r="AS7" s="19">
        <v>13.0</v>
      </c>
      <c r="AT7" s="20" t="b">
        <v>0</v>
      </c>
      <c r="AU7" s="27" t="s">
        <v>55</v>
      </c>
      <c r="AV7" s="11" t="str">
        <f t="shared" si="9"/>
        <v/>
      </c>
      <c r="AW7" s="19">
        <v>24.0</v>
      </c>
      <c r="AX7" s="19">
        <v>31.0</v>
      </c>
      <c r="AY7" s="20" t="b">
        <v>0</v>
      </c>
      <c r="AZ7" s="27" t="s">
        <v>55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33</v>
      </c>
      <c r="BF7" s="11" t="str">
        <f t="shared" si="11"/>
        <v/>
      </c>
      <c r="BG7" s="19">
        <v>23.0</v>
      </c>
      <c r="BH7" s="19">
        <v>20.0</v>
      </c>
      <c r="BI7" s="20" t="b">
        <v>0</v>
      </c>
      <c r="BJ7" s="27" t="s">
        <v>55</v>
      </c>
      <c r="BK7" s="11" t="str">
        <f t="shared" si="12"/>
        <v/>
      </c>
      <c r="BL7" s="19">
        <v>7.0</v>
      </c>
      <c r="BM7" s="19">
        <v>10.0</v>
      </c>
      <c r="BN7" s="20" t="b">
        <v>0</v>
      </c>
      <c r="BO7" s="17"/>
      <c r="BP7" s="17"/>
      <c r="BQ7" s="17"/>
    </row>
    <row r="8">
      <c r="A8" s="16" t="s">
        <v>427</v>
      </c>
      <c r="B8" s="17" t="s">
        <v>433</v>
      </c>
      <c r="C8" s="18"/>
      <c r="D8" s="11" t="str">
        <f>IFERROR(__xludf.DUMMYFUNCTION("""COMPUTED_VALUE"""),"")</f>
        <v/>
      </c>
      <c r="E8" s="19"/>
      <c r="F8" s="20"/>
      <c r="G8" s="19" t="s">
        <v>58</v>
      </c>
      <c r="H8" s="11" t="str">
        <f t="shared" si="1"/>
        <v/>
      </c>
      <c r="I8" s="19">
        <v>21.0</v>
      </c>
      <c r="J8" s="19">
        <v>24.0</v>
      </c>
      <c r="K8" s="20" t="b">
        <v>0</v>
      </c>
      <c r="L8" s="19" t="s">
        <v>51</v>
      </c>
      <c r="M8" s="11" t="str">
        <f t="shared" si="2"/>
        <v/>
      </c>
      <c r="N8" s="19">
        <v>14.0</v>
      </c>
      <c r="O8" s="19">
        <v>10.0</v>
      </c>
      <c r="P8" s="19" t="b">
        <v>0</v>
      </c>
      <c r="Q8" s="27" t="s">
        <v>51</v>
      </c>
      <c r="R8" s="11" t="str">
        <f t="shared" si="3"/>
        <v/>
      </c>
      <c r="S8" s="19">
        <v>28.0</v>
      </c>
      <c r="T8" s="19">
        <v>21.0</v>
      </c>
      <c r="U8" s="20" t="b">
        <v>0</v>
      </c>
      <c r="V8" s="19" t="s">
        <v>51</v>
      </c>
      <c r="W8" s="11" t="str">
        <f t="shared" si="4"/>
        <v/>
      </c>
      <c r="X8" s="19">
        <v>17.0</v>
      </c>
      <c r="Y8" s="19">
        <v>14.0</v>
      </c>
      <c r="Z8" s="20" t="b">
        <v>0</v>
      </c>
      <c r="AA8" s="27" t="s">
        <v>51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51</v>
      </c>
      <c r="AG8" s="11" t="str">
        <f t="shared" si="6"/>
        <v/>
      </c>
      <c r="AH8" s="19">
        <v>24.0</v>
      </c>
      <c r="AI8" s="19">
        <v>14.0</v>
      </c>
      <c r="AJ8" s="20" t="b">
        <v>0</v>
      </c>
      <c r="AK8" s="19" t="s">
        <v>51</v>
      </c>
      <c r="AL8" s="11" t="str">
        <f t="shared" si="7"/>
        <v/>
      </c>
      <c r="AM8" s="19">
        <v>23.0</v>
      </c>
      <c r="AN8" s="19">
        <v>20.0</v>
      </c>
      <c r="AO8" s="20" t="b">
        <v>0</v>
      </c>
      <c r="AP8" s="27" t="s">
        <v>51</v>
      </c>
      <c r="AQ8" s="11" t="str">
        <f t="shared" si="8"/>
        <v/>
      </c>
      <c r="AR8" s="19">
        <v>20.0</v>
      </c>
      <c r="AS8" s="19">
        <v>13.0</v>
      </c>
      <c r="AT8" s="20" t="b">
        <v>0</v>
      </c>
      <c r="AU8" s="27" t="s">
        <v>51</v>
      </c>
      <c r="AV8" s="11" t="str">
        <f t="shared" si="9"/>
        <v/>
      </c>
      <c r="AW8" s="19">
        <v>23.0</v>
      </c>
      <c r="AX8" s="19">
        <v>20.0</v>
      </c>
      <c r="AY8" s="20" t="b">
        <v>1</v>
      </c>
      <c r="AZ8" s="27" t="s">
        <v>51</v>
      </c>
      <c r="BA8" s="11" t="str">
        <f t="shared" si="10"/>
        <v/>
      </c>
      <c r="BB8" s="19">
        <v>23.0</v>
      </c>
      <c r="BC8" s="19">
        <v>20.0</v>
      </c>
      <c r="BD8" s="20" t="b">
        <v>0</v>
      </c>
      <c r="BE8" s="27" t="s">
        <v>58</v>
      </c>
      <c r="BF8" s="11" t="str">
        <f t="shared" si="11"/>
        <v/>
      </c>
      <c r="BG8" s="19">
        <v>24.0</v>
      </c>
      <c r="BH8" s="19">
        <v>27.0</v>
      </c>
      <c r="BI8" s="20" t="b">
        <v>0</v>
      </c>
      <c r="BJ8" s="27" t="s">
        <v>51</v>
      </c>
      <c r="BK8" s="11" t="str">
        <f t="shared" si="12"/>
        <v/>
      </c>
      <c r="BL8" s="19">
        <v>20.0</v>
      </c>
      <c r="BM8" s="19">
        <v>17.0</v>
      </c>
      <c r="BN8" s="20" t="b">
        <v>0</v>
      </c>
      <c r="BO8" s="19"/>
      <c r="BP8" s="19"/>
      <c r="BQ8" s="19"/>
    </row>
    <row r="9">
      <c r="A9" s="16" t="s">
        <v>427</v>
      </c>
      <c r="B9" s="30" t="s">
        <v>434</v>
      </c>
      <c r="C9" s="18"/>
      <c r="D9" s="11" t="str">
        <f>IFERROR(__xludf.DUMMYFUNCTION("""COMPUTED_VALUE"""),"")</f>
        <v/>
      </c>
      <c r="E9" s="19"/>
      <c r="F9" s="20"/>
      <c r="G9" s="19" t="s">
        <v>84</v>
      </c>
      <c r="H9" s="11" t="str">
        <f t="shared" si="1"/>
        <v/>
      </c>
      <c r="I9" s="19">
        <v>24.0</v>
      </c>
      <c r="J9" s="19">
        <v>27.0</v>
      </c>
      <c r="K9" s="20" t="b">
        <v>0</v>
      </c>
      <c r="L9" s="19" t="s">
        <v>84</v>
      </c>
      <c r="M9" s="11" t="str">
        <f t="shared" si="2"/>
        <v/>
      </c>
      <c r="N9" s="19">
        <v>21.0</v>
      </c>
      <c r="O9" s="19">
        <v>28.0</v>
      </c>
      <c r="P9" s="19" t="b">
        <v>0</v>
      </c>
      <c r="Q9" s="27" t="s">
        <v>84</v>
      </c>
      <c r="R9" s="11" t="str">
        <f t="shared" si="3"/>
        <v/>
      </c>
      <c r="S9" s="19">
        <v>20.0</v>
      </c>
      <c r="T9" s="19">
        <v>23.0</v>
      </c>
      <c r="U9" s="20" t="b">
        <v>0</v>
      </c>
      <c r="V9" s="19" t="s">
        <v>84</v>
      </c>
      <c r="W9" s="11" t="str">
        <f t="shared" si="4"/>
        <v/>
      </c>
      <c r="X9" s="19">
        <v>24.0</v>
      </c>
      <c r="Y9" s="19">
        <v>27.0</v>
      </c>
      <c r="Z9" s="20" t="b">
        <v>0</v>
      </c>
      <c r="AA9" s="27" t="s">
        <v>84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92</v>
      </c>
      <c r="AG9" s="11" t="str">
        <f t="shared" si="6"/>
        <v/>
      </c>
      <c r="AH9" s="19">
        <v>23.0</v>
      </c>
      <c r="AI9" s="19">
        <v>20.0</v>
      </c>
      <c r="AJ9" s="20" t="b">
        <v>0</v>
      </c>
      <c r="AK9" s="19" t="s">
        <v>84</v>
      </c>
      <c r="AL9" s="11" t="str">
        <f t="shared" si="7"/>
        <v/>
      </c>
      <c r="AM9" s="19">
        <v>21.0</v>
      </c>
      <c r="AN9" s="19">
        <v>24.0</v>
      </c>
      <c r="AO9" s="20" t="b">
        <v>1</v>
      </c>
      <c r="AP9" s="27" t="s">
        <v>84</v>
      </c>
      <c r="AQ9" s="11" t="str">
        <f t="shared" si="8"/>
        <v/>
      </c>
      <c r="AR9" s="19">
        <v>20.0</v>
      </c>
      <c r="AS9" s="19">
        <v>27.0</v>
      </c>
      <c r="AT9" s="20" t="b">
        <v>1</v>
      </c>
      <c r="AU9" s="27" t="s">
        <v>84</v>
      </c>
      <c r="AV9" s="11" t="str">
        <f t="shared" si="9"/>
        <v/>
      </c>
      <c r="AW9" s="19">
        <v>21.0</v>
      </c>
      <c r="AX9" s="19">
        <v>28.0</v>
      </c>
      <c r="AY9" s="20" t="b">
        <v>0</v>
      </c>
      <c r="AZ9" s="27" t="s">
        <v>84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84</v>
      </c>
      <c r="BF9" s="11" t="str">
        <f t="shared" si="11"/>
        <v/>
      </c>
      <c r="BG9" s="19">
        <v>21.0</v>
      </c>
      <c r="BH9" s="19">
        <v>28.0</v>
      </c>
      <c r="BI9" s="20" t="b">
        <v>0</v>
      </c>
      <c r="BJ9" s="27" t="s">
        <v>84</v>
      </c>
      <c r="BK9" s="11" t="str">
        <f t="shared" si="12"/>
        <v/>
      </c>
      <c r="BL9" s="19">
        <v>20.0</v>
      </c>
      <c r="BM9" s="19">
        <v>23.0</v>
      </c>
      <c r="BN9" s="20" t="b">
        <v>0</v>
      </c>
      <c r="BO9" s="17"/>
      <c r="BP9" s="17"/>
      <c r="BQ9" s="17"/>
    </row>
    <row r="10">
      <c r="A10" s="16" t="s">
        <v>435</v>
      </c>
      <c r="B10" s="17" t="s">
        <v>436</v>
      </c>
      <c r="C10" s="18"/>
      <c r="D10" s="11" t="str">
        <f>IFERROR(__xludf.DUMMYFUNCTION("""COMPUTED_VALUE"""),"")</f>
        <v/>
      </c>
      <c r="E10" s="19"/>
      <c r="F10" s="20"/>
      <c r="G10" s="19" t="s">
        <v>93</v>
      </c>
      <c r="H10" s="11" t="str">
        <f t="shared" si="1"/>
        <v/>
      </c>
      <c r="I10" s="19">
        <v>21.0</v>
      </c>
      <c r="J10" s="19">
        <v>24.0</v>
      </c>
      <c r="K10" s="20" t="b">
        <v>0</v>
      </c>
      <c r="L10" s="19" t="s">
        <v>79</v>
      </c>
      <c r="M10" s="11" t="str">
        <f t="shared" si="2"/>
        <v/>
      </c>
      <c r="N10" s="19">
        <v>28.0</v>
      </c>
      <c r="O10" s="19">
        <v>21.0</v>
      </c>
      <c r="P10" s="19" t="b">
        <v>0</v>
      </c>
      <c r="Q10" s="27" t="s">
        <v>93</v>
      </c>
      <c r="R10" s="11" t="str">
        <f t="shared" si="3"/>
        <v/>
      </c>
      <c r="S10" s="19">
        <v>14.0</v>
      </c>
      <c r="T10" s="19">
        <v>17.0</v>
      </c>
      <c r="U10" s="20" t="b">
        <v>0</v>
      </c>
      <c r="V10" s="19" t="s">
        <v>93</v>
      </c>
      <c r="W10" s="11" t="str">
        <f t="shared" si="4"/>
        <v/>
      </c>
      <c r="X10" s="19">
        <v>17.0</v>
      </c>
      <c r="Y10" s="19">
        <v>20.0</v>
      </c>
      <c r="Z10" s="20" t="b">
        <v>0</v>
      </c>
      <c r="AA10" s="27" t="s">
        <v>79</v>
      </c>
      <c r="AB10" s="11" t="str">
        <f t="shared" si="5"/>
        <v/>
      </c>
      <c r="AC10" s="19">
        <v>24.0</v>
      </c>
      <c r="AD10" s="19">
        <v>17.0</v>
      </c>
      <c r="AE10" s="19" t="b">
        <v>0</v>
      </c>
      <c r="AF10" s="27" t="s">
        <v>93</v>
      </c>
      <c r="AG10" s="11" t="str">
        <f t="shared" si="6"/>
        <v/>
      </c>
      <c r="AH10" s="19">
        <v>17.0</v>
      </c>
      <c r="AI10" s="19">
        <v>21.0</v>
      </c>
      <c r="AJ10" s="20" t="b">
        <v>0</v>
      </c>
      <c r="AK10" s="19" t="s">
        <v>93</v>
      </c>
      <c r="AL10" s="11" t="str">
        <f t="shared" si="7"/>
        <v/>
      </c>
      <c r="AM10" s="19">
        <v>24.0</v>
      </c>
      <c r="AN10" s="19">
        <v>31.0</v>
      </c>
      <c r="AO10" s="20" t="b">
        <v>0</v>
      </c>
      <c r="AP10" s="27" t="s">
        <v>79</v>
      </c>
      <c r="AQ10" s="11" t="str">
        <f t="shared" si="8"/>
        <v/>
      </c>
      <c r="AR10" s="19">
        <v>23.0</v>
      </c>
      <c r="AS10" s="19">
        <v>20.0</v>
      </c>
      <c r="AT10" s="20" t="b">
        <v>0</v>
      </c>
      <c r="AU10" s="27" t="s">
        <v>93</v>
      </c>
      <c r="AV10" s="11" t="str">
        <f t="shared" si="9"/>
        <v/>
      </c>
      <c r="AW10" s="19">
        <v>7.0</v>
      </c>
      <c r="AX10" s="19">
        <v>10.0</v>
      </c>
      <c r="AY10" s="20" t="b">
        <v>0</v>
      </c>
      <c r="AZ10" s="27" t="s">
        <v>93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93</v>
      </c>
      <c r="BF10" s="11" t="str">
        <f t="shared" si="11"/>
        <v/>
      </c>
      <c r="BG10" s="19">
        <v>17.0</v>
      </c>
      <c r="BH10" s="19">
        <v>21.0</v>
      </c>
      <c r="BI10" s="20" t="b">
        <v>0</v>
      </c>
      <c r="BJ10" s="27" t="s">
        <v>93</v>
      </c>
      <c r="BK10" s="11" t="str">
        <f t="shared" si="12"/>
        <v/>
      </c>
      <c r="BL10" s="19">
        <v>10.0</v>
      </c>
      <c r="BM10" s="19">
        <v>14.0</v>
      </c>
      <c r="BN10" s="20" t="b">
        <v>0</v>
      </c>
      <c r="BO10" s="17"/>
      <c r="BP10" s="17"/>
      <c r="BQ10" s="17"/>
    </row>
    <row r="11">
      <c r="A11" s="16" t="s">
        <v>437</v>
      </c>
      <c r="B11" s="30" t="s">
        <v>438</v>
      </c>
      <c r="C11" s="18"/>
      <c r="D11" s="11" t="str">
        <f>IFERROR(__xludf.DUMMYFUNCTION("""COMPUTED_VALUE"""),"")</f>
        <v/>
      </c>
      <c r="E11" s="19"/>
      <c r="F11" s="20"/>
      <c r="G11" s="19" t="s">
        <v>44</v>
      </c>
      <c r="H11" s="11" t="str">
        <f t="shared" si="1"/>
        <v/>
      </c>
      <c r="I11" s="19">
        <v>17.0</v>
      </c>
      <c r="J11" s="19">
        <v>20.0</v>
      </c>
      <c r="K11" s="20" t="b">
        <v>0</v>
      </c>
      <c r="L11" s="19" t="s">
        <v>44</v>
      </c>
      <c r="M11" s="11" t="str">
        <f t="shared" si="2"/>
        <v/>
      </c>
      <c r="N11" s="19">
        <v>21.0</v>
      </c>
      <c r="O11" s="19">
        <v>24.0</v>
      </c>
      <c r="P11" s="19" t="b">
        <v>0</v>
      </c>
      <c r="Q11" s="27" t="s">
        <v>27</v>
      </c>
      <c r="R11" s="11" t="str">
        <f t="shared" si="3"/>
        <v/>
      </c>
      <c r="S11" s="19">
        <v>27.0</v>
      </c>
      <c r="T11" s="19">
        <v>24.0</v>
      </c>
      <c r="U11" s="20" t="b">
        <v>0</v>
      </c>
      <c r="V11" s="19" t="s">
        <v>27</v>
      </c>
      <c r="W11" s="11" t="str">
        <f t="shared" si="4"/>
        <v/>
      </c>
      <c r="X11" s="19">
        <v>20.0</v>
      </c>
      <c r="Y11" s="19">
        <v>17.0</v>
      </c>
      <c r="Z11" s="20" t="b">
        <v>0</v>
      </c>
      <c r="AA11" s="27" t="s">
        <v>44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27</v>
      </c>
      <c r="AG11" s="11" t="str">
        <f t="shared" si="6"/>
        <v/>
      </c>
      <c r="AH11" s="19">
        <v>10.0</v>
      </c>
      <c r="AI11" s="19">
        <v>7.0</v>
      </c>
      <c r="AJ11" s="20" t="b">
        <v>0</v>
      </c>
      <c r="AK11" s="19" t="s">
        <v>27</v>
      </c>
      <c r="AL11" s="11" t="str">
        <f t="shared" si="7"/>
        <v/>
      </c>
      <c r="AM11" s="19">
        <v>21.0</v>
      </c>
      <c r="AN11" s="19">
        <v>17.0</v>
      </c>
      <c r="AO11" s="20" t="b">
        <v>0</v>
      </c>
      <c r="AP11" s="27" t="s">
        <v>44</v>
      </c>
      <c r="AQ11" s="11" t="str">
        <f t="shared" si="8"/>
        <v/>
      </c>
      <c r="AR11" s="19">
        <v>21.0</v>
      </c>
      <c r="AS11" s="19">
        <v>23.0</v>
      </c>
      <c r="AT11" s="20" t="b">
        <v>0</v>
      </c>
      <c r="AU11" s="27" t="s">
        <v>27</v>
      </c>
      <c r="AV11" s="11" t="str">
        <f t="shared" si="9"/>
        <v/>
      </c>
      <c r="AW11" s="19">
        <v>10.0</v>
      </c>
      <c r="AX11" s="19">
        <v>7.0</v>
      </c>
      <c r="AY11" s="20" t="b">
        <v>0</v>
      </c>
      <c r="AZ11" s="27" t="s">
        <v>44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44</v>
      </c>
      <c r="BF11" s="11" t="str">
        <f t="shared" si="11"/>
        <v/>
      </c>
      <c r="BG11" s="19">
        <v>7.0</v>
      </c>
      <c r="BH11" s="19">
        <v>10.0</v>
      </c>
      <c r="BI11" s="20" t="b">
        <v>1</v>
      </c>
      <c r="BJ11" s="27" t="s">
        <v>44</v>
      </c>
      <c r="BK11" s="11" t="str">
        <f t="shared" si="12"/>
        <v/>
      </c>
      <c r="BL11" s="19">
        <v>20.0</v>
      </c>
      <c r="BM11" s="19">
        <v>23.0</v>
      </c>
      <c r="BN11" s="20" t="b">
        <v>0</v>
      </c>
      <c r="BO11" s="19"/>
      <c r="BP11" s="19"/>
      <c r="BQ11" s="19"/>
    </row>
    <row r="12">
      <c r="A12" s="16" t="s">
        <v>439</v>
      </c>
      <c r="B12" s="17" t="s">
        <v>440</v>
      </c>
      <c r="C12" s="18"/>
      <c r="D12" s="11" t="str">
        <f>IFERROR(__xludf.DUMMYFUNCTION("""COMPUTED_VALUE"""),"")</f>
        <v/>
      </c>
      <c r="E12" s="19"/>
      <c r="F12" s="20"/>
      <c r="G12" s="19" t="s">
        <v>40</v>
      </c>
      <c r="H12" s="11" t="str">
        <f t="shared" si="1"/>
        <v/>
      </c>
      <c r="I12" s="19">
        <v>21.0</v>
      </c>
      <c r="J12" s="19">
        <v>24.0</v>
      </c>
      <c r="K12" s="20" t="b">
        <v>0</v>
      </c>
      <c r="L12" s="19" t="s">
        <v>40</v>
      </c>
      <c r="M12" s="11" t="str">
        <f t="shared" si="2"/>
        <v/>
      </c>
      <c r="N12" s="19">
        <v>20.0</v>
      </c>
      <c r="O12" s="19">
        <v>23.0</v>
      </c>
      <c r="P12" s="19" t="b">
        <v>0</v>
      </c>
      <c r="Q12" s="27" t="s">
        <v>40</v>
      </c>
      <c r="R12" s="11" t="str">
        <f t="shared" si="3"/>
        <v/>
      </c>
      <c r="S12" s="19">
        <v>21.0</v>
      </c>
      <c r="T12" s="19">
        <v>28.0</v>
      </c>
      <c r="U12" s="20" t="b">
        <v>0</v>
      </c>
      <c r="V12" s="19" t="s">
        <v>40</v>
      </c>
      <c r="W12" s="11" t="str">
        <f t="shared" si="4"/>
        <v/>
      </c>
      <c r="X12" s="19">
        <v>20.0</v>
      </c>
      <c r="Y12" s="19">
        <v>23.0</v>
      </c>
      <c r="Z12" s="20" t="b">
        <v>0</v>
      </c>
      <c r="AA12" s="27" t="s">
        <v>40</v>
      </c>
      <c r="AB12" s="11" t="str">
        <f t="shared" si="5"/>
        <v/>
      </c>
      <c r="AC12" s="19">
        <v>17.0</v>
      </c>
      <c r="AD12" s="19">
        <v>24.0</v>
      </c>
      <c r="AE12" s="19" t="b">
        <v>0</v>
      </c>
      <c r="AF12" s="27" t="s">
        <v>54</v>
      </c>
      <c r="AG12" s="11" t="str">
        <f t="shared" si="6"/>
        <v/>
      </c>
      <c r="AH12" s="19">
        <v>17.0</v>
      </c>
      <c r="AI12" s="19">
        <v>14.0</v>
      </c>
      <c r="AJ12" s="20" t="b">
        <v>0</v>
      </c>
      <c r="AK12" s="19" t="s">
        <v>40</v>
      </c>
      <c r="AL12" s="11" t="str">
        <f t="shared" si="7"/>
        <v/>
      </c>
      <c r="AM12" s="19">
        <v>17.0</v>
      </c>
      <c r="AN12" s="19">
        <v>21.0</v>
      </c>
      <c r="AO12" s="20" t="b">
        <v>0</v>
      </c>
      <c r="AP12" s="27" t="s">
        <v>40</v>
      </c>
      <c r="AQ12" s="11" t="str">
        <f t="shared" si="8"/>
        <v/>
      </c>
      <c r="AR12" s="19">
        <v>17.0</v>
      </c>
      <c r="AS12" s="19">
        <v>20.0</v>
      </c>
      <c r="AT12" s="20" t="b">
        <v>0</v>
      </c>
      <c r="AU12" s="27" t="s">
        <v>40</v>
      </c>
      <c r="AV12" s="11" t="str">
        <f t="shared" si="9"/>
        <v/>
      </c>
      <c r="AW12" s="19">
        <v>17.0</v>
      </c>
      <c r="AX12" s="19">
        <v>21.0</v>
      </c>
      <c r="AY12" s="20" t="b">
        <v>0</v>
      </c>
      <c r="AZ12" s="27" t="s">
        <v>54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40</v>
      </c>
      <c r="BF12" s="11" t="str">
        <f t="shared" si="11"/>
        <v/>
      </c>
      <c r="BG12" s="19">
        <v>21.0</v>
      </c>
      <c r="BH12" s="19">
        <v>24.0</v>
      </c>
      <c r="BI12" s="20" t="b">
        <v>0</v>
      </c>
      <c r="BJ12" s="27" t="s">
        <v>40</v>
      </c>
      <c r="BK12" s="11" t="str">
        <f t="shared" si="12"/>
        <v/>
      </c>
      <c r="BL12" s="19">
        <v>21.0</v>
      </c>
      <c r="BM12" s="19">
        <v>28.0</v>
      </c>
      <c r="BN12" s="20" t="b">
        <v>0</v>
      </c>
      <c r="BO12" s="17"/>
      <c r="BP12" s="17"/>
      <c r="BQ12" s="17"/>
    </row>
    <row r="13">
      <c r="A13" s="16" t="s">
        <v>441</v>
      </c>
      <c r="B13" s="17" t="s">
        <v>442</v>
      </c>
      <c r="C13" s="18"/>
      <c r="D13" s="11" t="str">
        <f>IFERROR(__xludf.DUMMYFUNCTION("""COMPUTED_VALUE"""),"")</f>
        <v/>
      </c>
      <c r="E13" s="19"/>
      <c r="F13" s="20"/>
      <c r="G13" s="19" t="s">
        <v>69</v>
      </c>
      <c r="H13" s="11" t="str">
        <f t="shared" si="1"/>
        <v/>
      </c>
      <c r="I13" s="19">
        <v>23.0</v>
      </c>
      <c r="J13" s="19">
        <v>20.0</v>
      </c>
      <c r="K13" s="20" t="b">
        <v>0</v>
      </c>
      <c r="L13" s="19" t="s">
        <v>69</v>
      </c>
      <c r="M13" s="11" t="str">
        <f t="shared" si="2"/>
        <v/>
      </c>
      <c r="N13" s="19">
        <v>23.0</v>
      </c>
      <c r="O13" s="19">
        <v>20.0</v>
      </c>
      <c r="P13" s="19" t="b">
        <v>0</v>
      </c>
      <c r="Q13" s="27" t="s">
        <v>69</v>
      </c>
      <c r="R13" s="11" t="str">
        <f t="shared" si="3"/>
        <v/>
      </c>
      <c r="S13" s="19">
        <v>10.0</v>
      </c>
      <c r="T13" s="19">
        <v>7.0</v>
      </c>
      <c r="U13" s="20" t="b">
        <v>0</v>
      </c>
      <c r="V13" s="19" t="s">
        <v>26</v>
      </c>
      <c r="W13" s="11" t="str">
        <f t="shared" si="4"/>
        <v/>
      </c>
      <c r="X13" s="19">
        <v>23.0</v>
      </c>
      <c r="Y13" s="19">
        <v>31.0</v>
      </c>
      <c r="Z13" s="20" t="b">
        <v>0</v>
      </c>
      <c r="AA13" s="27" t="s">
        <v>26</v>
      </c>
      <c r="AB13" s="11" t="str">
        <f t="shared" si="5"/>
        <v/>
      </c>
      <c r="AC13" s="19">
        <v>17.0</v>
      </c>
      <c r="AD13" s="19">
        <v>24.0</v>
      </c>
      <c r="AE13" s="19" t="b">
        <v>0</v>
      </c>
      <c r="AF13" s="27" t="s">
        <v>69</v>
      </c>
      <c r="AG13" s="11" t="str">
        <f t="shared" si="6"/>
        <v/>
      </c>
      <c r="AH13" s="19">
        <v>23.0</v>
      </c>
      <c r="AI13" s="19">
        <v>20.0</v>
      </c>
      <c r="AJ13" s="20" t="b">
        <v>0</v>
      </c>
      <c r="AK13" s="19" t="s">
        <v>26</v>
      </c>
      <c r="AL13" s="11" t="str">
        <f t="shared" si="7"/>
        <v/>
      </c>
      <c r="AM13" s="19">
        <v>17.0</v>
      </c>
      <c r="AN13" s="19">
        <v>21.0</v>
      </c>
      <c r="AO13" s="20" t="b">
        <v>0</v>
      </c>
      <c r="AP13" s="27" t="s">
        <v>26</v>
      </c>
      <c r="AQ13" s="11" t="str">
        <f t="shared" si="8"/>
        <v/>
      </c>
      <c r="AR13" s="19">
        <v>23.0</v>
      </c>
      <c r="AS13" s="19">
        <v>27.0</v>
      </c>
      <c r="AT13" s="20" t="b">
        <v>0</v>
      </c>
      <c r="AU13" s="27" t="s">
        <v>26</v>
      </c>
      <c r="AV13" s="11" t="str">
        <f t="shared" si="9"/>
        <v/>
      </c>
      <c r="AW13" s="19">
        <v>10.0</v>
      </c>
      <c r="AX13" s="19">
        <v>14.0</v>
      </c>
      <c r="AY13" s="20" t="b">
        <v>0</v>
      </c>
      <c r="AZ13" s="27" t="s">
        <v>26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69</v>
      </c>
      <c r="BF13" s="11" t="str">
        <f t="shared" si="11"/>
        <v/>
      </c>
      <c r="BG13" s="19">
        <v>14.0</v>
      </c>
      <c r="BH13" s="19">
        <v>10.0</v>
      </c>
      <c r="BI13" s="20" t="b">
        <v>0</v>
      </c>
      <c r="BJ13" s="27" t="s">
        <v>69</v>
      </c>
      <c r="BK13" s="11" t="str">
        <f t="shared" si="12"/>
        <v/>
      </c>
      <c r="BL13" s="19">
        <v>20.0</v>
      </c>
      <c r="BM13" s="19">
        <v>17.0</v>
      </c>
      <c r="BN13" s="20" t="b">
        <v>0</v>
      </c>
      <c r="BO13" s="17"/>
      <c r="BP13" s="17"/>
      <c r="BQ13" s="17"/>
    </row>
    <row r="14">
      <c r="A14" s="16" t="s">
        <v>427</v>
      </c>
      <c r="B14" s="17" t="s">
        <v>443</v>
      </c>
      <c r="C14" s="18"/>
      <c r="D14" s="11" t="str">
        <f>IFERROR(__xludf.DUMMYFUNCTION("""COMPUTED_VALUE"""),"")</f>
        <v/>
      </c>
      <c r="E14" s="19"/>
      <c r="F14" s="20"/>
      <c r="G14" s="19" t="s">
        <v>28</v>
      </c>
      <c r="H14" s="11" t="str">
        <f t="shared" si="1"/>
        <v/>
      </c>
      <c r="I14" s="19">
        <v>24.0</v>
      </c>
      <c r="J14" s="19">
        <v>31.0</v>
      </c>
      <c r="K14" s="20" t="b">
        <v>0</v>
      </c>
      <c r="L14" s="19" t="s">
        <v>28</v>
      </c>
      <c r="M14" s="11" t="str">
        <f t="shared" si="2"/>
        <v/>
      </c>
      <c r="N14" s="19">
        <v>17.0</v>
      </c>
      <c r="O14" s="19">
        <v>21.0</v>
      </c>
      <c r="P14" s="19" t="b">
        <v>0</v>
      </c>
      <c r="Q14" s="27" t="s">
        <v>28</v>
      </c>
      <c r="R14" s="11" t="str">
        <f t="shared" si="3"/>
        <v/>
      </c>
      <c r="S14" s="19">
        <v>21.0</v>
      </c>
      <c r="T14" s="19">
        <v>28.0</v>
      </c>
      <c r="U14" s="20" t="b">
        <v>0</v>
      </c>
      <c r="V14" s="19" t="s">
        <v>28</v>
      </c>
      <c r="W14" s="11" t="str">
        <f t="shared" si="4"/>
        <v/>
      </c>
      <c r="X14" s="19">
        <v>17.0</v>
      </c>
      <c r="Y14" s="19">
        <v>20.0</v>
      </c>
      <c r="Z14" s="20" t="b">
        <v>0</v>
      </c>
      <c r="AA14" s="27" t="s">
        <v>74</v>
      </c>
      <c r="AB14" s="11" t="str">
        <f t="shared" si="5"/>
        <v/>
      </c>
      <c r="AC14" s="19">
        <v>24.0</v>
      </c>
      <c r="AD14" s="19">
        <v>17.0</v>
      </c>
      <c r="AE14" s="19" t="b">
        <v>0</v>
      </c>
      <c r="AF14" s="27" t="s">
        <v>74</v>
      </c>
      <c r="AG14" s="11" t="str">
        <f t="shared" si="6"/>
        <v/>
      </c>
      <c r="AH14" s="19">
        <v>20.0</v>
      </c>
      <c r="AI14" s="19">
        <v>17.0</v>
      </c>
      <c r="AJ14" s="20" t="b">
        <v>0</v>
      </c>
      <c r="AK14" s="19" t="s">
        <v>28</v>
      </c>
      <c r="AL14" s="11" t="str">
        <f t="shared" si="7"/>
        <v/>
      </c>
      <c r="AM14" s="19">
        <v>14.0</v>
      </c>
      <c r="AN14" s="19">
        <v>17.0</v>
      </c>
      <c r="AO14" s="20" t="b">
        <v>0</v>
      </c>
      <c r="AP14" s="27" t="s">
        <v>28</v>
      </c>
      <c r="AQ14" s="11" t="str">
        <f t="shared" si="8"/>
        <v/>
      </c>
      <c r="AR14" s="19">
        <v>13.0</v>
      </c>
      <c r="AS14" s="19">
        <v>20.0</v>
      </c>
      <c r="AT14" s="20" t="b">
        <v>0</v>
      </c>
      <c r="AU14" s="27" t="s">
        <v>28</v>
      </c>
      <c r="AV14" s="11" t="str">
        <f t="shared" si="9"/>
        <v/>
      </c>
      <c r="AW14" s="19">
        <v>24.0</v>
      </c>
      <c r="AX14" s="19">
        <v>31.0</v>
      </c>
      <c r="AY14" s="20" t="b">
        <v>0</v>
      </c>
      <c r="AZ14" s="27" t="s">
        <v>74</v>
      </c>
      <c r="BA14" s="11" t="str">
        <f t="shared" si="10"/>
        <v/>
      </c>
      <c r="BB14" s="19">
        <v>23.0</v>
      </c>
      <c r="BC14" s="19">
        <v>20.0</v>
      </c>
      <c r="BD14" s="20" t="b">
        <v>0</v>
      </c>
      <c r="BE14" s="27" t="s">
        <v>28</v>
      </c>
      <c r="BF14" s="11" t="str">
        <f t="shared" si="11"/>
        <v/>
      </c>
      <c r="BG14" s="19">
        <v>21.0</v>
      </c>
      <c r="BH14" s="19">
        <v>28.0</v>
      </c>
      <c r="BI14" s="20" t="b">
        <v>0</v>
      </c>
      <c r="BJ14" s="27" t="s">
        <v>28</v>
      </c>
      <c r="BK14" s="11" t="str">
        <f t="shared" si="12"/>
        <v/>
      </c>
      <c r="BL14" s="19">
        <v>17.0</v>
      </c>
      <c r="BM14" s="19">
        <v>20.0</v>
      </c>
      <c r="BN14" s="20" t="b">
        <v>0</v>
      </c>
      <c r="BO14" s="17"/>
      <c r="BP14" s="17"/>
      <c r="BQ14" s="17"/>
    </row>
    <row r="15">
      <c r="A15" s="16" t="s">
        <v>444</v>
      </c>
      <c r="B15" s="30" t="s">
        <v>445</v>
      </c>
      <c r="C15" s="18"/>
      <c r="D15" s="11" t="str">
        <f>IFERROR(__xludf.DUMMYFUNCTION("""COMPUTED_VALUE"""),"")</f>
        <v/>
      </c>
      <c r="E15" s="19"/>
      <c r="F15" s="20"/>
      <c r="G15" s="19" t="s">
        <v>88</v>
      </c>
      <c r="H15" s="11" t="str">
        <f t="shared" si="1"/>
        <v/>
      </c>
      <c r="I15" s="19">
        <v>24.0</v>
      </c>
      <c r="J15" s="19">
        <v>21.0</v>
      </c>
      <c r="K15" s="20" t="b">
        <v>0</v>
      </c>
      <c r="L15" s="19" t="s">
        <v>50</v>
      </c>
      <c r="M15" s="11" t="str">
        <f t="shared" si="2"/>
        <v/>
      </c>
      <c r="N15" s="19">
        <v>14.0</v>
      </c>
      <c r="O15" s="19">
        <v>17.0</v>
      </c>
      <c r="P15" s="19" t="b">
        <v>0</v>
      </c>
      <c r="Q15" s="27" t="s">
        <v>88</v>
      </c>
      <c r="R15" s="11" t="str">
        <f t="shared" si="3"/>
        <v/>
      </c>
      <c r="S15" s="19">
        <v>31.0</v>
      </c>
      <c r="T15" s="19">
        <v>24.0</v>
      </c>
      <c r="U15" s="20" t="b">
        <v>0</v>
      </c>
      <c r="V15" s="19" t="s">
        <v>50</v>
      </c>
      <c r="W15" s="11" t="str">
        <f t="shared" si="4"/>
        <v/>
      </c>
      <c r="X15" s="19">
        <v>24.0</v>
      </c>
      <c r="Y15" s="19">
        <v>31.0</v>
      </c>
      <c r="Z15" s="20" t="b">
        <v>0</v>
      </c>
      <c r="AA15" s="27" t="s">
        <v>88</v>
      </c>
      <c r="AB15" s="11" t="str">
        <f t="shared" si="5"/>
        <v/>
      </c>
      <c r="AC15" s="19">
        <v>24.0</v>
      </c>
      <c r="AD15" s="19">
        <v>17.0</v>
      </c>
      <c r="AE15" s="19" t="b">
        <v>1</v>
      </c>
      <c r="AF15" s="27" t="s">
        <v>50</v>
      </c>
      <c r="AG15" s="11" t="str">
        <f t="shared" si="6"/>
        <v/>
      </c>
      <c r="AH15" s="19">
        <v>21.0</v>
      </c>
      <c r="AI15" s="19">
        <v>24.0</v>
      </c>
      <c r="AJ15" s="20" t="b">
        <v>0</v>
      </c>
      <c r="AK15" s="19" t="s">
        <v>88</v>
      </c>
      <c r="AL15" s="11" t="str">
        <f t="shared" si="7"/>
        <v/>
      </c>
      <c r="AM15" s="19">
        <v>10.0</v>
      </c>
      <c r="AN15" s="19">
        <v>7.0</v>
      </c>
      <c r="AO15" s="20" t="b">
        <v>0</v>
      </c>
      <c r="AP15" s="27" t="s">
        <v>88</v>
      </c>
      <c r="AQ15" s="11" t="str">
        <f t="shared" si="8"/>
        <v/>
      </c>
      <c r="AR15" s="19">
        <v>24.0</v>
      </c>
      <c r="AS15" s="19">
        <v>21.0</v>
      </c>
      <c r="AT15" s="20" t="b">
        <v>0</v>
      </c>
      <c r="AU15" s="27" t="s">
        <v>88</v>
      </c>
      <c r="AV15" s="11" t="str">
        <f t="shared" si="9"/>
        <v/>
      </c>
      <c r="AW15" s="19">
        <v>14.0</v>
      </c>
      <c r="AX15" s="19">
        <v>10.0</v>
      </c>
      <c r="AY15" s="20" t="b">
        <v>0</v>
      </c>
      <c r="AZ15" s="27" t="s">
        <v>50</v>
      </c>
      <c r="BA15" s="11" t="str">
        <f t="shared" si="10"/>
        <v/>
      </c>
      <c r="BB15" s="19">
        <v>20.0</v>
      </c>
      <c r="BC15" s="19">
        <v>23.0</v>
      </c>
      <c r="BD15" s="20" t="b">
        <v>1</v>
      </c>
      <c r="BE15" s="27" t="s">
        <v>50</v>
      </c>
      <c r="BF15" s="11" t="str">
        <f t="shared" si="11"/>
        <v/>
      </c>
      <c r="BG15" s="19">
        <v>10.0</v>
      </c>
      <c r="BH15" s="19">
        <v>14.0</v>
      </c>
      <c r="BI15" s="20" t="b">
        <v>0</v>
      </c>
      <c r="BJ15" s="27" t="s">
        <v>88</v>
      </c>
      <c r="BK15" s="11" t="str">
        <f t="shared" si="12"/>
        <v/>
      </c>
      <c r="BL15" s="19">
        <v>27.0</v>
      </c>
      <c r="BM15" s="19">
        <v>24.0</v>
      </c>
      <c r="BN15" s="20" t="b">
        <v>0</v>
      </c>
      <c r="BO15" s="17"/>
      <c r="BP15" s="17"/>
      <c r="BQ15" s="17"/>
    </row>
    <row r="16">
      <c r="A16" s="16" t="s">
        <v>444</v>
      </c>
      <c r="B16" s="17" t="s">
        <v>446</v>
      </c>
      <c r="C16" s="18"/>
      <c r="D16" s="11" t="str">
        <f>IFERROR(__xludf.DUMMYFUNCTION("""COMPUTED_VALUE"""),"")</f>
        <v/>
      </c>
      <c r="E16" s="19"/>
      <c r="F16" s="20"/>
      <c r="G16" s="19" t="s">
        <v>39</v>
      </c>
      <c r="H16" s="11" t="str">
        <f t="shared" si="1"/>
        <v/>
      </c>
      <c r="I16" s="19">
        <v>23.0</v>
      </c>
      <c r="J16" s="19">
        <v>20.0</v>
      </c>
      <c r="K16" s="20" t="b">
        <v>0</v>
      </c>
      <c r="L16" s="19" t="s">
        <v>39</v>
      </c>
      <c r="M16" s="11" t="str">
        <f t="shared" si="2"/>
        <v/>
      </c>
      <c r="N16" s="19">
        <v>27.0</v>
      </c>
      <c r="O16" s="19">
        <v>24.0</v>
      </c>
      <c r="P16" s="19" t="b">
        <v>0</v>
      </c>
      <c r="Q16" s="27" t="s">
        <v>39</v>
      </c>
      <c r="R16" s="11" t="str">
        <f t="shared" si="3"/>
        <v/>
      </c>
      <c r="S16" s="19">
        <v>24.0</v>
      </c>
      <c r="T16" s="19">
        <v>21.0</v>
      </c>
      <c r="U16" s="20" t="b">
        <v>0</v>
      </c>
      <c r="V16" s="19" t="s">
        <v>48</v>
      </c>
      <c r="W16" s="11" t="str">
        <f t="shared" si="4"/>
        <v/>
      </c>
      <c r="X16" s="19">
        <v>20.0</v>
      </c>
      <c r="Y16" s="19">
        <v>24.0</v>
      </c>
      <c r="Z16" s="20" t="b">
        <v>0</v>
      </c>
      <c r="AA16" s="27" t="s">
        <v>39</v>
      </c>
      <c r="AB16" s="11" t="str">
        <f t="shared" si="5"/>
        <v/>
      </c>
      <c r="AC16" s="19">
        <v>24.0</v>
      </c>
      <c r="AD16" s="19">
        <v>17.0</v>
      </c>
      <c r="AE16" s="19" t="b">
        <v>0</v>
      </c>
      <c r="AF16" s="27" t="s">
        <v>48</v>
      </c>
      <c r="AG16" s="11" t="str">
        <f t="shared" si="6"/>
        <v/>
      </c>
      <c r="AH16" s="19">
        <v>7.0</v>
      </c>
      <c r="AI16" s="19">
        <v>10.0</v>
      </c>
      <c r="AJ16" s="20" t="b">
        <v>0</v>
      </c>
      <c r="AK16" s="19" t="s">
        <v>39</v>
      </c>
      <c r="AL16" s="11" t="str">
        <f t="shared" si="7"/>
        <v/>
      </c>
      <c r="AM16" s="19">
        <v>14.0</v>
      </c>
      <c r="AN16" s="19">
        <v>10.0</v>
      </c>
      <c r="AO16" s="20" t="b">
        <v>0</v>
      </c>
      <c r="AP16" s="27" t="s">
        <v>39</v>
      </c>
      <c r="AQ16" s="11" t="str">
        <f t="shared" si="8"/>
        <v/>
      </c>
      <c r="AR16" s="19">
        <v>27.0</v>
      </c>
      <c r="AS16" s="19">
        <v>23.0</v>
      </c>
      <c r="AT16" s="20" t="b">
        <v>0</v>
      </c>
      <c r="AU16" s="27" t="s">
        <v>39</v>
      </c>
      <c r="AV16" s="11" t="str">
        <f t="shared" si="9"/>
        <v/>
      </c>
      <c r="AW16" s="19">
        <v>24.0</v>
      </c>
      <c r="AX16" s="19">
        <v>21.0</v>
      </c>
      <c r="AY16" s="20" t="b">
        <v>0</v>
      </c>
      <c r="AZ16" s="27" t="s">
        <v>39</v>
      </c>
      <c r="BA16" s="11" t="str">
        <f t="shared" si="10"/>
        <v/>
      </c>
      <c r="BB16" s="19">
        <v>23.0</v>
      </c>
      <c r="BC16" s="19">
        <v>20.0</v>
      </c>
      <c r="BD16" s="20" t="b">
        <v>0</v>
      </c>
      <c r="BE16" s="27" t="s">
        <v>39</v>
      </c>
      <c r="BF16" s="11" t="str">
        <f t="shared" si="11"/>
        <v/>
      </c>
      <c r="BG16" s="19">
        <v>27.0</v>
      </c>
      <c r="BH16" s="19">
        <v>24.0</v>
      </c>
      <c r="BI16" s="20" t="b">
        <v>0</v>
      </c>
      <c r="BJ16" s="27" t="s">
        <v>39</v>
      </c>
      <c r="BK16" s="11" t="str">
        <f t="shared" si="12"/>
        <v/>
      </c>
      <c r="BL16" s="19">
        <v>28.0</v>
      </c>
      <c r="BM16" s="19">
        <v>21.0</v>
      </c>
      <c r="BN16" s="20" t="b">
        <v>0</v>
      </c>
      <c r="BO16" s="17"/>
      <c r="BP16" s="17"/>
      <c r="BQ16" s="17"/>
    </row>
    <row r="17">
      <c r="A17" s="32" t="s">
        <v>444</v>
      </c>
      <c r="B17" s="33" t="s">
        <v>447</v>
      </c>
      <c r="C17" s="34"/>
      <c r="D17" s="35" t="str">
        <f>IFERROR(__xludf.DUMMYFUNCTION("""COMPUTED_VALUE"""),"")</f>
        <v/>
      </c>
      <c r="E17" s="36"/>
      <c r="F17" s="37"/>
      <c r="G17" s="36" t="s">
        <v>71</v>
      </c>
      <c r="H17" s="35" t="str">
        <f t="shared" si="1"/>
        <v/>
      </c>
      <c r="I17" s="36">
        <v>17.0</v>
      </c>
      <c r="J17" s="36">
        <v>20.0</v>
      </c>
      <c r="K17" s="37" t="b">
        <v>0</v>
      </c>
      <c r="L17" s="36" t="s">
        <v>71</v>
      </c>
      <c r="M17" s="35" t="str">
        <f t="shared" si="2"/>
        <v/>
      </c>
      <c r="N17" s="36">
        <v>24.0</v>
      </c>
      <c r="O17" s="36">
        <v>31.0</v>
      </c>
      <c r="P17" s="36" t="b">
        <v>0</v>
      </c>
      <c r="Q17" s="38" t="s">
        <v>71</v>
      </c>
      <c r="R17" s="35" t="str">
        <f t="shared" si="3"/>
        <v/>
      </c>
      <c r="S17" s="36">
        <v>20.0</v>
      </c>
      <c r="T17" s="36">
        <v>23.0</v>
      </c>
      <c r="U17" s="37" t="b">
        <v>0</v>
      </c>
      <c r="V17" s="36" t="s">
        <v>71</v>
      </c>
      <c r="W17" s="35" t="str">
        <f t="shared" si="4"/>
        <v/>
      </c>
      <c r="X17" s="36">
        <v>21.0</v>
      </c>
      <c r="Y17" s="36">
        <v>24.0</v>
      </c>
      <c r="Z17" s="37" t="b">
        <v>0</v>
      </c>
      <c r="AA17" s="38" t="s">
        <v>85</v>
      </c>
      <c r="AB17" s="35" t="str">
        <f t="shared" si="5"/>
        <v/>
      </c>
      <c r="AC17" s="36">
        <v>24.0</v>
      </c>
      <c r="AD17" s="36">
        <v>17.0</v>
      </c>
      <c r="AE17" s="36" t="b">
        <v>0</v>
      </c>
      <c r="AF17" s="38" t="s">
        <v>71</v>
      </c>
      <c r="AG17" s="35" t="str">
        <f t="shared" si="6"/>
        <v/>
      </c>
      <c r="AH17" s="36">
        <v>10.0</v>
      </c>
      <c r="AI17" s="36">
        <v>14.0</v>
      </c>
      <c r="AJ17" s="37" t="b">
        <v>0</v>
      </c>
      <c r="AK17" s="36" t="s">
        <v>71</v>
      </c>
      <c r="AL17" s="35" t="str">
        <f t="shared" si="7"/>
        <v/>
      </c>
      <c r="AM17" s="36">
        <v>17.0</v>
      </c>
      <c r="AN17" s="36">
        <v>21.0</v>
      </c>
      <c r="AO17" s="37" t="b">
        <v>0</v>
      </c>
      <c r="AP17" s="38" t="s">
        <v>71</v>
      </c>
      <c r="AQ17" s="35" t="str">
        <f t="shared" si="8"/>
        <v/>
      </c>
      <c r="AR17" s="36">
        <v>20.0</v>
      </c>
      <c r="AS17" s="36">
        <v>24.0</v>
      </c>
      <c r="AT17" s="37" t="b">
        <v>0</v>
      </c>
      <c r="AU17" s="38" t="s">
        <v>85</v>
      </c>
      <c r="AV17" s="35" t="str">
        <f t="shared" si="9"/>
        <v/>
      </c>
      <c r="AW17" s="36">
        <v>28.0</v>
      </c>
      <c r="AX17" s="36">
        <v>21.0</v>
      </c>
      <c r="AY17" s="37" t="b">
        <v>0</v>
      </c>
      <c r="AZ17" s="38" t="s">
        <v>71</v>
      </c>
      <c r="BA17" s="35" t="str">
        <f t="shared" si="10"/>
        <v/>
      </c>
      <c r="BB17" s="36">
        <v>20.0</v>
      </c>
      <c r="BC17" s="36">
        <v>23.0</v>
      </c>
      <c r="BD17" s="37" t="b">
        <v>0</v>
      </c>
      <c r="BE17" s="38" t="s">
        <v>85</v>
      </c>
      <c r="BF17" s="35" t="str">
        <f t="shared" si="11"/>
        <v/>
      </c>
      <c r="BG17" s="36">
        <v>20.0</v>
      </c>
      <c r="BH17" s="36">
        <v>17.0</v>
      </c>
      <c r="BI17" s="37" t="b">
        <v>0</v>
      </c>
      <c r="BJ17" s="38" t="s">
        <v>71</v>
      </c>
      <c r="BK17" s="35" t="str">
        <f t="shared" si="12"/>
        <v/>
      </c>
      <c r="BL17" s="36">
        <v>24.0</v>
      </c>
      <c r="BM17" s="36">
        <v>27.0</v>
      </c>
      <c r="BN17" s="37" t="b">
        <v>0</v>
      </c>
      <c r="BO17" s="19"/>
      <c r="BP17" s="19"/>
      <c r="BQ17" s="19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6">
        <f t="shared" ref="C19:C34" si="13">MIN(I19,N19,S19,X19,AC19,AH19,AM19,AR19,AW19,BB19,BG19,BL19)</f>
        <v>0</v>
      </c>
      <c r="D19" s="49"/>
      <c r="E19" s="49"/>
      <c r="F19" s="49"/>
      <c r="G19" s="47" t="str">
        <f t="shared" ref="G19:G34" si="14">IF(G2=C2,ABS(I2-E2),"")</f>
        <v/>
      </c>
      <c r="H19" s="47" t="str">
        <f t="shared" ref="H19:H34" si="15">IF(G2=C2,ABS(J2-F2),"")</f>
        <v/>
      </c>
      <c r="I19" s="48" t="str">
        <f t="shared" ref="I19:I34" si="16">IF(G2=C2,SUM(G19,H19),"")</f>
        <v/>
      </c>
      <c r="J19" s="9">
        <f t="shared" ref="J19:J34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
)</f>
        <v>0</v>
      </c>
      <c r="K19" s="49" t="str">
        <f t="shared" ref="K19:K34" si="18">IF($C2="","",
IF(G2=$C2,TRUE,FALSE))</f>
        <v/>
      </c>
      <c r="L19" s="47" t="str">
        <f t="shared" ref="L19:L34" si="19">IF(L2=C2,ABS(N2-E2),"")</f>
        <v/>
      </c>
      <c r="M19" s="47" t="str">
        <f t="shared" ref="M19:M34" si="20">IF(L2=C2,ABS(O2-F2),"")</f>
        <v/>
      </c>
      <c r="N19" s="48" t="str">
        <f t="shared" ref="N19:N34" si="21">IF(L2=C2,SUM(L19,M19),"")</f>
        <v/>
      </c>
      <c r="O19" s="9">
        <f t="shared" ref="O19:O34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
)</f>
        <v>0</v>
      </c>
      <c r="P19" s="49" t="str">
        <f t="shared" ref="P19:P34" si="23">IF($C2="","",
IF(L2=$C2,TRUE,FALSE))</f>
        <v/>
      </c>
      <c r="Q19" s="47" t="str">
        <f t="shared" ref="Q19:Q34" si="24">IF(Q2=C2,ABS(S2-E2),"")</f>
        <v/>
      </c>
      <c r="R19" s="47" t="str">
        <f t="shared" ref="R19:R34" si="25">IF(Q2=C2,ABS(T2-F2),"")</f>
        <v/>
      </c>
      <c r="S19" s="48" t="str">
        <f t="shared" ref="S19:S34" si="26">IF(Q2=C2,SUM(Q19,R19),"")</f>
        <v/>
      </c>
      <c r="T19" s="9">
        <f t="shared" ref="T19:T34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
)</f>
        <v>0</v>
      </c>
      <c r="U19" s="49" t="str">
        <f t="shared" ref="U19:U34" si="28">IF($C2="","",
IF(Q2=$C2,TRUE,FALSE))</f>
        <v/>
      </c>
      <c r="V19" s="47" t="str">
        <f t="shared" ref="V19:V34" si="29">IF(V2=C2,ABS(X2-E2),"")</f>
        <v/>
      </c>
      <c r="W19" s="47" t="str">
        <f t="shared" ref="W19:W34" si="30">IF(V2=C2,ABS(Y2-F2),"")</f>
        <v/>
      </c>
      <c r="X19" s="48" t="str">
        <f t="shared" ref="X19:X34" si="31">IF(V2=C2,SUM(V19,W19),"")</f>
        <v/>
      </c>
      <c r="Y19" s="9">
        <f t="shared" ref="Y19:Y34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
)</f>
        <v>0</v>
      </c>
      <c r="Z19" s="49" t="str">
        <f t="shared" ref="Z19:Z34" si="33">IF($C2="","",
IF(V2=$C2,TRUE,FALSE))</f>
        <v/>
      </c>
      <c r="AA19" s="47" t="str">
        <f t="shared" ref="AA19:AA34" si="34">IF(AA2=C2,ABS(AC2-E2),"")</f>
        <v/>
      </c>
      <c r="AB19" s="47" t="str">
        <f t="shared" ref="AB19:AB34" si="35">IF(AA2=C2,ABS(AD2-F2),"")</f>
        <v/>
      </c>
      <c r="AC19" s="48" t="str">
        <f t="shared" ref="AC19:AC34" si="36">IF(AA2=C2,SUM(AA19,AB19),"")</f>
        <v/>
      </c>
      <c r="AD19" s="9">
        <f t="shared" ref="AD19:AD34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
)</f>
        <v>0</v>
      </c>
      <c r="AE19" s="49" t="str">
        <f t="shared" ref="AE19:AE34" si="38">IF($C2="","",
IF(AA2=$C2,TRUE,FALSE))</f>
        <v/>
      </c>
      <c r="AF19" s="47" t="str">
        <f t="shared" ref="AF19:AF34" si="39">IF(AF2=C2,ABS(AH2-E2),"")</f>
        <v/>
      </c>
      <c r="AG19" s="47" t="str">
        <f t="shared" ref="AG19:AG34" si="40">IF(AF2=C2,ABS(AI2-F2),"")</f>
        <v/>
      </c>
      <c r="AH19" s="48" t="str">
        <f t="shared" ref="AH19:AH34" si="41">IF(AF2=C2,SUM(AF19,AG19),"")</f>
        <v/>
      </c>
      <c r="AI19" s="9">
        <f t="shared" ref="AI19:AI34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
)</f>
        <v>0</v>
      </c>
      <c r="AJ19" s="49" t="str">
        <f t="shared" ref="AJ19:AJ34" si="43">IF($C2="","",
IF(AF2=$C2,TRUE,FALSE))</f>
        <v/>
      </c>
      <c r="AK19" s="47" t="str">
        <f t="shared" ref="AK19:AK34" si="44">IF(AK2=C2,ABS(AM2-E2),"")</f>
        <v/>
      </c>
      <c r="AL19" s="47" t="str">
        <f t="shared" ref="AL19:AL34" si="45">IF(AK2=C2,ABS(AN2-F2),"")</f>
        <v/>
      </c>
      <c r="AM19" s="48" t="str">
        <f t="shared" ref="AM19:AM34" si="46">IF(AK2=C2,SUM(AK19,AL19),"")</f>
        <v/>
      </c>
      <c r="AN19" s="9">
        <f t="shared" ref="AN19:AN34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
)</f>
        <v>0</v>
      </c>
      <c r="AO19" s="49" t="str">
        <f t="shared" ref="AO19:AO34" si="48">IF($C2="","",
IF(AK2=$C2,TRUE,FALSE))</f>
        <v/>
      </c>
      <c r="AP19" s="47" t="str">
        <f t="shared" ref="AP19:AP34" si="49">IF(AP2=C2,ABS(AR2-E2),"")</f>
        <v/>
      </c>
      <c r="AQ19" s="47" t="str">
        <f t="shared" ref="AQ19:AQ34" si="50">IF(AP2=C2,ABS(AS2-F2),"")</f>
        <v/>
      </c>
      <c r="AR19" s="48" t="str">
        <f t="shared" ref="AR19:AR34" si="51">IF(AP2=C2,SUM(AP19,AQ19),"")</f>
        <v/>
      </c>
      <c r="AS19" s="9">
        <f t="shared" ref="AS19:AS34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
)</f>
        <v>0</v>
      </c>
      <c r="AT19" s="49" t="str">
        <f t="shared" ref="AT19:AT34" si="53">IF($C2="","",
IF(AP2=$C2,TRUE,FALSE))</f>
        <v/>
      </c>
      <c r="AU19" s="47" t="str">
        <f t="shared" ref="AU19:AU34" si="54">IF(AU2=C2,ABS(AW2-E2),"")</f>
        <v/>
      </c>
      <c r="AV19" s="47" t="str">
        <f t="shared" ref="AV19:AV34" si="55">IF(AU2=C2,ABS(AX2-F2),"")</f>
        <v/>
      </c>
      <c r="AW19" s="48" t="str">
        <f t="shared" ref="AW19:AW34" si="56">IF(AU2=C2,SUM(AU19,AV19),"")</f>
        <v/>
      </c>
      <c r="AX19" s="9">
        <f t="shared" ref="AX19:AX34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
)</f>
        <v>0</v>
      </c>
      <c r="AY19" s="49" t="str">
        <f t="shared" ref="AY19:AY34" si="58">IF($C2="","",
IF(AU2=$C2,TRUE,FALSE))</f>
        <v/>
      </c>
      <c r="AZ19" s="47" t="str">
        <f t="shared" ref="AZ19:AZ34" si="59">IF(AZ2=C2,ABS(BB2-E2),"")</f>
        <v/>
      </c>
      <c r="BA19" s="47" t="str">
        <f t="shared" ref="BA19:BA34" si="60">IF(AZ2=C2,ABS(BC2-F2),"")</f>
        <v/>
      </c>
      <c r="BB19" s="48" t="str">
        <f t="shared" ref="BB19:BB34" si="61">IF(AZ2=C2,SUM(AZ19,BA19),"")</f>
        <v/>
      </c>
      <c r="BC19" s="9">
        <f t="shared" ref="BC19:BC34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
)</f>
        <v>0</v>
      </c>
      <c r="BD19" s="49" t="str">
        <f t="shared" ref="BD19:BD34" si="63">IF($C2="","",
IF(AZ2=$C2,TRUE,FALSE))</f>
        <v/>
      </c>
      <c r="BE19" s="47" t="str">
        <f t="shared" ref="BE19:BE34" si="64">IF(BE2=C2,ABS(BG2-E2),"")</f>
        <v/>
      </c>
      <c r="BF19" s="47" t="str">
        <f t="shared" ref="BF19:BF34" si="65">IF(BE2=C2,ABS(BH2-F2),"")</f>
        <v/>
      </c>
      <c r="BG19" s="48" t="str">
        <f t="shared" ref="BG19:BG34" si="66">IF(BE2=C2,SUM(BE19,BF19),"")</f>
        <v/>
      </c>
      <c r="BH19" s="9">
        <f t="shared" ref="BH19:BH34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
)</f>
        <v>0</v>
      </c>
      <c r="BI19" s="49" t="str">
        <f t="shared" ref="BI19:BI34" si="68">IF($C2="","",
IF(BE2=$C2,TRUE,FALSE))</f>
        <v/>
      </c>
      <c r="BJ19" s="47" t="str">
        <f t="shared" ref="BJ19:BJ34" si="69">IF(BJ2=C2,ABS(BL2-E2),"")</f>
        <v/>
      </c>
      <c r="BK19" s="47" t="str">
        <f t="shared" ref="BK19:BK34" si="70">IF(BJ2=C2,ABS(BM2-F2),"")</f>
        <v/>
      </c>
      <c r="BL19" s="48" t="str">
        <f t="shared" ref="BL19:BL34" si="71">IF(BJ2=C2,SUM(BJ19,BK19),"")</f>
        <v/>
      </c>
      <c r="BM19" s="9">
        <f t="shared" ref="BM19:BM34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
)</f>
        <v>0</v>
      </c>
      <c r="BN19" s="49" t="str">
        <f t="shared" ref="BN19:BN34" si="73">IF($C2="","",
IF(BJ2=$C2,TRUE,FALSE))</f>
        <v/>
      </c>
      <c r="BO19" s="41"/>
      <c r="BP19" s="41"/>
      <c r="BQ19" s="41"/>
    </row>
    <row r="20" hidden="1">
      <c r="A20" s="40"/>
      <c r="B20" s="40"/>
      <c r="C20" s="46">
        <f t="shared" si="13"/>
        <v>0</v>
      </c>
      <c r="D20" s="49"/>
      <c r="E20" s="49"/>
      <c r="F20" s="49"/>
      <c r="G20" s="47" t="str">
        <f t="shared" si="14"/>
        <v/>
      </c>
      <c r="H20" s="47" t="str">
        <f t="shared" si="15"/>
        <v/>
      </c>
      <c r="I20" s="48" t="str">
        <f t="shared" si="16"/>
        <v/>
      </c>
      <c r="J20" s="9">
        <f t="shared" si="17"/>
        <v>0</v>
      </c>
      <c r="K20" s="49" t="str">
        <f t="shared" si="18"/>
        <v/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str">
        <f t="shared" si="23"/>
        <v/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str">
        <f t="shared" si="28"/>
        <v/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str">
        <f t="shared" si="33"/>
        <v/>
      </c>
      <c r="AA20" s="47" t="str">
        <f t="shared" si="34"/>
        <v/>
      </c>
      <c r="AB20" s="47" t="str">
        <f t="shared" si="35"/>
        <v/>
      </c>
      <c r="AC20" s="48" t="str">
        <f t="shared" si="36"/>
        <v/>
      </c>
      <c r="AD20" s="9">
        <f t="shared" si="37"/>
        <v>0</v>
      </c>
      <c r="AE20" s="49" t="str">
        <f t="shared" si="38"/>
        <v/>
      </c>
      <c r="AF20" s="47" t="str">
        <f t="shared" si="39"/>
        <v/>
      </c>
      <c r="AG20" s="47" t="str">
        <f t="shared" si="40"/>
        <v/>
      </c>
      <c r="AH20" s="48" t="str">
        <f t="shared" si="41"/>
        <v/>
      </c>
      <c r="AI20" s="9">
        <f t="shared" si="42"/>
        <v>0</v>
      </c>
      <c r="AJ20" s="49" t="str">
        <f t="shared" si="43"/>
        <v/>
      </c>
      <c r="AK20" s="47" t="str">
        <f t="shared" si="44"/>
        <v/>
      </c>
      <c r="AL20" s="47" t="str">
        <f t="shared" si="45"/>
        <v/>
      </c>
      <c r="AM20" s="48" t="str">
        <f t="shared" si="46"/>
        <v/>
      </c>
      <c r="AN20" s="9">
        <f t="shared" si="47"/>
        <v>0</v>
      </c>
      <c r="AO20" s="49" t="str">
        <f t="shared" si="48"/>
        <v/>
      </c>
      <c r="AP20" s="47" t="str">
        <f t="shared" si="49"/>
        <v/>
      </c>
      <c r="AQ20" s="47" t="str">
        <f t="shared" si="50"/>
        <v/>
      </c>
      <c r="AR20" s="48" t="str">
        <f t="shared" si="51"/>
        <v/>
      </c>
      <c r="AS20" s="9">
        <f t="shared" si="52"/>
        <v>0</v>
      </c>
      <c r="AT20" s="49" t="str">
        <f t="shared" si="53"/>
        <v/>
      </c>
      <c r="AU20" s="47" t="str">
        <f t="shared" si="54"/>
        <v/>
      </c>
      <c r="AV20" s="47" t="str">
        <f t="shared" si="55"/>
        <v/>
      </c>
      <c r="AW20" s="48" t="str">
        <f t="shared" si="56"/>
        <v/>
      </c>
      <c r="AX20" s="9">
        <f t="shared" si="57"/>
        <v>0</v>
      </c>
      <c r="AY20" s="49" t="str">
        <f t="shared" si="58"/>
        <v/>
      </c>
      <c r="AZ20" s="47" t="str">
        <f t="shared" si="59"/>
        <v/>
      </c>
      <c r="BA20" s="47" t="str">
        <f t="shared" si="60"/>
        <v/>
      </c>
      <c r="BB20" s="48" t="str">
        <f t="shared" si="61"/>
        <v/>
      </c>
      <c r="BC20" s="9">
        <f t="shared" si="62"/>
        <v>0</v>
      </c>
      <c r="BD20" s="49" t="str">
        <f t="shared" si="63"/>
        <v/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str">
        <f t="shared" si="68"/>
        <v/>
      </c>
      <c r="BJ20" s="47" t="str">
        <f t="shared" si="69"/>
        <v/>
      </c>
      <c r="BK20" s="47" t="str">
        <f t="shared" si="70"/>
        <v/>
      </c>
      <c r="BL20" s="48" t="str">
        <f t="shared" si="71"/>
        <v/>
      </c>
      <c r="BM20" s="9">
        <f t="shared" si="72"/>
        <v>0</v>
      </c>
      <c r="BN20" s="49" t="str">
        <f t="shared" si="73"/>
        <v/>
      </c>
      <c r="BO20" s="40"/>
      <c r="BP20" s="40"/>
      <c r="BQ20" s="40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9"/>
      <c r="E33" s="49"/>
      <c r="F33" s="49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9"/>
      <c r="E34" s="49"/>
      <c r="F34" s="49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0"/>
      <c r="BP34" s="40"/>
      <c r="BQ34" s="40"/>
    </row>
    <row r="35" hidden="1">
      <c r="A35" s="40"/>
      <c r="B35" s="40"/>
      <c r="C35" s="49"/>
      <c r="D35" s="49"/>
      <c r="E35" s="49"/>
      <c r="F35" s="49"/>
      <c r="G35" s="49"/>
      <c r="H35" s="49"/>
      <c r="I35" s="49"/>
      <c r="J35" s="59">
        <f>MULTIPLY(SUM(J19:J34),10)</f>
        <v>0</v>
      </c>
      <c r="K35" s="62">
        <f>COUNTIF(K19:K34,"TRUE")</f>
        <v>0</v>
      </c>
      <c r="L35" s="49"/>
      <c r="M35" s="49"/>
      <c r="N35" s="49"/>
      <c r="O35" s="59">
        <f>MULTIPLY(SUM(O19:O34),10)</f>
        <v>0</v>
      </c>
      <c r="P35" s="62">
        <f>COUNTIF(P19:P34,"TRUE")</f>
        <v>0</v>
      </c>
      <c r="Q35" s="49"/>
      <c r="R35" s="49"/>
      <c r="S35" s="49"/>
      <c r="T35" s="59">
        <f>MULTIPLY(SUM(T19:T34),10)</f>
        <v>0</v>
      </c>
      <c r="U35" s="62">
        <f>COUNTIF(U19:U34,"TRUE")</f>
        <v>0</v>
      </c>
      <c r="V35" s="49"/>
      <c r="W35" s="49"/>
      <c r="X35" s="49"/>
      <c r="Y35" s="59">
        <f>MULTIPLY(SUM(Y19:Y34),10)</f>
        <v>0</v>
      </c>
      <c r="Z35" s="62">
        <f>COUNTIF(Z19:Z34,"TRUE")</f>
        <v>0</v>
      </c>
      <c r="AA35" s="49"/>
      <c r="AB35" s="49"/>
      <c r="AC35" s="49"/>
      <c r="AD35" s="59">
        <f>MULTIPLY(SUM(AD19:AD34),10)</f>
        <v>0</v>
      </c>
      <c r="AE35" s="62">
        <f>COUNTIF(AE19:AE34,"TRUE")</f>
        <v>0</v>
      </c>
      <c r="AF35" s="49"/>
      <c r="AG35" s="49"/>
      <c r="AH35" s="49"/>
      <c r="AI35" s="59">
        <f>MULTIPLY(SUM(AI19:AI34),10)</f>
        <v>0</v>
      </c>
      <c r="AJ35" s="62">
        <f>COUNTIF(AJ19:AJ34,"TRUE")</f>
        <v>0</v>
      </c>
      <c r="AK35" s="49"/>
      <c r="AL35" s="49"/>
      <c r="AM35" s="49"/>
      <c r="AN35" s="59">
        <f>MULTIPLY(SUM(AN19:AN34),10)</f>
        <v>0</v>
      </c>
      <c r="AO35" s="62">
        <f>COUNTIF(AO19:AO34,"TRUE")</f>
        <v>0</v>
      </c>
      <c r="AP35" s="49"/>
      <c r="AQ35" s="49"/>
      <c r="AR35" s="49"/>
      <c r="AS35" s="59">
        <f>MULTIPLY(SUM(AS19:AS34),10)</f>
        <v>0</v>
      </c>
      <c r="AT35" s="62">
        <f>COUNTIF(AT19:AT34,"TRUE")</f>
        <v>0</v>
      </c>
      <c r="AU35" s="49"/>
      <c r="AV35" s="49"/>
      <c r="AW35" s="49"/>
      <c r="AX35" s="59">
        <f>MULTIPLY(SUM(AX19:AX34),10)</f>
        <v>0</v>
      </c>
      <c r="AY35" s="62">
        <f>COUNTIF(AY19:AY34,"TRUE")</f>
        <v>0</v>
      </c>
      <c r="AZ35" s="49"/>
      <c r="BA35" s="49"/>
      <c r="BB35" s="49"/>
      <c r="BC35" s="59">
        <f>MULTIPLY(SUM(BC19:BC34),10)</f>
        <v>0</v>
      </c>
      <c r="BD35" s="62">
        <f>COUNTIF(BD19:BD34,"TRUE")</f>
        <v>0</v>
      </c>
      <c r="BE35" s="49"/>
      <c r="BF35" s="49"/>
      <c r="BG35" s="49"/>
      <c r="BH35" s="59">
        <f>MULTIPLY(SUM(BH19:BH34),10)</f>
        <v>0</v>
      </c>
      <c r="BI35" s="62">
        <f>COUNTIF(BI19:BI34,"TRUE")</f>
        <v>0</v>
      </c>
      <c r="BJ35" s="49"/>
      <c r="BK35" s="49"/>
      <c r="BL35" s="49"/>
      <c r="BM35" s="59">
        <f>MULTIPLY(SUM(BM19:BM34),10)</f>
        <v>0</v>
      </c>
      <c r="BN35" s="62">
        <f>COUNTIF(BN19:BN34,"TRUE")</f>
        <v>0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40"/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40"/>
      <c r="B38" s="57" t="s">
        <v>141</v>
      </c>
      <c r="C38" s="58">
        <f t="array" ref="C38">INDEX(J35,0)</f>
        <v>0</v>
      </c>
      <c r="D38" s="58">
        <f t="array" ref="D38">INDEX(O35,0)</f>
        <v>0</v>
      </c>
      <c r="E38" s="58">
        <f t="array" ref="E38">INDEX(T35,0)</f>
        <v>0</v>
      </c>
      <c r="F38" s="58">
        <f t="array" ref="F38">INDEX(Y35,0)</f>
        <v>0</v>
      </c>
      <c r="G38" s="58">
        <f t="array" ref="G38">INDEX(AD35,0)</f>
        <v>0</v>
      </c>
      <c r="H38" s="58">
        <f t="array" ref="H38">INDEX(AI35,0)</f>
        <v>0</v>
      </c>
      <c r="I38" s="58">
        <f t="array" ref="I38">INDEX(AN35,0)</f>
        <v>0</v>
      </c>
      <c r="J38" s="58">
        <f t="array" ref="J38">INDEX(AS35,0)</f>
        <v>0</v>
      </c>
      <c r="K38" s="58">
        <f t="array" ref="K38">INDEX(AX35,0)</f>
        <v>0</v>
      </c>
      <c r="L38" s="58">
        <f t="array" ref="L38">INDEX(BC35,0)</f>
        <v>0</v>
      </c>
      <c r="M38" s="58">
        <f t="array" ref="M38">INDEX(BH35,0)</f>
        <v>0</v>
      </c>
      <c r="N38" s="60">
        <f t="array" ref="N38">INDEX(BM35,0)</f>
        <v>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63" t="s">
        <v>142</v>
      </c>
      <c r="C39" s="64">
        <f>COUNTIF(K19:K34,true)</f>
        <v>0</v>
      </c>
      <c r="D39" s="64">
        <f>COUNTIF(P19:P34,true)</f>
        <v>0</v>
      </c>
      <c r="E39" s="64">
        <f>COUNTIF(U19:U34,true)</f>
        <v>0</v>
      </c>
      <c r="F39" s="64">
        <f>COUNTIF(Z19:Z34,true)</f>
        <v>0</v>
      </c>
      <c r="G39" s="64">
        <f>COUNTIF(AE19:AE34,true)</f>
        <v>0</v>
      </c>
      <c r="H39" s="64">
        <f>COUNTIF(AJ19:AJ34,true)</f>
        <v>0</v>
      </c>
      <c r="I39" s="64">
        <f>COUNTIF(AO19:AO34,true)</f>
        <v>0</v>
      </c>
      <c r="J39" s="64">
        <f>COUNTIF(AT19:AT34,true)</f>
        <v>0</v>
      </c>
      <c r="K39" s="64">
        <f>COUNTIF(AY19:AY34,true)</f>
        <v>0</v>
      </c>
      <c r="L39" s="64">
        <f>COUNTIF(BD19:BD34,true)</f>
        <v>0</v>
      </c>
      <c r="M39" s="64">
        <f>COUNTIF(BI19:BI34,true)</f>
        <v>0</v>
      </c>
      <c r="N39" s="65">
        <f>COUNTIF(BN19:BN34,true)</f>
        <v>0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63" t="s">
        <v>143</v>
      </c>
      <c r="C40" s="68">
        <f>COUNTIF(K19:K34,FALSE)</f>
        <v>0</v>
      </c>
      <c r="D40" s="68">
        <f>COUNTIF(P19:P34,FALSE)</f>
        <v>0</v>
      </c>
      <c r="E40" s="68">
        <f>COUNTIF(U19:U34,FALSE)</f>
        <v>0</v>
      </c>
      <c r="F40" s="68">
        <f>COUNTIF(Z19:Z34,FALSE)</f>
        <v>0</v>
      </c>
      <c r="G40" s="68">
        <f>COUNTIF(AE19:AE34,FALSE)</f>
        <v>0</v>
      </c>
      <c r="H40" s="68">
        <f>COUNTIF(AJ19:AJ34,FALSE)</f>
        <v>0</v>
      </c>
      <c r="I40" s="68">
        <f>COUNTIF(AO19:AO34,FALSE)</f>
        <v>0</v>
      </c>
      <c r="J40" s="68">
        <f>COUNTIF(AT19:AT34,FALSE)</f>
        <v>0</v>
      </c>
      <c r="K40" s="68">
        <f>COUNTIF(AY19:AY34,FALSE)</f>
        <v>0</v>
      </c>
      <c r="L40" s="68">
        <f>COUNTIF(BD19:BD34,FALSE)</f>
        <v>0</v>
      </c>
      <c r="M40" s="68">
        <f>COUNTIF(BI19:BI34,FALSE)</f>
        <v>0</v>
      </c>
      <c r="N40" s="69">
        <f>COUNTIF(BN19:BN34,FALSE)</f>
        <v>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>SUM('Week 1'!C38,'Week 2'!C38,'Week 3'!C38,'Week 4'!C38,'Week 5'!C39,'Week 6'!C35,'Week 7'!C35,'Week 8'!C37,'Week 9'!C38,'Week 10'!C36,'Week 11'!C33,'Week 12'!C40,'Week 13'!C34,'Week 14'!C38,'Week 15'!C38,'Week 16'!C38,C38)</f>
        <v>325</v>
      </c>
      <c r="D42" s="71">
        <f>SUM('Week 1'!D38,'Week 2'!D38,'Week 3'!D38,'Week 4'!D38,'Week 5'!D39,'Week 6'!D35,'Week 7'!D35,'Week 8'!D37,'Week 9'!D38,'Week 10'!D36,'Week 11'!D33,'Week 12'!D40,'Week 13'!D34,'Week 14'!D38,'Week 15'!D38,'Week 16'!D38,D38)</f>
        <v>275</v>
      </c>
      <c r="E42" s="71">
        <f>SUM('Week 1'!E38,'Week 2'!E38,'Week 3'!E38,'Week 4'!E38,'Week 5'!E39,'Week 6'!E35,'Week 7'!E35,'Week 8'!E37,'Week 9'!E38,'Week 10'!E36,'Week 11'!E33,'Week 12'!E40,'Week 13'!E34,'Week 14'!E38,'Week 15'!E38,'Week 16'!E38,E38)</f>
        <v>290</v>
      </c>
      <c r="F42" s="71">
        <f>SUM('Week 1'!F38,'Week 2'!F38,'Week 3'!F38,'Week 4'!F38,'Week 5'!F39,'Week 6'!F35,'Week 7'!F35,'Week 8'!F37,'Week 9'!F38,'Week 10'!F36,'Week 11'!F33,'Week 12'!F40,'Week 13'!F34,'Week 14'!F38,'Week 15'!F38,'Week 16'!F38,F38)</f>
        <v>375</v>
      </c>
      <c r="G42" s="71">
        <f>SUM('Week 1'!G38,'Week 2'!G38,'Week 3'!G38,'Week 4'!G38,'Week 5'!G39,'Week 6'!G35,'Week 7'!G35,'Week 8'!G37,'Week 9'!G38,'Week 10'!G36,'Week 11'!G33,'Week 12'!G40,'Week 13'!G34,'Week 14'!G38,'Week 15'!G38,'Week 16'!G38,G38)</f>
        <v>410</v>
      </c>
      <c r="H42" s="71">
        <f>SUM('Week 1'!H38,'Week 2'!H38,'Week 3'!H38,'Week 4'!H38,'Week 5'!H39,'Week 6'!H35,'Week 7'!H35,'Week 8'!H37,'Week 9'!H38,'Week 10'!H36,'Week 11'!H33,'Week 12'!H40,'Week 13'!H34,'Week 14'!H38,'Week 15'!H38,'Week 16'!H38,H38)</f>
        <v>480</v>
      </c>
      <c r="I42" s="71">
        <f>SUM('Week 1'!I38,'Week 2'!I38,'Week 3'!I38,'Week 4'!I38,'Week 5'!I39,'Week 6'!I35,'Week 7'!I35,'Week 8'!I37,'Week 9'!I38,'Week 10'!I36,'Week 11'!I33,'Week 12'!I40,'Week 13'!I34,'Week 14'!I38,'Week 15'!I38,'Week 16'!I38,I38)</f>
        <v>320</v>
      </c>
      <c r="J42" s="71">
        <f>SUM('Week 1'!J38,'Week 2'!J38,'Week 3'!J38,'Week 4'!J38,'Week 5'!J39,'Week 6'!J35,'Week 7'!J35,'Week 8'!J37,'Week 9'!J38,'Week 10'!J36,'Week 11'!J33,'Week 12'!J40,'Week 13'!J34,'Week 14'!J38,'Week 15'!J38,'Week 16'!J38,J38)</f>
        <v>445</v>
      </c>
      <c r="K42" s="71">
        <f>SUM('Week 1'!K38,'Week 2'!K38,'Week 3'!K38,'Week 4'!K38,'Week 5'!K39,'Week 6'!K35,'Week 7'!K35,'Week 8'!K37,'Week 9'!K38,'Week 10'!K36,'Week 11'!K33,'Week 12'!K40,'Week 13'!K34,'Week 14'!K38,'Week 15'!K38,'Week 16'!K38,K38)</f>
        <v>370</v>
      </c>
      <c r="L42" s="71">
        <f>SUM('Week 1'!L38,'Week 2'!L38,'Week 3'!L38,'Week 4'!L38,'Week 5'!L39,'Week 6'!L35,'Week 7'!L35,'Week 8'!L37,'Week 9'!L38,'Week 10'!L36,'Week 11'!L33,'Week 12'!L40,'Week 13'!L34,'Week 14'!L38,'Week 15'!L38,'Week 16'!L38,L38)</f>
        <v>280</v>
      </c>
      <c r="M42" s="71">
        <f>SUM('Week 1'!M38,'Week 2'!M38,'Week 3'!M38,'Week 4'!M38,'Week 5'!M39,'Week 6'!M35,'Week 7'!M35,'Week 8'!M37,'Week 9'!M38,'Week 10'!M36,'Week 11'!M33,'Week 12'!M40,'Week 13'!M34,'Week 14'!M38,'Week 15'!M38,'Week 16'!M38,M38)</f>
        <v>365</v>
      </c>
      <c r="N42" s="72">
        <f>SUM('Week 1'!N38,'Week 2'!N38,'Week 3'!N38,'Week 4'!N38,'Week 5'!N39,'Week 6'!N35,'Week 7'!N35,'Week 8'!N37,'Week 9'!N38,'Week 10'!N36,'Week 11'!N33,'Week 12'!N40,'Week 13'!N34,'Week 14'!N38,'Week 15'!N38,'Week 16'!N38,N38)</f>
        <v>290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>CONCATENATE(SUM('Week 1'!C39,'Week 2'!C39,'Week 3'!C39,'Week 4'!C39,'Week 5'!C40,'Week 6'!C36,'Week 7'!C36,'Week 8'!C38,'Week 9'!C39,'Week 10'!C37,'Week 11'!C34,'Week 12'!C41,'Week 13'!C35,'Week 14'!C39,'Week 15'!C39,'Week 16'!C39,C39)," - ",SUM('Week 1'!C40,'Week 2'!C40,'Week 3'!C40,'Week 4'!C40,'Week 5'!C41,'Week 6'!C37,'Week 7'!C37,'Week 8'!C39,'Week 9'!C40,'Week 10'!C38,'Week 11'!C35,'Week 12'!C42,'Week 13'!C36,'Week 14'!C40,'Week 15'!C40,'Week 16'!C40,C40))</f>
        <v>25 - 21</v>
      </c>
      <c r="D43" s="73" t="str">
        <f>CONCATENATE(SUM('Week 1'!D39,'Week 2'!D39,'Week 3'!D39,'Week 4'!D39,'Week 5'!D40,'Week 6'!D36,'Week 7'!D36,'Week 8'!D38,'Week 9'!D39,'Week 10'!D37,'Week 11'!D34,'Week 12'!D41,'Week 13'!D35,'Week 14'!D39,'Week 15'!D39,'Week 16'!D39,D39)," - ",SUM('Week 1'!D40,'Week 2'!D40,'Week 3'!D40,'Week 4'!D40,'Week 5'!D41,'Week 6'!D37,'Week 7'!D37,'Week 8'!D39,'Week 9'!D40,'Week 10'!D38,'Week 11'!D35,'Week 12'!D42,'Week 13'!D36,'Week 14'!D40,'Week 15'!D40,'Week 16'!D40,D40))</f>
        <v>24 - 22</v>
      </c>
      <c r="E43" s="73" t="str">
        <f>CONCATENATE(SUM('Week 1'!E39,'Week 2'!E39,'Week 3'!E39,'Week 4'!E39,'Week 5'!E40,'Week 6'!E36,'Week 7'!E36,'Week 8'!E38,'Week 9'!E39,'Week 10'!E37,'Week 11'!E34,'Week 12'!E41,'Week 13'!E35,'Week 14'!E39,'Week 15'!E39,'Week 16'!E39,E39)," - ",SUM('Week 1'!E40,'Week 2'!E40,'Week 3'!E40,'Week 4'!E40,'Week 5'!E41,'Week 6'!E37,'Week 7'!E37,'Week 8'!E39,'Week 9'!E40,'Week 10'!E38,'Week 11'!E35,'Week 12'!E42,'Week 13'!E36,'Week 14'!E40,'Week 15'!E40,'Week 16'!E40,E40))</f>
        <v>23 - 23</v>
      </c>
      <c r="F43" s="73" t="str">
        <f>CONCATENATE(SUM('Week 1'!F39,'Week 2'!F39,'Week 3'!F39,'Week 4'!F39,'Week 5'!F40,'Week 6'!F36,'Week 7'!F36,'Week 8'!F38,'Week 9'!F39,'Week 10'!F37,'Week 11'!F34,'Week 12'!F41,'Week 13'!F35,'Week 14'!F39,'Week 15'!F39,'Week 16'!F39,F39)," - ",SUM('Week 1'!F40,'Week 2'!F40,'Week 3'!F40,'Week 4'!F40,'Week 5'!F41,'Week 6'!F37,'Week 7'!F37,'Week 8'!F39,'Week 9'!F40,'Week 10'!F38,'Week 11'!F35,'Week 12'!F42,'Week 13'!F36,'Week 14'!F40,'Week 15'!F40,'Week 16'!F40,F40))</f>
        <v>26 - 20</v>
      </c>
      <c r="G43" s="73" t="str">
        <f>CONCATENATE(SUM('Week 1'!G39,'Week 2'!G39,'Week 3'!G39,'Week 4'!G39,'Week 5'!G40,'Week 6'!G36,'Week 7'!G36,'Week 8'!G38,'Week 9'!G39,'Week 10'!G37,'Week 11'!G34,'Week 12'!G41,'Week 13'!G35,'Week 14'!G39,'Week 15'!G39,'Week 16'!G39,G39)," - ",SUM('Week 1'!G40,'Week 2'!G40,'Week 3'!G40,'Week 4'!G40,'Week 5'!G41,'Week 6'!G37,'Week 7'!G37,'Week 8'!G39,'Week 9'!G40,'Week 10'!G38,'Week 11'!G35,'Week 12'!G42,'Week 13'!G36,'Week 14'!G40,'Week 15'!G40,'Week 16'!G40,G40))</f>
        <v>30 - 16</v>
      </c>
      <c r="H43" s="73" t="str">
        <f>CONCATENATE(SUM('Week 1'!H39,'Week 2'!H39,'Week 3'!H39,'Week 4'!H39,'Week 5'!H40,'Week 6'!H36,'Week 7'!H36,'Week 8'!H38,'Week 9'!H39,'Week 10'!H37,'Week 11'!H34,'Week 12'!H41,'Week 13'!H35,'Week 14'!H39,'Week 15'!H39,'Week 16'!H39,H39)," - ",SUM('Week 1'!H40,'Week 2'!H40,'Week 3'!H40,'Week 4'!H40,'Week 5'!H41,'Week 6'!H37,'Week 7'!H37,'Week 8'!H39,'Week 9'!H40,'Week 10'!H38,'Week 11'!H35,'Week 12'!H42,'Week 13'!H36,'Week 14'!H40,'Week 15'!H40,'Week 16'!H40,H40))</f>
        <v>33 - 13</v>
      </c>
      <c r="I43" s="73" t="str">
        <f>CONCATENATE(SUM('Week 1'!I39,'Week 2'!I39,'Week 3'!I39,'Week 4'!I39,'Week 5'!I40,'Week 6'!I36,'Week 7'!I36,'Week 8'!I38,'Week 9'!I39,'Week 10'!I37,'Week 11'!I34,'Week 12'!I41,'Week 13'!I35,'Week 14'!I39,'Week 15'!I39,'Week 16'!I39,I39)," - ",SUM('Week 1'!I40,'Week 2'!I40,'Week 3'!I40,'Week 4'!I40,'Week 5'!I41,'Week 6'!I37,'Week 7'!I37,'Week 8'!I39,'Week 9'!I40,'Week 10'!I38,'Week 11'!I35,'Week 12'!I42,'Week 13'!I36,'Week 14'!I40,'Week 15'!I40,'Week 16'!I40,I40))</f>
        <v>26 - 20</v>
      </c>
      <c r="J43" s="73" t="str">
        <f>CONCATENATE(SUM('Week 1'!J39,'Week 2'!J39,'Week 3'!J39,'Week 4'!J39,'Week 5'!J40,'Week 6'!J36,'Week 7'!J36,'Week 8'!J38,'Week 9'!J39,'Week 10'!J37,'Week 11'!J34,'Week 12'!J41,'Week 13'!J35,'Week 14'!J39,'Week 15'!J39,'Week 16'!J39,J39)," - ",SUM('Week 1'!J40,'Week 2'!J40,'Week 3'!J40,'Week 4'!J40,'Week 5'!J41,'Week 6'!J37,'Week 7'!J37,'Week 8'!J39,'Week 9'!J40,'Week 10'!J38,'Week 11'!J35,'Week 12'!J42,'Week 13'!J36,'Week 14'!J40,'Week 15'!J40,'Week 16'!J40,J40))</f>
        <v>27 - 19</v>
      </c>
      <c r="K43" s="73" t="str">
        <f>CONCATENATE(SUM('Week 1'!K39,'Week 2'!K39,'Week 3'!K39,'Week 4'!K39,'Week 5'!K40,'Week 6'!K36,'Week 7'!K36,'Week 8'!K38,'Week 9'!K39,'Week 10'!K37,'Week 11'!K34,'Week 12'!K41,'Week 13'!K35,'Week 14'!K39,'Week 15'!K39,'Week 16'!K39,K39)," - ",SUM('Week 1'!K40,'Week 2'!K40,'Week 3'!K40,'Week 4'!K40,'Week 5'!K41,'Week 6'!K37,'Week 7'!K37,'Week 8'!K39,'Week 9'!K40,'Week 10'!K38,'Week 11'!K35,'Week 12'!K42,'Week 13'!K36,'Week 14'!K40,'Week 15'!K40,'Week 16'!K40,K40))</f>
        <v>29 - 17</v>
      </c>
      <c r="L43" s="73" t="str">
        <f>CONCATENATE(SUM('Week 1'!L39,'Week 2'!L39,'Week 3'!L39,'Week 4'!L39,'Week 5'!L40,'Week 6'!L36,'Week 7'!L36,'Week 8'!L38,'Week 9'!L39,'Week 10'!L37,'Week 11'!L34,'Week 12'!L41,'Week 13'!L35,'Week 14'!L39,'Week 15'!L39,'Week 16'!L39,L39)," - ",SUM('Week 1'!L40,'Week 2'!L40,'Week 3'!L40,'Week 4'!L40,'Week 5'!L41,'Week 6'!L37,'Week 7'!L37,'Week 8'!L39,'Week 9'!L40,'Week 10'!L38,'Week 11'!L35,'Week 12'!L42,'Week 13'!L36,'Week 14'!L40,'Week 15'!L40,'Week 16'!L40,L40))</f>
        <v>26 - 20</v>
      </c>
      <c r="M43" s="73" t="str">
        <f>CONCATENATE(SUM('Week 1'!M39,'Week 2'!M39,'Week 3'!M39,'Week 4'!M39,'Week 5'!M40,'Week 6'!M36,'Week 7'!M36,'Week 8'!M38,'Week 9'!M39,'Week 10'!M37,'Week 11'!M34,'Week 12'!M41,'Week 13'!M35,'Week 14'!M39,'Week 15'!M39,'Week 16'!M39,M39)," - ",SUM('Week 1'!M40,'Week 2'!M40,'Week 3'!M40,'Week 4'!M40,'Week 5'!M41,'Week 6'!M37,'Week 7'!M37,'Week 8'!M39,'Week 9'!M40,'Week 10'!M38,'Week 11'!M35,'Week 12'!M42,'Week 13'!M36,'Week 14'!M40,'Week 15'!M40,'Week 16'!M40,M40))</f>
        <v>24 - 22</v>
      </c>
      <c r="N43" s="74" t="str">
        <f>CONCATENATE(SUM('Week 1'!N39,'Week 2'!N39,'Week 3'!N39,'Week 4'!N39,'Week 5'!N40,'Week 6'!N36,'Week 7'!N36,'Week 8'!N38,'Week 9'!N39,'Week 10'!N37,'Week 11'!N34,'Week 12'!N41,'Week 13'!N35,'Week 14'!N39,'Week 15'!N39,'Week 16'!N39,N39)," - ",SUM('Week 1'!N40,'Week 2'!N40,'Week 3'!N40,'Week 4'!N40,'Week 5'!N41,'Week 6'!N37,'Week 7'!N37,'Week 8'!N39,'Week 9'!N40,'Week 10'!N38,'Week 11'!N35,'Week 12'!N42,'Week 13'!N36,'Week 14'!N40,'Week 15'!N40,'Week 16'!N40,N40))</f>
        <v>20 - 26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C45" s="29">
        <f t="array" ref="C45:E61">INDEX(H63:J79,0)</f>
        <v>1</v>
      </c>
      <c r="D45" s="29" t="s">
        <v>11</v>
      </c>
      <c r="E45" s="29">
        <v>480.0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445.0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410.0</v>
      </c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375.0</v>
      </c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14</v>
      </c>
      <c r="E49" s="29">
        <v>370.0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16</v>
      </c>
      <c r="E50" s="29">
        <v>365.0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6</v>
      </c>
      <c r="E51" s="29">
        <v>325.0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12</v>
      </c>
      <c r="E52" s="29">
        <v>320.0</v>
      </c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8</v>
      </c>
      <c r="E53" s="29">
        <v>290.0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17</v>
      </c>
      <c r="E54" s="29">
        <v>290.0</v>
      </c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280.0</v>
      </c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275.0</v>
      </c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325</v>
      </c>
      <c r="D63" s="40"/>
      <c r="G63" s="40"/>
      <c r="H63" s="40">
        <f t="shared" ref="H63:H74" si="74">RANK(J63,$J$63:$J$79,false)</f>
        <v>1</v>
      </c>
      <c r="I63" s="40" t="str">
        <f t="array" ref="I63:J79">SORT(B63:C79,2,false)</f>
        <v>Caleb</v>
      </c>
      <c r="J63" s="40">
        <v>480.0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275</v>
      </c>
      <c r="D64" s="40"/>
      <c r="G64" s="40"/>
      <c r="H64" s="40">
        <f t="shared" si="74"/>
        <v>2</v>
      </c>
      <c r="I64" s="40" t="s">
        <v>13</v>
      </c>
      <c r="J64" s="40">
        <v>445.0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290</v>
      </c>
      <c r="D65" s="40"/>
      <c r="G65" s="40"/>
      <c r="H65" s="40">
        <f t="shared" si="74"/>
        <v>3</v>
      </c>
      <c r="I65" s="40" t="s">
        <v>10</v>
      </c>
      <c r="J65" s="40">
        <v>410.0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375</v>
      </c>
      <c r="D66" s="40"/>
      <c r="G66" s="40"/>
      <c r="H66" s="40">
        <f t="shared" si="74"/>
        <v>4</v>
      </c>
      <c r="I66" s="40" t="s">
        <v>9</v>
      </c>
      <c r="J66" s="40">
        <v>375.0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410</v>
      </c>
      <c r="D67" s="40"/>
      <c r="G67" s="40"/>
      <c r="H67" s="40">
        <f t="shared" si="74"/>
        <v>5</v>
      </c>
      <c r="I67" s="40" t="s">
        <v>14</v>
      </c>
      <c r="J67" s="40">
        <v>370.0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480</v>
      </c>
      <c r="D68" s="40"/>
      <c r="G68" s="40"/>
      <c r="H68" s="40">
        <f t="shared" si="74"/>
        <v>6</v>
      </c>
      <c r="I68" s="40" t="s">
        <v>16</v>
      </c>
      <c r="J68" s="40">
        <v>365.0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320</v>
      </c>
      <c r="D69" s="40"/>
      <c r="G69" s="40"/>
      <c r="H69" s="40">
        <f t="shared" si="74"/>
        <v>7</v>
      </c>
      <c r="I69" s="40" t="s">
        <v>6</v>
      </c>
      <c r="J69" s="40">
        <v>325.0</v>
      </c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445</v>
      </c>
      <c r="D70" s="40"/>
      <c r="G70" s="40"/>
      <c r="H70" s="40">
        <f t="shared" si="74"/>
        <v>8</v>
      </c>
      <c r="I70" s="40" t="s">
        <v>12</v>
      </c>
      <c r="J70" s="40">
        <v>320.0</v>
      </c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370</v>
      </c>
      <c r="D71" s="40"/>
      <c r="G71" s="40"/>
      <c r="H71" s="40">
        <f t="shared" si="74"/>
        <v>9</v>
      </c>
      <c r="I71" s="40" t="s">
        <v>8</v>
      </c>
      <c r="J71" s="40">
        <v>290.0</v>
      </c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280</v>
      </c>
      <c r="D72" s="40"/>
      <c r="G72" s="40"/>
      <c r="H72" s="40">
        <f t="shared" si="74"/>
        <v>9</v>
      </c>
      <c r="I72" s="40" t="s">
        <v>17</v>
      </c>
      <c r="J72" s="40">
        <v>290.0</v>
      </c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365</v>
      </c>
      <c r="D73" s="40"/>
      <c r="G73" s="40"/>
      <c r="H73" s="40">
        <f t="shared" si="74"/>
        <v>11</v>
      </c>
      <c r="I73" s="40" t="s">
        <v>15</v>
      </c>
      <c r="J73" s="40">
        <v>280.0</v>
      </c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290</v>
      </c>
      <c r="D74" s="40"/>
      <c r="G74" s="40"/>
      <c r="H74" s="40">
        <f t="shared" si="74"/>
        <v>12</v>
      </c>
      <c r="I74" s="40" t="s">
        <v>7</v>
      </c>
      <c r="J74" s="40">
        <v>275.0</v>
      </c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AND($I19=$C19,$C19=0)</formula>
    </cfRule>
  </conditionalFormatting>
  <conditionalFormatting sqref="G2:K17">
    <cfRule type="expression" dxfId="7" priority="2">
      <formula>$I19=$C19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AND($N19=$C19,$C19=0)</formula>
    </cfRule>
  </conditionalFormatting>
  <conditionalFormatting sqref="L2:P17">
    <cfRule type="expression" dxfId="7" priority="9">
      <formula>$N19=$C19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AND($S19=$C19,$C19=0)</formula>
    </cfRule>
  </conditionalFormatting>
  <conditionalFormatting sqref="Q2:U17">
    <cfRule type="expression" dxfId="7" priority="16">
      <formula>$S19=$C19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AND($X19=$C19,$C19=0)</formula>
    </cfRule>
  </conditionalFormatting>
  <conditionalFormatting sqref="V2:Z17">
    <cfRule type="expression" dxfId="7" priority="78">
      <formula>$X19=$C19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AND($AC19=$C19,$C19=0)</formula>
    </cfRule>
  </conditionalFormatting>
  <conditionalFormatting sqref="AA2:AE17">
    <cfRule type="expression" dxfId="7" priority="81">
      <formula>$AC19=$C19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AND($AH19=$C19,$C19=0)</formula>
    </cfRule>
  </conditionalFormatting>
  <conditionalFormatting sqref="AF2:AJ17">
    <cfRule type="expression" dxfId="7" priority="84">
      <formula>$AH19=$C19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AND($AM19=$C19,$C19=0)</formula>
    </cfRule>
  </conditionalFormatting>
  <conditionalFormatting sqref="AK2:AO17">
    <cfRule type="expression" dxfId="7" priority="87">
      <formula>$AM19=$C19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AND($AR19=$C19,$C19=0)</formula>
    </cfRule>
  </conditionalFormatting>
  <conditionalFormatting sqref="AP2:AT17">
    <cfRule type="expression" dxfId="7" priority="90">
      <formula>$AR19=$C19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AND($AW19=$C19,$C19=0)</formula>
    </cfRule>
  </conditionalFormatting>
  <conditionalFormatting sqref="AU2:AY17">
    <cfRule type="expression" dxfId="7" priority="93">
      <formula>$AW19=$C19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AND($BB19=$C19,$C19=0)</formula>
    </cfRule>
  </conditionalFormatting>
  <conditionalFormatting sqref="AZ2:BD17">
    <cfRule type="expression" dxfId="7" priority="96">
      <formula>$BB19=$C19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AND($BG19=$C19,$C19=0)</formula>
    </cfRule>
  </conditionalFormatting>
  <conditionalFormatting sqref="BE2:BI17">
    <cfRule type="expression" dxfId="7" priority="99">
      <formula>$BG19=$C19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AND($BL19=$C19,$C19=0)</formula>
    </cfRule>
  </conditionalFormatting>
  <conditionalFormatting sqref="BJ2:BN17">
    <cfRule type="expression" dxfId="7" priority="102">
      <formula>$BL19=$C19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75"/>
    <col customWidth="1" min="3" max="4" width="7.63"/>
    <col customWidth="1" min="5" max="5" width="13.63"/>
    <col customWidth="1" min="6" max="6" width="9.63"/>
    <col customWidth="1" min="7" max="7" width="8.0"/>
    <col customWidth="1" min="8" max="8" width="9.75"/>
    <col customWidth="1" min="9" max="9" width="8.13"/>
    <col customWidth="1" min="10" max="19" width="7.63"/>
    <col customWidth="1" min="20" max="69" width="5.13"/>
  </cols>
  <sheetData>
    <row r="1">
      <c r="A1" s="2" t="s">
        <v>1</v>
      </c>
      <c r="B1" s="2" t="s">
        <v>424</v>
      </c>
      <c r="C1" s="3" t="s">
        <v>5</v>
      </c>
      <c r="D1" s="4"/>
      <c r="E1" s="4"/>
      <c r="F1" s="5"/>
      <c r="G1" s="6" t="s">
        <v>6</v>
      </c>
      <c r="H1" s="4"/>
      <c r="I1" s="4"/>
      <c r="J1" s="4"/>
      <c r="K1" s="5"/>
      <c r="L1" s="8" t="s">
        <v>7</v>
      </c>
      <c r="M1" s="4"/>
      <c r="N1" s="4"/>
      <c r="O1" s="4"/>
      <c r="P1" s="5"/>
      <c r="Q1" s="10" t="s">
        <v>8</v>
      </c>
      <c r="R1" s="4"/>
      <c r="S1" s="4"/>
      <c r="T1" s="4"/>
      <c r="U1" s="5"/>
      <c r="V1" s="8" t="s">
        <v>9</v>
      </c>
      <c r="W1" s="4"/>
      <c r="X1" s="4"/>
      <c r="Y1" s="4"/>
      <c r="Z1" s="5"/>
      <c r="AA1" s="10" t="s">
        <v>10</v>
      </c>
      <c r="AB1" s="4"/>
      <c r="AC1" s="4"/>
      <c r="AD1" s="4"/>
      <c r="AE1" s="5"/>
      <c r="AF1" s="12" t="s">
        <v>11</v>
      </c>
      <c r="AG1" s="4"/>
      <c r="AH1" s="4"/>
      <c r="AI1" s="4"/>
      <c r="AJ1" s="5"/>
      <c r="AK1" s="13" t="s">
        <v>12</v>
      </c>
      <c r="AL1" s="4"/>
      <c r="AM1" s="4"/>
      <c r="AN1" s="4"/>
      <c r="AO1" s="5"/>
      <c r="AP1" s="12" t="s">
        <v>13</v>
      </c>
      <c r="AQ1" s="4"/>
      <c r="AR1" s="4"/>
      <c r="AS1" s="4"/>
      <c r="AT1" s="5"/>
      <c r="AU1" s="10" t="s">
        <v>14</v>
      </c>
      <c r="AV1" s="4"/>
      <c r="AW1" s="4"/>
      <c r="AX1" s="4"/>
      <c r="AY1" s="5"/>
      <c r="AZ1" s="12" t="s">
        <v>15</v>
      </c>
      <c r="BA1" s="4"/>
      <c r="BB1" s="4"/>
      <c r="BC1" s="4"/>
      <c r="BD1" s="5"/>
      <c r="BE1" s="10" t="s">
        <v>16</v>
      </c>
      <c r="BF1" s="4"/>
      <c r="BG1" s="4"/>
      <c r="BH1" s="4"/>
      <c r="BI1" s="5"/>
      <c r="BJ1" s="12" t="s">
        <v>17</v>
      </c>
      <c r="BK1" s="4"/>
      <c r="BL1" s="4"/>
      <c r="BM1" s="4"/>
      <c r="BN1" s="5"/>
      <c r="BO1" s="15"/>
      <c r="BP1" s="15"/>
      <c r="BQ1" s="15"/>
    </row>
    <row r="2">
      <c r="A2" s="16" t="s">
        <v>425</v>
      </c>
      <c r="B2" s="30" t="s">
        <v>426</v>
      </c>
      <c r="C2" s="18" t="str">
        <f>IFERROR(__xludf.DUMMYFUNCTION("IMPORTRANGE(""https://docs.google.com/spreadsheets/d/1v9a6MxzpyXdVbef97sptWrOJUpuAu6ldKC6wbegqpyg/edit?gid=1462027705#gid=1462027705"",""Week 18!C3:F18"")"),"")</f>
        <v/>
      </c>
      <c r="D2" s="11" t="str">
        <f>IFERROR(__xludf.DUMMYFUNCTION("""COMPUTED_VALUE"""),"")</f>
        <v/>
      </c>
      <c r="E2" s="19"/>
      <c r="F2" s="20"/>
      <c r="G2" s="19" t="s">
        <v>40</v>
      </c>
      <c r="H2" s="11" t="str">
        <f t="shared" ref="H2:H17" si="1">IF(G2="KC",IMAGE("https://logodownload.org/wp-content/uploads/2020/09/kansas-city-chiefs-logo.png"),IF(G2="LV",IMAGE("https://logodownload.org/wp-content/uploads/2020/09/las-vegas-raiders-logo-1-564x599.png"),IF(G2="DEN",IMAGE("https://logodownload.org/wp-content/uploads/2020/07/denver-broncos-logo-0.png"),IF(G2="LAC",IMAGE("https://logosmarcas.net/wp-content/uploads/2020/07/Los-Angeles-Chargers-logo.png"),IF(G2="BUF",IMAGE("https://logos-download.com/wp-content/uploads/2018/03/Buffalo_Bills_logo_blue.png"),IF(G2="MIA",IMAGE("https://logos-world.net/wp-content/uploads/2020/05/Miami-Dolphins-Logo.png"),IF(G2="NYJ",IMAGE("https://logos-world.net/wp-content/uploads/2020/07/New-York-Jets-Logo.png"),IF(G2="NE",IMAGE("https://purepng.com/public/uploads/large/new-england-patriots-logo-symbol-ucp.png"),IF(G2="BAL",IMAGE("https://1000logos.net/wp-content/uploads/2016/10/Baltimore-Ravens-Logo.png"),IF(G2="CLE",IMAGE("https://logos-world.net/wp-content/uploads/2020/05/Cleveland-Browns-Logo-2006-2014.png"),IF(G2="PIT",IMAGE("https://1000logos.net/wp-content/uploads/2017/06/Pittsburgh-Steelers-Logo.png"),IF(G2="CIN",IMAGE("https://logos-world.net/wp-content/uploads/2020/05/Cincinnati-Bengals-Logo.png"),IF(G2="HOU",IMAGE("https://cdn.wallpapersafari.com/15/25/Jnl2Yc.png"),IF(G2="JAX",IMAGE("https://1000logos.net/wp-content/uploads/2018/07/Jacksonville-Jaguars-Logo-1536x960.png"),IF(G2="IND",IMAGE("https://1000logos.net/wp-content/uploads/2016/12/Indianapolis-Colts-Logo-2048x1280.png"),IF(G2="TEN",IMAGE("https://img-s-msn-com.akamaized.net/tenant/amp/entityid/AA1YwbtK.img?w=720&amp;h=720&amp;m=6"),IF(G2="SF",IMAGE("https://logodownload.org/wp-content/uploads/2020/09/san-francisco-49ers-logo-2048x1220.png"),IF(G2="LAR",IMAGE("https://1000logos.net/wp-content/uploads/2018/07/Rams-Logo.png"),IF(G2="SEA",IMAGE("https://cdn.freebiesupply.com/images/large/2x/seattle-seahawks-logo-transparent.png"),IF(G2="AZ",IMAGE("https://logos-world.net/wp-content/uploads/2020/05/Arizona-Cardinals-Logo.png"),IF(G2="DAL",IMAGE("https://www.freepnglogos.com/uploads/dallas-cowboys-logo-22.png"),IF(G2="PHI",IMAGE("https://1000logos.net/wp-content/uploads/2017/05/Philadelphia-Eagles-Logo.png"),IF(G2="NYG",IMAGE("https://logosmarcas.net/wp-content/uploads/2020/07/New-York-Giants-Logo.png"),IF(G2="WSH",IMAGE("https://logodownload.org/wp-content/uploads/2020/09/washington-commanders-logo.png"),IF(G2="DET",IMAGE("https://logos-world.net/wp-content/uploads/2020/05/Detroit-Lions-Logo-2017-Present.png"),IF(G2="GB",IMAGE("https://logodownload.org/wp-content/uploads/2020/07/green-bay-packers-logo-1.png"),IF(G2="MIN",IMAGE("https://1000logos.net/wp-content/uploads/2017/06/Minnesota-Vikings-Logo-1965.png"),IF(G2="CHI",IMAGE("https://logos-world.net/wp-content/uploads/2020/05/Chicago-Bears-logo.png"),IF(G2="TB",IMAGE("https://logodownload.org/wp-content/uploads/2020/09/tampa-bay-buccaneers-logo.png"),IF(G2="NO",IMAGE("https://1000logos.net/wp-content/uploads/2017/04/New-Orleans-Saints-Logo.png"),IF(G2="ATL",IMAGE("https://logodownload.org/wp-content/uploads/2020/07/atlanta-falcons-logo-0.png"),IF(G2="CAR",IMAGE("https://logos-download.com/wp-content/uploads/2018/02/Carolina_Panthers_logo_blue.png"),""))))))))))))))))))))))))))))))))</f>
        <v/>
      </c>
      <c r="I2" s="19">
        <v>17.0</v>
      </c>
      <c r="J2" s="19">
        <v>14.0</v>
      </c>
      <c r="K2" s="20" t="b">
        <v>0</v>
      </c>
      <c r="L2" s="24" t="s">
        <v>40</v>
      </c>
      <c r="M2" s="26" t="str">
        <f t="shared" ref="M2:M17" si="2">IF(L2="KC",IMAGE("https://logodownload.org/wp-content/uploads/2020/09/kansas-city-chiefs-logo.png"),IF(L2="LV",IMAGE("https://logodownload.org/wp-content/uploads/2020/09/las-vegas-raiders-logo-1-564x599.png"),IF(L2="DEN",IMAGE("https://logodownload.org/wp-content/uploads/2020/07/denver-broncos-logo-0.png"),IF(L2="LAC",IMAGE("https://logosmarcas.net/wp-content/uploads/2020/07/Los-Angeles-Chargers-logo.png"),IF(L2="BUF",IMAGE("https://logos-download.com/wp-content/uploads/2018/03/Buffalo_Bills_logo_blue.png"),IF(L2="MIA",IMAGE("https://logos-world.net/wp-content/uploads/2020/05/Miami-Dolphins-Logo.png"),IF(L2="NYJ",IMAGE("https://logos-world.net/wp-content/uploads/2020/07/New-York-Jets-Logo.png"),IF(L2="NE",IMAGE("https://purepng.com/public/uploads/large/new-england-patriots-logo-symbol-ucp.png"),IF(L2="BAL",IMAGE("https://1000logos.net/wp-content/uploads/2016/10/Baltimore-Ravens-Logo.png"),IF(L2="CLE",IMAGE("https://logos-world.net/wp-content/uploads/2020/05/Cleveland-Browns-Logo-2006-2014.png"),IF(L2="PIT",IMAGE("https://1000logos.net/wp-content/uploads/2017/06/Pittsburgh-Steelers-Logo.png"),IF(L2="CIN",IMAGE("https://logos-world.net/wp-content/uploads/2020/05/Cincinnati-Bengals-Logo.png"),IF(L2="HOU",IMAGE("https://cdn.wallpapersafari.com/15/25/Jnl2Yc.png"),IF(L2="JAX",IMAGE("https://1000logos.net/wp-content/uploads/2018/07/Jacksonville-Jaguars-Logo-1536x960.png"),IF(L2="IND",IMAGE("https://1000logos.net/wp-content/uploads/2016/12/Indianapolis-Colts-Logo-2048x1280.png"),IF(L2="TEN",IMAGE("https://img-s-msn-com.akamaized.net/tenant/amp/entityid/AA1YwbtK.img?w=720&amp;h=720&amp;m=6"),IF(L2="SF",IMAGE("https://logodownload.org/wp-content/uploads/2020/09/san-francisco-49ers-logo-2048x1220.png"),IF(L2="LAR",IMAGE("https://1000logos.net/wp-content/uploads/2018/07/Rams-Logo.png"),IF(L2="SEA",IMAGE("https://cdn.freebiesupply.com/images/large/2x/seattle-seahawks-logo-transparent.png"),IF(L2="AZ",IMAGE("https://logos-world.net/wp-content/uploads/2020/05/Arizona-Cardinals-Logo.png"),IF(L2="DAL",IMAGE("https://www.freepnglogos.com/uploads/dallas-cowboys-logo-22.png"),IF(L2="PHI",IMAGE("https://1000logos.net/wp-content/uploads/2017/05/Philadelphia-Eagles-Logo.png"),IF(L2="NYG",IMAGE("https://logosmarcas.net/wp-content/uploads/2020/07/New-York-Giants-Logo.png"),IF(L2="WSH",IMAGE("https://logodownload.org/wp-content/uploads/2020/09/washington-commanders-logo.png"),IF(L2="DET",IMAGE("https://logos-world.net/wp-content/uploads/2020/05/Detroit-Lions-Logo-2017-Present.png"),IF(L2="GB",IMAGE("https://logodownload.org/wp-content/uploads/2020/07/green-bay-packers-logo-1.png"),IF(L2="MIN",IMAGE("https://1000logos.net/wp-content/uploads/2017/06/Minnesota-Vikings-Logo-1965.png"),IF(L2="CHI",IMAGE("https://logos-world.net/wp-content/uploads/2020/05/Chicago-Bears-logo.png"),IF(L2="TB",IMAGE("https://logodownload.org/wp-content/uploads/2020/09/tampa-bay-buccaneers-logo.png"),IF(L2="NO",IMAGE("https://1000logos.net/wp-content/uploads/2017/04/New-Orleans-Saints-Logo.png"),IF(L2="ATL",IMAGE("https://logodownload.org/wp-content/uploads/2020/07/atlanta-falcons-logo-0.png"),IF(L2="CAR",IMAGE("https://logos-download.com/wp-content/uploads/2018/02/Carolina_Panthers_logo_blue.png"),""))))))))))))))))))))))))))))))))</f>
        <v/>
      </c>
      <c r="N2" s="24">
        <v>27.0</v>
      </c>
      <c r="O2" s="24">
        <v>24.0</v>
      </c>
      <c r="P2" s="24" t="b">
        <v>0</v>
      </c>
      <c r="Q2" s="27" t="s">
        <v>40</v>
      </c>
      <c r="R2" s="11" t="str">
        <f t="shared" ref="R2:R17" si="3">IF(Q2="KC",IMAGE("https://logodownload.org/wp-content/uploads/2020/09/kansas-city-chiefs-logo.png"),IF(Q2="LV",IMAGE("https://logodownload.org/wp-content/uploads/2020/09/las-vegas-raiders-logo-1-564x599.png"),IF(Q2="DEN",IMAGE("https://logodownload.org/wp-content/uploads/2020/07/denver-broncos-logo-0.png"),IF(Q2="LAC",IMAGE("https://logosmarcas.net/wp-content/uploads/2020/07/Los-Angeles-Chargers-logo.png"),IF(Q2="BUF",IMAGE("https://logos-download.com/wp-content/uploads/2018/03/Buffalo_Bills_logo_blue.png"),IF(Q2="MIA",IMAGE("https://logos-world.net/wp-content/uploads/2020/05/Miami-Dolphins-Logo.png"),IF(Q2="NYJ",IMAGE("https://logos-world.net/wp-content/uploads/2020/07/New-York-Jets-Logo.png"),IF(Q2="NE",IMAGE("https://purepng.com/public/uploads/large/new-england-patriots-logo-symbol-ucp.png"),IF(Q2="BAL",IMAGE("https://1000logos.net/wp-content/uploads/2016/10/Baltimore-Ravens-Logo.png"),IF(Q2="CLE",IMAGE("https://logos-world.net/wp-content/uploads/2020/05/Cleveland-Browns-Logo-2006-2014.png"),IF(Q2="PIT",IMAGE("https://1000logos.net/wp-content/uploads/2017/06/Pittsburgh-Steelers-Logo.png"),IF(Q2="CIN",IMAGE("https://logos-world.net/wp-content/uploads/2020/05/Cincinnati-Bengals-Logo.png"),IF(Q2="HOU",IMAGE("https://cdn.wallpapersafari.com/15/25/Jnl2Yc.png"),IF(Q2="JAX",IMAGE("https://1000logos.net/wp-content/uploads/2018/07/Jacksonville-Jaguars-Logo-1536x960.png"),IF(Q2="IND",IMAGE("https://1000logos.net/wp-content/uploads/2016/12/Indianapolis-Colts-Logo-2048x1280.png"),IF(Q2="TEN",IMAGE("https://img-s-msn-com.akamaized.net/tenant/amp/entityid/AA1YwbtK.img?w=720&amp;h=720&amp;m=6"),IF(Q2="SF",IMAGE("https://logodownload.org/wp-content/uploads/2020/09/san-francisco-49ers-logo-2048x1220.png"),IF(Q2="LAR",IMAGE("https://1000logos.net/wp-content/uploads/2018/07/Rams-Logo.png"),IF(Q2="SEA",IMAGE("https://cdn.freebiesupply.com/images/large/2x/seattle-seahawks-logo-transparent.png"),IF(Q2="AZ",IMAGE("https://logos-world.net/wp-content/uploads/2020/05/Arizona-Cardinals-Logo.png"),IF(Q2="DAL",IMAGE("https://www.freepnglogos.com/uploads/dallas-cowboys-logo-22.png"),IF(Q2="PHI",IMAGE("https://1000logos.net/wp-content/uploads/2017/05/Philadelphia-Eagles-Logo.png"),IF(Q2="NYG",IMAGE("https://logosmarcas.net/wp-content/uploads/2020/07/New-York-Giants-Logo.png"),IF(Q2="WSH",IMAGE("https://logodownload.org/wp-content/uploads/2020/09/washington-commanders-logo.png"),IF(Q2="DET",IMAGE("https://logos-world.net/wp-content/uploads/2020/05/Detroit-Lions-Logo-2017-Present.png"),IF(Q2="GB",IMAGE("https://logodownload.org/wp-content/uploads/2020/07/green-bay-packers-logo-1.png"),IF(Q2="MIN",IMAGE("https://1000logos.net/wp-content/uploads/2017/06/Minnesota-Vikings-Logo-1965.png"),IF(Q2="CHI",IMAGE("https://logos-world.net/wp-content/uploads/2020/05/Chicago-Bears-logo.png"),IF(Q2="TB",IMAGE("https://logodownload.org/wp-content/uploads/2020/09/tampa-bay-buccaneers-logo.png"),IF(Q2="NO",IMAGE("https://1000logos.net/wp-content/uploads/2017/04/New-Orleans-Saints-Logo.png"),IF(Q2="ATL",IMAGE("https://logodownload.org/wp-content/uploads/2020/07/atlanta-falcons-logo-0.png"),IF(Q2="CAR",IMAGE("https://logos-download.com/wp-content/uploads/2018/02/Carolina_Panthers_logo_blue.png"),""))))))))))))))))))))))))))))))))</f>
        <v/>
      </c>
      <c r="S2" s="19">
        <v>27.0</v>
      </c>
      <c r="T2" s="19">
        <v>24.0</v>
      </c>
      <c r="U2" s="20" t="b">
        <v>0</v>
      </c>
      <c r="V2" s="19" t="s">
        <v>40</v>
      </c>
      <c r="W2" s="11" t="str">
        <f t="shared" ref="W2:W17" si="4">IF(V2="KC",IMAGE("https://logodownload.org/wp-content/uploads/2020/09/kansas-city-chiefs-logo.png"),IF(V2="LV",IMAGE("https://logodownload.org/wp-content/uploads/2020/09/las-vegas-raiders-logo-1-564x599.png"),IF(V2="DEN",IMAGE("https://logodownload.org/wp-content/uploads/2020/07/denver-broncos-logo-0.png"),IF(V2="LAC",IMAGE("https://logosmarcas.net/wp-content/uploads/2020/07/Los-Angeles-Chargers-logo.png"),IF(V2="BUF",IMAGE("https://logos-download.com/wp-content/uploads/2018/03/Buffalo_Bills_logo_blue.png"),IF(V2="MIA",IMAGE("https://logos-world.net/wp-content/uploads/2020/05/Miami-Dolphins-Logo.png"),IF(V2="NYJ",IMAGE("https://logos-world.net/wp-content/uploads/2020/07/New-York-Jets-Logo.png"),IF(V2="NE",IMAGE("https://purepng.com/public/uploads/large/new-england-patriots-logo-symbol-ucp.png"),IF(V2="BAL",IMAGE("https://1000logos.net/wp-content/uploads/2016/10/Baltimore-Ravens-Logo.png"),IF(V2="CLE",IMAGE("https://logos-world.net/wp-content/uploads/2020/05/Cleveland-Browns-Logo-2006-2014.png"),IF(V2="PIT",IMAGE("https://1000logos.net/wp-content/uploads/2017/06/Pittsburgh-Steelers-Logo.png"),IF(V2="CIN",IMAGE("https://logos-world.net/wp-content/uploads/2020/05/Cincinnati-Bengals-Logo.png"),IF(V2="HOU",IMAGE("https://cdn.wallpapersafari.com/15/25/Jnl2Yc.png"),IF(V2="JAX",IMAGE("https://1000logos.net/wp-content/uploads/2018/07/Jacksonville-Jaguars-Logo-1536x960.png"),IF(V2="IND",IMAGE("https://1000logos.net/wp-content/uploads/2016/12/Indianapolis-Colts-Logo-2048x1280.png"),IF(V2="TEN",IMAGE("https://img-s-msn-com.akamaized.net/tenant/amp/entityid/AA1YwbtK.img?w=720&amp;h=720&amp;m=6"),IF(V2="SF",IMAGE("https://logodownload.org/wp-content/uploads/2020/09/san-francisco-49ers-logo-2048x1220.png"),IF(V2="LAR",IMAGE("https://1000logos.net/wp-content/uploads/2018/07/Rams-Logo.png"),IF(V2="SEA",IMAGE("https://cdn.freebiesupply.com/images/large/2x/seattle-seahawks-logo-transparent.png"),IF(V2="AZ",IMAGE("https://logos-world.net/wp-content/uploads/2020/05/Arizona-Cardinals-Logo.png"),IF(V2="DAL",IMAGE("https://www.freepnglogos.com/uploads/dallas-cowboys-logo-22.png"),IF(V2="PHI",IMAGE("https://1000logos.net/wp-content/uploads/2017/05/Philadelphia-Eagles-Logo.png"),IF(V2="NYG",IMAGE("https://logosmarcas.net/wp-content/uploads/2020/07/New-York-Giants-Logo.png"),IF(V2="WSH",IMAGE("https://logodownload.org/wp-content/uploads/2020/09/washington-commanders-logo.png"),IF(V2="DET",IMAGE("https://logos-world.net/wp-content/uploads/2020/05/Detroit-Lions-Logo-2017-Present.png"),IF(V2="GB",IMAGE("https://logodownload.org/wp-content/uploads/2020/07/green-bay-packers-logo-1.png"),IF(V2="MIN",IMAGE("https://1000logos.net/wp-content/uploads/2017/06/Minnesota-Vikings-Logo-1965.png"),IF(V2="CHI",IMAGE("https://logos-world.net/wp-content/uploads/2020/05/Chicago-Bears-logo.png"),IF(V2="TB",IMAGE("https://logodownload.org/wp-content/uploads/2020/09/tampa-bay-buccaneers-logo.png"),IF(V2="NO",IMAGE("https://1000logos.net/wp-content/uploads/2017/04/New-Orleans-Saints-Logo.png"),IF(V2="ATL",IMAGE("https://logodownload.org/wp-content/uploads/2020/07/atlanta-falcons-logo-0.png"),IF(V2="CAR",IMAGE("https://logos-download.com/wp-content/uploads/2018/02/Carolina_Panthers_logo_blue.png"),""))))))))))))))))))))))))))))))))</f>
        <v/>
      </c>
      <c r="X2" s="19">
        <v>24.0</v>
      </c>
      <c r="Y2" s="19">
        <v>10.0</v>
      </c>
      <c r="Z2" s="20" t="b">
        <v>0</v>
      </c>
      <c r="AA2" s="27" t="s">
        <v>40</v>
      </c>
      <c r="AB2" s="11" t="str">
        <f t="shared" ref="AB2:AB17" si="5">IF(AA2="KC",IMAGE("https://logodownload.org/wp-content/uploads/2020/09/kansas-city-chiefs-logo.png"),IF(AA2="LV",IMAGE("https://logodownload.org/wp-content/uploads/2020/09/las-vegas-raiders-logo-1-564x599.png"),IF(AA2="DEN",IMAGE("https://logodownload.org/wp-content/uploads/2020/07/denver-broncos-logo-0.png"),IF(AA2="LAC",IMAGE("https://logosmarcas.net/wp-content/uploads/2020/07/Los-Angeles-Chargers-logo.png"),IF(AA2="BUF",IMAGE("https://logos-download.com/wp-content/uploads/2018/03/Buffalo_Bills_logo_blue.png"),IF(AA2="MIA",IMAGE("https://logos-world.net/wp-content/uploads/2020/05/Miami-Dolphins-Logo.png"),IF(AA2="NYJ",IMAGE("https://logos-world.net/wp-content/uploads/2020/07/New-York-Jets-Logo.png"),IF(AA2="NE",IMAGE("https://purepng.com/public/uploads/large/new-england-patriots-logo-symbol-ucp.png"),IF(AA2="BAL",IMAGE("https://1000logos.net/wp-content/uploads/2016/10/Baltimore-Ravens-Logo.png"),IF(AA2="CLE",IMAGE("https://logos-world.net/wp-content/uploads/2020/05/Cleveland-Browns-Logo-2006-2014.png"),IF(AA2="PIT",IMAGE("https://1000logos.net/wp-content/uploads/2017/06/Pittsburgh-Steelers-Logo.png"),IF(AA2="CIN",IMAGE("https://logos-world.net/wp-content/uploads/2020/05/Cincinnati-Bengals-Logo.png"),IF(AA2="HOU",IMAGE("https://cdn.wallpapersafari.com/15/25/Jnl2Yc.png"),IF(AA2="JAX",IMAGE("https://1000logos.net/wp-content/uploads/2018/07/Jacksonville-Jaguars-Logo-1536x960.png"),IF(AA2="IND",IMAGE("https://1000logos.net/wp-content/uploads/2016/12/Indianapolis-Colts-Logo-2048x1280.png"),IF(AA2="TEN",IMAGE("https://img-s-msn-com.akamaized.net/tenant/amp/entityid/AA1YwbtK.img?w=720&amp;h=720&amp;m=6"),IF(AA2="SF",IMAGE("https://logodownload.org/wp-content/uploads/2020/09/san-francisco-49ers-logo-2048x1220.png"),IF(AA2="LAR",IMAGE("https://1000logos.net/wp-content/uploads/2018/07/Rams-Logo.png"),IF(AA2="SEA",IMAGE("https://cdn.freebiesupply.com/images/large/2x/seattle-seahawks-logo-transparent.png"),IF(AA2="AZ",IMAGE("https://logos-world.net/wp-content/uploads/2020/05/Arizona-Cardinals-Logo.png"),IF(AA2="DAL",IMAGE("https://www.freepnglogos.com/uploads/dallas-cowboys-logo-22.png"),IF(AA2="PHI",IMAGE("https://1000logos.net/wp-content/uploads/2017/05/Philadelphia-Eagles-Logo.png"),IF(AA2="NYG",IMAGE("https://logosmarcas.net/wp-content/uploads/2020/07/New-York-Giants-Logo.png"),IF(AA2="WSH",IMAGE("https://logodownload.org/wp-content/uploads/2020/09/washington-commanders-logo.png"),IF(AA2="DET",IMAGE("https://logos-world.net/wp-content/uploads/2020/05/Detroit-Lions-Logo-2017-Present.png"),IF(AA2="GB",IMAGE("https://logodownload.org/wp-content/uploads/2020/07/green-bay-packers-logo-1.png"),IF(AA2="MIN",IMAGE("https://1000logos.net/wp-content/uploads/2017/06/Minnesota-Vikings-Logo-1965.png"),IF(AA2="CHI",IMAGE("https://logos-world.net/wp-content/uploads/2020/05/Chicago-Bears-logo.png"),IF(AA2="TB",IMAGE("https://logodownload.org/wp-content/uploads/2020/09/tampa-bay-buccaneers-logo.png"),IF(AA2="NO",IMAGE("https://1000logos.net/wp-content/uploads/2017/04/New-Orleans-Saints-Logo.png"),IF(AA2="ATL",IMAGE("https://logodownload.org/wp-content/uploads/2020/07/atlanta-falcons-logo-0.png"),IF(AA2="CAR",IMAGE("https://logos-download.com/wp-content/uploads/2018/02/Carolina_Panthers_logo_blue.png"),""))))))))))))))))))))))))))))))))</f>
        <v/>
      </c>
      <c r="AC2" s="19">
        <v>24.0</v>
      </c>
      <c r="AD2" s="19">
        <v>17.0</v>
      </c>
      <c r="AE2" s="19" t="b">
        <v>0</v>
      </c>
      <c r="AF2" s="27" t="s">
        <v>40</v>
      </c>
      <c r="AG2" s="11" t="str">
        <f t="shared" ref="AG2:AG17" si="6">IF(AF2="KC",IMAGE("https://logodownload.org/wp-content/uploads/2020/09/kansas-city-chiefs-logo.png"),IF(AF2="LV",IMAGE("https://logodownload.org/wp-content/uploads/2020/09/las-vegas-raiders-logo-1-564x599.png"),IF(AF2="DEN",IMAGE("https://logodownload.org/wp-content/uploads/2020/07/denver-broncos-logo-0.png"),IF(AF2="LAC",IMAGE("https://logosmarcas.net/wp-content/uploads/2020/07/Los-Angeles-Chargers-logo.png"),IF(AF2="BUF",IMAGE("https://logos-download.com/wp-content/uploads/2018/03/Buffalo_Bills_logo_blue.png"),IF(AF2="MIA",IMAGE("https://logos-world.net/wp-content/uploads/2020/05/Miami-Dolphins-Logo.png"),IF(AF2="NYJ",IMAGE("https://logos-world.net/wp-content/uploads/2020/07/New-York-Jets-Logo.png"),IF(AF2="NE",IMAGE("https://purepng.com/public/uploads/large/new-england-patriots-logo-symbol-ucp.png"),IF(AF2="BAL",IMAGE("https://1000logos.net/wp-content/uploads/2016/10/Baltimore-Ravens-Logo.png"),IF(AF2="CLE",IMAGE("https://logos-world.net/wp-content/uploads/2020/05/Cleveland-Browns-Logo-2006-2014.png"),IF(AF2="PIT",IMAGE("https://1000logos.net/wp-content/uploads/2017/06/Pittsburgh-Steelers-Logo.png"),IF(AF2="CIN",IMAGE("https://logos-world.net/wp-content/uploads/2020/05/Cincinnati-Bengals-Logo.png"),IF(AF2="HOU",IMAGE("https://cdn.wallpapersafari.com/15/25/Jnl2Yc.png"),IF(AF2="JAX",IMAGE("https://1000logos.net/wp-content/uploads/2018/07/Jacksonville-Jaguars-Logo-1536x960.png"),IF(AF2="IND",IMAGE("https://1000logos.net/wp-content/uploads/2016/12/Indianapolis-Colts-Logo-2048x1280.png"),IF(AF2="TEN",IMAGE("https://img-s-msn-com.akamaized.net/tenant/amp/entityid/AA1YwbtK.img?w=720&amp;h=720&amp;m=6"),IF(AF2="SF",IMAGE("https://logodownload.org/wp-content/uploads/2020/09/san-francisco-49ers-logo-2048x1220.png"),IF(AF2="LAR",IMAGE("https://1000logos.net/wp-content/uploads/2018/07/Rams-Logo.png"),IF(AF2="SEA",IMAGE("https://cdn.freebiesupply.com/images/large/2x/seattle-seahawks-logo-transparent.png"),IF(AF2="AZ",IMAGE("https://logos-world.net/wp-content/uploads/2020/05/Arizona-Cardinals-Logo.png"),IF(AF2="DAL",IMAGE("https://www.freepnglogos.com/uploads/dallas-cowboys-logo-22.png"),IF(AF2="PHI",IMAGE("https://1000logos.net/wp-content/uploads/2017/05/Philadelphia-Eagles-Logo.png"),IF(AF2="NYG",IMAGE("https://logosmarcas.net/wp-content/uploads/2020/07/New-York-Giants-Logo.png"),IF(AF2="WSH",IMAGE("https://logodownload.org/wp-content/uploads/2020/09/washington-commanders-logo.png"),IF(AF2="DET",IMAGE("https://logos-world.net/wp-content/uploads/2020/05/Detroit-Lions-Logo-2017-Present.png"),IF(AF2="GB",IMAGE("https://logodownload.org/wp-content/uploads/2020/07/green-bay-packers-logo-1.png"),IF(AF2="MIN",IMAGE("https://1000logos.net/wp-content/uploads/2017/06/Minnesota-Vikings-Logo-1965.png"),IF(AF2="CHI",IMAGE("https://logos-world.net/wp-content/uploads/2020/05/Chicago-Bears-logo.png"),IF(AF2="TB",IMAGE("https://logodownload.org/wp-content/uploads/2020/09/tampa-bay-buccaneers-logo.png"),IF(AF2="NO",IMAGE("https://1000logos.net/wp-content/uploads/2017/04/New-Orleans-Saints-Logo.png"),IF(AF2="ATL",IMAGE("https://logodownload.org/wp-content/uploads/2020/07/atlanta-falcons-logo-0.png"),IF(AF2="CAR",IMAGE("https://logos-download.com/wp-content/uploads/2018/02/Carolina_Panthers_logo_blue.png"),""))))))))))))))))))))))))))))))))</f>
        <v/>
      </c>
      <c r="AH2" s="19">
        <v>17.0</v>
      </c>
      <c r="AI2" s="19">
        <v>7.0</v>
      </c>
      <c r="AJ2" s="20" t="b">
        <v>0</v>
      </c>
      <c r="AK2" s="19" t="s">
        <v>40</v>
      </c>
      <c r="AL2" s="11" t="str">
        <f t="shared" ref="AL2:AL17" si="7">IF(AK2="KC",IMAGE("https://logodownload.org/wp-content/uploads/2020/09/kansas-city-chiefs-logo.png"),IF(AK2="LV",IMAGE("https://logodownload.org/wp-content/uploads/2020/09/las-vegas-raiders-logo-1-564x599.png"),IF(AK2="DEN",IMAGE("https://logodownload.org/wp-content/uploads/2020/07/denver-broncos-logo-0.png"),IF(AK2="LAC",IMAGE("https://logosmarcas.net/wp-content/uploads/2020/07/Los-Angeles-Chargers-logo.png"),IF(AK2="BUF",IMAGE("https://logos-download.com/wp-content/uploads/2018/03/Buffalo_Bills_logo_blue.png"),IF(AK2="MIA",IMAGE("https://logos-world.net/wp-content/uploads/2020/05/Miami-Dolphins-Logo.png"),IF(AK2="NYJ",IMAGE("https://logos-world.net/wp-content/uploads/2020/07/New-York-Jets-Logo.png"),IF(AK2="NE",IMAGE("https://purepng.com/public/uploads/large/new-england-patriots-logo-symbol-ucp.png"),IF(AK2="BAL",IMAGE("https://1000logos.net/wp-content/uploads/2016/10/Baltimore-Ravens-Logo.png"),IF(AK2="CLE",IMAGE("https://logos-world.net/wp-content/uploads/2020/05/Cleveland-Browns-Logo-2006-2014.png"),IF(AK2="PIT",IMAGE("https://1000logos.net/wp-content/uploads/2017/06/Pittsburgh-Steelers-Logo.png"),IF(AK2="CIN",IMAGE("https://logos-world.net/wp-content/uploads/2020/05/Cincinnati-Bengals-Logo.png"),IF(AK2="HOU",IMAGE("https://cdn.wallpapersafari.com/15/25/Jnl2Yc.png"),IF(AK2="JAX",IMAGE("https://1000logos.net/wp-content/uploads/2018/07/Jacksonville-Jaguars-Logo-1536x960.png"),IF(AK2="IND",IMAGE("https://1000logos.net/wp-content/uploads/2016/12/Indianapolis-Colts-Logo-2048x1280.png"),IF(AK2="TEN",IMAGE("https://img-s-msn-com.akamaized.net/tenant/amp/entityid/AA1YwbtK.img?w=720&amp;h=720&amp;m=6"),IF(AK2="SF",IMAGE("https://logodownload.org/wp-content/uploads/2020/09/san-francisco-49ers-logo-2048x1220.png"),IF(AK2="LAR",IMAGE("https://1000logos.net/wp-content/uploads/2018/07/Rams-Logo.png"),IF(AK2="SEA",IMAGE("https://cdn.freebiesupply.com/images/large/2x/seattle-seahawks-logo-transparent.png"),IF(AK2="AZ",IMAGE("https://logos-world.net/wp-content/uploads/2020/05/Arizona-Cardinals-Logo.png"),IF(AK2="DAL",IMAGE("https://www.freepnglogos.com/uploads/dallas-cowboys-logo-22.png"),IF(AK2="PHI",IMAGE("https://1000logos.net/wp-content/uploads/2017/05/Philadelphia-Eagles-Logo.png"),IF(AK2="NYG",IMAGE("https://logosmarcas.net/wp-content/uploads/2020/07/New-York-Giants-Logo.png"),IF(AK2="WSH",IMAGE("https://logodownload.org/wp-content/uploads/2020/09/washington-commanders-logo.png"),IF(AK2="DET",IMAGE("https://logos-world.net/wp-content/uploads/2020/05/Detroit-Lions-Logo-2017-Present.png"),IF(AK2="GB",IMAGE("https://logodownload.org/wp-content/uploads/2020/07/green-bay-packers-logo-1.png"),IF(AK2="MIN",IMAGE("https://1000logos.net/wp-content/uploads/2017/06/Minnesota-Vikings-Logo-1965.png"),IF(AK2="CHI",IMAGE("https://logos-world.net/wp-content/uploads/2020/05/Chicago-Bears-logo.png"),IF(AK2="TB",IMAGE("https://logodownload.org/wp-content/uploads/2020/09/tampa-bay-buccaneers-logo.png"),IF(AK2="NO",IMAGE("https://1000logos.net/wp-content/uploads/2017/04/New-Orleans-Saints-Logo.png"),IF(AK2="ATL",IMAGE("https://logodownload.org/wp-content/uploads/2020/07/atlanta-falcons-logo-0.png"),IF(AK2="CAR",IMAGE("https://logos-download.com/wp-content/uploads/2018/02/Carolina_Panthers_logo_blue.png"),""))))))))))))))))))))))))))))))))</f>
        <v/>
      </c>
      <c r="AM2" s="19">
        <v>31.0</v>
      </c>
      <c r="AN2" s="19">
        <v>24.0</v>
      </c>
      <c r="AO2" s="20" t="b">
        <v>0</v>
      </c>
      <c r="AP2" s="27" t="s">
        <v>93</v>
      </c>
      <c r="AQ2" s="11" t="str">
        <f t="shared" ref="AQ2:AQ17" si="8">IF(AP2="KC",IMAGE("https://logodownload.org/wp-content/uploads/2020/09/kansas-city-chiefs-logo.png"),IF(AP2="LV",IMAGE("https://logodownload.org/wp-content/uploads/2020/09/las-vegas-raiders-logo-1-564x599.png"),IF(AP2="DEN",IMAGE("https://logodownload.org/wp-content/uploads/2020/07/denver-broncos-logo-0.png"),IF(AP2="LAC",IMAGE("https://logosmarcas.net/wp-content/uploads/2020/07/Los-Angeles-Chargers-logo.png"),IF(AP2="BUF",IMAGE("https://logos-download.com/wp-content/uploads/2018/03/Buffalo_Bills_logo_blue.png"),IF(AP2="MIA",IMAGE("https://logos-world.net/wp-content/uploads/2020/05/Miami-Dolphins-Logo.png"),IF(AP2="NYJ",IMAGE("https://logos-world.net/wp-content/uploads/2020/07/New-York-Jets-Logo.png"),IF(AP2="NE",IMAGE("https://purepng.com/public/uploads/large/new-england-patriots-logo-symbol-ucp.png"),IF(AP2="BAL",IMAGE("https://1000logos.net/wp-content/uploads/2016/10/Baltimore-Ravens-Logo.png"),IF(AP2="CLE",IMAGE("https://logos-world.net/wp-content/uploads/2020/05/Cleveland-Browns-Logo-2006-2014.png"),IF(AP2="PIT",IMAGE("https://1000logos.net/wp-content/uploads/2017/06/Pittsburgh-Steelers-Logo.png"),IF(AP2="CIN",IMAGE("https://logos-world.net/wp-content/uploads/2020/05/Cincinnati-Bengals-Logo.png"),IF(AP2="HOU",IMAGE("https://cdn.wallpapersafari.com/15/25/Jnl2Yc.png"),IF(AP2="JAX",IMAGE("https://1000logos.net/wp-content/uploads/2018/07/Jacksonville-Jaguars-Logo-1536x960.png"),IF(AP2="IND",IMAGE("https://1000logos.net/wp-content/uploads/2016/12/Indianapolis-Colts-Logo-2048x1280.png"),IF(AP2="TEN",IMAGE("https://img-s-msn-com.akamaized.net/tenant/amp/entityid/AA1YwbtK.img?w=720&amp;h=720&amp;m=6"),IF(AP2="SF",IMAGE("https://logodownload.org/wp-content/uploads/2020/09/san-francisco-49ers-logo-2048x1220.png"),IF(AP2="LAR",IMAGE("https://1000logos.net/wp-content/uploads/2018/07/Rams-Logo.png"),IF(AP2="SEA",IMAGE("https://cdn.freebiesupply.com/images/large/2x/seattle-seahawks-logo-transparent.png"),IF(AP2="AZ",IMAGE("https://logos-world.net/wp-content/uploads/2020/05/Arizona-Cardinals-Logo.png"),IF(AP2="DAL",IMAGE("https://www.freepnglogos.com/uploads/dallas-cowboys-logo-22.png"),IF(AP2="PHI",IMAGE("https://1000logos.net/wp-content/uploads/2017/05/Philadelphia-Eagles-Logo.png"),IF(AP2="NYG",IMAGE("https://logosmarcas.net/wp-content/uploads/2020/07/New-York-Giants-Logo.png"),IF(AP2="WSH",IMAGE("https://logodownload.org/wp-content/uploads/2020/09/washington-commanders-logo.png"),IF(AP2="DET",IMAGE("https://logos-world.net/wp-content/uploads/2020/05/Detroit-Lions-Logo-2017-Present.png"),IF(AP2="GB",IMAGE("https://logodownload.org/wp-content/uploads/2020/07/green-bay-packers-logo-1.png"),IF(AP2="MIN",IMAGE("https://1000logos.net/wp-content/uploads/2017/06/Minnesota-Vikings-Logo-1965.png"),IF(AP2="CHI",IMAGE("https://logos-world.net/wp-content/uploads/2020/05/Chicago-Bears-logo.png"),IF(AP2="TB",IMAGE("https://logodownload.org/wp-content/uploads/2020/09/tampa-bay-buccaneers-logo.png"),IF(AP2="NO",IMAGE("https://1000logos.net/wp-content/uploads/2017/04/New-Orleans-Saints-Logo.png"),IF(AP2="ATL",IMAGE("https://logodownload.org/wp-content/uploads/2020/07/atlanta-falcons-logo-0.png"),IF(AP2="CAR",IMAGE("https://logos-download.com/wp-content/uploads/2018/02/Carolina_Panthers_logo_blue.png"),""))))))))))))))))))))))))))))))))</f>
        <v/>
      </c>
      <c r="AR2" s="19">
        <v>17.0</v>
      </c>
      <c r="AS2" s="19">
        <v>23.0</v>
      </c>
      <c r="AT2" s="20" t="b">
        <v>0</v>
      </c>
      <c r="AU2" s="27" t="s">
        <v>93</v>
      </c>
      <c r="AV2" s="11" t="str">
        <f t="shared" ref="AV2:AV17" si="9">IF(AU2="KC",IMAGE("https://logodownload.org/wp-content/uploads/2020/09/kansas-city-chiefs-logo.png"),IF(AU2="LV",IMAGE("https://logodownload.org/wp-content/uploads/2020/09/las-vegas-raiders-logo-1-564x599.png"),IF(AU2="DEN",IMAGE("https://logodownload.org/wp-content/uploads/2020/07/denver-broncos-logo-0.png"),IF(AU2="LAC",IMAGE("https://logosmarcas.net/wp-content/uploads/2020/07/Los-Angeles-Chargers-logo.png"),IF(AU2="BUF",IMAGE("https://logos-download.com/wp-content/uploads/2018/03/Buffalo_Bills_logo_blue.png"),IF(AU2="MIA",IMAGE("https://logos-world.net/wp-content/uploads/2020/05/Miami-Dolphins-Logo.png"),IF(AU2="NYJ",IMAGE("https://logos-world.net/wp-content/uploads/2020/07/New-York-Jets-Logo.png"),IF(AU2="NE",IMAGE("https://purepng.com/public/uploads/large/new-england-patriots-logo-symbol-ucp.png"),IF(AU2="BAL",IMAGE("https://1000logos.net/wp-content/uploads/2016/10/Baltimore-Ravens-Logo.png"),IF(AU2="CLE",IMAGE("https://logos-world.net/wp-content/uploads/2020/05/Cleveland-Browns-Logo-2006-2014.png"),IF(AU2="PIT",IMAGE("https://1000logos.net/wp-content/uploads/2017/06/Pittsburgh-Steelers-Logo.png"),IF(AU2="CIN",IMAGE("https://logos-world.net/wp-content/uploads/2020/05/Cincinnati-Bengals-Logo.png"),IF(AU2="HOU",IMAGE("https://cdn.wallpapersafari.com/15/25/Jnl2Yc.png"),IF(AU2="JAX",IMAGE("https://1000logos.net/wp-content/uploads/2018/07/Jacksonville-Jaguars-Logo-1536x960.png"),IF(AU2="IND",IMAGE("https://1000logos.net/wp-content/uploads/2016/12/Indianapolis-Colts-Logo-2048x1280.png"),IF(AU2="TEN",IMAGE("https://img-s-msn-com.akamaized.net/tenant/amp/entityid/AA1YwbtK.img?w=720&amp;h=720&amp;m=6"),IF(AU2="SF",IMAGE("https://logodownload.org/wp-content/uploads/2020/09/san-francisco-49ers-logo-2048x1220.png"),IF(AU2="LAR",IMAGE("https://1000logos.net/wp-content/uploads/2018/07/Rams-Logo.png"),IF(AU2="SEA",IMAGE("https://cdn.freebiesupply.com/images/large/2x/seattle-seahawks-logo-transparent.png"),IF(AU2="AZ",IMAGE("https://logos-world.net/wp-content/uploads/2020/05/Arizona-Cardinals-Logo.png"),IF(AU2="DAL",IMAGE("https://www.freepnglogos.com/uploads/dallas-cowboys-logo-22.png"),IF(AU2="PHI",IMAGE("https://1000logos.net/wp-content/uploads/2017/05/Philadelphia-Eagles-Logo.png"),IF(AU2="NYG",IMAGE("https://logosmarcas.net/wp-content/uploads/2020/07/New-York-Giants-Logo.png"),IF(AU2="WSH",IMAGE("https://logodownload.org/wp-content/uploads/2020/09/washington-commanders-logo.png"),IF(AU2="DET",IMAGE("https://logos-world.net/wp-content/uploads/2020/05/Detroit-Lions-Logo-2017-Present.png"),IF(AU2="GB",IMAGE("https://logodownload.org/wp-content/uploads/2020/07/green-bay-packers-logo-1.png"),IF(AU2="MIN",IMAGE("https://1000logos.net/wp-content/uploads/2017/06/Minnesota-Vikings-Logo-1965.png"),IF(AU2="CHI",IMAGE("https://logos-world.net/wp-content/uploads/2020/05/Chicago-Bears-logo.png"),IF(AU2="TB",IMAGE("https://logodownload.org/wp-content/uploads/2020/09/tampa-bay-buccaneers-logo.png"),IF(AU2="NO",IMAGE("https://1000logos.net/wp-content/uploads/2017/04/New-Orleans-Saints-Logo.png"),IF(AU2="ATL",IMAGE("https://logodownload.org/wp-content/uploads/2020/07/atlanta-falcons-logo-0.png"),IF(AU2="CAR",IMAGE("https://logos-download.com/wp-content/uploads/2018/02/Carolina_Panthers_logo_blue.png"),""))))))))))))))))))))))))))))))))</f>
        <v/>
      </c>
      <c r="AW2" s="19">
        <v>24.0</v>
      </c>
      <c r="AX2" s="19">
        <v>31.0</v>
      </c>
      <c r="AY2" s="20" t="b">
        <v>0</v>
      </c>
      <c r="AZ2" s="27" t="s">
        <v>40</v>
      </c>
      <c r="BA2" s="11" t="str">
        <f t="shared" ref="BA2:BA17" si="10">IF(AZ2="KC",IMAGE("https://logodownload.org/wp-content/uploads/2020/09/kansas-city-chiefs-logo.png"),IF(AZ2="LV",IMAGE("https://logodownload.org/wp-content/uploads/2020/09/las-vegas-raiders-logo-1-564x599.png"),IF(AZ2="DEN",IMAGE("https://logodownload.org/wp-content/uploads/2020/07/denver-broncos-logo-0.png"),IF(AZ2="LAC",IMAGE("https://logosmarcas.net/wp-content/uploads/2020/07/Los-Angeles-Chargers-logo.png"),IF(AZ2="BUF",IMAGE("https://logos-download.com/wp-content/uploads/2018/03/Buffalo_Bills_logo_blue.png"),IF(AZ2="MIA",IMAGE("https://logos-world.net/wp-content/uploads/2020/05/Miami-Dolphins-Logo.png"),IF(AZ2="NYJ",IMAGE("https://logos-world.net/wp-content/uploads/2020/07/New-York-Jets-Logo.png"),IF(AZ2="NE",IMAGE("https://purepng.com/public/uploads/large/new-england-patriots-logo-symbol-ucp.png"),IF(AZ2="BAL",IMAGE("https://1000logos.net/wp-content/uploads/2016/10/Baltimore-Ravens-Logo.png"),IF(AZ2="CLE",IMAGE("https://logos-world.net/wp-content/uploads/2020/05/Cleveland-Browns-Logo-2006-2014.png"),IF(AZ2="PIT",IMAGE("https://1000logos.net/wp-content/uploads/2017/06/Pittsburgh-Steelers-Logo.png"),IF(AZ2="CIN",IMAGE("https://logos-world.net/wp-content/uploads/2020/05/Cincinnati-Bengals-Logo.png"),IF(AZ2="HOU",IMAGE("https://cdn.wallpapersafari.com/15/25/Jnl2Yc.png"),IF(AZ2="JAX",IMAGE("https://1000logos.net/wp-content/uploads/2018/07/Jacksonville-Jaguars-Logo-1536x960.png"),IF(AZ2="IND",IMAGE("https://1000logos.net/wp-content/uploads/2016/12/Indianapolis-Colts-Logo-2048x1280.png"),IF(AZ2="TEN",IMAGE("https://img-s-msn-com.akamaized.net/tenant/amp/entityid/AA1YwbtK.img?w=720&amp;h=720&amp;m=6"),IF(AZ2="SF",IMAGE("https://logodownload.org/wp-content/uploads/2020/09/san-francisco-49ers-logo-2048x1220.png"),IF(AZ2="LAR",IMAGE("https://1000logos.net/wp-content/uploads/2018/07/Rams-Logo.png"),IF(AZ2="SEA",IMAGE("https://cdn.freebiesupply.com/images/large/2x/seattle-seahawks-logo-transparent.png"),IF(AZ2="AZ",IMAGE("https://logos-world.net/wp-content/uploads/2020/05/Arizona-Cardinals-Logo.png"),IF(AZ2="DAL",IMAGE("https://www.freepnglogos.com/uploads/dallas-cowboys-logo-22.png"),IF(AZ2="PHI",IMAGE("https://1000logos.net/wp-content/uploads/2017/05/Philadelphia-Eagles-Logo.png"),IF(AZ2="NYG",IMAGE("https://logosmarcas.net/wp-content/uploads/2020/07/New-York-Giants-Logo.png"),IF(AZ2="WSH",IMAGE("https://logodownload.org/wp-content/uploads/2020/09/washington-commanders-logo.png"),IF(AZ2="DET",IMAGE("https://logos-world.net/wp-content/uploads/2020/05/Detroit-Lions-Logo-2017-Present.png"),IF(AZ2="GB",IMAGE("https://logodownload.org/wp-content/uploads/2020/07/green-bay-packers-logo-1.png"),IF(AZ2="MIN",IMAGE("https://1000logos.net/wp-content/uploads/2017/06/Minnesota-Vikings-Logo-1965.png"),IF(AZ2="CHI",IMAGE("https://logos-world.net/wp-content/uploads/2020/05/Chicago-Bears-logo.png"),IF(AZ2="TB",IMAGE("https://logodownload.org/wp-content/uploads/2020/09/tampa-bay-buccaneers-logo.png"),IF(AZ2="NO",IMAGE("https://1000logos.net/wp-content/uploads/2017/04/New-Orleans-Saints-Logo.png"),IF(AZ2="ATL",IMAGE("https://logodownload.org/wp-content/uploads/2020/07/atlanta-falcons-logo-0.png"),IF(AZ2="CAR",IMAGE("https://logos-download.com/wp-content/uploads/2018/02/Carolina_Panthers_logo_blue.png"),""))))))))))))))))))))))))))))))))</f>
        <v/>
      </c>
      <c r="BB2" s="19">
        <v>23.0</v>
      </c>
      <c r="BC2" s="19">
        <v>20.0</v>
      </c>
      <c r="BD2" s="20" t="b">
        <v>0</v>
      </c>
      <c r="BE2" s="27" t="s">
        <v>93</v>
      </c>
      <c r="BF2" s="11" t="str">
        <f t="shared" ref="BF2:BF17" si="11">IF(BE2="KC",IMAGE("https://logodownload.org/wp-content/uploads/2020/09/kansas-city-chiefs-logo.png"),IF(BE2="LV",IMAGE("https://logodownload.org/wp-content/uploads/2020/09/las-vegas-raiders-logo-1-564x599.png"),IF(BE2="DEN",IMAGE("https://logodownload.org/wp-content/uploads/2020/07/denver-broncos-logo-0.png"),IF(BE2="LAC",IMAGE("https://logosmarcas.net/wp-content/uploads/2020/07/Los-Angeles-Chargers-logo.png"),IF(BE2="BUF",IMAGE("https://logos-download.com/wp-content/uploads/2018/03/Buffalo_Bills_logo_blue.png"),IF(BE2="MIA",IMAGE("https://logos-world.net/wp-content/uploads/2020/05/Miami-Dolphins-Logo.png"),IF(BE2="NYJ",IMAGE("https://logos-world.net/wp-content/uploads/2020/07/New-York-Jets-Logo.png"),IF(BE2="NE",IMAGE("https://purepng.com/public/uploads/large/new-england-patriots-logo-symbol-ucp.png"),IF(BE2="BAL",IMAGE("https://1000logos.net/wp-content/uploads/2016/10/Baltimore-Ravens-Logo.png"),IF(BE2="CLE",IMAGE("https://logos-world.net/wp-content/uploads/2020/05/Cleveland-Browns-Logo-2006-2014.png"),IF(BE2="PIT",IMAGE("https://1000logos.net/wp-content/uploads/2017/06/Pittsburgh-Steelers-Logo.png"),IF(BE2="CIN",IMAGE("https://logos-world.net/wp-content/uploads/2020/05/Cincinnati-Bengals-Logo.png"),IF(BE2="HOU",IMAGE("https://cdn.wallpapersafari.com/15/25/Jnl2Yc.png"),IF(BE2="JAX",IMAGE("https://1000logos.net/wp-content/uploads/2018/07/Jacksonville-Jaguars-Logo-1536x960.png"),IF(BE2="IND",IMAGE("https://1000logos.net/wp-content/uploads/2016/12/Indianapolis-Colts-Logo-2048x1280.png"),IF(BE2="TEN",IMAGE("https://img-s-msn-com.akamaized.net/tenant/amp/entityid/AA1YwbtK.img?w=720&amp;h=720&amp;m=6"),IF(BE2="SF",IMAGE("https://logodownload.org/wp-content/uploads/2020/09/san-francisco-49ers-logo-2048x1220.png"),IF(BE2="LAR",IMAGE("https://1000logos.net/wp-content/uploads/2018/07/Rams-Logo.png"),IF(BE2="SEA",IMAGE("https://cdn.freebiesupply.com/images/large/2x/seattle-seahawks-logo-transparent.png"),IF(BE2="AZ",IMAGE("https://logos-world.net/wp-content/uploads/2020/05/Arizona-Cardinals-Logo.png"),IF(BE2="DAL",IMAGE("https://www.freepnglogos.com/uploads/dallas-cowboys-logo-22.png"),IF(BE2="PHI",IMAGE("https://1000logos.net/wp-content/uploads/2017/05/Philadelphia-Eagles-Logo.png"),IF(BE2="NYG",IMAGE("https://logosmarcas.net/wp-content/uploads/2020/07/New-York-Giants-Logo.png"),IF(BE2="WSH",IMAGE("https://logodownload.org/wp-content/uploads/2020/09/washington-commanders-logo.png"),IF(BE2="DET",IMAGE("https://logos-world.net/wp-content/uploads/2020/05/Detroit-Lions-Logo-2017-Present.png"),IF(BE2="GB",IMAGE("https://logodownload.org/wp-content/uploads/2020/07/green-bay-packers-logo-1.png"),IF(BE2="MIN",IMAGE("https://1000logos.net/wp-content/uploads/2017/06/Minnesota-Vikings-Logo-1965.png"),IF(BE2="CHI",IMAGE("https://logos-world.net/wp-content/uploads/2020/05/Chicago-Bears-logo.png"),IF(BE2="TB",IMAGE("https://logodownload.org/wp-content/uploads/2020/09/tampa-bay-buccaneers-logo.png"),IF(BE2="NO",IMAGE("https://1000logos.net/wp-content/uploads/2017/04/New-Orleans-Saints-Logo.png"),IF(BE2="ATL",IMAGE("https://logodownload.org/wp-content/uploads/2020/07/atlanta-falcons-logo-0.png"),IF(BE2="CAR",IMAGE("https://logos-download.com/wp-content/uploads/2018/02/Carolina_Panthers_logo_blue.png"),""))))))))))))))))))))))))))))))))</f>
        <v/>
      </c>
      <c r="BG2" s="19">
        <v>24.0</v>
      </c>
      <c r="BH2" s="19">
        <v>27.0</v>
      </c>
      <c r="BI2" s="20" t="b">
        <v>0</v>
      </c>
      <c r="BJ2" s="27" t="s">
        <v>93</v>
      </c>
      <c r="BK2" s="11" t="str">
        <f t="shared" ref="BK2:BK17" si="12">IF(BJ2="KC",IMAGE("https://logodownload.org/wp-content/uploads/2020/09/kansas-city-chiefs-logo.png"),IF(BJ2="LV",IMAGE("https://logodownload.org/wp-content/uploads/2020/09/las-vegas-raiders-logo-1-564x599.png"),IF(BJ2="DEN",IMAGE("https://logodownload.org/wp-content/uploads/2020/07/denver-broncos-logo-0.png"),IF(BJ2="LAC",IMAGE("https://logosmarcas.net/wp-content/uploads/2020/07/Los-Angeles-Chargers-logo.png"),IF(BJ2="BUF",IMAGE("https://logos-download.com/wp-content/uploads/2018/03/Buffalo_Bills_logo_blue.png"),IF(BJ2="MIA",IMAGE("https://logos-world.net/wp-content/uploads/2020/05/Miami-Dolphins-Logo.png"),IF(BJ2="NYJ",IMAGE("https://logos-world.net/wp-content/uploads/2020/07/New-York-Jets-Logo.png"),IF(BJ2="NE",IMAGE("https://purepng.com/public/uploads/large/new-england-patriots-logo-symbol-ucp.png"),IF(BJ2="BAL",IMAGE("https://1000logos.net/wp-content/uploads/2016/10/Baltimore-Ravens-Logo.png"),IF(BJ2="CLE",IMAGE("https://logos-world.net/wp-content/uploads/2020/05/Cleveland-Browns-Logo-2006-2014.png"),IF(BJ2="PIT",IMAGE("https://1000logos.net/wp-content/uploads/2017/06/Pittsburgh-Steelers-Logo.png"),IF(BJ2="CIN",IMAGE("https://logos-world.net/wp-content/uploads/2020/05/Cincinnati-Bengals-Logo.png"),IF(BJ2="HOU",IMAGE("https://cdn.wallpapersafari.com/15/25/Jnl2Yc.png"),IF(BJ2="JAX",IMAGE("https://1000logos.net/wp-content/uploads/2018/07/Jacksonville-Jaguars-Logo-1536x960.png"),IF(BJ2="IND",IMAGE("https://1000logos.net/wp-content/uploads/2016/12/Indianapolis-Colts-Logo-2048x1280.png"),IF(BJ2="TEN",IMAGE("https://img-s-msn-com.akamaized.net/tenant/amp/entityid/AA1YwbtK.img?w=720&amp;h=720&amp;m=6"),IF(BJ2="SF",IMAGE("https://logodownload.org/wp-content/uploads/2020/09/san-francisco-49ers-logo-2048x1220.png"),IF(BJ2="LAR",IMAGE("https://1000logos.net/wp-content/uploads/2018/07/Rams-Logo.png"),IF(BJ2="SEA",IMAGE("https://cdn.freebiesupply.com/images/large/2x/seattle-seahawks-logo-transparent.png"),IF(BJ2="AZ",IMAGE("https://logos-world.net/wp-content/uploads/2020/05/Arizona-Cardinals-Logo.png"),IF(BJ2="DAL",IMAGE("https://www.freepnglogos.com/uploads/dallas-cowboys-logo-22.png"),IF(BJ2="PHI",IMAGE("https://1000logos.net/wp-content/uploads/2017/05/Philadelphia-Eagles-Logo.png"),IF(BJ2="NYG",IMAGE("https://logosmarcas.net/wp-content/uploads/2020/07/New-York-Giants-Logo.png"),IF(BJ2="WSH",IMAGE("https://logodownload.org/wp-content/uploads/2020/09/washington-commanders-logo.png"),IF(BJ2="DET",IMAGE("https://logos-world.net/wp-content/uploads/2020/05/Detroit-Lions-Logo-2017-Present.png"),IF(BJ2="GB",IMAGE("https://logodownload.org/wp-content/uploads/2020/07/green-bay-packers-logo-1.png"),IF(BJ2="MIN",IMAGE("https://1000logos.net/wp-content/uploads/2017/06/Minnesota-Vikings-Logo-1965.png"),IF(BJ2="CHI",IMAGE("https://logos-world.net/wp-content/uploads/2020/05/Chicago-Bears-logo.png"),IF(BJ2="TB",IMAGE("https://logodownload.org/wp-content/uploads/2020/09/tampa-bay-buccaneers-logo.png"),IF(BJ2="NO",IMAGE("https://1000logos.net/wp-content/uploads/2017/04/New-Orleans-Saints-Logo.png"),IF(BJ2="ATL",IMAGE("https://logodownload.org/wp-content/uploads/2020/07/atlanta-falcons-logo-0.png"),IF(BJ2="CAR",IMAGE("https://logos-download.com/wp-content/uploads/2018/02/Carolina_Panthers_logo_blue.png"),""))))))))))))))))))))))))))))))))</f>
        <v/>
      </c>
      <c r="BL2" s="19">
        <v>17.0</v>
      </c>
      <c r="BM2" s="19">
        <v>20.0</v>
      </c>
      <c r="BN2" s="20" t="b">
        <v>0</v>
      </c>
      <c r="BO2" s="19"/>
      <c r="BP2" s="19"/>
      <c r="BQ2" s="19"/>
    </row>
    <row r="3">
      <c r="A3" s="16" t="s">
        <v>425</v>
      </c>
      <c r="B3" s="30" t="s">
        <v>448</v>
      </c>
      <c r="C3" s="18"/>
      <c r="D3" s="11" t="str">
        <f>IFERROR(__xludf.DUMMYFUNCTION("""COMPUTED_VALUE"""),"")</f>
        <v/>
      </c>
      <c r="E3" s="17"/>
      <c r="F3" s="31"/>
      <c r="G3" s="19" t="s">
        <v>29</v>
      </c>
      <c r="H3" s="11" t="str">
        <f t="shared" si="1"/>
        <v/>
      </c>
      <c r="I3" s="19">
        <v>24.0</v>
      </c>
      <c r="J3" s="19">
        <v>21.0</v>
      </c>
      <c r="K3" s="20" t="b">
        <v>0</v>
      </c>
      <c r="L3" s="19" t="s">
        <v>29</v>
      </c>
      <c r="M3" s="11" t="str">
        <f t="shared" si="2"/>
        <v/>
      </c>
      <c r="N3" s="19">
        <v>23.0</v>
      </c>
      <c r="O3" s="19">
        <v>20.0</v>
      </c>
      <c r="P3" s="19" t="b">
        <v>0</v>
      </c>
      <c r="Q3" s="27" t="s">
        <v>41</v>
      </c>
      <c r="R3" s="11" t="str">
        <f t="shared" si="3"/>
        <v/>
      </c>
      <c r="S3" s="19">
        <v>21.0</v>
      </c>
      <c r="T3" s="19">
        <v>28.0</v>
      </c>
      <c r="U3" s="20" t="b">
        <v>0</v>
      </c>
      <c r="V3" s="19" t="s">
        <v>29</v>
      </c>
      <c r="W3" s="11" t="str">
        <f t="shared" si="4"/>
        <v/>
      </c>
      <c r="X3" s="19">
        <v>23.0</v>
      </c>
      <c r="Y3" s="19">
        <v>21.0</v>
      </c>
      <c r="Z3" s="20" t="b">
        <v>0</v>
      </c>
      <c r="AA3" s="27" t="s">
        <v>41</v>
      </c>
      <c r="AB3" s="11" t="str">
        <f t="shared" si="5"/>
        <v/>
      </c>
      <c r="AC3" s="19">
        <v>17.0</v>
      </c>
      <c r="AD3" s="19">
        <v>24.0</v>
      </c>
      <c r="AE3" s="19" t="b">
        <v>0</v>
      </c>
      <c r="AF3" s="27" t="s">
        <v>41</v>
      </c>
      <c r="AG3" s="11" t="str">
        <f t="shared" si="6"/>
        <v/>
      </c>
      <c r="AH3" s="19">
        <v>10.0</v>
      </c>
      <c r="AI3" s="19">
        <v>17.0</v>
      </c>
      <c r="AJ3" s="20" t="b">
        <v>0</v>
      </c>
      <c r="AK3" s="19" t="s">
        <v>29</v>
      </c>
      <c r="AL3" s="11" t="str">
        <f t="shared" si="7"/>
        <v/>
      </c>
      <c r="AM3" s="19">
        <v>24.0</v>
      </c>
      <c r="AN3" s="19">
        <v>21.0</v>
      </c>
      <c r="AO3" s="20" t="b">
        <v>0</v>
      </c>
      <c r="AP3" s="27" t="s">
        <v>41</v>
      </c>
      <c r="AQ3" s="11" t="str">
        <f t="shared" si="8"/>
        <v/>
      </c>
      <c r="AR3" s="19">
        <v>21.0</v>
      </c>
      <c r="AS3" s="19">
        <v>23.0</v>
      </c>
      <c r="AT3" s="20" t="b">
        <v>0</v>
      </c>
      <c r="AU3" s="27" t="s">
        <v>41</v>
      </c>
      <c r="AV3" s="11" t="str">
        <f t="shared" si="9"/>
        <v/>
      </c>
      <c r="AW3" s="19">
        <v>21.0</v>
      </c>
      <c r="AX3" s="19">
        <v>28.0</v>
      </c>
      <c r="AY3" s="20" t="b">
        <v>0</v>
      </c>
      <c r="AZ3" s="27" t="s">
        <v>41</v>
      </c>
      <c r="BA3" s="11" t="str">
        <f t="shared" si="10"/>
        <v/>
      </c>
      <c r="BB3" s="19">
        <v>20.0</v>
      </c>
      <c r="BC3" s="19">
        <v>23.0</v>
      </c>
      <c r="BD3" s="20" t="b">
        <v>0</v>
      </c>
      <c r="BE3" s="27" t="s">
        <v>41</v>
      </c>
      <c r="BF3" s="11" t="str">
        <f t="shared" si="11"/>
        <v/>
      </c>
      <c r="BG3" s="19">
        <v>21.0</v>
      </c>
      <c r="BH3" s="19">
        <v>24.0</v>
      </c>
      <c r="BI3" s="20" t="b">
        <v>0</v>
      </c>
      <c r="BJ3" s="27" t="s">
        <v>29</v>
      </c>
      <c r="BK3" s="11" t="str">
        <f t="shared" si="12"/>
        <v/>
      </c>
      <c r="BL3" s="19">
        <v>28.0</v>
      </c>
      <c r="BM3" s="19">
        <v>21.0</v>
      </c>
      <c r="BN3" s="20" t="b">
        <v>0</v>
      </c>
      <c r="BO3" s="17"/>
      <c r="BP3" s="17"/>
      <c r="BQ3" s="17"/>
    </row>
    <row r="4">
      <c r="A4" s="16" t="s">
        <v>425</v>
      </c>
      <c r="B4" s="30" t="s">
        <v>449</v>
      </c>
      <c r="C4" s="18"/>
      <c r="D4" s="11" t="str">
        <f>IFERROR(__xludf.DUMMYFUNCTION("""COMPUTED_VALUE"""),"")</f>
        <v/>
      </c>
      <c r="E4" s="19"/>
      <c r="F4" s="20"/>
      <c r="G4" s="19" t="s">
        <v>61</v>
      </c>
      <c r="H4" s="11" t="str">
        <f t="shared" si="1"/>
        <v/>
      </c>
      <c r="I4" s="19">
        <v>10.0</v>
      </c>
      <c r="J4" s="19">
        <v>14.0</v>
      </c>
      <c r="K4" s="20" t="b">
        <v>0</v>
      </c>
      <c r="L4" s="19" t="s">
        <v>61</v>
      </c>
      <c r="M4" s="11" t="str">
        <f t="shared" si="2"/>
        <v/>
      </c>
      <c r="N4" s="19">
        <v>21.0</v>
      </c>
      <c r="O4" s="19">
        <v>28.0</v>
      </c>
      <c r="P4" s="19" t="b">
        <v>0</v>
      </c>
      <c r="Q4" s="27" t="s">
        <v>61</v>
      </c>
      <c r="R4" s="11" t="str">
        <f t="shared" si="3"/>
        <v/>
      </c>
      <c r="S4" s="19">
        <v>14.0</v>
      </c>
      <c r="T4" s="19">
        <v>17.0</v>
      </c>
      <c r="U4" s="20" t="b">
        <v>0</v>
      </c>
      <c r="V4" s="19" t="s">
        <v>61</v>
      </c>
      <c r="W4" s="11" t="str">
        <f t="shared" si="4"/>
        <v/>
      </c>
      <c r="X4" s="19">
        <v>24.0</v>
      </c>
      <c r="Y4" s="19">
        <v>27.0</v>
      </c>
      <c r="Z4" s="20" t="b">
        <v>0</v>
      </c>
      <c r="AA4" s="27" t="s">
        <v>33</v>
      </c>
      <c r="AB4" s="11" t="str">
        <f t="shared" si="5"/>
        <v/>
      </c>
      <c r="AC4" s="19">
        <v>24.0</v>
      </c>
      <c r="AD4" s="19">
        <v>17.0</v>
      </c>
      <c r="AE4" s="19" t="b">
        <v>0</v>
      </c>
      <c r="AF4" s="27" t="s">
        <v>33</v>
      </c>
      <c r="AG4" s="11" t="str">
        <f t="shared" si="6"/>
        <v/>
      </c>
      <c r="AH4" s="19">
        <v>21.0</v>
      </c>
      <c r="AI4" s="19">
        <v>20.0</v>
      </c>
      <c r="AJ4" s="20" t="b">
        <v>1</v>
      </c>
      <c r="AK4" s="19" t="s">
        <v>61</v>
      </c>
      <c r="AL4" s="11" t="str">
        <f t="shared" si="7"/>
        <v/>
      </c>
      <c r="AM4" s="19">
        <v>17.0</v>
      </c>
      <c r="AN4" s="19">
        <v>21.0</v>
      </c>
      <c r="AO4" s="20" t="b">
        <v>0</v>
      </c>
      <c r="AP4" s="27" t="s">
        <v>61</v>
      </c>
      <c r="AQ4" s="11" t="str">
        <f t="shared" si="8"/>
        <v/>
      </c>
      <c r="AR4" s="19">
        <v>20.0</v>
      </c>
      <c r="AS4" s="19">
        <v>24.0</v>
      </c>
      <c r="AT4" s="20" t="b">
        <v>0</v>
      </c>
      <c r="AU4" s="27" t="s">
        <v>33</v>
      </c>
      <c r="AV4" s="11" t="str">
        <f t="shared" si="9"/>
        <v/>
      </c>
      <c r="AW4" s="19">
        <v>28.0</v>
      </c>
      <c r="AX4" s="19">
        <v>21.0</v>
      </c>
      <c r="AY4" s="20" t="b">
        <v>0</v>
      </c>
      <c r="AZ4" s="27" t="s">
        <v>61</v>
      </c>
      <c r="BA4" s="11" t="str">
        <f t="shared" si="10"/>
        <v/>
      </c>
      <c r="BB4" s="19">
        <v>20.0</v>
      </c>
      <c r="BC4" s="19">
        <v>23.0</v>
      </c>
      <c r="BD4" s="20" t="b">
        <v>0</v>
      </c>
      <c r="BE4" s="27" t="s">
        <v>61</v>
      </c>
      <c r="BF4" s="11" t="str">
        <f t="shared" si="11"/>
        <v/>
      </c>
      <c r="BG4" s="19">
        <v>14.0</v>
      </c>
      <c r="BH4" s="19">
        <v>17.0</v>
      </c>
      <c r="BI4" s="20" t="b">
        <v>0</v>
      </c>
      <c r="BJ4" s="27" t="s">
        <v>33</v>
      </c>
      <c r="BK4" s="11" t="str">
        <f t="shared" si="12"/>
        <v/>
      </c>
      <c r="BL4" s="19">
        <v>21.0</v>
      </c>
      <c r="BM4" s="19">
        <v>17.0</v>
      </c>
      <c r="BN4" s="20" t="b">
        <v>0</v>
      </c>
      <c r="BO4" s="17"/>
      <c r="BP4" s="17"/>
      <c r="BQ4" s="17"/>
    </row>
    <row r="5">
      <c r="A5" s="16" t="s">
        <v>425</v>
      </c>
      <c r="B5" s="30" t="s">
        <v>450</v>
      </c>
      <c r="C5" s="18"/>
      <c r="D5" s="11" t="str">
        <f>IFERROR(__xludf.DUMMYFUNCTION("""COMPUTED_VALUE"""),"")</f>
        <v/>
      </c>
      <c r="E5" s="19"/>
      <c r="F5" s="20"/>
      <c r="G5" s="19" t="s">
        <v>23</v>
      </c>
      <c r="H5" s="11" t="str">
        <f t="shared" si="1"/>
        <v/>
      </c>
      <c r="I5" s="19">
        <v>10.0</v>
      </c>
      <c r="J5" s="19">
        <v>14.0</v>
      </c>
      <c r="K5" s="20" t="b">
        <v>0</v>
      </c>
      <c r="L5" s="19" t="s">
        <v>23</v>
      </c>
      <c r="M5" s="11" t="str">
        <f t="shared" si="2"/>
        <v/>
      </c>
      <c r="N5" s="19">
        <v>24.0</v>
      </c>
      <c r="O5" s="19">
        <v>27.0</v>
      </c>
      <c r="P5" s="19" t="b">
        <v>1</v>
      </c>
      <c r="Q5" s="27" t="s">
        <v>23</v>
      </c>
      <c r="R5" s="11" t="str">
        <f t="shared" si="3"/>
        <v/>
      </c>
      <c r="S5" s="19">
        <v>17.0</v>
      </c>
      <c r="T5" s="19">
        <v>20.0</v>
      </c>
      <c r="U5" s="20" t="b">
        <v>0</v>
      </c>
      <c r="V5" s="19" t="s">
        <v>23</v>
      </c>
      <c r="W5" s="11" t="str">
        <f t="shared" si="4"/>
        <v/>
      </c>
      <c r="X5" s="19">
        <v>14.0</v>
      </c>
      <c r="Y5" s="19">
        <v>24.0</v>
      </c>
      <c r="Z5" s="20" t="b">
        <v>0</v>
      </c>
      <c r="AA5" s="27" t="s">
        <v>23</v>
      </c>
      <c r="AB5" s="11" t="str">
        <f t="shared" si="5"/>
        <v/>
      </c>
      <c r="AC5" s="19">
        <v>17.0</v>
      </c>
      <c r="AD5" s="19">
        <v>24.0</v>
      </c>
      <c r="AE5" s="19" t="b">
        <v>0</v>
      </c>
      <c r="AF5" s="27" t="s">
        <v>23</v>
      </c>
      <c r="AG5" s="11" t="str">
        <f t="shared" si="6"/>
        <v/>
      </c>
      <c r="AH5" s="19">
        <v>14.0</v>
      </c>
      <c r="AI5" s="19">
        <v>28.0</v>
      </c>
      <c r="AJ5" s="20" t="b">
        <v>0</v>
      </c>
      <c r="AK5" s="19" t="s">
        <v>23</v>
      </c>
      <c r="AL5" s="11" t="str">
        <f t="shared" si="7"/>
        <v/>
      </c>
      <c r="AM5" s="19">
        <v>14.0</v>
      </c>
      <c r="AN5" s="19">
        <v>17.0</v>
      </c>
      <c r="AO5" s="20" t="b">
        <v>0</v>
      </c>
      <c r="AP5" s="27" t="s">
        <v>23</v>
      </c>
      <c r="AQ5" s="11" t="str">
        <f t="shared" si="8"/>
        <v/>
      </c>
      <c r="AR5" s="19">
        <v>13.0</v>
      </c>
      <c r="AS5" s="19">
        <v>27.0</v>
      </c>
      <c r="AT5" s="20" t="b">
        <v>0</v>
      </c>
      <c r="AU5" s="27" t="s">
        <v>23</v>
      </c>
      <c r="AV5" s="11" t="str">
        <f t="shared" si="9"/>
        <v/>
      </c>
      <c r="AW5" s="19">
        <v>24.0</v>
      </c>
      <c r="AX5" s="19">
        <v>31.0</v>
      </c>
      <c r="AY5" s="20" t="b">
        <v>0</v>
      </c>
      <c r="AZ5" s="27" t="s">
        <v>23</v>
      </c>
      <c r="BA5" s="11" t="str">
        <f t="shared" si="10"/>
        <v/>
      </c>
      <c r="BB5" s="19">
        <v>20.0</v>
      </c>
      <c r="BC5" s="19">
        <v>23.0</v>
      </c>
      <c r="BD5" s="20" t="b">
        <v>1</v>
      </c>
      <c r="BE5" s="27" t="s">
        <v>23</v>
      </c>
      <c r="BF5" s="11" t="str">
        <f t="shared" si="11"/>
        <v/>
      </c>
      <c r="BG5" s="19">
        <v>17.0</v>
      </c>
      <c r="BH5" s="19">
        <v>21.0</v>
      </c>
      <c r="BI5" s="20" t="b">
        <v>0</v>
      </c>
      <c r="BJ5" s="27" t="s">
        <v>23</v>
      </c>
      <c r="BK5" s="11" t="str">
        <f t="shared" si="12"/>
        <v/>
      </c>
      <c r="BL5" s="19">
        <v>24.0</v>
      </c>
      <c r="BM5" s="19">
        <v>27.0</v>
      </c>
      <c r="BN5" s="20" t="b">
        <v>0</v>
      </c>
      <c r="BO5" s="17"/>
      <c r="BP5" s="17"/>
      <c r="BQ5" s="17"/>
    </row>
    <row r="6">
      <c r="A6" s="16" t="s">
        <v>425</v>
      </c>
      <c r="B6" s="30" t="s">
        <v>451</v>
      </c>
      <c r="C6" s="18"/>
      <c r="D6" s="11" t="str">
        <f>IFERROR(__xludf.DUMMYFUNCTION("""COMPUTED_VALUE"""),"")</f>
        <v/>
      </c>
      <c r="E6" s="19"/>
      <c r="F6" s="20"/>
      <c r="G6" s="19" t="s">
        <v>44</v>
      </c>
      <c r="H6" s="11" t="str">
        <f t="shared" si="1"/>
        <v/>
      </c>
      <c r="I6" s="19">
        <v>24.0</v>
      </c>
      <c r="J6" s="19">
        <v>21.0</v>
      </c>
      <c r="K6" s="20" t="b">
        <v>0</v>
      </c>
      <c r="L6" s="19" t="s">
        <v>51</v>
      </c>
      <c r="M6" s="11" t="str">
        <f t="shared" si="2"/>
        <v/>
      </c>
      <c r="N6" s="19">
        <v>20.0</v>
      </c>
      <c r="O6" s="19">
        <v>23.0</v>
      </c>
      <c r="P6" s="19" t="b">
        <v>0</v>
      </c>
      <c r="Q6" s="27" t="s">
        <v>44</v>
      </c>
      <c r="R6" s="11" t="str">
        <f t="shared" si="3"/>
        <v/>
      </c>
      <c r="S6" s="19">
        <v>24.0</v>
      </c>
      <c r="T6" s="19">
        <v>21.0</v>
      </c>
      <c r="U6" s="20" t="b">
        <v>0</v>
      </c>
      <c r="V6" s="19" t="s">
        <v>51</v>
      </c>
      <c r="W6" s="11" t="str">
        <f t="shared" si="4"/>
        <v/>
      </c>
      <c r="X6" s="19">
        <v>20.0</v>
      </c>
      <c r="Y6" s="19">
        <v>23.0</v>
      </c>
      <c r="Z6" s="20" t="b">
        <v>0</v>
      </c>
      <c r="AA6" s="27" t="s">
        <v>44</v>
      </c>
      <c r="AB6" s="11" t="str">
        <f t="shared" si="5"/>
        <v/>
      </c>
      <c r="AC6" s="19">
        <v>24.0</v>
      </c>
      <c r="AD6" s="19">
        <v>17.0</v>
      </c>
      <c r="AE6" s="19" t="b">
        <v>0</v>
      </c>
      <c r="AF6" s="27" t="s">
        <v>51</v>
      </c>
      <c r="AG6" s="11" t="str">
        <f t="shared" si="6"/>
        <v/>
      </c>
      <c r="AH6" s="19">
        <v>17.0</v>
      </c>
      <c r="AI6" s="19">
        <v>21.0</v>
      </c>
      <c r="AJ6" s="20" t="b">
        <v>0</v>
      </c>
      <c r="AK6" s="19" t="s">
        <v>44</v>
      </c>
      <c r="AL6" s="11" t="str">
        <f t="shared" si="7"/>
        <v/>
      </c>
      <c r="AM6" s="19">
        <v>31.0</v>
      </c>
      <c r="AN6" s="19">
        <v>24.0</v>
      </c>
      <c r="AO6" s="20" t="b">
        <v>0</v>
      </c>
      <c r="AP6" s="27" t="s">
        <v>51</v>
      </c>
      <c r="AQ6" s="11" t="str">
        <f t="shared" si="8"/>
        <v/>
      </c>
      <c r="AR6" s="19">
        <v>23.0</v>
      </c>
      <c r="AS6" s="19">
        <v>27.0</v>
      </c>
      <c r="AT6" s="20" t="b">
        <v>0</v>
      </c>
      <c r="AU6" s="27" t="s">
        <v>44</v>
      </c>
      <c r="AV6" s="11" t="str">
        <f t="shared" si="9"/>
        <v/>
      </c>
      <c r="AW6" s="19">
        <v>17.0</v>
      </c>
      <c r="AX6" s="19">
        <v>14.0</v>
      </c>
      <c r="AY6" s="20" t="b">
        <v>1</v>
      </c>
      <c r="AZ6" s="27" t="s">
        <v>44</v>
      </c>
      <c r="BA6" s="11" t="str">
        <f t="shared" si="10"/>
        <v/>
      </c>
      <c r="BB6" s="19">
        <v>23.0</v>
      </c>
      <c r="BC6" s="19">
        <v>20.0</v>
      </c>
      <c r="BD6" s="20" t="b">
        <v>0</v>
      </c>
      <c r="BE6" s="27" t="s">
        <v>44</v>
      </c>
      <c r="BF6" s="11" t="str">
        <f t="shared" si="11"/>
        <v/>
      </c>
      <c r="BG6" s="19">
        <v>23.0</v>
      </c>
      <c r="BH6" s="19">
        <v>20.0</v>
      </c>
      <c r="BI6" s="20" t="b">
        <v>1</v>
      </c>
      <c r="BJ6" s="27" t="s">
        <v>51</v>
      </c>
      <c r="BK6" s="11" t="str">
        <f t="shared" si="12"/>
        <v/>
      </c>
      <c r="BL6" s="19">
        <v>24.0</v>
      </c>
      <c r="BM6" s="19">
        <v>27.0</v>
      </c>
      <c r="BN6" s="20" t="b">
        <v>0</v>
      </c>
      <c r="BO6" s="17"/>
      <c r="BP6" s="17"/>
      <c r="BQ6" s="17"/>
    </row>
    <row r="7">
      <c r="A7" s="16" t="s">
        <v>425</v>
      </c>
      <c r="B7" s="30" t="s">
        <v>452</v>
      </c>
      <c r="C7" s="18"/>
      <c r="D7" s="11" t="str">
        <f>IFERROR(__xludf.DUMMYFUNCTION("""COMPUTED_VALUE"""),"")</f>
        <v/>
      </c>
      <c r="E7" s="19"/>
      <c r="F7" s="20"/>
      <c r="G7" s="19" t="s">
        <v>46</v>
      </c>
      <c r="H7" s="11" t="str">
        <f t="shared" si="1"/>
        <v/>
      </c>
      <c r="I7" s="19">
        <v>14.0</v>
      </c>
      <c r="J7" s="19">
        <v>17.0</v>
      </c>
      <c r="K7" s="20" t="b">
        <v>0</v>
      </c>
      <c r="L7" s="19" t="s">
        <v>46</v>
      </c>
      <c r="M7" s="11" t="str">
        <f t="shared" si="2"/>
        <v/>
      </c>
      <c r="N7" s="19">
        <v>20.0</v>
      </c>
      <c r="O7" s="19">
        <v>23.0</v>
      </c>
      <c r="P7" s="19" t="b">
        <v>0</v>
      </c>
      <c r="Q7" s="27" t="s">
        <v>46</v>
      </c>
      <c r="R7" s="11" t="str">
        <f t="shared" si="3"/>
        <v/>
      </c>
      <c r="S7" s="19">
        <v>21.0</v>
      </c>
      <c r="T7" s="19">
        <v>28.0</v>
      </c>
      <c r="U7" s="20" t="b">
        <v>0</v>
      </c>
      <c r="V7" s="19" t="s">
        <v>46</v>
      </c>
      <c r="W7" s="11" t="str">
        <f t="shared" si="4"/>
        <v/>
      </c>
      <c r="X7" s="19">
        <v>23.0</v>
      </c>
      <c r="Y7" s="19">
        <v>24.0</v>
      </c>
      <c r="Z7" s="20" t="b">
        <v>0</v>
      </c>
      <c r="AA7" s="27" t="s">
        <v>46</v>
      </c>
      <c r="AB7" s="11" t="str">
        <f t="shared" si="5"/>
        <v/>
      </c>
      <c r="AC7" s="19">
        <v>17.0</v>
      </c>
      <c r="AD7" s="19">
        <v>24.0</v>
      </c>
      <c r="AE7" s="19" t="b">
        <v>0</v>
      </c>
      <c r="AF7" s="27" t="s">
        <v>46</v>
      </c>
      <c r="AG7" s="11" t="str">
        <f t="shared" si="6"/>
        <v/>
      </c>
      <c r="AH7" s="19">
        <v>24.0</v>
      </c>
      <c r="AI7" s="19">
        <v>28.0</v>
      </c>
      <c r="AJ7" s="20" t="b">
        <v>0</v>
      </c>
      <c r="AK7" s="19" t="s">
        <v>46</v>
      </c>
      <c r="AL7" s="11" t="str">
        <f t="shared" si="7"/>
        <v/>
      </c>
      <c r="AM7" s="19">
        <v>10.0</v>
      </c>
      <c r="AN7" s="19">
        <v>14.0</v>
      </c>
      <c r="AO7" s="20" t="b">
        <v>0</v>
      </c>
      <c r="AP7" s="27" t="s">
        <v>34</v>
      </c>
      <c r="AQ7" s="11" t="str">
        <f t="shared" si="8"/>
        <v/>
      </c>
      <c r="AR7" s="19">
        <v>27.0</v>
      </c>
      <c r="AS7" s="19">
        <v>10.0</v>
      </c>
      <c r="AT7" s="20" t="b">
        <v>0</v>
      </c>
      <c r="AU7" s="27" t="s">
        <v>46</v>
      </c>
      <c r="AV7" s="11" t="str">
        <f t="shared" si="9"/>
        <v/>
      </c>
      <c r="AW7" s="19">
        <v>24.0</v>
      </c>
      <c r="AX7" s="19">
        <v>31.0</v>
      </c>
      <c r="AY7" s="20" t="b">
        <v>0</v>
      </c>
      <c r="AZ7" s="27" t="s">
        <v>46</v>
      </c>
      <c r="BA7" s="11" t="str">
        <f t="shared" si="10"/>
        <v/>
      </c>
      <c r="BB7" s="19">
        <v>20.0</v>
      </c>
      <c r="BC7" s="19">
        <v>23.0</v>
      </c>
      <c r="BD7" s="20" t="b">
        <v>0</v>
      </c>
      <c r="BE7" s="27" t="s">
        <v>34</v>
      </c>
      <c r="BF7" s="11" t="str">
        <f t="shared" si="11"/>
        <v/>
      </c>
      <c r="BG7" s="19">
        <v>20.0</v>
      </c>
      <c r="BH7" s="19">
        <v>17.0</v>
      </c>
      <c r="BI7" s="20" t="b">
        <v>0</v>
      </c>
      <c r="BJ7" s="27" t="s">
        <v>46</v>
      </c>
      <c r="BK7" s="11" t="str">
        <f t="shared" si="12"/>
        <v/>
      </c>
      <c r="BL7" s="19">
        <v>21.0</v>
      </c>
      <c r="BM7" s="19">
        <v>24.0</v>
      </c>
      <c r="BN7" s="20" t="b">
        <v>0</v>
      </c>
      <c r="BO7" s="17"/>
      <c r="BP7" s="17"/>
      <c r="BQ7" s="17"/>
    </row>
    <row r="8">
      <c r="A8" s="16" t="s">
        <v>425</v>
      </c>
      <c r="B8" s="30" t="s">
        <v>453</v>
      </c>
      <c r="C8" s="18"/>
      <c r="D8" s="11" t="str">
        <f>IFERROR(__xludf.DUMMYFUNCTION("""COMPUTED_VALUE"""),"")</f>
        <v/>
      </c>
      <c r="E8" s="19"/>
      <c r="F8" s="20"/>
      <c r="G8" s="19" t="s">
        <v>84</v>
      </c>
      <c r="H8" s="11" t="str">
        <f t="shared" si="1"/>
        <v/>
      </c>
      <c r="I8" s="19">
        <v>14.0</v>
      </c>
      <c r="J8" s="19">
        <v>10.0</v>
      </c>
      <c r="K8" s="20" t="b">
        <v>0</v>
      </c>
      <c r="L8" s="19" t="s">
        <v>84</v>
      </c>
      <c r="M8" s="11" t="str">
        <f t="shared" si="2"/>
        <v/>
      </c>
      <c r="N8" s="19">
        <v>10.0</v>
      </c>
      <c r="O8" s="19">
        <v>7.0</v>
      </c>
      <c r="P8" s="19" t="b">
        <v>0</v>
      </c>
      <c r="Q8" s="27" t="s">
        <v>85</v>
      </c>
      <c r="R8" s="11" t="str">
        <f t="shared" si="3"/>
        <v/>
      </c>
      <c r="S8" s="19">
        <v>7.0</v>
      </c>
      <c r="T8" s="19">
        <v>10.0</v>
      </c>
      <c r="U8" s="20" t="b">
        <v>0</v>
      </c>
      <c r="V8" s="19" t="s">
        <v>84</v>
      </c>
      <c r="W8" s="11" t="str">
        <f t="shared" si="4"/>
        <v/>
      </c>
      <c r="X8" s="19">
        <v>24.0</v>
      </c>
      <c r="Y8" s="19">
        <v>21.0</v>
      </c>
      <c r="Z8" s="20" t="b">
        <v>0</v>
      </c>
      <c r="AA8" s="27" t="s">
        <v>84</v>
      </c>
      <c r="AB8" s="11" t="str">
        <f t="shared" si="5"/>
        <v/>
      </c>
      <c r="AC8" s="19">
        <v>24.0</v>
      </c>
      <c r="AD8" s="19">
        <v>17.0</v>
      </c>
      <c r="AE8" s="19" t="b">
        <v>0</v>
      </c>
      <c r="AF8" s="27" t="s">
        <v>84</v>
      </c>
      <c r="AG8" s="11" t="str">
        <f t="shared" si="6"/>
        <v/>
      </c>
      <c r="AH8" s="19">
        <v>20.0</v>
      </c>
      <c r="AI8" s="19">
        <v>17.0</v>
      </c>
      <c r="AJ8" s="20" t="b">
        <v>0</v>
      </c>
      <c r="AK8" s="19" t="s">
        <v>84</v>
      </c>
      <c r="AL8" s="11" t="str">
        <f t="shared" si="7"/>
        <v/>
      </c>
      <c r="AM8" s="19">
        <v>31.0</v>
      </c>
      <c r="AN8" s="19">
        <v>24.0</v>
      </c>
      <c r="AO8" s="20" t="b">
        <v>1</v>
      </c>
      <c r="AP8" s="27" t="s">
        <v>85</v>
      </c>
      <c r="AQ8" s="11" t="str">
        <f t="shared" si="8"/>
        <v/>
      </c>
      <c r="AR8" s="19">
        <v>21.0</v>
      </c>
      <c r="AS8" s="19">
        <v>24.0</v>
      </c>
      <c r="AT8" s="20" t="b">
        <v>0</v>
      </c>
      <c r="AU8" s="27" t="s">
        <v>85</v>
      </c>
      <c r="AV8" s="11" t="str">
        <f t="shared" si="9"/>
        <v/>
      </c>
      <c r="AW8" s="19">
        <v>17.0</v>
      </c>
      <c r="AX8" s="19">
        <v>21.0</v>
      </c>
      <c r="AY8" s="20" t="b">
        <v>0</v>
      </c>
      <c r="AZ8" s="27" t="s">
        <v>84</v>
      </c>
      <c r="BA8" s="11" t="str">
        <f t="shared" si="10"/>
        <v/>
      </c>
      <c r="BB8" s="19">
        <v>23.0</v>
      </c>
      <c r="BC8" s="19">
        <v>20.0</v>
      </c>
      <c r="BD8" s="20" t="b">
        <v>0</v>
      </c>
      <c r="BE8" s="27" t="s">
        <v>84</v>
      </c>
      <c r="BF8" s="11" t="str">
        <f t="shared" si="11"/>
        <v/>
      </c>
      <c r="BG8" s="19">
        <v>24.0</v>
      </c>
      <c r="BH8" s="19">
        <v>21.0</v>
      </c>
      <c r="BI8" s="20" t="b">
        <v>0</v>
      </c>
      <c r="BJ8" s="27" t="s">
        <v>85</v>
      </c>
      <c r="BK8" s="11" t="str">
        <f t="shared" si="12"/>
        <v/>
      </c>
      <c r="BL8" s="19">
        <v>21.0</v>
      </c>
      <c r="BM8" s="19">
        <v>24.0</v>
      </c>
      <c r="BN8" s="20" t="b">
        <v>0</v>
      </c>
      <c r="BO8" s="19"/>
      <c r="BP8" s="19"/>
      <c r="BQ8" s="19"/>
    </row>
    <row r="9">
      <c r="A9" s="16" t="s">
        <v>425</v>
      </c>
      <c r="B9" s="30" t="s">
        <v>454</v>
      </c>
      <c r="C9" s="18"/>
      <c r="D9" s="11" t="str">
        <f>IFERROR(__xludf.DUMMYFUNCTION("""COMPUTED_VALUE"""),"")</f>
        <v/>
      </c>
      <c r="E9" s="19"/>
      <c r="F9" s="20"/>
      <c r="G9" s="19" t="s">
        <v>50</v>
      </c>
      <c r="H9" s="11" t="str">
        <f t="shared" si="1"/>
        <v/>
      </c>
      <c r="I9" s="19">
        <v>24.0</v>
      </c>
      <c r="J9" s="19">
        <v>21.0</v>
      </c>
      <c r="K9" s="20" t="b">
        <v>0</v>
      </c>
      <c r="L9" s="19" t="s">
        <v>74</v>
      </c>
      <c r="M9" s="11" t="str">
        <f t="shared" si="2"/>
        <v/>
      </c>
      <c r="N9" s="19">
        <v>17.0</v>
      </c>
      <c r="O9" s="19">
        <v>20.0</v>
      </c>
      <c r="P9" s="19" t="b">
        <v>0</v>
      </c>
      <c r="Q9" s="27" t="s">
        <v>50</v>
      </c>
      <c r="R9" s="11" t="str">
        <f t="shared" si="3"/>
        <v/>
      </c>
      <c r="S9" s="19">
        <v>21.0</v>
      </c>
      <c r="T9" s="19">
        <v>17.0</v>
      </c>
      <c r="U9" s="20" t="b">
        <v>0</v>
      </c>
      <c r="V9" s="19" t="s">
        <v>74</v>
      </c>
      <c r="W9" s="11" t="str">
        <f t="shared" si="4"/>
        <v/>
      </c>
      <c r="X9" s="19">
        <v>24.0</v>
      </c>
      <c r="Y9" s="19">
        <v>27.0</v>
      </c>
      <c r="Z9" s="20" t="b">
        <v>0</v>
      </c>
      <c r="AA9" s="27" t="s">
        <v>74</v>
      </c>
      <c r="AB9" s="11" t="str">
        <f t="shared" si="5"/>
        <v/>
      </c>
      <c r="AC9" s="19">
        <v>17.0</v>
      </c>
      <c r="AD9" s="19">
        <v>24.0</v>
      </c>
      <c r="AE9" s="19" t="b">
        <v>0</v>
      </c>
      <c r="AF9" s="27" t="s">
        <v>50</v>
      </c>
      <c r="AG9" s="11" t="str">
        <f t="shared" si="6"/>
        <v/>
      </c>
      <c r="AH9" s="19">
        <v>30.0</v>
      </c>
      <c r="AI9" s="19">
        <v>24.0</v>
      </c>
      <c r="AJ9" s="20" t="b">
        <v>0</v>
      </c>
      <c r="AK9" s="19" t="s">
        <v>50</v>
      </c>
      <c r="AL9" s="11" t="str">
        <f t="shared" si="7"/>
        <v/>
      </c>
      <c r="AM9" s="19">
        <v>20.0</v>
      </c>
      <c r="AN9" s="19">
        <v>17.0</v>
      </c>
      <c r="AO9" s="20" t="b">
        <v>0</v>
      </c>
      <c r="AP9" s="27" t="s">
        <v>74</v>
      </c>
      <c r="AQ9" s="11" t="str">
        <f t="shared" si="8"/>
        <v/>
      </c>
      <c r="AR9" s="19">
        <v>14.0</v>
      </c>
      <c r="AS9" s="19">
        <v>24.0</v>
      </c>
      <c r="AT9" s="20" t="b">
        <v>0</v>
      </c>
      <c r="AU9" s="27" t="s">
        <v>74</v>
      </c>
      <c r="AV9" s="11" t="str">
        <f t="shared" si="9"/>
        <v/>
      </c>
      <c r="AW9" s="19">
        <v>21.0</v>
      </c>
      <c r="AX9" s="19">
        <v>28.0</v>
      </c>
      <c r="AY9" s="20" t="b">
        <v>0</v>
      </c>
      <c r="AZ9" s="27" t="s">
        <v>74</v>
      </c>
      <c r="BA9" s="11" t="str">
        <f t="shared" si="10"/>
        <v/>
      </c>
      <c r="BB9" s="19">
        <v>20.0</v>
      </c>
      <c r="BC9" s="19">
        <v>23.0</v>
      </c>
      <c r="BD9" s="20" t="b">
        <v>0</v>
      </c>
      <c r="BE9" s="27" t="s">
        <v>50</v>
      </c>
      <c r="BF9" s="11" t="str">
        <f t="shared" si="11"/>
        <v/>
      </c>
      <c r="BG9" s="19">
        <v>10.0</v>
      </c>
      <c r="BH9" s="19">
        <v>7.0</v>
      </c>
      <c r="BI9" s="20" t="b">
        <v>0</v>
      </c>
      <c r="BJ9" s="27" t="s">
        <v>50</v>
      </c>
      <c r="BK9" s="11" t="str">
        <f t="shared" si="12"/>
        <v/>
      </c>
      <c r="BL9" s="19">
        <v>20.0</v>
      </c>
      <c r="BM9" s="19">
        <v>17.0</v>
      </c>
      <c r="BN9" s="20" t="b">
        <v>0</v>
      </c>
      <c r="BO9" s="17"/>
      <c r="BP9" s="17"/>
      <c r="BQ9" s="17"/>
    </row>
    <row r="10">
      <c r="A10" s="16" t="s">
        <v>425</v>
      </c>
      <c r="B10" s="30" t="s">
        <v>455</v>
      </c>
      <c r="C10" s="18"/>
      <c r="D10" s="11" t="str">
        <f>IFERROR(__xludf.DUMMYFUNCTION("""COMPUTED_VALUE"""),"")</f>
        <v/>
      </c>
      <c r="E10" s="19"/>
      <c r="F10" s="20"/>
      <c r="G10" s="19" t="s">
        <v>27</v>
      </c>
      <c r="H10" s="11" t="str">
        <f t="shared" si="1"/>
        <v/>
      </c>
      <c r="I10" s="19">
        <v>27.0</v>
      </c>
      <c r="J10" s="19">
        <v>24.0</v>
      </c>
      <c r="K10" s="20" t="b">
        <v>0</v>
      </c>
      <c r="L10" s="19" t="s">
        <v>27</v>
      </c>
      <c r="M10" s="11" t="str">
        <f t="shared" si="2"/>
        <v/>
      </c>
      <c r="N10" s="19">
        <v>31.0</v>
      </c>
      <c r="O10" s="19">
        <v>24.0</v>
      </c>
      <c r="P10" s="19" t="b">
        <v>0</v>
      </c>
      <c r="Q10" s="27" t="s">
        <v>26</v>
      </c>
      <c r="R10" s="11" t="str">
        <f t="shared" si="3"/>
        <v/>
      </c>
      <c r="S10" s="19">
        <v>14.0</v>
      </c>
      <c r="T10" s="19">
        <v>17.0</v>
      </c>
      <c r="U10" s="20" t="b">
        <v>0</v>
      </c>
      <c r="V10" s="19" t="s">
        <v>27</v>
      </c>
      <c r="W10" s="11" t="str">
        <f t="shared" si="4"/>
        <v/>
      </c>
      <c r="X10" s="19">
        <v>14.0</v>
      </c>
      <c r="Y10" s="19">
        <v>10.0</v>
      </c>
      <c r="Z10" s="20" t="b">
        <v>0</v>
      </c>
      <c r="AA10" s="27" t="s">
        <v>26</v>
      </c>
      <c r="AB10" s="11" t="str">
        <f t="shared" si="5"/>
        <v/>
      </c>
      <c r="AC10" s="19">
        <v>17.0</v>
      </c>
      <c r="AD10" s="19">
        <v>24.0</v>
      </c>
      <c r="AE10" s="19" t="b">
        <v>0</v>
      </c>
      <c r="AF10" s="27" t="s">
        <v>27</v>
      </c>
      <c r="AG10" s="11" t="str">
        <f t="shared" si="6"/>
        <v/>
      </c>
      <c r="AH10" s="19">
        <v>28.0</v>
      </c>
      <c r="AI10" s="19">
        <v>20.0</v>
      </c>
      <c r="AJ10" s="20" t="b">
        <v>0</v>
      </c>
      <c r="AK10" s="19" t="s">
        <v>26</v>
      </c>
      <c r="AL10" s="11" t="str">
        <f t="shared" si="7"/>
        <v/>
      </c>
      <c r="AM10" s="19">
        <v>10.0</v>
      </c>
      <c r="AN10" s="19">
        <v>14.0</v>
      </c>
      <c r="AO10" s="20" t="b">
        <v>0</v>
      </c>
      <c r="AP10" s="27" t="s">
        <v>27</v>
      </c>
      <c r="AQ10" s="11" t="str">
        <f t="shared" si="8"/>
        <v/>
      </c>
      <c r="AR10" s="19">
        <v>30.0</v>
      </c>
      <c r="AS10" s="19">
        <v>20.0</v>
      </c>
      <c r="AT10" s="20" t="b">
        <v>0</v>
      </c>
      <c r="AU10" s="27" t="s">
        <v>26</v>
      </c>
      <c r="AV10" s="11" t="str">
        <f t="shared" si="9"/>
        <v/>
      </c>
      <c r="AW10" s="19">
        <v>21.0</v>
      </c>
      <c r="AX10" s="19">
        <v>28.0</v>
      </c>
      <c r="AY10" s="20" t="b">
        <v>0</v>
      </c>
      <c r="AZ10" s="27" t="s">
        <v>26</v>
      </c>
      <c r="BA10" s="11" t="str">
        <f t="shared" si="10"/>
        <v/>
      </c>
      <c r="BB10" s="19">
        <v>20.0</v>
      </c>
      <c r="BC10" s="19">
        <v>23.0</v>
      </c>
      <c r="BD10" s="20" t="b">
        <v>0</v>
      </c>
      <c r="BE10" s="27" t="s">
        <v>26</v>
      </c>
      <c r="BF10" s="11" t="str">
        <f t="shared" si="11"/>
        <v/>
      </c>
      <c r="BG10" s="19">
        <v>21.0</v>
      </c>
      <c r="BH10" s="19">
        <v>24.0</v>
      </c>
      <c r="BI10" s="20" t="b">
        <v>0</v>
      </c>
      <c r="BJ10" s="27" t="s">
        <v>26</v>
      </c>
      <c r="BK10" s="11" t="str">
        <f t="shared" si="12"/>
        <v/>
      </c>
      <c r="BL10" s="19">
        <v>14.0</v>
      </c>
      <c r="BM10" s="19">
        <v>17.0</v>
      </c>
      <c r="BN10" s="20" t="b">
        <v>0</v>
      </c>
      <c r="BO10" s="17"/>
      <c r="BP10" s="17"/>
      <c r="BQ10" s="17"/>
    </row>
    <row r="11">
      <c r="A11" s="16" t="s">
        <v>425</v>
      </c>
      <c r="B11" s="30" t="s">
        <v>456</v>
      </c>
      <c r="C11" s="18"/>
      <c r="D11" s="11" t="str">
        <f>IFERROR(__xludf.DUMMYFUNCTION("""COMPUTED_VALUE"""),"")</f>
        <v/>
      </c>
      <c r="E11" s="19"/>
      <c r="F11" s="20"/>
      <c r="G11" s="19" t="s">
        <v>69</v>
      </c>
      <c r="H11" s="11" t="str">
        <f t="shared" si="1"/>
        <v/>
      </c>
      <c r="I11" s="19">
        <v>21.0</v>
      </c>
      <c r="J11" s="19">
        <v>28.0</v>
      </c>
      <c r="K11" s="20" t="b">
        <v>1</v>
      </c>
      <c r="L11" s="19" t="s">
        <v>69</v>
      </c>
      <c r="M11" s="11" t="str">
        <f t="shared" si="2"/>
        <v/>
      </c>
      <c r="N11" s="19">
        <v>21.0</v>
      </c>
      <c r="O11" s="19">
        <v>28.0</v>
      </c>
      <c r="P11" s="19" t="b">
        <v>0</v>
      </c>
      <c r="Q11" s="27" t="s">
        <v>69</v>
      </c>
      <c r="R11" s="11" t="str">
        <f t="shared" si="3"/>
        <v/>
      </c>
      <c r="S11" s="19">
        <v>14.0</v>
      </c>
      <c r="T11" s="19">
        <v>17.0</v>
      </c>
      <c r="U11" s="20" t="b">
        <v>0</v>
      </c>
      <c r="V11" s="19" t="s">
        <v>69</v>
      </c>
      <c r="W11" s="11" t="str">
        <f t="shared" si="4"/>
        <v/>
      </c>
      <c r="X11" s="19">
        <v>20.0</v>
      </c>
      <c r="Y11" s="19">
        <v>21.0</v>
      </c>
      <c r="Z11" s="20" t="b">
        <v>0</v>
      </c>
      <c r="AA11" s="27" t="s">
        <v>69</v>
      </c>
      <c r="AB11" s="11" t="str">
        <f t="shared" si="5"/>
        <v/>
      </c>
      <c r="AC11" s="19">
        <v>17.0</v>
      </c>
      <c r="AD11" s="19">
        <v>24.0</v>
      </c>
      <c r="AE11" s="19" t="b">
        <v>0</v>
      </c>
      <c r="AF11" s="27" t="s">
        <v>69</v>
      </c>
      <c r="AG11" s="11" t="str">
        <f t="shared" si="6"/>
        <v/>
      </c>
      <c r="AH11" s="19">
        <v>7.0</v>
      </c>
      <c r="AI11" s="19">
        <v>28.0</v>
      </c>
      <c r="AJ11" s="20" t="b">
        <v>0</v>
      </c>
      <c r="AK11" s="19" t="s">
        <v>69</v>
      </c>
      <c r="AL11" s="11" t="str">
        <f t="shared" si="7"/>
        <v/>
      </c>
      <c r="AM11" s="19">
        <v>14.0</v>
      </c>
      <c r="AN11" s="19">
        <v>17.0</v>
      </c>
      <c r="AO11" s="20" t="b">
        <v>0</v>
      </c>
      <c r="AP11" s="27" t="s">
        <v>69</v>
      </c>
      <c r="AQ11" s="11" t="str">
        <f t="shared" si="8"/>
        <v/>
      </c>
      <c r="AR11" s="19">
        <v>14.0</v>
      </c>
      <c r="AS11" s="19">
        <v>31.0</v>
      </c>
      <c r="AT11" s="20" t="b">
        <v>1</v>
      </c>
      <c r="AU11" s="27" t="s">
        <v>69</v>
      </c>
      <c r="AV11" s="11" t="str">
        <f t="shared" si="9"/>
        <v/>
      </c>
      <c r="AW11" s="19">
        <v>10.0</v>
      </c>
      <c r="AX11" s="19">
        <v>14.0</v>
      </c>
      <c r="AY11" s="20" t="b">
        <v>0</v>
      </c>
      <c r="AZ11" s="27" t="s">
        <v>69</v>
      </c>
      <c r="BA11" s="11" t="str">
        <f t="shared" si="10"/>
        <v/>
      </c>
      <c r="BB11" s="19">
        <v>20.0</v>
      </c>
      <c r="BC11" s="19">
        <v>23.0</v>
      </c>
      <c r="BD11" s="20" t="b">
        <v>0</v>
      </c>
      <c r="BE11" s="27" t="s">
        <v>55</v>
      </c>
      <c r="BF11" s="11" t="str">
        <f t="shared" si="11"/>
        <v/>
      </c>
      <c r="BG11" s="19">
        <v>17.0</v>
      </c>
      <c r="BH11" s="19">
        <v>14.0</v>
      </c>
      <c r="BI11" s="20" t="b">
        <v>0</v>
      </c>
      <c r="BJ11" s="27" t="s">
        <v>55</v>
      </c>
      <c r="BK11" s="11" t="str">
        <f t="shared" si="12"/>
        <v/>
      </c>
      <c r="BL11" s="19">
        <v>10.0</v>
      </c>
      <c r="BM11" s="19">
        <v>7.0</v>
      </c>
      <c r="BN11" s="20" t="b">
        <v>0</v>
      </c>
      <c r="BO11" s="19"/>
      <c r="BP11" s="19"/>
      <c r="BQ11" s="19"/>
    </row>
    <row r="12">
      <c r="A12" s="16" t="s">
        <v>425</v>
      </c>
      <c r="B12" s="30" t="s">
        <v>461</v>
      </c>
      <c r="C12" s="18"/>
      <c r="D12" s="11" t="str">
        <f>IFERROR(__xludf.DUMMYFUNCTION("""COMPUTED_VALUE"""),"")</f>
        <v/>
      </c>
      <c r="E12" s="19"/>
      <c r="F12" s="20"/>
      <c r="G12" s="19" t="s">
        <v>71</v>
      </c>
      <c r="H12" s="11" t="str">
        <f t="shared" si="1"/>
        <v/>
      </c>
      <c r="I12" s="19">
        <v>24.0</v>
      </c>
      <c r="J12" s="19">
        <v>21.0</v>
      </c>
      <c r="K12" s="20" t="b">
        <v>0</v>
      </c>
      <c r="L12" s="19" t="s">
        <v>71</v>
      </c>
      <c r="M12" s="11" t="str">
        <f t="shared" si="2"/>
        <v/>
      </c>
      <c r="N12" s="19">
        <v>23.0</v>
      </c>
      <c r="O12" s="19">
        <v>20.0</v>
      </c>
      <c r="P12" s="19" t="b">
        <v>0</v>
      </c>
      <c r="Q12" s="27" t="s">
        <v>71</v>
      </c>
      <c r="R12" s="11" t="str">
        <f t="shared" si="3"/>
        <v/>
      </c>
      <c r="S12" s="19">
        <v>20.0</v>
      </c>
      <c r="T12" s="19">
        <v>17.0</v>
      </c>
      <c r="U12" s="20" t="b">
        <v>0</v>
      </c>
      <c r="V12" s="19" t="s">
        <v>71</v>
      </c>
      <c r="W12" s="11" t="str">
        <f t="shared" si="4"/>
        <v/>
      </c>
      <c r="X12" s="19">
        <v>24.0</v>
      </c>
      <c r="Y12" s="19">
        <v>23.0</v>
      </c>
      <c r="Z12" s="20" t="b">
        <v>1</v>
      </c>
      <c r="AA12" s="27" t="s">
        <v>76</v>
      </c>
      <c r="AB12" s="11" t="str">
        <f t="shared" si="5"/>
        <v/>
      </c>
      <c r="AC12" s="19">
        <v>17.0</v>
      </c>
      <c r="AD12" s="19">
        <v>24.0</v>
      </c>
      <c r="AE12" s="19" t="b">
        <v>0</v>
      </c>
      <c r="AF12" s="27" t="s">
        <v>71</v>
      </c>
      <c r="AG12" s="11" t="str">
        <f t="shared" si="6"/>
        <v/>
      </c>
      <c r="AH12" s="19">
        <v>10.0</v>
      </c>
      <c r="AI12" s="19">
        <v>7.0</v>
      </c>
      <c r="AJ12" s="20" t="b">
        <v>0</v>
      </c>
      <c r="AK12" s="19" t="s">
        <v>76</v>
      </c>
      <c r="AL12" s="11" t="str">
        <f t="shared" si="7"/>
        <v/>
      </c>
      <c r="AM12" s="19">
        <v>17.0</v>
      </c>
      <c r="AN12" s="19">
        <v>20.0</v>
      </c>
      <c r="AO12" s="20" t="b">
        <v>0</v>
      </c>
      <c r="AP12" s="27" t="s">
        <v>71</v>
      </c>
      <c r="AQ12" s="11" t="str">
        <f t="shared" si="8"/>
        <v/>
      </c>
      <c r="AR12" s="19">
        <v>24.0</v>
      </c>
      <c r="AS12" s="19">
        <v>20.0</v>
      </c>
      <c r="AT12" s="20" t="b">
        <v>0</v>
      </c>
      <c r="AU12" s="27" t="s">
        <v>76</v>
      </c>
      <c r="AV12" s="11" t="str">
        <f t="shared" si="9"/>
        <v/>
      </c>
      <c r="AW12" s="19">
        <v>17.0</v>
      </c>
      <c r="AX12" s="19">
        <v>21.0</v>
      </c>
      <c r="AY12" s="20" t="b">
        <v>0</v>
      </c>
      <c r="AZ12" s="27" t="s">
        <v>71</v>
      </c>
      <c r="BA12" s="11" t="str">
        <f t="shared" si="10"/>
        <v/>
      </c>
      <c r="BB12" s="19">
        <v>23.0</v>
      </c>
      <c r="BC12" s="19">
        <v>20.0</v>
      </c>
      <c r="BD12" s="20" t="b">
        <v>0</v>
      </c>
      <c r="BE12" s="27" t="s">
        <v>76</v>
      </c>
      <c r="BF12" s="11" t="str">
        <f t="shared" si="11"/>
        <v/>
      </c>
      <c r="BG12" s="19">
        <v>14.0</v>
      </c>
      <c r="BH12" s="19">
        <v>17.0</v>
      </c>
      <c r="BI12" s="20" t="b">
        <v>0</v>
      </c>
      <c r="BJ12" s="27" t="s">
        <v>71</v>
      </c>
      <c r="BK12" s="11" t="str">
        <f t="shared" si="12"/>
        <v/>
      </c>
      <c r="BL12" s="19">
        <v>23.0</v>
      </c>
      <c r="BM12" s="19">
        <v>20.0</v>
      </c>
      <c r="BN12" s="20" t="b">
        <v>0</v>
      </c>
      <c r="BO12" s="17"/>
      <c r="BP12" s="17"/>
      <c r="BQ12" s="17"/>
    </row>
    <row r="13">
      <c r="A13" s="16" t="s">
        <v>425</v>
      </c>
      <c r="B13" s="30" t="s">
        <v>478</v>
      </c>
      <c r="C13" s="18"/>
      <c r="D13" s="11" t="str">
        <f>IFERROR(__xludf.DUMMYFUNCTION("""COMPUTED_VALUE"""),"")</f>
        <v/>
      </c>
      <c r="E13" s="19"/>
      <c r="F13" s="20"/>
      <c r="G13" s="19" t="s">
        <v>88</v>
      </c>
      <c r="H13" s="11" t="str">
        <f t="shared" si="1"/>
        <v/>
      </c>
      <c r="I13" s="19">
        <v>24.0</v>
      </c>
      <c r="J13" s="19">
        <v>27.0</v>
      </c>
      <c r="K13" s="20" t="b">
        <v>0</v>
      </c>
      <c r="L13" s="19" t="s">
        <v>88</v>
      </c>
      <c r="M13" s="11" t="str">
        <f t="shared" si="2"/>
        <v/>
      </c>
      <c r="N13" s="19">
        <v>21.0</v>
      </c>
      <c r="O13" s="19">
        <v>28.0</v>
      </c>
      <c r="P13" s="19" t="b">
        <v>0</v>
      </c>
      <c r="Q13" s="27" t="s">
        <v>88</v>
      </c>
      <c r="R13" s="11" t="str">
        <f t="shared" si="3"/>
        <v/>
      </c>
      <c r="S13" s="19">
        <v>10.0</v>
      </c>
      <c r="T13" s="19">
        <v>14.0</v>
      </c>
      <c r="U13" s="20" t="b">
        <v>0</v>
      </c>
      <c r="V13" s="19" t="s">
        <v>88</v>
      </c>
      <c r="W13" s="11" t="str">
        <f t="shared" si="4"/>
        <v/>
      </c>
      <c r="X13" s="19">
        <v>20.0</v>
      </c>
      <c r="Y13" s="19">
        <v>27.0</v>
      </c>
      <c r="Z13" s="20" t="b">
        <v>0</v>
      </c>
      <c r="AA13" s="27" t="s">
        <v>88</v>
      </c>
      <c r="AB13" s="11" t="str">
        <f t="shared" si="5"/>
        <v/>
      </c>
      <c r="AC13" s="19">
        <v>17.0</v>
      </c>
      <c r="AD13" s="19">
        <v>24.0</v>
      </c>
      <c r="AE13" s="19" t="b">
        <v>1</v>
      </c>
      <c r="AF13" s="27" t="s">
        <v>88</v>
      </c>
      <c r="AG13" s="11" t="str">
        <f t="shared" si="6"/>
        <v/>
      </c>
      <c r="AH13" s="19">
        <v>13.0</v>
      </c>
      <c r="AI13" s="19">
        <v>14.0</v>
      </c>
      <c r="AJ13" s="20" t="b">
        <v>0</v>
      </c>
      <c r="AK13" s="19" t="s">
        <v>88</v>
      </c>
      <c r="AL13" s="11" t="str">
        <f t="shared" si="7"/>
        <v/>
      </c>
      <c r="AM13" s="19">
        <v>20.0</v>
      </c>
      <c r="AN13" s="19">
        <v>23.0</v>
      </c>
      <c r="AO13" s="20" t="b">
        <v>0</v>
      </c>
      <c r="AP13" s="27" t="s">
        <v>88</v>
      </c>
      <c r="AQ13" s="11" t="str">
        <f t="shared" si="8"/>
        <v/>
      </c>
      <c r="AR13" s="19">
        <v>17.0</v>
      </c>
      <c r="AS13" s="19">
        <v>24.0</v>
      </c>
      <c r="AT13" s="20" t="b">
        <v>0</v>
      </c>
      <c r="AU13" s="27" t="s">
        <v>88</v>
      </c>
      <c r="AV13" s="11" t="str">
        <f t="shared" si="9"/>
        <v/>
      </c>
      <c r="AW13" s="19">
        <v>7.0</v>
      </c>
      <c r="AX13" s="19">
        <v>10.0</v>
      </c>
      <c r="AY13" s="20" t="b">
        <v>0</v>
      </c>
      <c r="AZ13" s="27" t="s">
        <v>88</v>
      </c>
      <c r="BA13" s="11" t="str">
        <f t="shared" si="10"/>
        <v/>
      </c>
      <c r="BB13" s="19">
        <v>20.0</v>
      </c>
      <c r="BC13" s="19">
        <v>23.0</v>
      </c>
      <c r="BD13" s="20" t="b">
        <v>0</v>
      </c>
      <c r="BE13" s="27" t="s">
        <v>88</v>
      </c>
      <c r="BF13" s="11" t="str">
        <f t="shared" si="11"/>
        <v/>
      </c>
      <c r="BG13" s="19">
        <v>24.0</v>
      </c>
      <c r="BH13" s="19">
        <v>27.0</v>
      </c>
      <c r="BI13" s="20" t="b">
        <v>0</v>
      </c>
      <c r="BJ13" s="27" t="s">
        <v>79</v>
      </c>
      <c r="BK13" s="11" t="str">
        <f t="shared" si="12"/>
        <v/>
      </c>
      <c r="BL13" s="19">
        <v>24.0</v>
      </c>
      <c r="BM13" s="19">
        <v>21.0</v>
      </c>
      <c r="BN13" s="20" t="b">
        <v>0</v>
      </c>
      <c r="BO13" s="17"/>
      <c r="BP13" s="17"/>
      <c r="BQ13" s="17"/>
    </row>
    <row r="14">
      <c r="A14" s="16" t="s">
        <v>425</v>
      </c>
      <c r="B14" s="30" t="s">
        <v>488</v>
      </c>
      <c r="C14" s="18"/>
      <c r="D14" s="11" t="str">
        <f>IFERROR(__xludf.DUMMYFUNCTION("""COMPUTED_VALUE"""),"")</f>
        <v/>
      </c>
      <c r="E14" s="19"/>
      <c r="F14" s="20"/>
      <c r="G14" s="19" t="s">
        <v>24</v>
      </c>
      <c r="H14" s="11" t="str">
        <f t="shared" si="1"/>
        <v/>
      </c>
      <c r="I14" s="19">
        <v>31.0</v>
      </c>
      <c r="J14" s="19">
        <v>24.0</v>
      </c>
      <c r="K14" s="20" t="b">
        <v>0</v>
      </c>
      <c r="L14" s="19" t="s">
        <v>24</v>
      </c>
      <c r="M14" s="11" t="str">
        <f t="shared" si="2"/>
        <v/>
      </c>
      <c r="N14" s="19">
        <v>28.0</v>
      </c>
      <c r="O14" s="19">
        <v>21.0</v>
      </c>
      <c r="P14" s="19" t="b">
        <v>0</v>
      </c>
      <c r="Q14" s="27" t="s">
        <v>24</v>
      </c>
      <c r="R14" s="11" t="str">
        <f t="shared" si="3"/>
        <v/>
      </c>
      <c r="S14" s="19">
        <v>21.0</v>
      </c>
      <c r="T14" s="19">
        <v>17.0</v>
      </c>
      <c r="U14" s="20" t="b">
        <v>0</v>
      </c>
      <c r="V14" s="19" t="s">
        <v>39</v>
      </c>
      <c r="W14" s="11" t="str">
        <f t="shared" si="4"/>
        <v/>
      </c>
      <c r="X14" s="19">
        <v>20.0</v>
      </c>
      <c r="Y14" s="19">
        <v>23.0</v>
      </c>
      <c r="Z14" s="20" t="b">
        <v>0</v>
      </c>
      <c r="AA14" s="27" t="s">
        <v>39</v>
      </c>
      <c r="AB14" s="11" t="str">
        <f t="shared" si="5"/>
        <v/>
      </c>
      <c r="AC14" s="19">
        <v>17.0</v>
      </c>
      <c r="AD14" s="19">
        <v>24.0</v>
      </c>
      <c r="AE14" s="19" t="b">
        <v>0</v>
      </c>
      <c r="AF14" s="27" t="s">
        <v>24</v>
      </c>
      <c r="AG14" s="11" t="str">
        <f t="shared" si="6"/>
        <v/>
      </c>
      <c r="AH14" s="19">
        <v>21.0</v>
      </c>
      <c r="AI14" s="19">
        <v>20.0</v>
      </c>
      <c r="AJ14" s="20" t="b">
        <v>0</v>
      </c>
      <c r="AK14" s="19" t="s">
        <v>39</v>
      </c>
      <c r="AL14" s="11" t="str">
        <f t="shared" si="7"/>
        <v/>
      </c>
      <c r="AM14" s="19">
        <v>24.0</v>
      </c>
      <c r="AN14" s="19">
        <v>27.0</v>
      </c>
      <c r="AO14" s="20" t="b">
        <v>0</v>
      </c>
      <c r="AP14" s="27" t="s">
        <v>24</v>
      </c>
      <c r="AQ14" s="11" t="str">
        <f t="shared" si="8"/>
        <v/>
      </c>
      <c r="AR14" s="19">
        <v>24.0</v>
      </c>
      <c r="AS14" s="19">
        <v>17.0</v>
      </c>
      <c r="AT14" s="20" t="b">
        <v>0</v>
      </c>
      <c r="AU14" s="27" t="s">
        <v>24</v>
      </c>
      <c r="AV14" s="11" t="str">
        <f t="shared" si="9"/>
        <v/>
      </c>
      <c r="AW14" s="19">
        <v>24.0</v>
      </c>
      <c r="AX14" s="19">
        <v>21.0</v>
      </c>
      <c r="AY14" s="20" t="b">
        <v>0</v>
      </c>
      <c r="AZ14" s="27" t="s">
        <v>39</v>
      </c>
      <c r="BA14" s="11" t="str">
        <f t="shared" si="10"/>
        <v/>
      </c>
      <c r="BB14" s="19">
        <v>20.0</v>
      </c>
      <c r="BC14" s="19">
        <v>23.0</v>
      </c>
      <c r="BD14" s="20" t="b">
        <v>0</v>
      </c>
      <c r="BE14" s="27" t="s">
        <v>39</v>
      </c>
      <c r="BF14" s="11" t="str">
        <f t="shared" si="11"/>
        <v/>
      </c>
      <c r="BG14" s="19">
        <v>20.0</v>
      </c>
      <c r="BH14" s="19">
        <v>23.0</v>
      </c>
      <c r="BI14" s="20" t="b">
        <v>0</v>
      </c>
      <c r="BJ14" s="27" t="s">
        <v>24</v>
      </c>
      <c r="BK14" s="11" t="str">
        <f t="shared" si="12"/>
        <v/>
      </c>
      <c r="BL14" s="19">
        <v>31.0</v>
      </c>
      <c r="BM14" s="19">
        <v>24.0</v>
      </c>
      <c r="BN14" s="20" t="b">
        <v>0</v>
      </c>
      <c r="BO14" s="17"/>
      <c r="BP14" s="17"/>
      <c r="BQ14" s="17"/>
    </row>
    <row r="15">
      <c r="A15" s="16" t="s">
        <v>425</v>
      </c>
      <c r="B15" s="30" t="s">
        <v>491</v>
      </c>
      <c r="C15" s="18"/>
      <c r="D15" s="11" t="str">
        <f>IFERROR(__xludf.DUMMYFUNCTION("""COMPUTED_VALUE"""),"")</f>
        <v/>
      </c>
      <c r="E15" s="19"/>
      <c r="F15" s="20"/>
      <c r="G15" s="19" t="s">
        <v>28</v>
      </c>
      <c r="H15" s="11" t="str">
        <f t="shared" si="1"/>
        <v/>
      </c>
      <c r="I15" s="19">
        <v>17.0</v>
      </c>
      <c r="J15" s="19">
        <v>20.0</v>
      </c>
      <c r="K15" s="20" t="b">
        <v>0</v>
      </c>
      <c r="L15" s="19" t="s">
        <v>28</v>
      </c>
      <c r="M15" s="11" t="str">
        <f t="shared" si="2"/>
        <v/>
      </c>
      <c r="N15" s="19">
        <v>17.0</v>
      </c>
      <c r="O15" s="19">
        <v>20.0</v>
      </c>
      <c r="P15" s="19" t="b">
        <v>0</v>
      </c>
      <c r="Q15" s="27" t="s">
        <v>28</v>
      </c>
      <c r="R15" s="11" t="str">
        <f t="shared" si="3"/>
        <v/>
      </c>
      <c r="S15" s="19">
        <v>14.0</v>
      </c>
      <c r="T15" s="19">
        <v>17.0</v>
      </c>
      <c r="U15" s="20" t="b">
        <v>1</v>
      </c>
      <c r="V15" s="19" t="s">
        <v>28</v>
      </c>
      <c r="W15" s="11" t="str">
        <f t="shared" si="4"/>
        <v/>
      </c>
      <c r="X15" s="19">
        <v>21.0</v>
      </c>
      <c r="Y15" s="19">
        <v>24.0</v>
      </c>
      <c r="Z15" s="20" t="b">
        <v>0</v>
      </c>
      <c r="AA15" s="27" t="s">
        <v>28</v>
      </c>
      <c r="AB15" s="11" t="str">
        <f t="shared" si="5"/>
        <v/>
      </c>
      <c r="AC15" s="19">
        <v>17.0</v>
      </c>
      <c r="AD15" s="19">
        <v>24.0</v>
      </c>
      <c r="AE15" s="19" t="b">
        <v>0</v>
      </c>
      <c r="AF15" s="27" t="s">
        <v>28</v>
      </c>
      <c r="AG15" s="11" t="str">
        <f t="shared" si="6"/>
        <v/>
      </c>
      <c r="AH15" s="19">
        <v>10.0</v>
      </c>
      <c r="AI15" s="19">
        <v>23.0</v>
      </c>
      <c r="AJ15" s="20" t="b">
        <v>0</v>
      </c>
      <c r="AK15" s="19" t="s">
        <v>28</v>
      </c>
      <c r="AL15" s="11" t="str">
        <f t="shared" si="7"/>
        <v/>
      </c>
      <c r="AM15" s="19">
        <v>20.0</v>
      </c>
      <c r="AN15" s="19">
        <v>23.0</v>
      </c>
      <c r="AO15" s="20" t="b">
        <v>0</v>
      </c>
      <c r="AP15" s="27" t="s">
        <v>28</v>
      </c>
      <c r="AQ15" s="11" t="str">
        <f t="shared" si="8"/>
        <v/>
      </c>
      <c r="AR15" s="19">
        <v>17.0</v>
      </c>
      <c r="AS15" s="19">
        <v>23.0</v>
      </c>
      <c r="AT15" s="20" t="b">
        <v>0</v>
      </c>
      <c r="AU15" s="27" t="s">
        <v>87</v>
      </c>
      <c r="AV15" s="11" t="str">
        <f t="shared" si="9"/>
        <v/>
      </c>
      <c r="AW15" s="19">
        <v>14.0</v>
      </c>
      <c r="AX15" s="19">
        <v>10.0</v>
      </c>
      <c r="AY15" s="20" t="b">
        <v>0</v>
      </c>
      <c r="AZ15" s="27" t="s">
        <v>28</v>
      </c>
      <c r="BA15" s="11" t="str">
        <f t="shared" si="10"/>
        <v/>
      </c>
      <c r="BB15" s="19">
        <v>20.0</v>
      </c>
      <c r="BC15" s="19">
        <v>23.0</v>
      </c>
      <c r="BD15" s="20" t="b">
        <v>0</v>
      </c>
      <c r="BE15" s="27" t="s">
        <v>28</v>
      </c>
      <c r="BF15" s="11" t="str">
        <f t="shared" si="11"/>
        <v/>
      </c>
      <c r="BG15" s="19">
        <v>10.0</v>
      </c>
      <c r="BH15" s="19">
        <v>14.0</v>
      </c>
      <c r="BI15" s="20" t="b">
        <v>0</v>
      </c>
      <c r="BJ15" s="27" t="s">
        <v>87</v>
      </c>
      <c r="BK15" s="11" t="str">
        <f t="shared" si="12"/>
        <v/>
      </c>
      <c r="BL15" s="19">
        <v>24.0</v>
      </c>
      <c r="BM15" s="19">
        <v>21.0</v>
      </c>
      <c r="BN15" s="20" t="b">
        <v>0</v>
      </c>
      <c r="BO15" s="17"/>
      <c r="BP15" s="17"/>
      <c r="BQ15" s="17"/>
    </row>
    <row r="16">
      <c r="A16" s="16" t="s">
        <v>425</v>
      </c>
      <c r="B16" s="30" t="s">
        <v>500</v>
      </c>
      <c r="C16" s="18"/>
      <c r="D16" s="11" t="str">
        <f>IFERROR(__xludf.DUMMYFUNCTION("""COMPUTED_VALUE"""),"")</f>
        <v/>
      </c>
      <c r="E16" s="19"/>
      <c r="F16" s="20"/>
      <c r="G16" s="19" t="s">
        <v>126</v>
      </c>
      <c r="H16" s="11" t="str">
        <f t="shared" si="1"/>
        <v/>
      </c>
      <c r="I16" s="19">
        <v>17.0</v>
      </c>
      <c r="J16" s="19">
        <v>21.0</v>
      </c>
      <c r="K16" s="20" t="b">
        <v>0</v>
      </c>
      <c r="L16" s="19" t="s">
        <v>48</v>
      </c>
      <c r="M16" s="11" t="str">
        <f t="shared" si="2"/>
        <v/>
      </c>
      <c r="N16" s="19">
        <v>23.0</v>
      </c>
      <c r="O16" s="19">
        <v>20.0</v>
      </c>
      <c r="P16" s="19" t="b">
        <v>0</v>
      </c>
      <c r="Q16" s="27" t="s">
        <v>48</v>
      </c>
      <c r="R16" s="11" t="str">
        <f t="shared" si="3"/>
        <v/>
      </c>
      <c r="S16" s="19">
        <v>14.0</v>
      </c>
      <c r="T16" s="19">
        <v>10.0</v>
      </c>
      <c r="U16" s="20" t="b">
        <v>0</v>
      </c>
      <c r="V16" s="19" t="s">
        <v>48</v>
      </c>
      <c r="W16" s="11" t="str">
        <f t="shared" si="4"/>
        <v/>
      </c>
      <c r="X16" s="19">
        <v>31.0</v>
      </c>
      <c r="Y16" s="19">
        <v>24.0</v>
      </c>
      <c r="Z16" s="20" t="b">
        <v>0</v>
      </c>
      <c r="AA16" s="27" t="s">
        <v>126</v>
      </c>
      <c r="AB16" s="11" t="str">
        <f t="shared" si="5"/>
        <v/>
      </c>
      <c r="AC16" s="19">
        <v>17.0</v>
      </c>
      <c r="AD16" s="19">
        <v>24.0</v>
      </c>
      <c r="AE16" s="19" t="b">
        <v>0</v>
      </c>
      <c r="AF16" s="27" t="s">
        <v>48</v>
      </c>
      <c r="AG16" s="11" t="str">
        <f t="shared" si="6"/>
        <v/>
      </c>
      <c r="AH16" s="19">
        <v>13.0</v>
      </c>
      <c r="AI16" s="19">
        <v>7.0</v>
      </c>
      <c r="AJ16" s="20" t="b">
        <v>0</v>
      </c>
      <c r="AK16" s="19" t="s">
        <v>126</v>
      </c>
      <c r="AL16" s="11" t="str">
        <f t="shared" si="7"/>
        <v/>
      </c>
      <c r="AM16" s="19">
        <v>21.0</v>
      </c>
      <c r="AN16" s="19">
        <v>24.0</v>
      </c>
      <c r="AO16" s="20" t="b">
        <v>0</v>
      </c>
      <c r="AP16" s="27" t="s">
        <v>48</v>
      </c>
      <c r="AQ16" s="11" t="str">
        <f t="shared" si="8"/>
        <v/>
      </c>
      <c r="AR16" s="19">
        <v>24.0</v>
      </c>
      <c r="AS16" s="19">
        <v>17.0</v>
      </c>
      <c r="AT16" s="20" t="b">
        <v>0</v>
      </c>
      <c r="AU16" s="27" t="s">
        <v>48</v>
      </c>
      <c r="AV16" s="11" t="str">
        <f t="shared" si="9"/>
        <v/>
      </c>
      <c r="AW16" s="19">
        <v>24.0</v>
      </c>
      <c r="AX16" s="19">
        <v>21.0</v>
      </c>
      <c r="AY16" s="20" t="b">
        <v>0</v>
      </c>
      <c r="AZ16" s="27" t="s">
        <v>48</v>
      </c>
      <c r="BA16" s="11" t="str">
        <f t="shared" si="10"/>
        <v/>
      </c>
      <c r="BB16" s="19">
        <v>23.0</v>
      </c>
      <c r="BC16" s="19">
        <v>20.0</v>
      </c>
      <c r="BD16" s="20" t="b">
        <v>0</v>
      </c>
      <c r="BE16" s="27" t="s">
        <v>48</v>
      </c>
      <c r="BF16" s="11" t="str">
        <f t="shared" si="11"/>
        <v/>
      </c>
      <c r="BG16" s="19">
        <v>28.0</v>
      </c>
      <c r="BH16" s="19">
        <v>21.0</v>
      </c>
      <c r="BI16" s="20" t="b">
        <v>0</v>
      </c>
      <c r="BJ16" s="27" t="s">
        <v>48</v>
      </c>
      <c r="BK16" s="11" t="str">
        <f t="shared" si="12"/>
        <v/>
      </c>
      <c r="BL16" s="19">
        <v>14.0</v>
      </c>
      <c r="BM16" s="19">
        <v>10.0</v>
      </c>
      <c r="BN16" s="20" t="b">
        <v>0</v>
      </c>
      <c r="BO16" s="17"/>
      <c r="BP16" s="17"/>
      <c r="BQ16" s="17"/>
    </row>
    <row r="17">
      <c r="A17" s="16" t="s">
        <v>425</v>
      </c>
      <c r="B17" s="30" t="s">
        <v>504</v>
      </c>
      <c r="C17" s="34"/>
      <c r="D17" s="35" t="str">
        <f>IFERROR(__xludf.DUMMYFUNCTION("""COMPUTED_VALUE"""),"")</f>
        <v/>
      </c>
      <c r="E17" s="36"/>
      <c r="F17" s="37"/>
      <c r="G17" s="36" t="s">
        <v>54</v>
      </c>
      <c r="H17" s="35" t="str">
        <f t="shared" si="1"/>
        <v/>
      </c>
      <c r="I17" s="36">
        <v>14.0</v>
      </c>
      <c r="J17" s="36">
        <v>10.0</v>
      </c>
      <c r="K17" s="37" t="b">
        <v>0</v>
      </c>
      <c r="L17" s="36" t="s">
        <v>54</v>
      </c>
      <c r="M17" s="35" t="str">
        <f t="shared" si="2"/>
        <v/>
      </c>
      <c r="N17" s="36">
        <v>20.0</v>
      </c>
      <c r="O17" s="36">
        <v>17.0</v>
      </c>
      <c r="P17" s="36" t="b">
        <v>0</v>
      </c>
      <c r="Q17" s="38" t="s">
        <v>54</v>
      </c>
      <c r="R17" s="35" t="str">
        <f t="shared" si="3"/>
        <v/>
      </c>
      <c r="S17" s="36">
        <v>24.0</v>
      </c>
      <c r="T17" s="36">
        <v>21.0</v>
      </c>
      <c r="U17" s="37" t="b">
        <v>0</v>
      </c>
      <c r="V17" s="36" t="s">
        <v>54</v>
      </c>
      <c r="W17" s="35" t="str">
        <f t="shared" si="4"/>
        <v/>
      </c>
      <c r="X17" s="36">
        <v>27.0</v>
      </c>
      <c r="Y17" s="36">
        <v>24.0</v>
      </c>
      <c r="Z17" s="37" t="b">
        <v>0</v>
      </c>
      <c r="AA17" s="38" t="s">
        <v>54</v>
      </c>
      <c r="AB17" s="35" t="str">
        <f t="shared" si="5"/>
        <v/>
      </c>
      <c r="AC17" s="36">
        <v>24.0</v>
      </c>
      <c r="AD17" s="36">
        <v>17.0</v>
      </c>
      <c r="AE17" s="36" t="b">
        <v>0</v>
      </c>
      <c r="AF17" s="38" t="s">
        <v>54</v>
      </c>
      <c r="AG17" s="35" t="str">
        <f t="shared" si="6"/>
        <v/>
      </c>
      <c r="AH17" s="36">
        <v>21.0</v>
      </c>
      <c r="AI17" s="36">
        <v>7.0</v>
      </c>
      <c r="AJ17" s="37" t="b">
        <v>0</v>
      </c>
      <c r="AK17" s="36" t="s">
        <v>54</v>
      </c>
      <c r="AL17" s="35" t="str">
        <f t="shared" si="7"/>
        <v/>
      </c>
      <c r="AM17" s="36">
        <v>24.0</v>
      </c>
      <c r="AN17" s="36">
        <v>21.0</v>
      </c>
      <c r="AO17" s="37" t="b">
        <v>0</v>
      </c>
      <c r="AP17" s="38" t="s">
        <v>54</v>
      </c>
      <c r="AQ17" s="35" t="str">
        <f t="shared" si="8"/>
        <v/>
      </c>
      <c r="AR17" s="36">
        <v>20.0</v>
      </c>
      <c r="AS17" s="36">
        <v>17.0</v>
      </c>
      <c r="AT17" s="37" t="b">
        <v>0</v>
      </c>
      <c r="AU17" s="38" t="s">
        <v>54</v>
      </c>
      <c r="AV17" s="35" t="str">
        <f t="shared" si="9"/>
        <v/>
      </c>
      <c r="AW17" s="36">
        <v>27.0</v>
      </c>
      <c r="AX17" s="36">
        <v>24.0</v>
      </c>
      <c r="AY17" s="37" t="b">
        <v>0</v>
      </c>
      <c r="AZ17" s="38" t="s">
        <v>54</v>
      </c>
      <c r="BA17" s="35" t="str">
        <f t="shared" si="10"/>
        <v/>
      </c>
      <c r="BB17" s="36">
        <v>23.0</v>
      </c>
      <c r="BC17" s="36">
        <v>20.0</v>
      </c>
      <c r="BD17" s="37" t="b">
        <v>0</v>
      </c>
      <c r="BE17" s="38" t="s">
        <v>92</v>
      </c>
      <c r="BF17" s="35" t="str">
        <f t="shared" si="11"/>
        <v/>
      </c>
      <c r="BG17" s="36">
        <v>24.0</v>
      </c>
      <c r="BH17" s="36">
        <v>27.0</v>
      </c>
      <c r="BI17" s="37" t="b">
        <v>0</v>
      </c>
      <c r="BJ17" s="38" t="s">
        <v>54</v>
      </c>
      <c r="BK17" s="35" t="str">
        <f t="shared" si="12"/>
        <v/>
      </c>
      <c r="BL17" s="36">
        <v>17.0</v>
      </c>
      <c r="BM17" s="36">
        <v>14.0</v>
      </c>
      <c r="BN17" s="37" t="b">
        <v>1</v>
      </c>
      <c r="BO17" s="19"/>
      <c r="BP17" s="19"/>
      <c r="BQ17" s="19"/>
    </row>
    <row r="18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</row>
    <row r="19" hidden="1">
      <c r="A19" s="41"/>
      <c r="B19" s="41"/>
      <c r="C19" s="46">
        <f t="shared" ref="C19:C34" si="13">MIN(I19,N19,S19,X19,AC19,AH19,AM19,AR19,AW19,BB19,BG19,BL19)</f>
        <v>0</v>
      </c>
      <c r="D19" s="49"/>
      <c r="E19" s="49"/>
      <c r="F19" s="49"/>
      <c r="G19" s="47" t="str">
        <f t="shared" ref="G19:G34" si="14">IF(G2=C2,ABS(I2-E2),"")</f>
        <v/>
      </c>
      <c r="H19" s="47" t="str">
        <f t="shared" ref="H19:H34" si="15">IF(G2=C2,ABS(J2-F2),"")</f>
        <v/>
      </c>
      <c r="I19" s="48" t="str">
        <f t="shared" ref="I19:I34" si="16">IF(G2=C2,SUM(G19,H19),"")</f>
        <v/>
      </c>
      <c r="J19" s="9">
        <f t="shared" ref="J19:J34" si="17">SUM(IF(AND(G2=$C2,I19=$C19,$C19=0,K2=TRUE,I19&lt;$N19,I19&lt;$S19,I19&lt;$X19,I19&lt;$AC19,I19&lt;$AH19,I19&lt;$AM19,I19&lt;$AR19,I19&lt;$AW19,I19&lt;$BB19,I19&lt;$BG19,I19&lt;$BL19),15,
IF(AND(G2=$C2,I19=$C19,$C19=0,K2=TRUE,OR(I19=$N19,I19=$S19,I19=$X19,I19=$AC19,I19=$AH19,I19=$AM19,I19=$AR19,I19=$AW19,I19=$BB19,I19=$BG19,I19=$BL19)),7.5,
IF(AND(G2=$C2,I19=$C19,$C19=0,I19&lt;$N19,I19&lt;$S19,I19&lt;$X19,I19&lt;$AC19,I19&lt;$AH19,I19&lt;$AM19,I19&lt;$AR19,I19&lt;$AW19,I19&lt;$BB19,I19&lt;$BG19,I19&lt;$BL19),5,
IF(AND(G2=$C2,I19=$C19,K2=TRUE,I19&lt;$N19,I19&lt;$S19,I19&lt;$X19,I19&lt;$AC19,I19&lt;$AH19,I19&lt;$AM19,I19&lt;$AR19,I19&lt;$AW19,I19&lt;$BB19,I19&lt;$BG19,I19&lt;$BL19),3,
IF(AND(G2=$C2,I19=$C19,$C19=0,OR(I19=$N19,I19=$S19,I19=$X19,I19=$AC19,I19=$AH19,I19=$AM19,I19=$AR19,I19=$AW19,I19=$BB19,I19=$BG19,I19=$BL19)),2.5,
IF(AND(G2=$C2,I19=$C19,K2=TRUE,OR(I19=$N19,I19=$S19,I19=$X19,I19=$AC19,I19=$AH19,I19=$AM19,I19=$AR19,I19=$AW19,I19=$BB19,I19=$BG19,I19=$BL19)),1.5,
IF(AND(G2=$C2,I19=$C19,I19&lt;$N19,I19&lt;$S19,I19&lt;$X19,I19&lt;$AC19,I19&lt;$AH19,I19&lt;$AM19,I19&lt;$AR19,I19&lt;$AW19,I19&lt;$BB19,I19&lt;$BG19,I19&lt;$BL19),1,
IF(AND(G2=$C2,I19=$C19,OR(I19=$N19,I19=$S19,I19=$X19,I19=$AC19,I19=$AH19,I19=$AM19,I19=$AR19,I19=$AW19,I19=$BB19,I19=$BG19,I19=$BL19)),0.5,
0)))))))),
IF(AND(K19=TRUE,K2=TRUE),3,
IF(AND(K19=TRUE,K2=FALSE),1,
IF(K19="",0)))
)</f>
        <v>0</v>
      </c>
      <c r="K19" s="49" t="str">
        <f t="shared" ref="K19:K34" si="18">IF($C2="","",
IF(G2=$C2,TRUE,FALSE))</f>
        <v/>
      </c>
      <c r="L19" s="47" t="str">
        <f t="shared" ref="L19:L34" si="19">IF(L2=C2,ABS(N2-E2),"")</f>
        <v/>
      </c>
      <c r="M19" s="47" t="str">
        <f t="shared" ref="M19:M34" si="20">IF(L2=C2,ABS(O2-F2),"")</f>
        <v/>
      </c>
      <c r="N19" s="48" t="str">
        <f t="shared" ref="N19:N34" si="21">IF(L2=C2,SUM(L19,M19),"")</f>
        <v/>
      </c>
      <c r="O19" s="9">
        <f t="shared" ref="O19:O34" si="22">SUM(IF(AND(L2=$C2,N19=$C19,$C19=0,P2=TRUE,N19&lt;$I19,N19&lt;$S19,N19&lt;$X19,N19&lt;$AC19,N19&lt;$AH19,N19&lt;$AM19,N19&lt;$AR19,N19&lt;$AW19,N19&lt;$BB19,N19&lt;$BG19,N19&lt;$BL19),15,
IF(AND(L2=$C2,N19=$C19,$C19=0,P2=TRUE,OR(N19=$I19,N19=$S19,N19=$X19,N19=$AC19,N19=$AH19,N19=$AM19,N19=$AR19,N19=$AW19,N19=$BB19,N19=$BG19,N19=$BL19)),7.5,
IF(AND(L2=$C2,N19=$C19,$C19=0,N19&lt;$I19,N19&lt;$S19,N19&lt;$X19,N19&lt;$AC19,N19&lt;$AH19,N19&lt;$AM19,N19&lt;$AR19,N19&lt;$AW19,N19&lt;$BB19,N19&lt;$BG19,N19&lt;$BL19),5,
IF(AND(L2=$C2,N19=$C19,P2=TRUE,N19&lt;$I19,N19&lt;$S19,N19&lt;$X19,N19&lt;$AC19,N19&lt;$AH19,N19&lt;$AM19,N19&lt;$AR19,N19&lt;$AW19,N19&lt;$BB19,N19&lt;$BG19,N19&lt;$BL19),3,
IF(AND(L2=$C2,N19=$C19,$C19=0,OR(N19=$I19,N19=$S19,N19=$X19,N19=$AC19,N19=$AH19,N19=$AM19,N19=$AR19,N19=$AW19,N19=$BB19,N19=$BG19,N19=$BL19)),2.5,
IF(AND(L2=$C2,N19=$C19,P2=TRUE,OR(N19=$I19,N19=$S19,N19=$X19,N19=$AC19,N19=$AH19,N19=$AM19,N19=$AR19,N19=$AW19,N19=$BB19,N19=$BG19,N19=$BL19)),1.5,
IF(AND(L2=$C2,N19=$C19,N19&lt;$I19,N19&lt;$S19,N19&lt;$X19,N19&lt;$AC19,N19&lt;$AH19,N19&lt;$AM19,N19&lt;$AR19,N19&lt;$AW19,N19&lt;$BB19,N19&lt;$BG19,N19&lt;$BL19),1,
IF(AND(L2=$C2,N19=$C19,OR(N19=$I19,N19=$S19,N19=$X19,N19=$AC19,N19=$AH19,N19=$AM19,N19=$AR19,N19=$AW19,N19=$BB19,N19=$BG19,N19=$BL19)),0.5,
0)))))))),
IF(AND(P19=TRUE,P2=TRUE),3,
IF(AND(P19=TRUE,P2=FALSE),1,
IF(P19="",0)))
)</f>
        <v>0</v>
      </c>
      <c r="P19" s="49" t="str">
        <f t="shared" ref="P19:P34" si="23">IF($C2="","",
IF(L2=$C2,TRUE,FALSE))</f>
        <v/>
      </c>
      <c r="Q19" s="47" t="str">
        <f t="shared" ref="Q19:Q34" si="24">IF(Q2=C2,ABS(S2-E2),"")</f>
        <v/>
      </c>
      <c r="R19" s="47" t="str">
        <f t="shared" ref="R19:R34" si="25">IF(Q2=C2,ABS(T2-F2),"")</f>
        <v/>
      </c>
      <c r="S19" s="48" t="str">
        <f t="shared" ref="S19:S34" si="26">IF(Q2=C2,SUM(Q19,R19),"")</f>
        <v/>
      </c>
      <c r="T19" s="9">
        <f t="shared" ref="T19:T34" si="27">SUM(IF(AND(Q2=$C2,S19=$C19,$C19=0,U2=TRUE,S19&lt;$I19,S19&lt;$N19,S19&lt;$X19,S19&lt;$AC19,S19&lt;$AH19,S19&lt;$AM19,S19&lt;$AR19,S19&lt;$AW19,S19&lt;$BB19,S19&lt;$BG19,S19&lt;$BL19),15,
IF(AND(Q2=$C2,S19=$C19,$C19=0,U2=TRUE,OR(S19=$I19,S19=$N19,S19=$X19,S19=$AC19,S19=$AH19,S19=$AM19,S19=$AR19,S19=$AW19,S19=$BB19,S19=$BG19,S19=$BL19)),7.5,
IF(AND(Q2=$C2,S19=$C19,$C19=0,S19&lt;$I19,S19&lt;$N19,S19&lt;$X19,S19&lt;$AC19,S19&lt;$AH19,S19&lt;$AM19,S19&lt;$AR19,S19&lt;$AW19,S19&lt;$BB19,S19&lt;$BG19,S19&lt;$BL19),5,
IF(AND(Q2=$C2,S19=$C19,U2=TRUE,S19&lt;$I19,S19&lt;$N19,S19&lt;$X19,S19&lt;$AC19,S19&lt;$AH19,S19&lt;$AM19,S19&lt;$AR19,S19&lt;$AW19,S19&lt;$BB19,S19&lt;$BG19,S19&lt;$BL19),3,
IF(AND(Q2=$C2,S19=$C19,$C19=0,OR(S19=$I19,S19=$N19,S19=$X19,S19=$AC19,S19=$AH19,S19=$AM19,S19=$AR19,S19=$AW19,S19=$BB19,S19=$BG19,S19=$BL19)),2.5,
IF(AND(Q2=$C2,S19=$C19,U2=TRUE,OR(S19=$I19,S19=$N19,S19=$X19,S19=$AC19,S19=$AH19,S19=$AM19,S19=$AR19,S19=$AW19,S19=$BB19,S19=$BG19,S19=$BL19)),1.5,
IF(AND(Q2=$C2,S19=$C19,S19&lt;$I19,S19&lt;$N19,S19&lt;$X19,S19&lt;$AC19,S19&lt;$AH19,S19&lt;$AM19,S19&lt;$AR19,S19&lt;$AW19,S19&lt;$BB19,S19&lt;$BG19,S19&lt;$BL19),1,
IF(AND(Q2=$C2,S19=$C19,OR(S19=$I19,S19=$N19,S19=$X19,S19=$AC19,S19=$AH19,S19=$AM19,S19=$AR19,S19=$AW19,S19=$BB19,S19=$BG19,S19=$BL19)),0.5,
0)))))))),
IF(AND(U19=TRUE,U2=TRUE),3,
IF(AND(U19=TRUE,U2=FALSE),1,
IF(U19="",0)))
)</f>
        <v>0</v>
      </c>
      <c r="U19" s="49" t="str">
        <f t="shared" ref="U19:U34" si="28">IF($C2="","",
IF(Q2=$C2,TRUE,FALSE))</f>
        <v/>
      </c>
      <c r="V19" s="47" t="str">
        <f t="shared" ref="V19:V34" si="29">IF(V2=C2,ABS(X2-E2),"")</f>
        <v/>
      </c>
      <c r="W19" s="47" t="str">
        <f t="shared" ref="W19:W34" si="30">IF(V2=C2,ABS(Y2-F2),"")</f>
        <v/>
      </c>
      <c r="X19" s="48" t="str">
        <f t="shared" ref="X19:X34" si="31">IF(V2=C2,SUM(V19,W19),"")</f>
        <v/>
      </c>
      <c r="Y19" s="9">
        <f t="shared" ref="Y19:Y34" si="32">SUM(IF(AND(V2=$C2,X19=$C19,$C19=0,Z2=TRUE,X19&lt;$I19,X19&lt;$N19,X19&lt;$S19,X19&lt;$AC19,X19&lt;$AH19,X19&lt;$AM19,X19&lt;$AR19,X19&lt;$AW19,X19&lt;$BB19,X19&lt;$BG19,X19&lt;$BL19),15,
IF(AND(V2=$C2,X19=$C19,$C19=0,Z2=TRUE,OR(X19=$I19,X19=$N19,X19=$S19,X19=$AC19,X19=$AH19,X19=$AM19,X19=$AR19,X19=$AW19,X19=$BB19,X19=$BG19,X19=$BL19)),7.5,
IF(AND(V2=$C2,X19=$C19,$C19=0,X19&lt;$I19,X19&lt;$N19,X19&lt;$S19,X19&lt;$AC19,X19&lt;$AH19,X19&lt;$AM19,X19&lt;$AR19,X19&lt;$AW19,X19&lt;$BB19,X19&lt;$BG19,X19&lt;$BL19),5,
IF(AND(V2=$C2,X19=$C19,Z2=TRUE,X19&lt;$I19,X19&lt;$N19,X19&lt;$S19,X19&lt;$AC19,X19&lt;$AH19,X19&lt;$AM19,X19&lt;$AR19,X19&lt;$AW19,X19&lt;$BB19,X19&lt;$BG19,X19&lt;$BL19),3,
IF(AND(V2=$C2,X19=$C19,$C19=0,OR(X19=$I19,X19=$N19,X19=$S19,X19=$AC19,X19=$AH19,X19=$AM19,X19=$AR19,X19=$AW19,X19=$BB19,X19=$BG19,X19=$BL19)),2.5,
IF(AND(V2=$C2,X19=$C19,Z2=TRUE,OR(X19=$I19,X19=$N19,X19=$S19,X19=$AC19,X19=$AH19,X19=$AM19,X19=$AR19,X19=$AW19,X19=$BB19,X19=$BG19,X19=$BL19)),1.5,
IF(AND(V2=$C2,X19=$C19,X19&lt;$I19,X19&lt;$N19,X19&lt;$S19,X19&lt;$AC19,X19&lt;$AH19,X19&lt;$AM19,X19&lt;$AR19,X19&lt;$AW19,X19&lt;$BB19,X19&lt;$BG19,X19&lt;$BL19),1,
IF(AND(V2=$C2,X19=$C19,OR(X19=$I19,X19=$N19,X19=$S19,X19=$AC19,X19=$AH19,X19=$AM19,X19=$AR19,X19=$AW19,X19=$BB19,X19=$BG19,X19=$BL19)),0.5,
0)))))))),
IF(AND(Z19=TRUE,Z2=TRUE),3,
IF(AND(Z19=TRUE,Z2=FALSE),1,
IF(Z19="",0)))
)</f>
        <v>0</v>
      </c>
      <c r="Z19" s="49" t="str">
        <f t="shared" ref="Z19:Z34" si="33">IF($C2="","",
IF(V2=$C2,TRUE,FALSE))</f>
        <v/>
      </c>
      <c r="AA19" s="47" t="str">
        <f t="shared" ref="AA19:AA34" si="34">IF(AA2=C2,ABS(AC2-E2),"")</f>
        <v/>
      </c>
      <c r="AB19" s="47" t="str">
        <f t="shared" ref="AB19:AB34" si="35">IF(AA2=C2,ABS(AD2-F2),"")</f>
        <v/>
      </c>
      <c r="AC19" s="48" t="str">
        <f t="shared" ref="AC19:AC34" si="36">IF(AA2=C2,SUM(AA19,AB19),"")</f>
        <v/>
      </c>
      <c r="AD19" s="9">
        <f t="shared" ref="AD19:AD34" si="37">SUM(IF(AND(AA2=$C2,AC19=$C19,$C19=0,AE2=TRUE,AC19&lt;$I19,AC19&lt;$N19,AC19&lt;$S19,AC19&lt;$X19,AC19&lt;$AH19,AC19&lt;$AM19,AC19&lt;$AR19,AC19&lt;$AW19,AC19&lt;$BB19,AC19&lt;$BG19,AC19&lt;$BL19),15,
IF(AND(AA2=$C2,AC19=$C19,$C19=0,AE2=TRUE,OR(AC19=$I19,AC19=$N19,AC19=$S19,AC19=$X19,AC19=$AH19,AC19=$AM19,AC19=$AR19,AC19=$AW19,AC19=$BB19,AC19=$BG19,AC19=$BL19)),7.5,
IF(AND(AA2=$C2,AC19=$C19,$C19=0,AC19&lt;$I19,AC19&lt;$N19,AC19&lt;$S19,AC19&lt;$X19,AC19&lt;$AH19,AC19&lt;$AM19,AC19&lt;$AR19,AC19&lt;$AW19,AC19&lt;$BB19,AC19&lt;$BG19,AC19&lt;$BL19),5,
IF(AND(AA2=$C2,AC19=$C19,AE2=TRUE,AC19&lt;$I19,AC19&lt;$N19,AC19&lt;$S19,AC19&lt;$X19,AC19&lt;$AH19,AC19&lt;$AM19,AC19&lt;$AR19,AC19&lt;$AW19,AC19&lt;$BB19,AC19&lt;$BG19,AC19&lt;$BL19),3,
IF(AND(AA2=$C2,AC19=$C19,$C19=0,OR(AC19=$I19,AC19=$N19,AC19=$S19,AC19=$X19,AC19=$AH19,AC19=$AM19,AC19=$AR19,AC19=$AW19,AC19=$BB19,AC19=$BG19,AC19=$BL19)),2.5,
IF(AND(AA2=$C2,AC19=$C19,AE2=TRUE,OR(AC19=$I19,AC19=$N19,AC19=$S19,AC19=$X19,AC19=$AH19,AC19=$AM19,AC19=$AR19,AC19=$AW19,AC19=$BB19,AC19=$BG19,AC19=$BL19)),1.5,
IF(AND(AA2=$C2,AC19=$C19,AC19&lt;$I19,AC19&lt;$N19,AC19&lt;$S19,AC19&lt;$X19,AC19&lt;$AH19,AC19&lt;$AM19,AC19&lt;$AR19,AC19&lt;$AW19,AC19&lt;$BB19,AC19&lt;$BG19,AC19&lt;$BL19),1,
IF(AND(AA2=$C2,AC19=$C19,OR(AC19=$I19,AC19=$N19,AC19=$S19,AC19=$X19,AC19=$AH19,AC19=$AM19,AC19=$AR19,AC19=$AW19,AC19=$BB19,AC19=$BG19,AC19=$BL19)),0.5,
0)))))))),
IF(AND(AE19=TRUE,AE2=TRUE),3,
IF(AND(AE19=TRUE,AE2=FALSE),1,
IF(AE19="",0)))
)</f>
        <v>0</v>
      </c>
      <c r="AE19" s="49" t="str">
        <f t="shared" ref="AE19:AE34" si="38">IF($C2="","",
IF(AA2=$C2,TRUE,FALSE))</f>
        <v/>
      </c>
      <c r="AF19" s="47" t="str">
        <f t="shared" ref="AF19:AF34" si="39">IF(AF2=C2,ABS(AH2-E2),"")</f>
        <v/>
      </c>
      <c r="AG19" s="47" t="str">
        <f t="shared" ref="AG19:AG34" si="40">IF(AF2=C2,ABS(AI2-F2),"")</f>
        <v/>
      </c>
      <c r="AH19" s="48" t="str">
        <f t="shared" ref="AH19:AH34" si="41">IF(AF2=C2,SUM(AF19,AG19),"")</f>
        <v/>
      </c>
      <c r="AI19" s="9">
        <f t="shared" ref="AI19:AI34" si="42">SUM(IF(AND(AF2=$C2,AH19=$C19,$C19=0,AJ2=TRUE,AH19&lt;$I19,AH19&lt;$N19,AH19&lt;$S19,AH19&lt;$X19,AH19&lt;$AC19,AH19&lt;$AM19,AH19&lt;$AR19,AH19&lt;$AW19,AH19&lt;$BB19,AH19&lt;$BG19,AH19&lt;$BL19),15,
IF(AND(AF2=$C2,AH19=$C19,$C19=0,AJ2=TRUE,OR(AH19=$I19,AH19=$N19,AH19=$S19,AH19=$X19,AH19=$AC19,AH19=$AM19,AH19=$AR19,AH19=$AW19,AH19=$BB19,AH19=$BG19,AH19=$BL19)),7.5,
IF(AND(AF2=$C2,AH19=$C19,$C19=0,AH19&lt;$I19,AH19&lt;$N19,AH19&lt;$S19,AH19&lt;$X19,AH19&lt;$AC19,AH19&lt;$AM19,AH19&lt;$AR19,AH19&lt;$AW19,AH19&lt;$BB19,AH19&lt;$BG19,AH19&lt;$BL19),5,
IF(AND(AF2=$C2,AH19=$C19,AJ2=TRUE,AH19&lt;$I19,AH19&lt;$N19,AH19&lt;$S19,AH19&lt;$X19,AH19&lt;$AC19,AH19&lt;$AM19,AH19&lt;$AR19,AH19&lt;$AW19,AH19&lt;$BB19,AH19&lt;$BG19,AH19&lt;$BL19),3,
IF(AND(AF2=$C2,AH19=$C19,$C19=0,OR(AH19=$I19,AH19=$N19,AH19=$S19,AH19=$X19,AH19=$AC19,AH19=$AM19,AH19=$AR19,AH19=$AW19,AH19=$BB19,AH19=$BG19,AH19=$BL19)),2.5,
IF(AND(AF2=$C2,AH19=$C19,AJ2=TRUE,OR(AH19=$I19,AH19=$N19,AH19=$S19,AH19=$X19,AH19=$AC19,AH19=$AM19,AH19=$AR19,AH19=$AW19,AH19=$BB19,AH19=$BG19,AH19=$BL19)),1.5,
IF(AND(AF2=$C2,AH19=$C19,AH19&lt;$I19,AH19&lt;$N19,AH19&lt;$S19,AH19&lt;$X19,AH19&lt;$AC19,AH19&lt;$AM19,AH19&lt;$AR19,AH19&lt;$AW19,AH19&lt;$BB19,AH19&lt;$BG19,AH19&lt;$BL19),1,
IF(AND(AF2=$C2,AH19=$C19,OR(AH19=$I19,AH19=$N19,AH19=$S19,AH19=$X19,AH19=$AC19,AH19=$AM19,AH19=$AR19,AH19=$AW19,AH19=$BB19,AH19=$BG19,AH19=$BL19)),0.5,
0)))))))),
IF(AND(AJ19=TRUE,AJ2=TRUE),3,
IF(AND(AJ19=TRUE,AJ2=FALSE),1,
IF(AJ19="",0)))
)</f>
        <v>0</v>
      </c>
      <c r="AJ19" s="49" t="str">
        <f t="shared" ref="AJ19:AJ34" si="43">IF($C2="","",
IF(AF2=$C2,TRUE,FALSE))</f>
        <v/>
      </c>
      <c r="AK19" s="47" t="str">
        <f t="shared" ref="AK19:AK34" si="44">IF(AK2=C2,ABS(AM2-E2),"")</f>
        <v/>
      </c>
      <c r="AL19" s="47" t="str">
        <f t="shared" ref="AL19:AL34" si="45">IF(AK2=C2,ABS(AN2-F2),"")</f>
        <v/>
      </c>
      <c r="AM19" s="48" t="str">
        <f t="shared" ref="AM19:AM34" si="46">IF(AK2=C2,SUM(AK19,AL19),"")</f>
        <v/>
      </c>
      <c r="AN19" s="9">
        <f t="shared" ref="AN19:AN34" si="47">SUM(IF(AND(AK2=$C2,AM19=$C19,$C19=0,AO2=TRUE,AM19&lt;$I19,AM19&lt;$N19,AM19&lt;$S19,AM19&lt;$X19,AM19&lt;$AC19,AM19&lt;$AH19,AM19&lt;$AR19,AM19&lt;$AW19,AM19&lt;$BB19,AM19&lt;$BG19,AM19&lt;$BL19),15,
IF(AND(AK2=$C2,AM19=$C19,$C19=0,AO2=TRUE,OR(AM19=$I19,AM19=$N19,AM19=$S19,AM19=$X19,AM19=$AC19,AM19=$AH19,AM19=$AR19,AM19=$AW19,AM19=$BB19,AM19=$BG19,AM19=$BL19)),7.5,
IF(AND(AK2=$C2,AM19=$C19,$C19=0,AM19&lt;$I19,AM19&lt;$N19,AM19&lt;$S19,AM19&lt;$X19,AM19&lt;$AC19,AM19&lt;$AH19,AM19&lt;$AR19,AM19&lt;$AW19,AM19&lt;$BB19,AM19&lt;$BG19,AM19&lt;$BL19),5,
IF(AND(AK2=$C2,AM19=$C19,AO2=TRUE,AM19&lt;$I19,AM19&lt;$N19,AM19&lt;$S19,AM19&lt;$X19,AM19&lt;$AC19,AM19&lt;$AH19,AM19&lt;$AR19,AM19&lt;$AW19,AM19&lt;$BB19,AM19&lt;$BG19,AM19&lt;$BL19),3,
IF(AND(AK2=$C2,AM19=$C19,$C19=0,OR(AM19=$I19,AM19=$N19,AM19=$S19,AM19=$X19,AM19=$AC19,AM19=$AH19,AM19=$AR19,AM19=$AW19,AM19=$BB19,AM19=$BG19,AM19=$BL19)),2.5,
IF(AND(AK2=$C2,AM19=$C19,AO2=TRUE,OR(AM19=$I19,AM19=$N19,AM19=$S19,AM19=$X19,AM19=$AC19,AM19=$AH19,AM19=$AR19,AM19=$AW19,AM19=$BB19,AM19=$BG19,AM19=$BL19)),1.5,
IF(AND(AK2=$C2,AM19=$C19,AM19&lt;$I19,AM19&lt;$N19,AM19&lt;$S19,AM19&lt;$X19,AM19&lt;$AC19,AM19&lt;$AH19,AM19&lt;$AR19,AM19&lt;$AW19,AM19&lt;$BB19,AM19&lt;$BG19,AM19&lt;$BL19),1,
IF(AND(AK2=$C2,AM19=$C19,OR(AM19=$I19,AM19=$N19,AM19=$S19,AM19=$X19,AM19=$AC19,AM19=$AH19,AM19=$AR19,AM19=$AW19,AM19=$BB19,AM19=$BG19,AM19=$BL19)),0.5,
0)))))))),
IF(AND(AO19=TRUE,AO2=TRUE),3,
IF(AND(AO19=TRUE,AO2=FALSE),1,
IF(AO19="",0)))
)</f>
        <v>0</v>
      </c>
      <c r="AO19" s="49" t="str">
        <f t="shared" ref="AO19:AO34" si="48">IF($C2="","",
IF(AK2=$C2,TRUE,FALSE))</f>
        <v/>
      </c>
      <c r="AP19" s="47" t="str">
        <f t="shared" ref="AP19:AP34" si="49">IF(AP2=C2,ABS(AR2-E2),"")</f>
        <v/>
      </c>
      <c r="AQ19" s="47" t="str">
        <f t="shared" ref="AQ19:AQ34" si="50">IF(AP2=C2,ABS(AS2-F2),"")</f>
        <v/>
      </c>
      <c r="AR19" s="48" t="str">
        <f t="shared" ref="AR19:AR34" si="51">IF(AP2=C2,SUM(AP19,AQ19),"")</f>
        <v/>
      </c>
      <c r="AS19" s="9">
        <f t="shared" ref="AS19:AS34" si="52">SUM(IF(AND(AP2=$C2,AR19=$C19,$C19=0,AT2=TRUE,AR19&lt;$I19,AR19&lt;$N19,AR19&lt;$S19,AR19&lt;$X19,AR19&lt;$AC19,AR19&lt;$AH19,AR19&lt;$AM19,AR19&lt;$AW19,AR19&lt;$BB19,AR19&lt;$BG19,AR19&lt;$BL19),15,
IF(AND(AP2=$C2,AR19=$C19,$C19=0,AT2=TRUE,OR(AR19=$I19,AR19=$N19,AR19=$S19,AR19=$X19,AR19=$AC19,AR19=$AH19,AR19=$AM19,AR19=$AW19,AR19=$BB19,AR19=$BG19,AR19=$BL19)),7.5,
IF(AND(AP2=$C2,AR19=$C19,$C19=0,AR19&lt;$I19,AR19&lt;$N19,AR19&lt;$S19,AR19&lt;$X19,AR19&lt;$AC19,AR19&lt;$AH19,AR19&lt;$AM19,AR19&lt;$AW19,AR19&lt;$BB19,AR19&lt;$BG19,AR19&lt;$BL19),5,
IF(AND(AP2=$C2,AR19=$C19,AT2=TRUE,AR19&lt;$I19,AR19&lt;$N19,AR19&lt;$S19,AR19&lt;$X19,AR19&lt;$AC19,AR19&lt;$AH19,AR19&lt;$AM19,AR19&lt;$AW19,AR19&lt;$BB19,AR19&lt;$BG19,AR19&lt;$BL19),3,
IF(AND(AP2=$C2,AR19=$C19,$C19=0,OR(AR19=$I19,AR19=$N19,AR19=$S19,AR19=$X19,AR19=$AC19,AR19=$AH19,AR19=$AM19,AR19=$AW19,AR19=$BB19,AR19=$BG19,AR19=$BL19)),2.5,
IF(AND(AP2=$C2,AR19=$C19,AT2=TRUE,OR(AR19=$I19,AR19=$N19,AR19=$S19,AR19=$X19,AR19=$AC19,AR19=$AH19,AR19=$AM19,AR19=$AW19,AR19=$BB19,AR19=$BG19,AR19=$BL19)),1.5,
IF(AND(AP2=$C2,AR19=$C19,AR19&lt;$I19,AR19&lt;$N19,AR19&lt;$S19,AR19&lt;$X19,AR19&lt;$AC19,AR19&lt;$AH19,AR19&lt;$AM19,AR19&lt;$AW19,AR19&lt;$BB19,AR19&lt;$BG19,AR19&lt;$BL19),1,
IF(AND(AP2=$C2,AR19=$C19,OR(AR19=$I19,AR19=$N19,AR19=$S19,AR19=$X19,AR19=$AC19,AR19=$AH19,AR19=$AM19,AR19=$AW19,AR19=$BB19,AR19=$BG19,AR19=$BL19)),0.5,
0)))))))),
IF(AND(AT19=TRUE,AT2=TRUE),3,
IF(AND(AT19=TRUE,AT2=FALSE),1,
IF(AT19="",0)))
)</f>
        <v>0</v>
      </c>
      <c r="AT19" s="49" t="str">
        <f t="shared" ref="AT19:AT34" si="53">IF($C2="","",
IF(AP2=$C2,TRUE,FALSE))</f>
        <v/>
      </c>
      <c r="AU19" s="47" t="str">
        <f t="shared" ref="AU19:AU34" si="54">IF(AU2=C2,ABS(AW2-E2),"")</f>
        <v/>
      </c>
      <c r="AV19" s="47" t="str">
        <f t="shared" ref="AV19:AV34" si="55">IF(AU2=C2,ABS(AX2-F2),"")</f>
        <v/>
      </c>
      <c r="AW19" s="48" t="str">
        <f t="shared" ref="AW19:AW34" si="56">IF(AU2=C2,SUM(AU19,AV19),"")</f>
        <v/>
      </c>
      <c r="AX19" s="9">
        <f t="shared" ref="AX19:AX34" si="57">SUM(IF(AND(AU2=$C2,AW19=$C19,$C19=0,AY2=TRUE,AW19&lt;$I19,AW19&lt;$N19,AW19&lt;$S19,AW19&lt;$X19,AW19&lt;$AC19,AW19&lt;$AH19,AW19&lt;$AM19,AW19&lt;$AR19,AW19&lt;$BB19,AW19&lt;$BG19,AW19&lt;$BL19),15,
IF(AND(AU2=$C2,AW19=$C19,$C19=0,AY2=TRUE,OR(AW19=$I19,AW19=$N19,AW19=$S19,AW19=$X19,AW19=$AC19,AW19=$AH19,AW19=$AM19,AW19=$AR19,AW19=$BB19,AW19=$BG19,AW19=$BL19)),7.5,
IF(AND(AU2=$C2,AW19=$C19,$C19=0,AW19&lt;$I19,AW19&lt;$N19,AW19&lt;$S19,AW19&lt;$X19,AW19&lt;$AC19,AW19&lt;$AH19,AW19&lt;$AM19,AW19&lt;$AR19,AW19&lt;$BB19,AW19&lt;$BG19,AW19&lt;$BL19),5,
IF(AND(AU2=$C2,AW19=$C19,AY2=TRUE,AW19&lt;$I19,AW19&lt;$N19,AW19&lt;$S19,AW19&lt;$X19,AW19&lt;$AC19,AW19&lt;$AH19,AW19&lt;$AM19,AW19&lt;$AR19,AW19&lt;$BB19,AW19&lt;$BG19,AW19&lt;$BL19),3,
IF(AND(AU2=$C2,AW19=$C19,$C19=0,OR(AW19=$I19,AW19=$N19,AW19=$S19,AW19=$X19,AW19=$AC19,AW19=$AH19,AW19=$AM19,AW19=$AR19,AW19=$BB19,AW19=$BG19,AW19=$BL19)),2.5,
IF(AND(AU2=$C2,AW19=$C19,AY2=TRUE,OR(AW19=$I19,AW19=$N19,AW19=$S19,AW19=$X19,AW19=$AC19,AW19=$AH19,AW19=$AM19,AW19=$AR19,AW19=$BB19,AW19=$BG19,AW19=$BL19)),1.5,
IF(AND(AU2=$C2,AW19=$C19,AW19&lt;$I19,AW19&lt;$N19,AW19&lt;$S19,AW19&lt;$X19,AW19&lt;$AC19,AW19&lt;$AH19,AW19&lt;$AM19,AW19&lt;$AR19,AW19&lt;$BB19,AW19&lt;$BG19,AW19&lt;$BL19),1,
IF(AND(AU2=$C2,AW19=$C19,OR(AW19=$I19,AW19=$N19,AW19=$S19,AW19=$X19,AW19=$AC19,AW19=$AH19,AW19=$AM19,AW19=$AR19,AW19=$BB19,AW19=$BG19,AW19=$BL19)),0.5,
0)))))))),
IF(AND(AY19=TRUE,AY2=TRUE),3,
IF(AND(AY19=TRUE,AY2=FALSE),1,
IF(AY19="",0)))
)</f>
        <v>0</v>
      </c>
      <c r="AY19" s="49" t="str">
        <f t="shared" ref="AY19:AY34" si="58">IF($C2="","",
IF(AU2=$C2,TRUE,FALSE))</f>
        <v/>
      </c>
      <c r="AZ19" s="47" t="str">
        <f t="shared" ref="AZ19:AZ34" si="59">IF(AZ2=C2,ABS(BB2-E2),"")</f>
        <v/>
      </c>
      <c r="BA19" s="47" t="str">
        <f t="shared" ref="BA19:BA34" si="60">IF(AZ2=C2,ABS(BC2-F2),"")</f>
        <v/>
      </c>
      <c r="BB19" s="48" t="str">
        <f t="shared" ref="BB19:BB34" si="61">IF(AZ2=C2,SUM(AZ19,BA19),"")</f>
        <v/>
      </c>
      <c r="BC19" s="9">
        <f t="shared" ref="BC19:BC34" si="62">SUM(IF(AND(AZ2=$C2,BB19=$C19,$C19=0,BD2=TRUE,BB19&lt;$I19,BB19&lt;$N19,BB19&lt;$S19,BB19&lt;$X19,BB19&lt;$AC19,BB19&lt;$AH19,BB19&lt;$AM19,BB19&lt;$AR19,BB19&lt;$AW19,BB19&lt;$BG19,BB19&lt;$BL19),15,
IF(AND(AZ2=$C2,BB19=$C19,$C19=0,BD2=TRUE,OR(BB19=$I19,BB19=$N19,BB19=$S19,BB19=$X19,BB19=$AC19,BB19=$AH19,BB19=$AM19,BB19=$AR19,BB19=$AW19,BB19=$BG19,BB19=$BL19)),7.5,
IF(AND(AZ2=$C2,BB19=$C19,$C19=0,BB19&lt;$I19,BB19&lt;$N19,BB19&lt;$S19,BB19&lt;$X19,BB19&lt;$AC19,BB19&lt;$AH19,BB19&lt;$AM19,BB19&lt;$AR19,BB19&lt;$AW19,BB19&lt;$BG19,BB19&lt;$BL19),5,
IF(AND(AZ2=$C2,BB19=$C19,BD2=TRUE,BB19&lt;$I19,BB19&lt;$N19,BB19&lt;$S19,BB19&lt;$X19,BB19&lt;$AC19,BB19&lt;$AH19,BB19&lt;$AM19,BB19&lt;$AR19,BB19&lt;$AW19,BB19&lt;$BG19,BB19&lt;$BL19),3,
IF(AND(AZ2=$C2,BB19=$C19,$C19=0,OR(BB19=$I19,BB19=$N19,BB19=$S19,BB19=$X19,BB19=$AC19,BB19=$AH19,BB19=$AM19,BB19=$AR19,BB19=$AW19,BB19=$BG19,BB19=$BL19)),2.5,
IF(AND(AZ2=$C2,BB19=$C19,BD2=TRUE,OR(BB19=$I19,BB19=$N19,BB19=$S19,BB19=$X19,BB19=$AC19,BB19=$AH19,BB19=$AM19,BB19=$AR19,BB19=$AW19,BB19=$BG19,BB19=$BL19)),1.5,
IF(AND(AZ2=$C2,BB19=$C19,BB19&lt;$I19,BB19&lt;$N19,BB19&lt;$S19,BB19&lt;$X19,BB19&lt;$AC19,BB19&lt;$AH19,BB19&lt;$AM19,BB19&lt;$AR19,BB19&lt;$AW19,BB19&lt;$BG19,BB19&lt;$BL19),1,
IF(AND(AZ2=$C2,BB19=$C19,OR(BB19=$I19,BB19=$N19,BB19=$S19,BB19=$X19,BB19=$AC19,BB19=$AH19,BB19=$AM19,BB19=$AR19,BB19=$AW19,BB19=$BG19,BB19=$BL19)),0.5,
0)))))))),
IF(AND(BD19=TRUE,BD2=TRUE),3,
IF(AND(BD19=TRUE,BD2=FALSE),1,
IF(BD19="",0)))
)</f>
        <v>0</v>
      </c>
      <c r="BD19" s="49" t="str">
        <f t="shared" ref="BD19:BD34" si="63">IF($C2="","",
IF(AZ2=$C2,TRUE,FALSE))</f>
        <v/>
      </c>
      <c r="BE19" s="47" t="str">
        <f t="shared" ref="BE19:BE34" si="64">IF(BE2=C2,ABS(BG2-E2),"")</f>
        <v/>
      </c>
      <c r="BF19" s="47" t="str">
        <f t="shared" ref="BF19:BF34" si="65">IF(BE2=C2,ABS(BH2-F2),"")</f>
        <v/>
      </c>
      <c r="BG19" s="48" t="str">
        <f t="shared" ref="BG19:BG34" si="66">IF(BE2=C2,SUM(BE19,BF19),"")</f>
        <v/>
      </c>
      <c r="BH19" s="9">
        <f t="shared" ref="BH19:BH34" si="67">SUM(IF(AND(BE2=$C2,BG19=$C19,$C19=0,BI2=TRUE,BG19&lt;$I19,BG19&lt;$N19,BG19&lt;$S19,BG19&lt;$X19,BG19&lt;$AC19,BG19&lt;$AH19,BG19&lt;$AM19,BG19&lt;$AR19,BG19&lt;$AW19,BG19&lt;$BB19,BG19&lt;$BL19),15,
IF(AND(BE2=$C2,BG19=$C19,$C19=0,BI2=TRUE,OR(BG19=$I19,BG19=$N19,BG19=$S19,BG19=$X19,BG19=$AC19,BG19=$AH19,BG19=$AM19,BG19=$AR19,BG19=$AW19,BG19=$BB19,BG19=$BL19)),7.5,
IF(AND(BE2=$C2,BG19=$C19,$C19=0,BG19&lt;$I19,BG19&lt;$N19,BG19&lt;$S19,BG19&lt;$X19,BG19&lt;$AC19,BG19&lt;$AH19,BG19&lt;$AM19,BG19&lt;$AR19,BG19&lt;$AW19,BG19&lt;$BB19,BG19&lt;$BL19),5,
IF(AND(BE2=$C2,BG19=$C19,BI2=TRUE,BG19&lt;$I19,BG19&lt;$N19,BG19&lt;$S19,BG19&lt;$X19,BG19&lt;$AC19,BG19&lt;$AH19,BG19&lt;$AM19,BG19&lt;$AR19,BG19&lt;$AW19,BG19&lt;$BB19,BG19&lt;$BL19),3,
IF(AND(BE2=$C2,BG19=$C19,$C19=0,OR(BG19=$I19,BG19=$N19,BG19=$S19,BG19=$X19,BG19=$AC19,BG19=$AH19,BG19=$AM19,BG19=$AR19,BG19=$AW19,BG19=$BB19,BG19=$BL19)),2.5,
IF(AND(BE2=$C2,BG19=$C19,BI2=TRUE,OR(BG19=$I19,BG19=$N19,BG19=$S19,BG19=$X19,BG19=$AC19,BG19=$AH19,BG19=$AM19,BG19=$AR19,BG19=$AW19,BG19=$BB19,BG19=$BL19)),1.5,
IF(AND(BE2=$C2,BG19=$C19,BG19&lt;$I19,BG19&lt;$N19,BG19&lt;$S19,BG19&lt;$X19,BG19&lt;$AC19,BG19&lt;$AH19,BG19&lt;$AM19,BG19&lt;$AR19,BG19&lt;$AW19,BG19&lt;$BB19,BG19&lt;$BL19),1,
IF(AND(BE2=$C2,BG19=$C19,OR(BG19=$I19,BG19=$N19,BG19=$S19,BG19=$X19,BG19=$AC19,BG19=$AH19,BG19=$AM19,BG19=$AR19,BG19=$AW19,BG19=$BB19,BG19=$BL19)),0.5,
0)))))))),
IF(AND(BI19=TRUE,BI2=TRUE),3,
IF(AND(BI19=TRUE,BI2=FALSE),1,
IF(BI19="",0)))
)</f>
        <v>0</v>
      </c>
      <c r="BI19" s="49" t="str">
        <f t="shared" ref="BI19:BI34" si="68">IF($C2="","",
IF(BE2=$C2,TRUE,FALSE))</f>
        <v/>
      </c>
      <c r="BJ19" s="47" t="str">
        <f t="shared" ref="BJ19:BJ34" si="69">IF(BJ2=C2,ABS(BL2-E2),"")</f>
        <v/>
      </c>
      <c r="BK19" s="47" t="str">
        <f t="shared" ref="BK19:BK34" si="70">IF(BJ2=C2,ABS(BM2-F2),"")</f>
        <v/>
      </c>
      <c r="BL19" s="48" t="str">
        <f t="shared" ref="BL19:BL34" si="71">IF(BJ2=C2,SUM(BJ19,BK19),"")</f>
        <v/>
      </c>
      <c r="BM19" s="9">
        <f t="shared" ref="BM19:BM34" si="72">SUM(IF(AND(BJ2=$C2,BL19=$C19,$C19=0,BN2=TRUE,BL19&lt;$I19,BL19&lt;$N19,BL19&lt;$S19,BL19&lt;$X19,BL19&lt;$AC19,BL19&lt;$AH19,BL19&lt;$AM19,BL19&lt;$AR19,BL19&lt;$AW19,BL19&lt;$BB19,BL19&lt;$BG19),15,
IF(AND(BJ2=$C2,BL19=$C19,$C19=0,BN2=TRUE,OR(BL19=$I19,BL19=$N19,BL19=$S19,BL19=$X19,BL19=$AC19,BL19=$AH19,BL19=$AM19,BL19=$AR19,BL19=$AW19,BL19=$BB19,BL19=$BG19)),7.5,
IF(AND(BJ2=$C2,BL19=$C19,$C19=0,BL19&lt;$I19,BL19&lt;$N19,BL19&lt;$S19,BL19&lt;$X19,BL19&lt;$AC19,BL19&lt;$AH19,BL19&lt;$AM19,BL19&lt;$AR19,BL19&lt;$AW19,BL19&lt;$BB19,BL19&lt;$BG19),5,
IF(AND(BJ2=$C2,BL19=$C19,BN2=TRUE,BL19&lt;$I19,BL19&lt;$N19,BL19&lt;$S19,BL19&lt;$X19,BL19&lt;$AC19,BL19&lt;$AH19,BL19&lt;$AM19,BL19&lt;$AR19,BL19&lt;$AW19,BL19&lt;$BB19,BL19&lt;$BG19),3,
IF(AND(BJ2=$C2,BL19=$C19,$C19=0,OR(BL19=$I19,BL19=$N19,BL19=$S19,BL19=$X19,BL19=$AC19,BL19=$AH19,BL19=$AM19,BL19=$AR19,BL19=$AW19,BL19=$BB19,BL19=$BG19)),2.5,
IF(AND(BJ2=$C2,BL19=$C19,BN2=TRUE,OR(BL19=$I19,BL19=$N19,BL19=$S19,BL19=$X19,BL19=$AC19,BL19=$AH19,BL19=$AM19,BL19=$AR19,BL19=$AW19,BL19=$BB19,BL19=$BG19)),1.5,
IF(AND(BJ2=$C2,BL19=$C19,BL19&lt;$I19,BL19&lt;$N19,BL19&lt;$S19,BL19&lt;$X19,BL19&lt;$AC19,BL19&lt;$AH19,BL19&lt;$AM19,BL19&lt;$AR19,BL19&lt;$AW19,BL19&lt;$BB19,BL19&lt;$BG19),1,
IF(AND(BJ2=$C2,BL19=$C19,OR(BL19=$I19,BL19=$N19,BL19=$S19,BL19=$X19,BL19=$AC19,BL19=$AH19,BL19=$AM19,BL19=$AR19,BL19=$AW19,BL19=$BB19,BL19=$BG19)),0.5,
0)))))))),
IF(AND(BN19=TRUE,BN2=TRUE),3,
IF(AND(BN19=TRUE,BN2=FALSE),1,
IF(BN19="",0)))
)</f>
        <v>0</v>
      </c>
      <c r="BN19" s="49" t="str">
        <f t="shared" ref="BN19:BN34" si="73">IF($C2="","",
IF(BJ2=$C2,TRUE,FALSE))</f>
        <v/>
      </c>
      <c r="BO19" s="41"/>
      <c r="BP19" s="41"/>
      <c r="BQ19" s="41"/>
    </row>
    <row r="20" hidden="1">
      <c r="A20" s="40"/>
      <c r="B20" s="40"/>
      <c r="C20" s="46">
        <f t="shared" si="13"/>
        <v>0</v>
      </c>
      <c r="D20" s="49"/>
      <c r="E20" s="49"/>
      <c r="F20" s="49"/>
      <c r="G20" s="47" t="str">
        <f t="shared" si="14"/>
        <v/>
      </c>
      <c r="H20" s="47" t="str">
        <f t="shared" si="15"/>
        <v/>
      </c>
      <c r="I20" s="48" t="str">
        <f t="shared" si="16"/>
        <v/>
      </c>
      <c r="J20" s="9">
        <f t="shared" si="17"/>
        <v>0</v>
      </c>
      <c r="K20" s="49" t="str">
        <f t="shared" si="18"/>
        <v/>
      </c>
      <c r="L20" s="47" t="str">
        <f t="shared" si="19"/>
        <v/>
      </c>
      <c r="M20" s="47" t="str">
        <f t="shared" si="20"/>
        <v/>
      </c>
      <c r="N20" s="48" t="str">
        <f t="shared" si="21"/>
        <v/>
      </c>
      <c r="O20" s="9">
        <f t="shared" si="22"/>
        <v>0</v>
      </c>
      <c r="P20" s="49" t="str">
        <f t="shared" si="23"/>
        <v/>
      </c>
      <c r="Q20" s="47" t="str">
        <f t="shared" si="24"/>
        <v/>
      </c>
      <c r="R20" s="47" t="str">
        <f t="shared" si="25"/>
        <v/>
      </c>
      <c r="S20" s="48" t="str">
        <f t="shared" si="26"/>
        <v/>
      </c>
      <c r="T20" s="9">
        <f t="shared" si="27"/>
        <v>0</v>
      </c>
      <c r="U20" s="49" t="str">
        <f t="shared" si="28"/>
        <v/>
      </c>
      <c r="V20" s="47" t="str">
        <f t="shared" si="29"/>
        <v/>
      </c>
      <c r="W20" s="47" t="str">
        <f t="shared" si="30"/>
        <v/>
      </c>
      <c r="X20" s="48" t="str">
        <f t="shared" si="31"/>
        <v/>
      </c>
      <c r="Y20" s="9">
        <f t="shared" si="32"/>
        <v>0</v>
      </c>
      <c r="Z20" s="49" t="str">
        <f t="shared" si="33"/>
        <v/>
      </c>
      <c r="AA20" s="47" t="str">
        <f t="shared" si="34"/>
        <v/>
      </c>
      <c r="AB20" s="47" t="str">
        <f t="shared" si="35"/>
        <v/>
      </c>
      <c r="AC20" s="48" t="str">
        <f t="shared" si="36"/>
        <v/>
      </c>
      <c r="AD20" s="9">
        <f t="shared" si="37"/>
        <v>0</v>
      </c>
      <c r="AE20" s="49" t="str">
        <f t="shared" si="38"/>
        <v/>
      </c>
      <c r="AF20" s="47" t="str">
        <f t="shared" si="39"/>
        <v/>
      </c>
      <c r="AG20" s="47" t="str">
        <f t="shared" si="40"/>
        <v/>
      </c>
      <c r="AH20" s="48" t="str">
        <f t="shared" si="41"/>
        <v/>
      </c>
      <c r="AI20" s="9">
        <f t="shared" si="42"/>
        <v>0</v>
      </c>
      <c r="AJ20" s="49" t="str">
        <f t="shared" si="43"/>
        <v/>
      </c>
      <c r="AK20" s="47" t="str">
        <f t="shared" si="44"/>
        <v/>
      </c>
      <c r="AL20" s="47" t="str">
        <f t="shared" si="45"/>
        <v/>
      </c>
      <c r="AM20" s="48" t="str">
        <f t="shared" si="46"/>
        <v/>
      </c>
      <c r="AN20" s="9">
        <f t="shared" si="47"/>
        <v>0</v>
      </c>
      <c r="AO20" s="49" t="str">
        <f t="shared" si="48"/>
        <v/>
      </c>
      <c r="AP20" s="47" t="str">
        <f t="shared" si="49"/>
        <v/>
      </c>
      <c r="AQ20" s="47" t="str">
        <f t="shared" si="50"/>
        <v/>
      </c>
      <c r="AR20" s="48" t="str">
        <f t="shared" si="51"/>
        <v/>
      </c>
      <c r="AS20" s="9">
        <f t="shared" si="52"/>
        <v>0</v>
      </c>
      <c r="AT20" s="49" t="str">
        <f t="shared" si="53"/>
        <v/>
      </c>
      <c r="AU20" s="47" t="str">
        <f t="shared" si="54"/>
        <v/>
      </c>
      <c r="AV20" s="47" t="str">
        <f t="shared" si="55"/>
        <v/>
      </c>
      <c r="AW20" s="48" t="str">
        <f t="shared" si="56"/>
        <v/>
      </c>
      <c r="AX20" s="9">
        <f t="shared" si="57"/>
        <v>0</v>
      </c>
      <c r="AY20" s="49" t="str">
        <f t="shared" si="58"/>
        <v/>
      </c>
      <c r="AZ20" s="47" t="str">
        <f t="shared" si="59"/>
        <v/>
      </c>
      <c r="BA20" s="47" t="str">
        <f t="shared" si="60"/>
        <v/>
      </c>
      <c r="BB20" s="48" t="str">
        <f t="shared" si="61"/>
        <v/>
      </c>
      <c r="BC20" s="9">
        <f t="shared" si="62"/>
        <v>0</v>
      </c>
      <c r="BD20" s="49" t="str">
        <f t="shared" si="63"/>
        <v/>
      </c>
      <c r="BE20" s="47" t="str">
        <f t="shared" si="64"/>
        <v/>
      </c>
      <c r="BF20" s="47" t="str">
        <f t="shared" si="65"/>
        <v/>
      </c>
      <c r="BG20" s="48" t="str">
        <f t="shared" si="66"/>
        <v/>
      </c>
      <c r="BH20" s="9">
        <f t="shared" si="67"/>
        <v>0</v>
      </c>
      <c r="BI20" s="49" t="str">
        <f t="shared" si="68"/>
        <v/>
      </c>
      <c r="BJ20" s="47" t="str">
        <f t="shared" si="69"/>
        <v/>
      </c>
      <c r="BK20" s="47" t="str">
        <f t="shared" si="70"/>
        <v/>
      </c>
      <c r="BL20" s="48" t="str">
        <f t="shared" si="71"/>
        <v/>
      </c>
      <c r="BM20" s="9">
        <f t="shared" si="72"/>
        <v>0</v>
      </c>
      <c r="BN20" s="49" t="str">
        <f t="shared" si="73"/>
        <v/>
      </c>
      <c r="BO20" s="40"/>
      <c r="BP20" s="40"/>
      <c r="BQ20" s="40"/>
    </row>
    <row r="21" hidden="1">
      <c r="A21" s="40"/>
      <c r="B21" s="40"/>
      <c r="C21" s="46">
        <f t="shared" si="13"/>
        <v>0</v>
      </c>
      <c r="D21" s="49"/>
      <c r="E21" s="49"/>
      <c r="F21" s="49"/>
      <c r="G21" s="47" t="str">
        <f t="shared" si="14"/>
        <v/>
      </c>
      <c r="H21" s="47" t="str">
        <f t="shared" si="15"/>
        <v/>
      </c>
      <c r="I21" s="48" t="str">
        <f t="shared" si="16"/>
        <v/>
      </c>
      <c r="J21" s="9">
        <f t="shared" si="17"/>
        <v>0</v>
      </c>
      <c r="K21" s="49" t="str">
        <f t="shared" si="18"/>
        <v/>
      </c>
      <c r="L21" s="47" t="str">
        <f t="shared" si="19"/>
        <v/>
      </c>
      <c r="M21" s="47" t="str">
        <f t="shared" si="20"/>
        <v/>
      </c>
      <c r="N21" s="48" t="str">
        <f t="shared" si="21"/>
        <v/>
      </c>
      <c r="O21" s="9">
        <f t="shared" si="22"/>
        <v>0</v>
      </c>
      <c r="P21" s="49" t="str">
        <f t="shared" si="23"/>
        <v/>
      </c>
      <c r="Q21" s="47" t="str">
        <f t="shared" si="24"/>
        <v/>
      </c>
      <c r="R21" s="47" t="str">
        <f t="shared" si="25"/>
        <v/>
      </c>
      <c r="S21" s="48" t="str">
        <f t="shared" si="26"/>
        <v/>
      </c>
      <c r="T21" s="9">
        <f t="shared" si="27"/>
        <v>0</v>
      </c>
      <c r="U21" s="49" t="str">
        <f t="shared" si="28"/>
        <v/>
      </c>
      <c r="V21" s="47" t="str">
        <f t="shared" si="29"/>
        <v/>
      </c>
      <c r="W21" s="47" t="str">
        <f t="shared" si="30"/>
        <v/>
      </c>
      <c r="X21" s="48" t="str">
        <f t="shared" si="31"/>
        <v/>
      </c>
      <c r="Y21" s="9">
        <f t="shared" si="32"/>
        <v>0</v>
      </c>
      <c r="Z21" s="49" t="str">
        <f t="shared" si="33"/>
        <v/>
      </c>
      <c r="AA21" s="47" t="str">
        <f t="shared" si="34"/>
        <v/>
      </c>
      <c r="AB21" s="47" t="str">
        <f t="shared" si="35"/>
        <v/>
      </c>
      <c r="AC21" s="48" t="str">
        <f t="shared" si="36"/>
        <v/>
      </c>
      <c r="AD21" s="9">
        <f t="shared" si="37"/>
        <v>0</v>
      </c>
      <c r="AE21" s="49" t="str">
        <f t="shared" si="38"/>
        <v/>
      </c>
      <c r="AF21" s="47" t="str">
        <f t="shared" si="39"/>
        <v/>
      </c>
      <c r="AG21" s="47" t="str">
        <f t="shared" si="40"/>
        <v/>
      </c>
      <c r="AH21" s="48" t="str">
        <f t="shared" si="41"/>
        <v/>
      </c>
      <c r="AI21" s="9">
        <f t="shared" si="42"/>
        <v>0</v>
      </c>
      <c r="AJ21" s="49" t="str">
        <f t="shared" si="43"/>
        <v/>
      </c>
      <c r="AK21" s="47" t="str">
        <f t="shared" si="44"/>
        <v/>
      </c>
      <c r="AL21" s="47" t="str">
        <f t="shared" si="45"/>
        <v/>
      </c>
      <c r="AM21" s="48" t="str">
        <f t="shared" si="46"/>
        <v/>
      </c>
      <c r="AN21" s="9">
        <f t="shared" si="47"/>
        <v>0</v>
      </c>
      <c r="AO21" s="49" t="str">
        <f t="shared" si="48"/>
        <v/>
      </c>
      <c r="AP21" s="47" t="str">
        <f t="shared" si="49"/>
        <v/>
      </c>
      <c r="AQ21" s="47" t="str">
        <f t="shared" si="50"/>
        <v/>
      </c>
      <c r="AR21" s="48" t="str">
        <f t="shared" si="51"/>
        <v/>
      </c>
      <c r="AS21" s="9">
        <f t="shared" si="52"/>
        <v>0</v>
      </c>
      <c r="AT21" s="49" t="str">
        <f t="shared" si="53"/>
        <v/>
      </c>
      <c r="AU21" s="47" t="str">
        <f t="shared" si="54"/>
        <v/>
      </c>
      <c r="AV21" s="47" t="str">
        <f t="shared" si="55"/>
        <v/>
      </c>
      <c r="AW21" s="48" t="str">
        <f t="shared" si="56"/>
        <v/>
      </c>
      <c r="AX21" s="9">
        <f t="shared" si="57"/>
        <v>0</v>
      </c>
      <c r="AY21" s="49" t="str">
        <f t="shared" si="58"/>
        <v/>
      </c>
      <c r="AZ21" s="47" t="str">
        <f t="shared" si="59"/>
        <v/>
      </c>
      <c r="BA21" s="47" t="str">
        <f t="shared" si="60"/>
        <v/>
      </c>
      <c r="BB21" s="48" t="str">
        <f t="shared" si="61"/>
        <v/>
      </c>
      <c r="BC21" s="9">
        <f t="shared" si="62"/>
        <v>0</v>
      </c>
      <c r="BD21" s="49" t="str">
        <f t="shared" si="63"/>
        <v/>
      </c>
      <c r="BE21" s="47" t="str">
        <f t="shared" si="64"/>
        <v/>
      </c>
      <c r="BF21" s="47" t="str">
        <f t="shared" si="65"/>
        <v/>
      </c>
      <c r="BG21" s="48" t="str">
        <f t="shared" si="66"/>
        <v/>
      </c>
      <c r="BH21" s="9">
        <f t="shared" si="67"/>
        <v>0</v>
      </c>
      <c r="BI21" s="49" t="str">
        <f t="shared" si="68"/>
        <v/>
      </c>
      <c r="BJ21" s="47" t="str">
        <f t="shared" si="69"/>
        <v/>
      </c>
      <c r="BK21" s="47" t="str">
        <f t="shared" si="70"/>
        <v/>
      </c>
      <c r="BL21" s="48" t="str">
        <f t="shared" si="71"/>
        <v/>
      </c>
      <c r="BM21" s="9">
        <f t="shared" si="72"/>
        <v>0</v>
      </c>
      <c r="BN21" s="49" t="str">
        <f t="shared" si="73"/>
        <v/>
      </c>
      <c r="BO21" s="40"/>
      <c r="BP21" s="40"/>
      <c r="BQ21" s="40"/>
    </row>
    <row r="22" hidden="1">
      <c r="A22" s="40"/>
      <c r="B22" s="40"/>
      <c r="C22" s="46">
        <f t="shared" si="13"/>
        <v>0</v>
      </c>
      <c r="D22" s="49"/>
      <c r="E22" s="49"/>
      <c r="F22" s="49"/>
      <c r="G22" s="47" t="str">
        <f t="shared" si="14"/>
        <v/>
      </c>
      <c r="H22" s="47" t="str">
        <f t="shared" si="15"/>
        <v/>
      </c>
      <c r="I22" s="48" t="str">
        <f t="shared" si="16"/>
        <v/>
      </c>
      <c r="J22" s="9">
        <f t="shared" si="17"/>
        <v>0</v>
      </c>
      <c r="K22" s="49" t="str">
        <f t="shared" si="18"/>
        <v/>
      </c>
      <c r="L22" s="47" t="str">
        <f t="shared" si="19"/>
        <v/>
      </c>
      <c r="M22" s="47" t="str">
        <f t="shared" si="20"/>
        <v/>
      </c>
      <c r="N22" s="48" t="str">
        <f t="shared" si="21"/>
        <v/>
      </c>
      <c r="O22" s="9">
        <f t="shared" si="22"/>
        <v>0</v>
      </c>
      <c r="P22" s="49" t="str">
        <f t="shared" si="23"/>
        <v/>
      </c>
      <c r="Q22" s="47" t="str">
        <f t="shared" si="24"/>
        <v/>
      </c>
      <c r="R22" s="47" t="str">
        <f t="shared" si="25"/>
        <v/>
      </c>
      <c r="S22" s="48" t="str">
        <f t="shared" si="26"/>
        <v/>
      </c>
      <c r="T22" s="9">
        <f t="shared" si="27"/>
        <v>0</v>
      </c>
      <c r="U22" s="49" t="str">
        <f t="shared" si="28"/>
        <v/>
      </c>
      <c r="V22" s="47" t="str">
        <f t="shared" si="29"/>
        <v/>
      </c>
      <c r="W22" s="47" t="str">
        <f t="shared" si="30"/>
        <v/>
      </c>
      <c r="X22" s="48" t="str">
        <f t="shared" si="31"/>
        <v/>
      </c>
      <c r="Y22" s="9">
        <f t="shared" si="32"/>
        <v>0</v>
      </c>
      <c r="Z22" s="49" t="str">
        <f t="shared" si="33"/>
        <v/>
      </c>
      <c r="AA22" s="47" t="str">
        <f t="shared" si="34"/>
        <v/>
      </c>
      <c r="AB22" s="47" t="str">
        <f t="shared" si="35"/>
        <v/>
      </c>
      <c r="AC22" s="48" t="str">
        <f t="shared" si="36"/>
        <v/>
      </c>
      <c r="AD22" s="9">
        <f t="shared" si="37"/>
        <v>0</v>
      </c>
      <c r="AE22" s="49" t="str">
        <f t="shared" si="38"/>
        <v/>
      </c>
      <c r="AF22" s="47" t="str">
        <f t="shared" si="39"/>
        <v/>
      </c>
      <c r="AG22" s="47" t="str">
        <f t="shared" si="40"/>
        <v/>
      </c>
      <c r="AH22" s="48" t="str">
        <f t="shared" si="41"/>
        <v/>
      </c>
      <c r="AI22" s="9">
        <f t="shared" si="42"/>
        <v>0</v>
      </c>
      <c r="AJ22" s="49" t="str">
        <f t="shared" si="43"/>
        <v/>
      </c>
      <c r="AK22" s="47" t="str">
        <f t="shared" si="44"/>
        <v/>
      </c>
      <c r="AL22" s="47" t="str">
        <f t="shared" si="45"/>
        <v/>
      </c>
      <c r="AM22" s="48" t="str">
        <f t="shared" si="46"/>
        <v/>
      </c>
      <c r="AN22" s="9">
        <f t="shared" si="47"/>
        <v>0</v>
      </c>
      <c r="AO22" s="49" t="str">
        <f t="shared" si="48"/>
        <v/>
      </c>
      <c r="AP22" s="47" t="str">
        <f t="shared" si="49"/>
        <v/>
      </c>
      <c r="AQ22" s="47" t="str">
        <f t="shared" si="50"/>
        <v/>
      </c>
      <c r="AR22" s="48" t="str">
        <f t="shared" si="51"/>
        <v/>
      </c>
      <c r="AS22" s="9">
        <f t="shared" si="52"/>
        <v>0</v>
      </c>
      <c r="AT22" s="49" t="str">
        <f t="shared" si="53"/>
        <v/>
      </c>
      <c r="AU22" s="47" t="str">
        <f t="shared" si="54"/>
        <v/>
      </c>
      <c r="AV22" s="47" t="str">
        <f t="shared" si="55"/>
        <v/>
      </c>
      <c r="AW22" s="48" t="str">
        <f t="shared" si="56"/>
        <v/>
      </c>
      <c r="AX22" s="9">
        <f t="shared" si="57"/>
        <v>0</v>
      </c>
      <c r="AY22" s="49" t="str">
        <f t="shared" si="58"/>
        <v/>
      </c>
      <c r="AZ22" s="47" t="str">
        <f t="shared" si="59"/>
        <v/>
      </c>
      <c r="BA22" s="47" t="str">
        <f t="shared" si="60"/>
        <v/>
      </c>
      <c r="BB22" s="48" t="str">
        <f t="shared" si="61"/>
        <v/>
      </c>
      <c r="BC22" s="9">
        <f t="shared" si="62"/>
        <v>0</v>
      </c>
      <c r="BD22" s="49" t="str">
        <f t="shared" si="63"/>
        <v/>
      </c>
      <c r="BE22" s="47" t="str">
        <f t="shared" si="64"/>
        <v/>
      </c>
      <c r="BF22" s="47" t="str">
        <f t="shared" si="65"/>
        <v/>
      </c>
      <c r="BG22" s="48" t="str">
        <f t="shared" si="66"/>
        <v/>
      </c>
      <c r="BH22" s="9">
        <f t="shared" si="67"/>
        <v>0</v>
      </c>
      <c r="BI22" s="49" t="str">
        <f t="shared" si="68"/>
        <v/>
      </c>
      <c r="BJ22" s="47" t="str">
        <f t="shared" si="69"/>
        <v/>
      </c>
      <c r="BK22" s="47" t="str">
        <f t="shared" si="70"/>
        <v/>
      </c>
      <c r="BL22" s="48" t="str">
        <f t="shared" si="71"/>
        <v/>
      </c>
      <c r="BM22" s="9">
        <f t="shared" si="72"/>
        <v>0</v>
      </c>
      <c r="BN22" s="49" t="str">
        <f t="shared" si="73"/>
        <v/>
      </c>
      <c r="BO22" s="40"/>
      <c r="BP22" s="40"/>
      <c r="BQ22" s="40"/>
    </row>
    <row r="23" hidden="1">
      <c r="A23" s="40"/>
      <c r="B23" s="40"/>
      <c r="C23" s="46">
        <f t="shared" si="13"/>
        <v>0</v>
      </c>
      <c r="D23" s="49"/>
      <c r="E23" s="49"/>
      <c r="F23" s="49"/>
      <c r="G23" s="47" t="str">
        <f t="shared" si="14"/>
        <v/>
      </c>
      <c r="H23" s="47" t="str">
        <f t="shared" si="15"/>
        <v/>
      </c>
      <c r="I23" s="48" t="str">
        <f t="shared" si="16"/>
        <v/>
      </c>
      <c r="J23" s="9">
        <f t="shared" si="17"/>
        <v>0</v>
      </c>
      <c r="K23" s="49" t="str">
        <f t="shared" si="18"/>
        <v/>
      </c>
      <c r="L23" s="47" t="str">
        <f t="shared" si="19"/>
        <v/>
      </c>
      <c r="M23" s="47" t="str">
        <f t="shared" si="20"/>
        <v/>
      </c>
      <c r="N23" s="48" t="str">
        <f t="shared" si="21"/>
        <v/>
      </c>
      <c r="O23" s="9">
        <f t="shared" si="22"/>
        <v>0</v>
      </c>
      <c r="P23" s="49" t="str">
        <f t="shared" si="23"/>
        <v/>
      </c>
      <c r="Q23" s="47" t="str">
        <f t="shared" si="24"/>
        <v/>
      </c>
      <c r="R23" s="47" t="str">
        <f t="shared" si="25"/>
        <v/>
      </c>
      <c r="S23" s="48" t="str">
        <f t="shared" si="26"/>
        <v/>
      </c>
      <c r="T23" s="9">
        <f t="shared" si="27"/>
        <v>0</v>
      </c>
      <c r="U23" s="49" t="str">
        <f t="shared" si="28"/>
        <v/>
      </c>
      <c r="V23" s="47" t="str">
        <f t="shared" si="29"/>
        <v/>
      </c>
      <c r="W23" s="47" t="str">
        <f t="shared" si="30"/>
        <v/>
      </c>
      <c r="X23" s="48" t="str">
        <f t="shared" si="31"/>
        <v/>
      </c>
      <c r="Y23" s="9">
        <f t="shared" si="32"/>
        <v>0</v>
      </c>
      <c r="Z23" s="49" t="str">
        <f t="shared" si="33"/>
        <v/>
      </c>
      <c r="AA23" s="47" t="str">
        <f t="shared" si="34"/>
        <v/>
      </c>
      <c r="AB23" s="47" t="str">
        <f t="shared" si="35"/>
        <v/>
      </c>
      <c r="AC23" s="48" t="str">
        <f t="shared" si="36"/>
        <v/>
      </c>
      <c r="AD23" s="9">
        <f t="shared" si="37"/>
        <v>0</v>
      </c>
      <c r="AE23" s="49" t="str">
        <f t="shared" si="38"/>
        <v/>
      </c>
      <c r="AF23" s="47" t="str">
        <f t="shared" si="39"/>
        <v/>
      </c>
      <c r="AG23" s="47" t="str">
        <f t="shared" si="40"/>
        <v/>
      </c>
      <c r="AH23" s="48" t="str">
        <f t="shared" si="41"/>
        <v/>
      </c>
      <c r="AI23" s="9">
        <f t="shared" si="42"/>
        <v>0</v>
      </c>
      <c r="AJ23" s="49" t="str">
        <f t="shared" si="43"/>
        <v/>
      </c>
      <c r="AK23" s="47" t="str">
        <f t="shared" si="44"/>
        <v/>
      </c>
      <c r="AL23" s="47" t="str">
        <f t="shared" si="45"/>
        <v/>
      </c>
      <c r="AM23" s="48" t="str">
        <f t="shared" si="46"/>
        <v/>
      </c>
      <c r="AN23" s="9">
        <f t="shared" si="47"/>
        <v>0</v>
      </c>
      <c r="AO23" s="49" t="str">
        <f t="shared" si="48"/>
        <v/>
      </c>
      <c r="AP23" s="47" t="str">
        <f t="shared" si="49"/>
        <v/>
      </c>
      <c r="AQ23" s="47" t="str">
        <f t="shared" si="50"/>
        <v/>
      </c>
      <c r="AR23" s="48" t="str">
        <f t="shared" si="51"/>
        <v/>
      </c>
      <c r="AS23" s="9">
        <f t="shared" si="52"/>
        <v>0</v>
      </c>
      <c r="AT23" s="49" t="str">
        <f t="shared" si="53"/>
        <v/>
      </c>
      <c r="AU23" s="47" t="str">
        <f t="shared" si="54"/>
        <v/>
      </c>
      <c r="AV23" s="47" t="str">
        <f t="shared" si="55"/>
        <v/>
      </c>
      <c r="AW23" s="48" t="str">
        <f t="shared" si="56"/>
        <v/>
      </c>
      <c r="AX23" s="9">
        <f t="shared" si="57"/>
        <v>0</v>
      </c>
      <c r="AY23" s="49" t="str">
        <f t="shared" si="58"/>
        <v/>
      </c>
      <c r="AZ23" s="47" t="str">
        <f t="shared" si="59"/>
        <v/>
      </c>
      <c r="BA23" s="47" t="str">
        <f t="shared" si="60"/>
        <v/>
      </c>
      <c r="BB23" s="48" t="str">
        <f t="shared" si="61"/>
        <v/>
      </c>
      <c r="BC23" s="9">
        <f t="shared" si="62"/>
        <v>0</v>
      </c>
      <c r="BD23" s="49" t="str">
        <f t="shared" si="63"/>
        <v/>
      </c>
      <c r="BE23" s="47" t="str">
        <f t="shared" si="64"/>
        <v/>
      </c>
      <c r="BF23" s="47" t="str">
        <f t="shared" si="65"/>
        <v/>
      </c>
      <c r="BG23" s="48" t="str">
        <f t="shared" si="66"/>
        <v/>
      </c>
      <c r="BH23" s="9">
        <f t="shared" si="67"/>
        <v>0</v>
      </c>
      <c r="BI23" s="49" t="str">
        <f t="shared" si="68"/>
        <v/>
      </c>
      <c r="BJ23" s="47" t="str">
        <f t="shared" si="69"/>
        <v/>
      </c>
      <c r="BK23" s="47" t="str">
        <f t="shared" si="70"/>
        <v/>
      </c>
      <c r="BL23" s="48" t="str">
        <f t="shared" si="71"/>
        <v/>
      </c>
      <c r="BM23" s="9">
        <f t="shared" si="72"/>
        <v>0</v>
      </c>
      <c r="BN23" s="49" t="str">
        <f t="shared" si="73"/>
        <v/>
      </c>
      <c r="BO23" s="40"/>
      <c r="BP23" s="40"/>
      <c r="BQ23" s="40"/>
    </row>
    <row r="24" hidden="1">
      <c r="A24" s="40"/>
      <c r="B24" s="40"/>
      <c r="C24" s="46">
        <f t="shared" si="13"/>
        <v>0</v>
      </c>
      <c r="D24" s="49"/>
      <c r="E24" s="49"/>
      <c r="F24" s="49"/>
      <c r="G24" s="47" t="str">
        <f t="shared" si="14"/>
        <v/>
      </c>
      <c r="H24" s="47" t="str">
        <f t="shared" si="15"/>
        <v/>
      </c>
      <c r="I24" s="48" t="str">
        <f t="shared" si="16"/>
        <v/>
      </c>
      <c r="J24" s="9">
        <f t="shared" si="17"/>
        <v>0</v>
      </c>
      <c r="K24" s="49" t="str">
        <f t="shared" si="18"/>
        <v/>
      </c>
      <c r="L24" s="47" t="str">
        <f t="shared" si="19"/>
        <v/>
      </c>
      <c r="M24" s="47" t="str">
        <f t="shared" si="20"/>
        <v/>
      </c>
      <c r="N24" s="48" t="str">
        <f t="shared" si="21"/>
        <v/>
      </c>
      <c r="O24" s="9">
        <f t="shared" si="22"/>
        <v>0</v>
      </c>
      <c r="P24" s="49" t="str">
        <f t="shared" si="23"/>
        <v/>
      </c>
      <c r="Q24" s="47" t="str">
        <f t="shared" si="24"/>
        <v/>
      </c>
      <c r="R24" s="47" t="str">
        <f t="shared" si="25"/>
        <v/>
      </c>
      <c r="S24" s="48" t="str">
        <f t="shared" si="26"/>
        <v/>
      </c>
      <c r="T24" s="9">
        <f t="shared" si="27"/>
        <v>0</v>
      </c>
      <c r="U24" s="49" t="str">
        <f t="shared" si="28"/>
        <v/>
      </c>
      <c r="V24" s="47" t="str">
        <f t="shared" si="29"/>
        <v/>
      </c>
      <c r="W24" s="47" t="str">
        <f t="shared" si="30"/>
        <v/>
      </c>
      <c r="X24" s="48" t="str">
        <f t="shared" si="31"/>
        <v/>
      </c>
      <c r="Y24" s="9">
        <f t="shared" si="32"/>
        <v>0</v>
      </c>
      <c r="Z24" s="49" t="str">
        <f t="shared" si="33"/>
        <v/>
      </c>
      <c r="AA24" s="47" t="str">
        <f t="shared" si="34"/>
        <v/>
      </c>
      <c r="AB24" s="47" t="str">
        <f t="shared" si="35"/>
        <v/>
      </c>
      <c r="AC24" s="48" t="str">
        <f t="shared" si="36"/>
        <v/>
      </c>
      <c r="AD24" s="9">
        <f t="shared" si="37"/>
        <v>0</v>
      </c>
      <c r="AE24" s="49" t="str">
        <f t="shared" si="38"/>
        <v/>
      </c>
      <c r="AF24" s="47" t="str">
        <f t="shared" si="39"/>
        <v/>
      </c>
      <c r="AG24" s="47" t="str">
        <f t="shared" si="40"/>
        <v/>
      </c>
      <c r="AH24" s="48" t="str">
        <f t="shared" si="41"/>
        <v/>
      </c>
      <c r="AI24" s="9">
        <f t="shared" si="42"/>
        <v>0</v>
      </c>
      <c r="AJ24" s="49" t="str">
        <f t="shared" si="43"/>
        <v/>
      </c>
      <c r="AK24" s="47" t="str">
        <f t="shared" si="44"/>
        <v/>
      </c>
      <c r="AL24" s="47" t="str">
        <f t="shared" si="45"/>
        <v/>
      </c>
      <c r="AM24" s="48" t="str">
        <f t="shared" si="46"/>
        <v/>
      </c>
      <c r="AN24" s="9">
        <f t="shared" si="47"/>
        <v>0</v>
      </c>
      <c r="AO24" s="49" t="str">
        <f t="shared" si="48"/>
        <v/>
      </c>
      <c r="AP24" s="47" t="str">
        <f t="shared" si="49"/>
        <v/>
      </c>
      <c r="AQ24" s="47" t="str">
        <f t="shared" si="50"/>
        <v/>
      </c>
      <c r="AR24" s="48" t="str">
        <f t="shared" si="51"/>
        <v/>
      </c>
      <c r="AS24" s="9">
        <f t="shared" si="52"/>
        <v>0</v>
      </c>
      <c r="AT24" s="49" t="str">
        <f t="shared" si="53"/>
        <v/>
      </c>
      <c r="AU24" s="47" t="str">
        <f t="shared" si="54"/>
        <v/>
      </c>
      <c r="AV24" s="47" t="str">
        <f t="shared" si="55"/>
        <v/>
      </c>
      <c r="AW24" s="48" t="str">
        <f t="shared" si="56"/>
        <v/>
      </c>
      <c r="AX24" s="9">
        <f t="shared" si="57"/>
        <v>0</v>
      </c>
      <c r="AY24" s="49" t="str">
        <f t="shared" si="58"/>
        <v/>
      </c>
      <c r="AZ24" s="47" t="str">
        <f t="shared" si="59"/>
        <v/>
      </c>
      <c r="BA24" s="47" t="str">
        <f t="shared" si="60"/>
        <v/>
      </c>
      <c r="BB24" s="48" t="str">
        <f t="shared" si="61"/>
        <v/>
      </c>
      <c r="BC24" s="9">
        <f t="shared" si="62"/>
        <v>0</v>
      </c>
      <c r="BD24" s="49" t="str">
        <f t="shared" si="63"/>
        <v/>
      </c>
      <c r="BE24" s="47" t="str">
        <f t="shared" si="64"/>
        <v/>
      </c>
      <c r="BF24" s="47" t="str">
        <f t="shared" si="65"/>
        <v/>
      </c>
      <c r="BG24" s="48" t="str">
        <f t="shared" si="66"/>
        <v/>
      </c>
      <c r="BH24" s="9">
        <f t="shared" si="67"/>
        <v>0</v>
      </c>
      <c r="BI24" s="49" t="str">
        <f t="shared" si="68"/>
        <v/>
      </c>
      <c r="BJ24" s="47" t="str">
        <f t="shared" si="69"/>
        <v/>
      </c>
      <c r="BK24" s="47" t="str">
        <f t="shared" si="70"/>
        <v/>
      </c>
      <c r="BL24" s="48" t="str">
        <f t="shared" si="71"/>
        <v/>
      </c>
      <c r="BM24" s="9">
        <f t="shared" si="72"/>
        <v>0</v>
      </c>
      <c r="BN24" s="49" t="str">
        <f t="shared" si="73"/>
        <v/>
      </c>
      <c r="BO24" s="40"/>
      <c r="BP24" s="40"/>
      <c r="BQ24" s="40"/>
    </row>
    <row r="25" hidden="1">
      <c r="A25" s="40"/>
      <c r="B25" s="40"/>
      <c r="C25" s="46">
        <f t="shared" si="13"/>
        <v>0</v>
      </c>
      <c r="D25" s="49"/>
      <c r="E25" s="49"/>
      <c r="F25" s="49"/>
      <c r="G25" s="47" t="str">
        <f t="shared" si="14"/>
        <v/>
      </c>
      <c r="H25" s="47" t="str">
        <f t="shared" si="15"/>
        <v/>
      </c>
      <c r="I25" s="48" t="str">
        <f t="shared" si="16"/>
        <v/>
      </c>
      <c r="J25" s="9">
        <f t="shared" si="17"/>
        <v>0</v>
      </c>
      <c r="K25" s="49" t="str">
        <f t="shared" si="18"/>
        <v/>
      </c>
      <c r="L25" s="47" t="str">
        <f t="shared" si="19"/>
        <v/>
      </c>
      <c r="M25" s="47" t="str">
        <f t="shared" si="20"/>
        <v/>
      </c>
      <c r="N25" s="48" t="str">
        <f t="shared" si="21"/>
        <v/>
      </c>
      <c r="O25" s="9">
        <f t="shared" si="22"/>
        <v>0</v>
      </c>
      <c r="P25" s="49" t="str">
        <f t="shared" si="23"/>
        <v/>
      </c>
      <c r="Q25" s="47" t="str">
        <f t="shared" si="24"/>
        <v/>
      </c>
      <c r="R25" s="47" t="str">
        <f t="shared" si="25"/>
        <v/>
      </c>
      <c r="S25" s="48" t="str">
        <f t="shared" si="26"/>
        <v/>
      </c>
      <c r="T25" s="9">
        <f t="shared" si="27"/>
        <v>0</v>
      </c>
      <c r="U25" s="49" t="str">
        <f t="shared" si="28"/>
        <v/>
      </c>
      <c r="V25" s="47" t="str">
        <f t="shared" si="29"/>
        <v/>
      </c>
      <c r="W25" s="47" t="str">
        <f t="shared" si="30"/>
        <v/>
      </c>
      <c r="X25" s="48" t="str">
        <f t="shared" si="31"/>
        <v/>
      </c>
      <c r="Y25" s="9">
        <f t="shared" si="32"/>
        <v>0</v>
      </c>
      <c r="Z25" s="49" t="str">
        <f t="shared" si="33"/>
        <v/>
      </c>
      <c r="AA25" s="47" t="str">
        <f t="shared" si="34"/>
        <v/>
      </c>
      <c r="AB25" s="47" t="str">
        <f t="shared" si="35"/>
        <v/>
      </c>
      <c r="AC25" s="48" t="str">
        <f t="shared" si="36"/>
        <v/>
      </c>
      <c r="AD25" s="9">
        <f t="shared" si="37"/>
        <v>0</v>
      </c>
      <c r="AE25" s="49" t="str">
        <f t="shared" si="38"/>
        <v/>
      </c>
      <c r="AF25" s="47" t="str">
        <f t="shared" si="39"/>
        <v/>
      </c>
      <c r="AG25" s="47" t="str">
        <f t="shared" si="40"/>
        <v/>
      </c>
      <c r="AH25" s="48" t="str">
        <f t="shared" si="41"/>
        <v/>
      </c>
      <c r="AI25" s="9">
        <f t="shared" si="42"/>
        <v>0</v>
      </c>
      <c r="AJ25" s="49" t="str">
        <f t="shared" si="43"/>
        <v/>
      </c>
      <c r="AK25" s="47" t="str">
        <f t="shared" si="44"/>
        <v/>
      </c>
      <c r="AL25" s="47" t="str">
        <f t="shared" si="45"/>
        <v/>
      </c>
      <c r="AM25" s="48" t="str">
        <f t="shared" si="46"/>
        <v/>
      </c>
      <c r="AN25" s="9">
        <f t="shared" si="47"/>
        <v>0</v>
      </c>
      <c r="AO25" s="49" t="str">
        <f t="shared" si="48"/>
        <v/>
      </c>
      <c r="AP25" s="47" t="str">
        <f t="shared" si="49"/>
        <v/>
      </c>
      <c r="AQ25" s="47" t="str">
        <f t="shared" si="50"/>
        <v/>
      </c>
      <c r="AR25" s="48" t="str">
        <f t="shared" si="51"/>
        <v/>
      </c>
      <c r="AS25" s="9">
        <f t="shared" si="52"/>
        <v>0</v>
      </c>
      <c r="AT25" s="49" t="str">
        <f t="shared" si="53"/>
        <v/>
      </c>
      <c r="AU25" s="47" t="str">
        <f t="shared" si="54"/>
        <v/>
      </c>
      <c r="AV25" s="47" t="str">
        <f t="shared" si="55"/>
        <v/>
      </c>
      <c r="AW25" s="48" t="str">
        <f t="shared" si="56"/>
        <v/>
      </c>
      <c r="AX25" s="9">
        <f t="shared" si="57"/>
        <v>0</v>
      </c>
      <c r="AY25" s="49" t="str">
        <f t="shared" si="58"/>
        <v/>
      </c>
      <c r="AZ25" s="47" t="str">
        <f t="shared" si="59"/>
        <v/>
      </c>
      <c r="BA25" s="47" t="str">
        <f t="shared" si="60"/>
        <v/>
      </c>
      <c r="BB25" s="48" t="str">
        <f t="shared" si="61"/>
        <v/>
      </c>
      <c r="BC25" s="9">
        <f t="shared" si="62"/>
        <v>0</v>
      </c>
      <c r="BD25" s="49" t="str">
        <f t="shared" si="63"/>
        <v/>
      </c>
      <c r="BE25" s="47" t="str">
        <f t="shared" si="64"/>
        <v/>
      </c>
      <c r="BF25" s="47" t="str">
        <f t="shared" si="65"/>
        <v/>
      </c>
      <c r="BG25" s="48" t="str">
        <f t="shared" si="66"/>
        <v/>
      </c>
      <c r="BH25" s="9">
        <f t="shared" si="67"/>
        <v>0</v>
      </c>
      <c r="BI25" s="49" t="str">
        <f t="shared" si="68"/>
        <v/>
      </c>
      <c r="BJ25" s="47" t="str">
        <f t="shared" si="69"/>
        <v/>
      </c>
      <c r="BK25" s="47" t="str">
        <f t="shared" si="70"/>
        <v/>
      </c>
      <c r="BL25" s="48" t="str">
        <f t="shared" si="71"/>
        <v/>
      </c>
      <c r="BM25" s="9">
        <f t="shared" si="72"/>
        <v>0</v>
      </c>
      <c r="BN25" s="49" t="str">
        <f t="shared" si="73"/>
        <v/>
      </c>
      <c r="BO25" s="40"/>
      <c r="BP25" s="40"/>
      <c r="BQ25" s="40"/>
    </row>
    <row r="26" hidden="1">
      <c r="A26" s="40"/>
      <c r="B26" s="40"/>
      <c r="C26" s="46">
        <f t="shared" si="13"/>
        <v>0</v>
      </c>
      <c r="D26" s="49"/>
      <c r="E26" s="49"/>
      <c r="F26" s="49"/>
      <c r="G26" s="47" t="str">
        <f t="shared" si="14"/>
        <v/>
      </c>
      <c r="H26" s="47" t="str">
        <f t="shared" si="15"/>
        <v/>
      </c>
      <c r="I26" s="48" t="str">
        <f t="shared" si="16"/>
        <v/>
      </c>
      <c r="J26" s="9">
        <f t="shared" si="17"/>
        <v>0</v>
      </c>
      <c r="K26" s="49" t="str">
        <f t="shared" si="18"/>
        <v/>
      </c>
      <c r="L26" s="47" t="str">
        <f t="shared" si="19"/>
        <v/>
      </c>
      <c r="M26" s="47" t="str">
        <f t="shared" si="20"/>
        <v/>
      </c>
      <c r="N26" s="48" t="str">
        <f t="shared" si="21"/>
        <v/>
      </c>
      <c r="O26" s="9">
        <f t="shared" si="22"/>
        <v>0</v>
      </c>
      <c r="P26" s="49" t="str">
        <f t="shared" si="23"/>
        <v/>
      </c>
      <c r="Q26" s="47" t="str">
        <f t="shared" si="24"/>
        <v/>
      </c>
      <c r="R26" s="47" t="str">
        <f t="shared" si="25"/>
        <v/>
      </c>
      <c r="S26" s="48" t="str">
        <f t="shared" si="26"/>
        <v/>
      </c>
      <c r="T26" s="9">
        <f t="shared" si="27"/>
        <v>0</v>
      </c>
      <c r="U26" s="49" t="str">
        <f t="shared" si="28"/>
        <v/>
      </c>
      <c r="V26" s="47" t="str">
        <f t="shared" si="29"/>
        <v/>
      </c>
      <c r="W26" s="47" t="str">
        <f t="shared" si="30"/>
        <v/>
      </c>
      <c r="X26" s="48" t="str">
        <f t="shared" si="31"/>
        <v/>
      </c>
      <c r="Y26" s="9">
        <f t="shared" si="32"/>
        <v>0</v>
      </c>
      <c r="Z26" s="49" t="str">
        <f t="shared" si="33"/>
        <v/>
      </c>
      <c r="AA26" s="47" t="str">
        <f t="shared" si="34"/>
        <v/>
      </c>
      <c r="AB26" s="47" t="str">
        <f t="shared" si="35"/>
        <v/>
      </c>
      <c r="AC26" s="48" t="str">
        <f t="shared" si="36"/>
        <v/>
      </c>
      <c r="AD26" s="9">
        <f t="shared" si="37"/>
        <v>0</v>
      </c>
      <c r="AE26" s="49" t="str">
        <f t="shared" si="38"/>
        <v/>
      </c>
      <c r="AF26" s="47" t="str">
        <f t="shared" si="39"/>
        <v/>
      </c>
      <c r="AG26" s="47" t="str">
        <f t="shared" si="40"/>
        <v/>
      </c>
      <c r="AH26" s="48" t="str">
        <f t="shared" si="41"/>
        <v/>
      </c>
      <c r="AI26" s="9">
        <f t="shared" si="42"/>
        <v>0</v>
      </c>
      <c r="AJ26" s="49" t="str">
        <f t="shared" si="43"/>
        <v/>
      </c>
      <c r="AK26" s="47" t="str">
        <f t="shared" si="44"/>
        <v/>
      </c>
      <c r="AL26" s="47" t="str">
        <f t="shared" si="45"/>
        <v/>
      </c>
      <c r="AM26" s="48" t="str">
        <f t="shared" si="46"/>
        <v/>
      </c>
      <c r="AN26" s="9">
        <f t="shared" si="47"/>
        <v>0</v>
      </c>
      <c r="AO26" s="49" t="str">
        <f t="shared" si="48"/>
        <v/>
      </c>
      <c r="AP26" s="47" t="str">
        <f t="shared" si="49"/>
        <v/>
      </c>
      <c r="AQ26" s="47" t="str">
        <f t="shared" si="50"/>
        <v/>
      </c>
      <c r="AR26" s="48" t="str">
        <f t="shared" si="51"/>
        <v/>
      </c>
      <c r="AS26" s="9">
        <f t="shared" si="52"/>
        <v>0</v>
      </c>
      <c r="AT26" s="49" t="str">
        <f t="shared" si="53"/>
        <v/>
      </c>
      <c r="AU26" s="47" t="str">
        <f t="shared" si="54"/>
        <v/>
      </c>
      <c r="AV26" s="47" t="str">
        <f t="shared" si="55"/>
        <v/>
      </c>
      <c r="AW26" s="48" t="str">
        <f t="shared" si="56"/>
        <v/>
      </c>
      <c r="AX26" s="9">
        <f t="shared" si="57"/>
        <v>0</v>
      </c>
      <c r="AY26" s="49" t="str">
        <f t="shared" si="58"/>
        <v/>
      </c>
      <c r="AZ26" s="47" t="str">
        <f t="shared" si="59"/>
        <v/>
      </c>
      <c r="BA26" s="47" t="str">
        <f t="shared" si="60"/>
        <v/>
      </c>
      <c r="BB26" s="48" t="str">
        <f t="shared" si="61"/>
        <v/>
      </c>
      <c r="BC26" s="9">
        <f t="shared" si="62"/>
        <v>0</v>
      </c>
      <c r="BD26" s="49" t="str">
        <f t="shared" si="63"/>
        <v/>
      </c>
      <c r="BE26" s="47" t="str">
        <f t="shared" si="64"/>
        <v/>
      </c>
      <c r="BF26" s="47" t="str">
        <f t="shared" si="65"/>
        <v/>
      </c>
      <c r="BG26" s="48" t="str">
        <f t="shared" si="66"/>
        <v/>
      </c>
      <c r="BH26" s="9">
        <f t="shared" si="67"/>
        <v>0</v>
      </c>
      <c r="BI26" s="49" t="str">
        <f t="shared" si="68"/>
        <v/>
      </c>
      <c r="BJ26" s="47" t="str">
        <f t="shared" si="69"/>
        <v/>
      </c>
      <c r="BK26" s="47" t="str">
        <f t="shared" si="70"/>
        <v/>
      </c>
      <c r="BL26" s="48" t="str">
        <f t="shared" si="71"/>
        <v/>
      </c>
      <c r="BM26" s="9">
        <f t="shared" si="72"/>
        <v>0</v>
      </c>
      <c r="BN26" s="49" t="str">
        <f t="shared" si="73"/>
        <v/>
      </c>
      <c r="BO26" s="40"/>
      <c r="BP26" s="40"/>
      <c r="BQ26" s="40"/>
    </row>
    <row r="27" hidden="1">
      <c r="A27" s="40"/>
      <c r="B27" s="40"/>
      <c r="C27" s="46">
        <f t="shared" si="13"/>
        <v>0</v>
      </c>
      <c r="D27" s="49"/>
      <c r="E27" s="49"/>
      <c r="F27" s="49"/>
      <c r="G27" s="47" t="str">
        <f t="shared" si="14"/>
        <v/>
      </c>
      <c r="H27" s="47" t="str">
        <f t="shared" si="15"/>
        <v/>
      </c>
      <c r="I27" s="48" t="str">
        <f t="shared" si="16"/>
        <v/>
      </c>
      <c r="J27" s="9">
        <f t="shared" si="17"/>
        <v>0</v>
      </c>
      <c r="K27" s="49" t="str">
        <f t="shared" si="18"/>
        <v/>
      </c>
      <c r="L27" s="47" t="str">
        <f t="shared" si="19"/>
        <v/>
      </c>
      <c r="M27" s="47" t="str">
        <f t="shared" si="20"/>
        <v/>
      </c>
      <c r="N27" s="48" t="str">
        <f t="shared" si="21"/>
        <v/>
      </c>
      <c r="O27" s="9">
        <f t="shared" si="22"/>
        <v>0</v>
      </c>
      <c r="P27" s="49" t="str">
        <f t="shared" si="23"/>
        <v/>
      </c>
      <c r="Q27" s="47" t="str">
        <f t="shared" si="24"/>
        <v/>
      </c>
      <c r="R27" s="47" t="str">
        <f t="shared" si="25"/>
        <v/>
      </c>
      <c r="S27" s="48" t="str">
        <f t="shared" si="26"/>
        <v/>
      </c>
      <c r="T27" s="9">
        <f t="shared" si="27"/>
        <v>0</v>
      </c>
      <c r="U27" s="49" t="str">
        <f t="shared" si="28"/>
        <v/>
      </c>
      <c r="V27" s="47" t="str">
        <f t="shared" si="29"/>
        <v/>
      </c>
      <c r="W27" s="47" t="str">
        <f t="shared" si="30"/>
        <v/>
      </c>
      <c r="X27" s="48" t="str">
        <f t="shared" si="31"/>
        <v/>
      </c>
      <c r="Y27" s="9">
        <f t="shared" si="32"/>
        <v>0</v>
      </c>
      <c r="Z27" s="49" t="str">
        <f t="shared" si="33"/>
        <v/>
      </c>
      <c r="AA27" s="47" t="str">
        <f t="shared" si="34"/>
        <v/>
      </c>
      <c r="AB27" s="47" t="str">
        <f t="shared" si="35"/>
        <v/>
      </c>
      <c r="AC27" s="48" t="str">
        <f t="shared" si="36"/>
        <v/>
      </c>
      <c r="AD27" s="9">
        <f t="shared" si="37"/>
        <v>0</v>
      </c>
      <c r="AE27" s="49" t="str">
        <f t="shared" si="38"/>
        <v/>
      </c>
      <c r="AF27" s="47" t="str">
        <f t="shared" si="39"/>
        <v/>
      </c>
      <c r="AG27" s="47" t="str">
        <f t="shared" si="40"/>
        <v/>
      </c>
      <c r="AH27" s="48" t="str">
        <f t="shared" si="41"/>
        <v/>
      </c>
      <c r="AI27" s="9">
        <f t="shared" si="42"/>
        <v>0</v>
      </c>
      <c r="AJ27" s="49" t="str">
        <f t="shared" si="43"/>
        <v/>
      </c>
      <c r="AK27" s="47" t="str">
        <f t="shared" si="44"/>
        <v/>
      </c>
      <c r="AL27" s="47" t="str">
        <f t="shared" si="45"/>
        <v/>
      </c>
      <c r="AM27" s="48" t="str">
        <f t="shared" si="46"/>
        <v/>
      </c>
      <c r="AN27" s="9">
        <f t="shared" si="47"/>
        <v>0</v>
      </c>
      <c r="AO27" s="49" t="str">
        <f t="shared" si="48"/>
        <v/>
      </c>
      <c r="AP27" s="47" t="str">
        <f t="shared" si="49"/>
        <v/>
      </c>
      <c r="AQ27" s="47" t="str">
        <f t="shared" si="50"/>
        <v/>
      </c>
      <c r="AR27" s="48" t="str">
        <f t="shared" si="51"/>
        <v/>
      </c>
      <c r="AS27" s="9">
        <f t="shared" si="52"/>
        <v>0</v>
      </c>
      <c r="AT27" s="49" t="str">
        <f t="shared" si="53"/>
        <v/>
      </c>
      <c r="AU27" s="47" t="str">
        <f t="shared" si="54"/>
        <v/>
      </c>
      <c r="AV27" s="47" t="str">
        <f t="shared" si="55"/>
        <v/>
      </c>
      <c r="AW27" s="48" t="str">
        <f t="shared" si="56"/>
        <v/>
      </c>
      <c r="AX27" s="9">
        <f t="shared" si="57"/>
        <v>0</v>
      </c>
      <c r="AY27" s="49" t="str">
        <f t="shared" si="58"/>
        <v/>
      </c>
      <c r="AZ27" s="47" t="str">
        <f t="shared" si="59"/>
        <v/>
      </c>
      <c r="BA27" s="47" t="str">
        <f t="shared" si="60"/>
        <v/>
      </c>
      <c r="BB27" s="48" t="str">
        <f t="shared" si="61"/>
        <v/>
      </c>
      <c r="BC27" s="9">
        <f t="shared" si="62"/>
        <v>0</v>
      </c>
      <c r="BD27" s="49" t="str">
        <f t="shared" si="63"/>
        <v/>
      </c>
      <c r="BE27" s="47" t="str">
        <f t="shared" si="64"/>
        <v/>
      </c>
      <c r="BF27" s="47" t="str">
        <f t="shared" si="65"/>
        <v/>
      </c>
      <c r="BG27" s="48" t="str">
        <f t="shared" si="66"/>
        <v/>
      </c>
      <c r="BH27" s="9">
        <f t="shared" si="67"/>
        <v>0</v>
      </c>
      <c r="BI27" s="49" t="str">
        <f t="shared" si="68"/>
        <v/>
      </c>
      <c r="BJ27" s="47" t="str">
        <f t="shared" si="69"/>
        <v/>
      </c>
      <c r="BK27" s="47" t="str">
        <f t="shared" si="70"/>
        <v/>
      </c>
      <c r="BL27" s="48" t="str">
        <f t="shared" si="71"/>
        <v/>
      </c>
      <c r="BM27" s="9">
        <f t="shared" si="72"/>
        <v>0</v>
      </c>
      <c r="BN27" s="49" t="str">
        <f t="shared" si="73"/>
        <v/>
      </c>
      <c r="BO27" s="40"/>
      <c r="BP27" s="40"/>
      <c r="BQ27" s="40"/>
    </row>
    <row r="28" hidden="1">
      <c r="A28" s="40"/>
      <c r="B28" s="40"/>
      <c r="C28" s="46">
        <f t="shared" si="13"/>
        <v>0</v>
      </c>
      <c r="D28" s="49"/>
      <c r="E28" s="49"/>
      <c r="F28" s="49"/>
      <c r="G28" s="47" t="str">
        <f t="shared" si="14"/>
        <v/>
      </c>
      <c r="H28" s="47" t="str">
        <f t="shared" si="15"/>
        <v/>
      </c>
      <c r="I28" s="48" t="str">
        <f t="shared" si="16"/>
        <v/>
      </c>
      <c r="J28" s="9">
        <f t="shared" si="17"/>
        <v>0</v>
      </c>
      <c r="K28" s="49" t="str">
        <f t="shared" si="18"/>
        <v/>
      </c>
      <c r="L28" s="47" t="str">
        <f t="shared" si="19"/>
        <v/>
      </c>
      <c r="M28" s="47" t="str">
        <f t="shared" si="20"/>
        <v/>
      </c>
      <c r="N28" s="48" t="str">
        <f t="shared" si="21"/>
        <v/>
      </c>
      <c r="O28" s="9">
        <f t="shared" si="22"/>
        <v>0</v>
      </c>
      <c r="P28" s="49" t="str">
        <f t="shared" si="23"/>
        <v/>
      </c>
      <c r="Q28" s="47" t="str">
        <f t="shared" si="24"/>
        <v/>
      </c>
      <c r="R28" s="47" t="str">
        <f t="shared" si="25"/>
        <v/>
      </c>
      <c r="S28" s="48" t="str">
        <f t="shared" si="26"/>
        <v/>
      </c>
      <c r="T28" s="9">
        <f t="shared" si="27"/>
        <v>0</v>
      </c>
      <c r="U28" s="49" t="str">
        <f t="shared" si="28"/>
        <v/>
      </c>
      <c r="V28" s="47" t="str">
        <f t="shared" si="29"/>
        <v/>
      </c>
      <c r="W28" s="47" t="str">
        <f t="shared" si="30"/>
        <v/>
      </c>
      <c r="X28" s="48" t="str">
        <f t="shared" si="31"/>
        <v/>
      </c>
      <c r="Y28" s="9">
        <f t="shared" si="32"/>
        <v>0</v>
      </c>
      <c r="Z28" s="49" t="str">
        <f t="shared" si="33"/>
        <v/>
      </c>
      <c r="AA28" s="47" t="str">
        <f t="shared" si="34"/>
        <v/>
      </c>
      <c r="AB28" s="47" t="str">
        <f t="shared" si="35"/>
        <v/>
      </c>
      <c r="AC28" s="48" t="str">
        <f t="shared" si="36"/>
        <v/>
      </c>
      <c r="AD28" s="9">
        <f t="shared" si="37"/>
        <v>0</v>
      </c>
      <c r="AE28" s="49" t="str">
        <f t="shared" si="38"/>
        <v/>
      </c>
      <c r="AF28" s="47" t="str">
        <f t="shared" si="39"/>
        <v/>
      </c>
      <c r="AG28" s="47" t="str">
        <f t="shared" si="40"/>
        <v/>
      </c>
      <c r="AH28" s="48" t="str">
        <f t="shared" si="41"/>
        <v/>
      </c>
      <c r="AI28" s="9">
        <f t="shared" si="42"/>
        <v>0</v>
      </c>
      <c r="AJ28" s="49" t="str">
        <f t="shared" si="43"/>
        <v/>
      </c>
      <c r="AK28" s="47" t="str">
        <f t="shared" si="44"/>
        <v/>
      </c>
      <c r="AL28" s="47" t="str">
        <f t="shared" si="45"/>
        <v/>
      </c>
      <c r="AM28" s="48" t="str">
        <f t="shared" si="46"/>
        <v/>
      </c>
      <c r="AN28" s="9">
        <f t="shared" si="47"/>
        <v>0</v>
      </c>
      <c r="AO28" s="49" t="str">
        <f t="shared" si="48"/>
        <v/>
      </c>
      <c r="AP28" s="47" t="str">
        <f t="shared" si="49"/>
        <v/>
      </c>
      <c r="AQ28" s="47" t="str">
        <f t="shared" si="50"/>
        <v/>
      </c>
      <c r="AR28" s="48" t="str">
        <f t="shared" si="51"/>
        <v/>
      </c>
      <c r="AS28" s="9">
        <f t="shared" si="52"/>
        <v>0</v>
      </c>
      <c r="AT28" s="49" t="str">
        <f t="shared" si="53"/>
        <v/>
      </c>
      <c r="AU28" s="47" t="str">
        <f t="shared" si="54"/>
        <v/>
      </c>
      <c r="AV28" s="47" t="str">
        <f t="shared" si="55"/>
        <v/>
      </c>
      <c r="AW28" s="48" t="str">
        <f t="shared" si="56"/>
        <v/>
      </c>
      <c r="AX28" s="9">
        <f t="shared" si="57"/>
        <v>0</v>
      </c>
      <c r="AY28" s="49" t="str">
        <f t="shared" si="58"/>
        <v/>
      </c>
      <c r="AZ28" s="47" t="str">
        <f t="shared" si="59"/>
        <v/>
      </c>
      <c r="BA28" s="47" t="str">
        <f t="shared" si="60"/>
        <v/>
      </c>
      <c r="BB28" s="48" t="str">
        <f t="shared" si="61"/>
        <v/>
      </c>
      <c r="BC28" s="9">
        <f t="shared" si="62"/>
        <v>0</v>
      </c>
      <c r="BD28" s="49" t="str">
        <f t="shared" si="63"/>
        <v/>
      </c>
      <c r="BE28" s="47" t="str">
        <f t="shared" si="64"/>
        <v/>
      </c>
      <c r="BF28" s="47" t="str">
        <f t="shared" si="65"/>
        <v/>
      </c>
      <c r="BG28" s="48" t="str">
        <f t="shared" si="66"/>
        <v/>
      </c>
      <c r="BH28" s="9">
        <f t="shared" si="67"/>
        <v>0</v>
      </c>
      <c r="BI28" s="49" t="str">
        <f t="shared" si="68"/>
        <v/>
      </c>
      <c r="BJ28" s="47" t="str">
        <f t="shared" si="69"/>
        <v/>
      </c>
      <c r="BK28" s="47" t="str">
        <f t="shared" si="70"/>
        <v/>
      </c>
      <c r="BL28" s="48" t="str">
        <f t="shared" si="71"/>
        <v/>
      </c>
      <c r="BM28" s="9">
        <f t="shared" si="72"/>
        <v>0</v>
      </c>
      <c r="BN28" s="49" t="str">
        <f t="shared" si="73"/>
        <v/>
      </c>
      <c r="BO28" s="40"/>
      <c r="BP28" s="40"/>
      <c r="BQ28" s="40"/>
    </row>
    <row r="29" hidden="1">
      <c r="A29" s="40"/>
      <c r="B29" s="40"/>
      <c r="C29" s="46">
        <f t="shared" si="13"/>
        <v>0</v>
      </c>
      <c r="D29" s="49"/>
      <c r="E29" s="49"/>
      <c r="F29" s="49"/>
      <c r="G29" s="47" t="str">
        <f t="shared" si="14"/>
        <v/>
      </c>
      <c r="H29" s="47" t="str">
        <f t="shared" si="15"/>
        <v/>
      </c>
      <c r="I29" s="48" t="str">
        <f t="shared" si="16"/>
        <v/>
      </c>
      <c r="J29" s="9">
        <f t="shared" si="17"/>
        <v>0</v>
      </c>
      <c r="K29" s="49" t="str">
        <f t="shared" si="18"/>
        <v/>
      </c>
      <c r="L29" s="47" t="str">
        <f t="shared" si="19"/>
        <v/>
      </c>
      <c r="M29" s="47" t="str">
        <f t="shared" si="20"/>
        <v/>
      </c>
      <c r="N29" s="48" t="str">
        <f t="shared" si="21"/>
        <v/>
      </c>
      <c r="O29" s="9">
        <f t="shared" si="22"/>
        <v>0</v>
      </c>
      <c r="P29" s="49" t="str">
        <f t="shared" si="23"/>
        <v/>
      </c>
      <c r="Q29" s="47" t="str">
        <f t="shared" si="24"/>
        <v/>
      </c>
      <c r="R29" s="47" t="str">
        <f t="shared" si="25"/>
        <v/>
      </c>
      <c r="S29" s="48" t="str">
        <f t="shared" si="26"/>
        <v/>
      </c>
      <c r="T29" s="9">
        <f t="shared" si="27"/>
        <v>0</v>
      </c>
      <c r="U29" s="49" t="str">
        <f t="shared" si="28"/>
        <v/>
      </c>
      <c r="V29" s="47" t="str">
        <f t="shared" si="29"/>
        <v/>
      </c>
      <c r="W29" s="47" t="str">
        <f t="shared" si="30"/>
        <v/>
      </c>
      <c r="X29" s="48" t="str">
        <f t="shared" si="31"/>
        <v/>
      </c>
      <c r="Y29" s="9">
        <f t="shared" si="32"/>
        <v>0</v>
      </c>
      <c r="Z29" s="49" t="str">
        <f t="shared" si="33"/>
        <v/>
      </c>
      <c r="AA29" s="47" t="str">
        <f t="shared" si="34"/>
        <v/>
      </c>
      <c r="AB29" s="47" t="str">
        <f t="shared" si="35"/>
        <v/>
      </c>
      <c r="AC29" s="48" t="str">
        <f t="shared" si="36"/>
        <v/>
      </c>
      <c r="AD29" s="9">
        <f t="shared" si="37"/>
        <v>0</v>
      </c>
      <c r="AE29" s="49" t="str">
        <f t="shared" si="38"/>
        <v/>
      </c>
      <c r="AF29" s="47" t="str">
        <f t="shared" si="39"/>
        <v/>
      </c>
      <c r="AG29" s="47" t="str">
        <f t="shared" si="40"/>
        <v/>
      </c>
      <c r="AH29" s="48" t="str">
        <f t="shared" si="41"/>
        <v/>
      </c>
      <c r="AI29" s="9">
        <f t="shared" si="42"/>
        <v>0</v>
      </c>
      <c r="AJ29" s="49" t="str">
        <f t="shared" si="43"/>
        <v/>
      </c>
      <c r="AK29" s="47" t="str">
        <f t="shared" si="44"/>
        <v/>
      </c>
      <c r="AL29" s="47" t="str">
        <f t="shared" si="45"/>
        <v/>
      </c>
      <c r="AM29" s="48" t="str">
        <f t="shared" si="46"/>
        <v/>
      </c>
      <c r="AN29" s="9">
        <f t="shared" si="47"/>
        <v>0</v>
      </c>
      <c r="AO29" s="49" t="str">
        <f t="shared" si="48"/>
        <v/>
      </c>
      <c r="AP29" s="47" t="str">
        <f t="shared" si="49"/>
        <v/>
      </c>
      <c r="AQ29" s="47" t="str">
        <f t="shared" si="50"/>
        <v/>
      </c>
      <c r="AR29" s="48" t="str">
        <f t="shared" si="51"/>
        <v/>
      </c>
      <c r="AS29" s="9">
        <f t="shared" si="52"/>
        <v>0</v>
      </c>
      <c r="AT29" s="49" t="str">
        <f t="shared" si="53"/>
        <v/>
      </c>
      <c r="AU29" s="47" t="str">
        <f t="shared" si="54"/>
        <v/>
      </c>
      <c r="AV29" s="47" t="str">
        <f t="shared" si="55"/>
        <v/>
      </c>
      <c r="AW29" s="48" t="str">
        <f t="shared" si="56"/>
        <v/>
      </c>
      <c r="AX29" s="9">
        <f t="shared" si="57"/>
        <v>0</v>
      </c>
      <c r="AY29" s="49" t="str">
        <f t="shared" si="58"/>
        <v/>
      </c>
      <c r="AZ29" s="47" t="str">
        <f t="shared" si="59"/>
        <v/>
      </c>
      <c r="BA29" s="47" t="str">
        <f t="shared" si="60"/>
        <v/>
      </c>
      <c r="BB29" s="48" t="str">
        <f t="shared" si="61"/>
        <v/>
      </c>
      <c r="BC29" s="9">
        <f t="shared" si="62"/>
        <v>0</v>
      </c>
      <c r="BD29" s="49" t="str">
        <f t="shared" si="63"/>
        <v/>
      </c>
      <c r="BE29" s="47" t="str">
        <f t="shared" si="64"/>
        <v/>
      </c>
      <c r="BF29" s="47" t="str">
        <f t="shared" si="65"/>
        <v/>
      </c>
      <c r="BG29" s="48" t="str">
        <f t="shared" si="66"/>
        <v/>
      </c>
      <c r="BH29" s="9">
        <f t="shared" si="67"/>
        <v>0</v>
      </c>
      <c r="BI29" s="49" t="str">
        <f t="shared" si="68"/>
        <v/>
      </c>
      <c r="BJ29" s="47" t="str">
        <f t="shared" si="69"/>
        <v/>
      </c>
      <c r="BK29" s="47" t="str">
        <f t="shared" si="70"/>
        <v/>
      </c>
      <c r="BL29" s="48" t="str">
        <f t="shared" si="71"/>
        <v/>
      </c>
      <c r="BM29" s="9">
        <f t="shared" si="72"/>
        <v>0</v>
      </c>
      <c r="BN29" s="49" t="str">
        <f t="shared" si="73"/>
        <v/>
      </c>
      <c r="BO29" s="40"/>
      <c r="BP29" s="40"/>
      <c r="BQ29" s="40"/>
    </row>
    <row r="30" hidden="1">
      <c r="A30" s="40"/>
      <c r="B30" s="40"/>
      <c r="C30" s="46">
        <f t="shared" si="13"/>
        <v>0</v>
      </c>
      <c r="D30" s="49"/>
      <c r="E30" s="49"/>
      <c r="F30" s="49"/>
      <c r="G30" s="47" t="str">
        <f t="shared" si="14"/>
        <v/>
      </c>
      <c r="H30" s="47" t="str">
        <f t="shared" si="15"/>
        <v/>
      </c>
      <c r="I30" s="48" t="str">
        <f t="shared" si="16"/>
        <v/>
      </c>
      <c r="J30" s="9">
        <f t="shared" si="17"/>
        <v>0</v>
      </c>
      <c r="K30" s="49" t="str">
        <f t="shared" si="18"/>
        <v/>
      </c>
      <c r="L30" s="47" t="str">
        <f t="shared" si="19"/>
        <v/>
      </c>
      <c r="M30" s="47" t="str">
        <f t="shared" si="20"/>
        <v/>
      </c>
      <c r="N30" s="48" t="str">
        <f t="shared" si="21"/>
        <v/>
      </c>
      <c r="O30" s="9">
        <f t="shared" si="22"/>
        <v>0</v>
      </c>
      <c r="P30" s="49" t="str">
        <f t="shared" si="23"/>
        <v/>
      </c>
      <c r="Q30" s="47" t="str">
        <f t="shared" si="24"/>
        <v/>
      </c>
      <c r="R30" s="47" t="str">
        <f t="shared" si="25"/>
        <v/>
      </c>
      <c r="S30" s="48" t="str">
        <f t="shared" si="26"/>
        <v/>
      </c>
      <c r="T30" s="9">
        <f t="shared" si="27"/>
        <v>0</v>
      </c>
      <c r="U30" s="49" t="str">
        <f t="shared" si="28"/>
        <v/>
      </c>
      <c r="V30" s="47" t="str">
        <f t="shared" si="29"/>
        <v/>
      </c>
      <c r="W30" s="47" t="str">
        <f t="shared" si="30"/>
        <v/>
      </c>
      <c r="X30" s="48" t="str">
        <f t="shared" si="31"/>
        <v/>
      </c>
      <c r="Y30" s="9">
        <f t="shared" si="32"/>
        <v>0</v>
      </c>
      <c r="Z30" s="49" t="str">
        <f t="shared" si="33"/>
        <v/>
      </c>
      <c r="AA30" s="47" t="str">
        <f t="shared" si="34"/>
        <v/>
      </c>
      <c r="AB30" s="47" t="str">
        <f t="shared" si="35"/>
        <v/>
      </c>
      <c r="AC30" s="48" t="str">
        <f t="shared" si="36"/>
        <v/>
      </c>
      <c r="AD30" s="9">
        <f t="shared" si="37"/>
        <v>0</v>
      </c>
      <c r="AE30" s="49" t="str">
        <f t="shared" si="38"/>
        <v/>
      </c>
      <c r="AF30" s="47" t="str">
        <f t="shared" si="39"/>
        <v/>
      </c>
      <c r="AG30" s="47" t="str">
        <f t="shared" si="40"/>
        <v/>
      </c>
      <c r="AH30" s="48" t="str">
        <f t="shared" si="41"/>
        <v/>
      </c>
      <c r="AI30" s="9">
        <f t="shared" si="42"/>
        <v>0</v>
      </c>
      <c r="AJ30" s="49" t="str">
        <f t="shared" si="43"/>
        <v/>
      </c>
      <c r="AK30" s="47" t="str">
        <f t="shared" si="44"/>
        <v/>
      </c>
      <c r="AL30" s="47" t="str">
        <f t="shared" si="45"/>
        <v/>
      </c>
      <c r="AM30" s="48" t="str">
        <f t="shared" si="46"/>
        <v/>
      </c>
      <c r="AN30" s="9">
        <f t="shared" si="47"/>
        <v>0</v>
      </c>
      <c r="AO30" s="49" t="str">
        <f t="shared" si="48"/>
        <v/>
      </c>
      <c r="AP30" s="47" t="str">
        <f t="shared" si="49"/>
        <v/>
      </c>
      <c r="AQ30" s="47" t="str">
        <f t="shared" si="50"/>
        <v/>
      </c>
      <c r="AR30" s="48" t="str">
        <f t="shared" si="51"/>
        <v/>
      </c>
      <c r="AS30" s="9">
        <f t="shared" si="52"/>
        <v>0</v>
      </c>
      <c r="AT30" s="49" t="str">
        <f t="shared" si="53"/>
        <v/>
      </c>
      <c r="AU30" s="47" t="str">
        <f t="shared" si="54"/>
        <v/>
      </c>
      <c r="AV30" s="47" t="str">
        <f t="shared" si="55"/>
        <v/>
      </c>
      <c r="AW30" s="48" t="str">
        <f t="shared" si="56"/>
        <v/>
      </c>
      <c r="AX30" s="9">
        <f t="shared" si="57"/>
        <v>0</v>
      </c>
      <c r="AY30" s="49" t="str">
        <f t="shared" si="58"/>
        <v/>
      </c>
      <c r="AZ30" s="47" t="str">
        <f t="shared" si="59"/>
        <v/>
      </c>
      <c r="BA30" s="47" t="str">
        <f t="shared" si="60"/>
        <v/>
      </c>
      <c r="BB30" s="48" t="str">
        <f t="shared" si="61"/>
        <v/>
      </c>
      <c r="BC30" s="9">
        <f t="shared" si="62"/>
        <v>0</v>
      </c>
      <c r="BD30" s="49" t="str">
        <f t="shared" si="63"/>
        <v/>
      </c>
      <c r="BE30" s="47" t="str">
        <f t="shared" si="64"/>
        <v/>
      </c>
      <c r="BF30" s="47" t="str">
        <f t="shared" si="65"/>
        <v/>
      </c>
      <c r="BG30" s="48" t="str">
        <f t="shared" si="66"/>
        <v/>
      </c>
      <c r="BH30" s="9">
        <f t="shared" si="67"/>
        <v>0</v>
      </c>
      <c r="BI30" s="49" t="str">
        <f t="shared" si="68"/>
        <v/>
      </c>
      <c r="BJ30" s="47" t="str">
        <f t="shared" si="69"/>
        <v/>
      </c>
      <c r="BK30" s="47" t="str">
        <f t="shared" si="70"/>
        <v/>
      </c>
      <c r="BL30" s="48" t="str">
        <f t="shared" si="71"/>
        <v/>
      </c>
      <c r="BM30" s="9">
        <f t="shared" si="72"/>
        <v>0</v>
      </c>
      <c r="BN30" s="49" t="str">
        <f t="shared" si="73"/>
        <v/>
      </c>
      <c r="BO30" s="40"/>
      <c r="BP30" s="40"/>
      <c r="BQ30" s="40"/>
    </row>
    <row r="31" hidden="1">
      <c r="A31" s="40"/>
      <c r="B31" s="40"/>
      <c r="C31" s="46">
        <f t="shared" si="13"/>
        <v>0</v>
      </c>
      <c r="D31" s="49"/>
      <c r="E31" s="49"/>
      <c r="F31" s="49"/>
      <c r="G31" s="47" t="str">
        <f t="shared" si="14"/>
        <v/>
      </c>
      <c r="H31" s="47" t="str">
        <f t="shared" si="15"/>
        <v/>
      </c>
      <c r="I31" s="48" t="str">
        <f t="shared" si="16"/>
        <v/>
      </c>
      <c r="J31" s="9">
        <f t="shared" si="17"/>
        <v>0</v>
      </c>
      <c r="K31" s="49" t="str">
        <f t="shared" si="18"/>
        <v/>
      </c>
      <c r="L31" s="47" t="str">
        <f t="shared" si="19"/>
        <v/>
      </c>
      <c r="M31" s="47" t="str">
        <f t="shared" si="20"/>
        <v/>
      </c>
      <c r="N31" s="48" t="str">
        <f t="shared" si="21"/>
        <v/>
      </c>
      <c r="O31" s="9">
        <f t="shared" si="22"/>
        <v>0</v>
      </c>
      <c r="P31" s="49" t="str">
        <f t="shared" si="23"/>
        <v/>
      </c>
      <c r="Q31" s="47" t="str">
        <f t="shared" si="24"/>
        <v/>
      </c>
      <c r="R31" s="47" t="str">
        <f t="shared" si="25"/>
        <v/>
      </c>
      <c r="S31" s="48" t="str">
        <f t="shared" si="26"/>
        <v/>
      </c>
      <c r="T31" s="9">
        <f t="shared" si="27"/>
        <v>0</v>
      </c>
      <c r="U31" s="49" t="str">
        <f t="shared" si="28"/>
        <v/>
      </c>
      <c r="V31" s="47" t="str">
        <f t="shared" si="29"/>
        <v/>
      </c>
      <c r="W31" s="47" t="str">
        <f t="shared" si="30"/>
        <v/>
      </c>
      <c r="X31" s="48" t="str">
        <f t="shared" si="31"/>
        <v/>
      </c>
      <c r="Y31" s="9">
        <f t="shared" si="32"/>
        <v>0</v>
      </c>
      <c r="Z31" s="49" t="str">
        <f t="shared" si="33"/>
        <v/>
      </c>
      <c r="AA31" s="47" t="str">
        <f t="shared" si="34"/>
        <v/>
      </c>
      <c r="AB31" s="47" t="str">
        <f t="shared" si="35"/>
        <v/>
      </c>
      <c r="AC31" s="48" t="str">
        <f t="shared" si="36"/>
        <v/>
      </c>
      <c r="AD31" s="9">
        <f t="shared" si="37"/>
        <v>0</v>
      </c>
      <c r="AE31" s="49" t="str">
        <f t="shared" si="38"/>
        <v/>
      </c>
      <c r="AF31" s="47" t="str">
        <f t="shared" si="39"/>
        <v/>
      </c>
      <c r="AG31" s="47" t="str">
        <f t="shared" si="40"/>
        <v/>
      </c>
      <c r="AH31" s="48" t="str">
        <f t="shared" si="41"/>
        <v/>
      </c>
      <c r="AI31" s="9">
        <f t="shared" si="42"/>
        <v>0</v>
      </c>
      <c r="AJ31" s="49" t="str">
        <f t="shared" si="43"/>
        <v/>
      </c>
      <c r="AK31" s="47" t="str">
        <f t="shared" si="44"/>
        <v/>
      </c>
      <c r="AL31" s="47" t="str">
        <f t="shared" si="45"/>
        <v/>
      </c>
      <c r="AM31" s="48" t="str">
        <f t="shared" si="46"/>
        <v/>
      </c>
      <c r="AN31" s="9">
        <f t="shared" si="47"/>
        <v>0</v>
      </c>
      <c r="AO31" s="49" t="str">
        <f t="shared" si="48"/>
        <v/>
      </c>
      <c r="AP31" s="47" t="str">
        <f t="shared" si="49"/>
        <v/>
      </c>
      <c r="AQ31" s="47" t="str">
        <f t="shared" si="50"/>
        <v/>
      </c>
      <c r="AR31" s="48" t="str">
        <f t="shared" si="51"/>
        <v/>
      </c>
      <c r="AS31" s="9">
        <f t="shared" si="52"/>
        <v>0</v>
      </c>
      <c r="AT31" s="49" t="str">
        <f t="shared" si="53"/>
        <v/>
      </c>
      <c r="AU31" s="47" t="str">
        <f t="shared" si="54"/>
        <v/>
      </c>
      <c r="AV31" s="47" t="str">
        <f t="shared" si="55"/>
        <v/>
      </c>
      <c r="AW31" s="48" t="str">
        <f t="shared" si="56"/>
        <v/>
      </c>
      <c r="AX31" s="9">
        <f t="shared" si="57"/>
        <v>0</v>
      </c>
      <c r="AY31" s="49" t="str">
        <f t="shared" si="58"/>
        <v/>
      </c>
      <c r="AZ31" s="47" t="str">
        <f t="shared" si="59"/>
        <v/>
      </c>
      <c r="BA31" s="47" t="str">
        <f t="shared" si="60"/>
        <v/>
      </c>
      <c r="BB31" s="48" t="str">
        <f t="shared" si="61"/>
        <v/>
      </c>
      <c r="BC31" s="9">
        <f t="shared" si="62"/>
        <v>0</v>
      </c>
      <c r="BD31" s="49" t="str">
        <f t="shared" si="63"/>
        <v/>
      </c>
      <c r="BE31" s="47" t="str">
        <f t="shared" si="64"/>
        <v/>
      </c>
      <c r="BF31" s="47" t="str">
        <f t="shared" si="65"/>
        <v/>
      </c>
      <c r="BG31" s="48" t="str">
        <f t="shared" si="66"/>
        <v/>
      </c>
      <c r="BH31" s="9">
        <f t="shared" si="67"/>
        <v>0</v>
      </c>
      <c r="BI31" s="49" t="str">
        <f t="shared" si="68"/>
        <v/>
      </c>
      <c r="BJ31" s="47" t="str">
        <f t="shared" si="69"/>
        <v/>
      </c>
      <c r="BK31" s="47" t="str">
        <f t="shared" si="70"/>
        <v/>
      </c>
      <c r="BL31" s="48" t="str">
        <f t="shared" si="71"/>
        <v/>
      </c>
      <c r="BM31" s="9">
        <f t="shared" si="72"/>
        <v>0</v>
      </c>
      <c r="BN31" s="49" t="str">
        <f t="shared" si="73"/>
        <v/>
      </c>
      <c r="BO31" s="40"/>
      <c r="BP31" s="40"/>
      <c r="BQ31" s="40"/>
    </row>
    <row r="32" hidden="1">
      <c r="A32" s="40"/>
      <c r="B32" s="40"/>
      <c r="C32" s="46">
        <f t="shared" si="13"/>
        <v>0</v>
      </c>
      <c r="D32" s="49"/>
      <c r="E32" s="49"/>
      <c r="F32" s="49"/>
      <c r="G32" s="47" t="str">
        <f t="shared" si="14"/>
        <v/>
      </c>
      <c r="H32" s="47" t="str">
        <f t="shared" si="15"/>
        <v/>
      </c>
      <c r="I32" s="48" t="str">
        <f t="shared" si="16"/>
        <v/>
      </c>
      <c r="J32" s="9">
        <f t="shared" si="17"/>
        <v>0</v>
      </c>
      <c r="K32" s="49" t="str">
        <f t="shared" si="18"/>
        <v/>
      </c>
      <c r="L32" s="47" t="str">
        <f t="shared" si="19"/>
        <v/>
      </c>
      <c r="M32" s="47" t="str">
        <f t="shared" si="20"/>
        <v/>
      </c>
      <c r="N32" s="48" t="str">
        <f t="shared" si="21"/>
        <v/>
      </c>
      <c r="O32" s="9">
        <f t="shared" si="22"/>
        <v>0</v>
      </c>
      <c r="P32" s="49" t="str">
        <f t="shared" si="23"/>
        <v/>
      </c>
      <c r="Q32" s="47" t="str">
        <f t="shared" si="24"/>
        <v/>
      </c>
      <c r="R32" s="47" t="str">
        <f t="shared" si="25"/>
        <v/>
      </c>
      <c r="S32" s="48" t="str">
        <f t="shared" si="26"/>
        <v/>
      </c>
      <c r="T32" s="9">
        <f t="shared" si="27"/>
        <v>0</v>
      </c>
      <c r="U32" s="49" t="str">
        <f t="shared" si="28"/>
        <v/>
      </c>
      <c r="V32" s="47" t="str">
        <f t="shared" si="29"/>
        <v/>
      </c>
      <c r="W32" s="47" t="str">
        <f t="shared" si="30"/>
        <v/>
      </c>
      <c r="X32" s="48" t="str">
        <f t="shared" si="31"/>
        <v/>
      </c>
      <c r="Y32" s="9">
        <f t="shared" si="32"/>
        <v>0</v>
      </c>
      <c r="Z32" s="49" t="str">
        <f t="shared" si="33"/>
        <v/>
      </c>
      <c r="AA32" s="47" t="str">
        <f t="shared" si="34"/>
        <v/>
      </c>
      <c r="AB32" s="47" t="str">
        <f t="shared" si="35"/>
        <v/>
      </c>
      <c r="AC32" s="48" t="str">
        <f t="shared" si="36"/>
        <v/>
      </c>
      <c r="AD32" s="9">
        <f t="shared" si="37"/>
        <v>0</v>
      </c>
      <c r="AE32" s="49" t="str">
        <f t="shared" si="38"/>
        <v/>
      </c>
      <c r="AF32" s="47" t="str">
        <f t="shared" si="39"/>
        <v/>
      </c>
      <c r="AG32" s="47" t="str">
        <f t="shared" si="40"/>
        <v/>
      </c>
      <c r="AH32" s="48" t="str">
        <f t="shared" si="41"/>
        <v/>
      </c>
      <c r="AI32" s="9">
        <f t="shared" si="42"/>
        <v>0</v>
      </c>
      <c r="AJ32" s="49" t="str">
        <f t="shared" si="43"/>
        <v/>
      </c>
      <c r="AK32" s="47" t="str">
        <f t="shared" si="44"/>
        <v/>
      </c>
      <c r="AL32" s="47" t="str">
        <f t="shared" si="45"/>
        <v/>
      </c>
      <c r="AM32" s="48" t="str">
        <f t="shared" si="46"/>
        <v/>
      </c>
      <c r="AN32" s="9">
        <f t="shared" si="47"/>
        <v>0</v>
      </c>
      <c r="AO32" s="49" t="str">
        <f t="shared" si="48"/>
        <v/>
      </c>
      <c r="AP32" s="47" t="str">
        <f t="shared" si="49"/>
        <v/>
      </c>
      <c r="AQ32" s="47" t="str">
        <f t="shared" si="50"/>
        <v/>
      </c>
      <c r="AR32" s="48" t="str">
        <f t="shared" si="51"/>
        <v/>
      </c>
      <c r="AS32" s="9">
        <f t="shared" si="52"/>
        <v>0</v>
      </c>
      <c r="AT32" s="49" t="str">
        <f t="shared" si="53"/>
        <v/>
      </c>
      <c r="AU32" s="47" t="str">
        <f t="shared" si="54"/>
        <v/>
      </c>
      <c r="AV32" s="47" t="str">
        <f t="shared" si="55"/>
        <v/>
      </c>
      <c r="AW32" s="48" t="str">
        <f t="shared" si="56"/>
        <v/>
      </c>
      <c r="AX32" s="9">
        <f t="shared" si="57"/>
        <v>0</v>
      </c>
      <c r="AY32" s="49" t="str">
        <f t="shared" si="58"/>
        <v/>
      </c>
      <c r="AZ32" s="47" t="str">
        <f t="shared" si="59"/>
        <v/>
      </c>
      <c r="BA32" s="47" t="str">
        <f t="shared" si="60"/>
        <v/>
      </c>
      <c r="BB32" s="48" t="str">
        <f t="shared" si="61"/>
        <v/>
      </c>
      <c r="BC32" s="9">
        <f t="shared" si="62"/>
        <v>0</v>
      </c>
      <c r="BD32" s="49" t="str">
        <f t="shared" si="63"/>
        <v/>
      </c>
      <c r="BE32" s="47" t="str">
        <f t="shared" si="64"/>
        <v/>
      </c>
      <c r="BF32" s="47" t="str">
        <f t="shared" si="65"/>
        <v/>
      </c>
      <c r="BG32" s="48" t="str">
        <f t="shared" si="66"/>
        <v/>
      </c>
      <c r="BH32" s="9">
        <f t="shared" si="67"/>
        <v>0</v>
      </c>
      <c r="BI32" s="49" t="str">
        <f t="shared" si="68"/>
        <v/>
      </c>
      <c r="BJ32" s="47" t="str">
        <f t="shared" si="69"/>
        <v/>
      </c>
      <c r="BK32" s="47" t="str">
        <f t="shared" si="70"/>
        <v/>
      </c>
      <c r="BL32" s="48" t="str">
        <f t="shared" si="71"/>
        <v/>
      </c>
      <c r="BM32" s="9">
        <f t="shared" si="72"/>
        <v>0</v>
      </c>
      <c r="BN32" s="49" t="str">
        <f t="shared" si="73"/>
        <v/>
      </c>
      <c r="BO32" s="40"/>
      <c r="BP32" s="40"/>
      <c r="BQ32" s="40"/>
    </row>
    <row r="33" hidden="1">
      <c r="A33" s="40"/>
      <c r="B33" s="40"/>
      <c r="C33" s="46">
        <f t="shared" si="13"/>
        <v>0</v>
      </c>
      <c r="D33" s="49"/>
      <c r="E33" s="49"/>
      <c r="F33" s="49"/>
      <c r="G33" s="47" t="str">
        <f t="shared" si="14"/>
        <v/>
      </c>
      <c r="H33" s="47" t="str">
        <f t="shared" si="15"/>
        <v/>
      </c>
      <c r="I33" s="48" t="str">
        <f t="shared" si="16"/>
        <v/>
      </c>
      <c r="J33" s="9">
        <f t="shared" si="17"/>
        <v>0</v>
      </c>
      <c r="K33" s="49" t="str">
        <f t="shared" si="18"/>
        <v/>
      </c>
      <c r="L33" s="47" t="str">
        <f t="shared" si="19"/>
        <v/>
      </c>
      <c r="M33" s="47" t="str">
        <f t="shared" si="20"/>
        <v/>
      </c>
      <c r="N33" s="48" t="str">
        <f t="shared" si="21"/>
        <v/>
      </c>
      <c r="O33" s="9">
        <f t="shared" si="22"/>
        <v>0</v>
      </c>
      <c r="P33" s="49" t="str">
        <f t="shared" si="23"/>
        <v/>
      </c>
      <c r="Q33" s="47" t="str">
        <f t="shared" si="24"/>
        <v/>
      </c>
      <c r="R33" s="47" t="str">
        <f t="shared" si="25"/>
        <v/>
      </c>
      <c r="S33" s="48" t="str">
        <f t="shared" si="26"/>
        <v/>
      </c>
      <c r="T33" s="9">
        <f t="shared" si="27"/>
        <v>0</v>
      </c>
      <c r="U33" s="49" t="str">
        <f t="shared" si="28"/>
        <v/>
      </c>
      <c r="V33" s="47" t="str">
        <f t="shared" si="29"/>
        <v/>
      </c>
      <c r="W33" s="47" t="str">
        <f t="shared" si="30"/>
        <v/>
      </c>
      <c r="X33" s="48" t="str">
        <f t="shared" si="31"/>
        <v/>
      </c>
      <c r="Y33" s="9">
        <f t="shared" si="32"/>
        <v>0</v>
      </c>
      <c r="Z33" s="49" t="str">
        <f t="shared" si="33"/>
        <v/>
      </c>
      <c r="AA33" s="47" t="str">
        <f t="shared" si="34"/>
        <v/>
      </c>
      <c r="AB33" s="47" t="str">
        <f t="shared" si="35"/>
        <v/>
      </c>
      <c r="AC33" s="48" t="str">
        <f t="shared" si="36"/>
        <v/>
      </c>
      <c r="AD33" s="9">
        <f t="shared" si="37"/>
        <v>0</v>
      </c>
      <c r="AE33" s="49" t="str">
        <f t="shared" si="38"/>
        <v/>
      </c>
      <c r="AF33" s="47" t="str">
        <f t="shared" si="39"/>
        <v/>
      </c>
      <c r="AG33" s="47" t="str">
        <f t="shared" si="40"/>
        <v/>
      </c>
      <c r="AH33" s="48" t="str">
        <f t="shared" si="41"/>
        <v/>
      </c>
      <c r="AI33" s="9">
        <f t="shared" si="42"/>
        <v>0</v>
      </c>
      <c r="AJ33" s="49" t="str">
        <f t="shared" si="43"/>
        <v/>
      </c>
      <c r="AK33" s="47" t="str">
        <f t="shared" si="44"/>
        <v/>
      </c>
      <c r="AL33" s="47" t="str">
        <f t="shared" si="45"/>
        <v/>
      </c>
      <c r="AM33" s="48" t="str">
        <f t="shared" si="46"/>
        <v/>
      </c>
      <c r="AN33" s="9">
        <f t="shared" si="47"/>
        <v>0</v>
      </c>
      <c r="AO33" s="49" t="str">
        <f t="shared" si="48"/>
        <v/>
      </c>
      <c r="AP33" s="47" t="str">
        <f t="shared" si="49"/>
        <v/>
      </c>
      <c r="AQ33" s="47" t="str">
        <f t="shared" si="50"/>
        <v/>
      </c>
      <c r="AR33" s="48" t="str">
        <f t="shared" si="51"/>
        <v/>
      </c>
      <c r="AS33" s="9">
        <f t="shared" si="52"/>
        <v>0</v>
      </c>
      <c r="AT33" s="49" t="str">
        <f t="shared" si="53"/>
        <v/>
      </c>
      <c r="AU33" s="47" t="str">
        <f t="shared" si="54"/>
        <v/>
      </c>
      <c r="AV33" s="47" t="str">
        <f t="shared" si="55"/>
        <v/>
      </c>
      <c r="AW33" s="48" t="str">
        <f t="shared" si="56"/>
        <v/>
      </c>
      <c r="AX33" s="9">
        <f t="shared" si="57"/>
        <v>0</v>
      </c>
      <c r="AY33" s="49" t="str">
        <f t="shared" si="58"/>
        <v/>
      </c>
      <c r="AZ33" s="47" t="str">
        <f t="shared" si="59"/>
        <v/>
      </c>
      <c r="BA33" s="47" t="str">
        <f t="shared" si="60"/>
        <v/>
      </c>
      <c r="BB33" s="48" t="str">
        <f t="shared" si="61"/>
        <v/>
      </c>
      <c r="BC33" s="9">
        <f t="shared" si="62"/>
        <v>0</v>
      </c>
      <c r="BD33" s="49" t="str">
        <f t="shared" si="63"/>
        <v/>
      </c>
      <c r="BE33" s="47" t="str">
        <f t="shared" si="64"/>
        <v/>
      </c>
      <c r="BF33" s="47" t="str">
        <f t="shared" si="65"/>
        <v/>
      </c>
      <c r="BG33" s="48" t="str">
        <f t="shared" si="66"/>
        <v/>
      </c>
      <c r="BH33" s="9">
        <f t="shared" si="67"/>
        <v>0</v>
      </c>
      <c r="BI33" s="49" t="str">
        <f t="shared" si="68"/>
        <v/>
      </c>
      <c r="BJ33" s="47" t="str">
        <f t="shared" si="69"/>
        <v/>
      </c>
      <c r="BK33" s="47" t="str">
        <f t="shared" si="70"/>
        <v/>
      </c>
      <c r="BL33" s="48" t="str">
        <f t="shared" si="71"/>
        <v/>
      </c>
      <c r="BM33" s="9">
        <f t="shared" si="72"/>
        <v>0</v>
      </c>
      <c r="BN33" s="49" t="str">
        <f t="shared" si="73"/>
        <v/>
      </c>
      <c r="BO33" s="40"/>
      <c r="BP33" s="40"/>
      <c r="BQ33" s="40"/>
    </row>
    <row r="34" hidden="1">
      <c r="A34" s="40"/>
      <c r="B34" s="40"/>
      <c r="C34" s="46">
        <f t="shared" si="13"/>
        <v>0</v>
      </c>
      <c r="D34" s="49"/>
      <c r="E34" s="49"/>
      <c r="F34" s="49"/>
      <c r="G34" s="47" t="str">
        <f t="shared" si="14"/>
        <v/>
      </c>
      <c r="H34" s="47" t="str">
        <f t="shared" si="15"/>
        <v/>
      </c>
      <c r="I34" s="48" t="str">
        <f t="shared" si="16"/>
        <v/>
      </c>
      <c r="J34" s="9">
        <f t="shared" si="17"/>
        <v>0</v>
      </c>
      <c r="K34" s="49" t="str">
        <f t="shared" si="18"/>
        <v/>
      </c>
      <c r="L34" s="47" t="str">
        <f t="shared" si="19"/>
        <v/>
      </c>
      <c r="M34" s="47" t="str">
        <f t="shared" si="20"/>
        <v/>
      </c>
      <c r="N34" s="48" t="str">
        <f t="shared" si="21"/>
        <v/>
      </c>
      <c r="O34" s="9">
        <f t="shared" si="22"/>
        <v>0</v>
      </c>
      <c r="P34" s="49" t="str">
        <f t="shared" si="23"/>
        <v/>
      </c>
      <c r="Q34" s="47" t="str">
        <f t="shared" si="24"/>
        <v/>
      </c>
      <c r="R34" s="47" t="str">
        <f t="shared" si="25"/>
        <v/>
      </c>
      <c r="S34" s="48" t="str">
        <f t="shared" si="26"/>
        <v/>
      </c>
      <c r="T34" s="9">
        <f t="shared" si="27"/>
        <v>0</v>
      </c>
      <c r="U34" s="49" t="str">
        <f t="shared" si="28"/>
        <v/>
      </c>
      <c r="V34" s="47" t="str">
        <f t="shared" si="29"/>
        <v/>
      </c>
      <c r="W34" s="47" t="str">
        <f t="shared" si="30"/>
        <v/>
      </c>
      <c r="X34" s="48" t="str">
        <f t="shared" si="31"/>
        <v/>
      </c>
      <c r="Y34" s="9">
        <f t="shared" si="32"/>
        <v>0</v>
      </c>
      <c r="Z34" s="49" t="str">
        <f t="shared" si="33"/>
        <v/>
      </c>
      <c r="AA34" s="47" t="str">
        <f t="shared" si="34"/>
        <v/>
      </c>
      <c r="AB34" s="47" t="str">
        <f t="shared" si="35"/>
        <v/>
      </c>
      <c r="AC34" s="48" t="str">
        <f t="shared" si="36"/>
        <v/>
      </c>
      <c r="AD34" s="9">
        <f t="shared" si="37"/>
        <v>0</v>
      </c>
      <c r="AE34" s="49" t="str">
        <f t="shared" si="38"/>
        <v/>
      </c>
      <c r="AF34" s="47" t="str">
        <f t="shared" si="39"/>
        <v/>
      </c>
      <c r="AG34" s="47" t="str">
        <f t="shared" si="40"/>
        <v/>
      </c>
      <c r="AH34" s="48" t="str">
        <f t="shared" si="41"/>
        <v/>
      </c>
      <c r="AI34" s="9">
        <f t="shared" si="42"/>
        <v>0</v>
      </c>
      <c r="AJ34" s="49" t="str">
        <f t="shared" si="43"/>
        <v/>
      </c>
      <c r="AK34" s="47" t="str">
        <f t="shared" si="44"/>
        <v/>
      </c>
      <c r="AL34" s="47" t="str">
        <f t="shared" si="45"/>
        <v/>
      </c>
      <c r="AM34" s="48" t="str">
        <f t="shared" si="46"/>
        <v/>
      </c>
      <c r="AN34" s="9">
        <f t="shared" si="47"/>
        <v>0</v>
      </c>
      <c r="AO34" s="49" t="str">
        <f t="shared" si="48"/>
        <v/>
      </c>
      <c r="AP34" s="47" t="str">
        <f t="shared" si="49"/>
        <v/>
      </c>
      <c r="AQ34" s="47" t="str">
        <f t="shared" si="50"/>
        <v/>
      </c>
      <c r="AR34" s="48" t="str">
        <f t="shared" si="51"/>
        <v/>
      </c>
      <c r="AS34" s="9">
        <f t="shared" si="52"/>
        <v>0</v>
      </c>
      <c r="AT34" s="49" t="str">
        <f t="shared" si="53"/>
        <v/>
      </c>
      <c r="AU34" s="47" t="str">
        <f t="shared" si="54"/>
        <v/>
      </c>
      <c r="AV34" s="47" t="str">
        <f t="shared" si="55"/>
        <v/>
      </c>
      <c r="AW34" s="48" t="str">
        <f t="shared" si="56"/>
        <v/>
      </c>
      <c r="AX34" s="9">
        <f t="shared" si="57"/>
        <v>0</v>
      </c>
      <c r="AY34" s="49" t="str">
        <f t="shared" si="58"/>
        <v/>
      </c>
      <c r="AZ34" s="47" t="str">
        <f t="shared" si="59"/>
        <v/>
      </c>
      <c r="BA34" s="47" t="str">
        <f t="shared" si="60"/>
        <v/>
      </c>
      <c r="BB34" s="48" t="str">
        <f t="shared" si="61"/>
        <v/>
      </c>
      <c r="BC34" s="9">
        <f t="shared" si="62"/>
        <v>0</v>
      </c>
      <c r="BD34" s="49" t="str">
        <f t="shared" si="63"/>
        <v/>
      </c>
      <c r="BE34" s="47" t="str">
        <f t="shared" si="64"/>
        <v/>
      </c>
      <c r="BF34" s="47" t="str">
        <f t="shared" si="65"/>
        <v/>
      </c>
      <c r="BG34" s="48" t="str">
        <f t="shared" si="66"/>
        <v/>
      </c>
      <c r="BH34" s="9">
        <f t="shared" si="67"/>
        <v>0</v>
      </c>
      <c r="BI34" s="49" t="str">
        <f t="shared" si="68"/>
        <v/>
      </c>
      <c r="BJ34" s="47" t="str">
        <f t="shared" si="69"/>
        <v/>
      </c>
      <c r="BK34" s="47" t="str">
        <f t="shared" si="70"/>
        <v/>
      </c>
      <c r="BL34" s="48" t="str">
        <f t="shared" si="71"/>
        <v/>
      </c>
      <c r="BM34" s="9">
        <f t="shared" si="72"/>
        <v>0</v>
      </c>
      <c r="BN34" s="49" t="str">
        <f t="shared" si="73"/>
        <v/>
      </c>
      <c r="BO34" s="40"/>
      <c r="BP34" s="40"/>
      <c r="BQ34" s="40"/>
    </row>
    <row r="35" hidden="1">
      <c r="A35" s="40"/>
      <c r="B35" s="40"/>
      <c r="C35" s="49"/>
      <c r="D35" s="49"/>
      <c r="E35" s="49"/>
      <c r="F35" s="49"/>
      <c r="G35" s="49"/>
      <c r="H35" s="49"/>
      <c r="I35" s="49"/>
      <c r="J35" s="59">
        <f>MULTIPLY(SUM(J19:J34),10)</f>
        <v>0</v>
      </c>
      <c r="K35" s="62">
        <f>COUNTIF(K19:K34,"TRUE")</f>
        <v>0</v>
      </c>
      <c r="L35" s="49"/>
      <c r="M35" s="49"/>
      <c r="N35" s="49"/>
      <c r="O35" s="59">
        <f>MULTIPLY(SUM(O19:O34),10)</f>
        <v>0</v>
      </c>
      <c r="P35" s="62">
        <f>COUNTIF(P19:P34,"TRUE")</f>
        <v>0</v>
      </c>
      <c r="Q35" s="49"/>
      <c r="R35" s="49"/>
      <c r="S35" s="49"/>
      <c r="T35" s="59">
        <f>MULTIPLY(SUM(T19:T34),10)</f>
        <v>0</v>
      </c>
      <c r="U35" s="62">
        <f>COUNTIF(U19:U34,"TRUE")</f>
        <v>0</v>
      </c>
      <c r="V35" s="49"/>
      <c r="W35" s="49"/>
      <c r="X35" s="49"/>
      <c r="Y35" s="59">
        <f>MULTIPLY(SUM(Y19:Y34),10)</f>
        <v>0</v>
      </c>
      <c r="Z35" s="62">
        <f>COUNTIF(Z19:Z34,"TRUE")</f>
        <v>0</v>
      </c>
      <c r="AA35" s="49"/>
      <c r="AB35" s="49"/>
      <c r="AC35" s="49"/>
      <c r="AD35" s="59">
        <f>MULTIPLY(SUM(AD19:AD34),10)</f>
        <v>0</v>
      </c>
      <c r="AE35" s="62">
        <f>COUNTIF(AE19:AE34,"TRUE")</f>
        <v>0</v>
      </c>
      <c r="AF35" s="49"/>
      <c r="AG35" s="49"/>
      <c r="AH35" s="49"/>
      <c r="AI35" s="59">
        <f>MULTIPLY(SUM(AI19:AI34),10)</f>
        <v>0</v>
      </c>
      <c r="AJ35" s="62">
        <f>COUNTIF(AJ19:AJ34,"TRUE")</f>
        <v>0</v>
      </c>
      <c r="AK35" s="49"/>
      <c r="AL35" s="49"/>
      <c r="AM35" s="49"/>
      <c r="AN35" s="59">
        <f>MULTIPLY(SUM(AN19:AN34),10)</f>
        <v>0</v>
      </c>
      <c r="AO35" s="62">
        <f>COUNTIF(AO19:AO34,"TRUE")</f>
        <v>0</v>
      </c>
      <c r="AP35" s="49"/>
      <c r="AQ35" s="49"/>
      <c r="AR35" s="49"/>
      <c r="AS35" s="59">
        <f>MULTIPLY(SUM(AS19:AS34),10)</f>
        <v>0</v>
      </c>
      <c r="AT35" s="62">
        <f>COUNTIF(AT19:AT34,"TRUE")</f>
        <v>0</v>
      </c>
      <c r="AU35" s="49"/>
      <c r="AV35" s="49"/>
      <c r="AW35" s="49"/>
      <c r="AX35" s="59">
        <f>MULTIPLY(SUM(AX19:AX34),10)</f>
        <v>0</v>
      </c>
      <c r="AY35" s="62">
        <f>COUNTIF(AY19:AY34,"TRUE")</f>
        <v>0</v>
      </c>
      <c r="AZ35" s="49"/>
      <c r="BA35" s="49"/>
      <c r="BB35" s="49"/>
      <c r="BC35" s="59">
        <f>MULTIPLY(SUM(BC19:BC34),10)</f>
        <v>0</v>
      </c>
      <c r="BD35" s="62">
        <f>COUNTIF(BD19:BD34,"TRUE")</f>
        <v>0</v>
      </c>
      <c r="BE35" s="49"/>
      <c r="BF35" s="49"/>
      <c r="BG35" s="49"/>
      <c r="BH35" s="59">
        <f>MULTIPLY(SUM(BH19:BH34),10)</f>
        <v>0</v>
      </c>
      <c r="BI35" s="62">
        <f>COUNTIF(BI19:BI34,"TRUE")</f>
        <v>0</v>
      </c>
      <c r="BJ35" s="49"/>
      <c r="BK35" s="49"/>
      <c r="BL35" s="49"/>
      <c r="BM35" s="59">
        <f>MULTIPLY(SUM(BM19:BM34),10)</f>
        <v>0</v>
      </c>
      <c r="BN35" s="62">
        <f>COUNTIF(BN19:BN34,"TRUE")</f>
        <v>0</v>
      </c>
      <c r="BO35" s="40"/>
      <c r="BP35" s="40"/>
      <c r="BQ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</row>
    <row r="37">
      <c r="A37" s="40"/>
      <c r="B37" s="52"/>
      <c r="C37" s="53" t="s">
        <v>6</v>
      </c>
      <c r="D37" s="53" t="s">
        <v>7</v>
      </c>
      <c r="E37" s="53" t="s">
        <v>8</v>
      </c>
      <c r="F37" s="53" t="s">
        <v>9</v>
      </c>
      <c r="G37" s="53" t="s">
        <v>10</v>
      </c>
      <c r="H37" s="53" t="s">
        <v>11</v>
      </c>
      <c r="I37" s="53" t="s">
        <v>12</v>
      </c>
      <c r="J37" s="53" t="s">
        <v>13</v>
      </c>
      <c r="K37" s="53" t="s">
        <v>14</v>
      </c>
      <c r="L37" s="53" t="s">
        <v>15</v>
      </c>
      <c r="M37" s="53" t="s">
        <v>16</v>
      </c>
      <c r="N37" s="54" t="s">
        <v>17</v>
      </c>
      <c r="O37" s="55"/>
      <c r="P37" s="56"/>
      <c r="Q37" s="56"/>
      <c r="R37" s="56"/>
      <c r="S37" s="56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</row>
    <row r="38">
      <c r="A38" s="40"/>
      <c r="B38" s="57" t="s">
        <v>141</v>
      </c>
      <c r="C38" s="58">
        <f t="array" ref="C38">INDEX(J35,0)</f>
        <v>0</v>
      </c>
      <c r="D38" s="58">
        <f t="array" ref="D38">INDEX(O35,0)</f>
        <v>0</v>
      </c>
      <c r="E38" s="58">
        <f t="array" ref="E38">INDEX(T35,0)</f>
        <v>0</v>
      </c>
      <c r="F38" s="58">
        <f t="array" ref="F38">INDEX(Y35,0)</f>
        <v>0</v>
      </c>
      <c r="G38" s="58">
        <f t="array" ref="G38">INDEX(AD35,0)</f>
        <v>0</v>
      </c>
      <c r="H38" s="58">
        <f t="array" ref="H38">INDEX(AI35,0)</f>
        <v>0</v>
      </c>
      <c r="I38" s="58">
        <f t="array" ref="I38">INDEX(AN35,0)</f>
        <v>0</v>
      </c>
      <c r="J38" s="58">
        <f t="array" ref="J38">INDEX(AS35,0)</f>
        <v>0</v>
      </c>
      <c r="K38" s="58">
        <f t="array" ref="K38">INDEX(AX35,0)</f>
        <v>0</v>
      </c>
      <c r="L38" s="58">
        <f t="array" ref="L38">INDEX(BC35,0)</f>
        <v>0</v>
      </c>
      <c r="M38" s="58">
        <f t="array" ref="M38">INDEX(BH35,0)</f>
        <v>0</v>
      </c>
      <c r="N38" s="60">
        <f t="array" ref="N38">INDEX(BM35,0)</f>
        <v>0</v>
      </c>
      <c r="O38" s="61"/>
      <c r="P38" s="11"/>
      <c r="Q38" s="11"/>
      <c r="R38" s="11"/>
      <c r="S38" s="11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</row>
    <row r="39">
      <c r="A39" s="40"/>
      <c r="B39" s="63" t="s">
        <v>142</v>
      </c>
      <c r="C39" s="64">
        <f>COUNTIF(K19:K34,true)</f>
        <v>0</v>
      </c>
      <c r="D39" s="64">
        <f>COUNTIF(P19:P34,true)</f>
        <v>0</v>
      </c>
      <c r="E39" s="64">
        <f>COUNTIF(U19:U34,true)</f>
        <v>0</v>
      </c>
      <c r="F39" s="64">
        <f>COUNTIF(Z19:Z34,true)</f>
        <v>0</v>
      </c>
      <c r="G39" s="64">
        <f>COUNTIF(AE19:AE34,true)</f>
        <v>0</v>
      </c>
      <c r="H39" s="64">
        <f>COUNTIF(AJ19:AJ34,true)</f>
        <v>0</v>
      </c>
      <c r="I39" s="64">
        <f>COUNTIF(AO19:AO34,true)</f>
        <v>0</v>
      </c>
      <c r="J39" s="64">
        <f>COUNTIF(AT19:AT34,true)</f>
        <v>0</v>
      </c>
      <c r="K39" s="64">
        <f>COUNTIF(AY19:AY34,true)</f>
        <v>0</v>
      </c>
      <c r="L39" s="64">
        <f>COUNTIF(BD19:BD34,true)</f>
        <v>0</v>
      </c>
      <c r="M39" s="64">
        <f>COUNTIF(BI19:BI34,true)</f>
        <v>0</v>
      </c>
      <c r="N39" s="65">
        <f>COUNTIF(BN19:BN34,true)</f>
        <v>0</v>
      </c>
      <c r="O39" s="66"/>
      <c r="P39" s="67"/>
      <c r="Q39" s="67"/>
      <c r="R39" s="67"/>
      <c r="S39" s="67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</row>
    <row r="40">
      <c r="A40" s="40"/>
      <c r="B40" s="63" t="s">
        <v>143</v>
      </c>
      <c r="C40" s="68">
        <f>COUNTIF(K19:K34,FALSE)</f>
        <v>0</v>
      </c>
      <c r="D40" s="68">
        <f>COUNTIF(P19:P34,FALSE)</f>
        <v>0</v>
      </c>
      <c r="E40" s="68">
        <f>COUNTIF(U19:U34,FALSE)</f>
        <v>0</v>
      </c>
      <c r="F40" s="68">
        <f>COUNTIF(Z19:Z34,FALSE)</f>
        <v>0</v>
      </c>
      <c r="G40" s="68">
        <f>COUNTIF(AE19:AE34,FALSE)</f>
        <v>0</v>
      </c>
      <c r="H40" s="68">
        <f>COUNTIF(AJ19:AJ34,FALSE)</f>
        <v>0</v>
      </c>
      <c r="I40" s="68">
        <f>COUNTIF(AO19:AO34,FALSE)</f>
        <v>0</v>
      </c>
      <c r="J40" s="68">
        <f>COUNTIF(AT19:AT34,FALSE)</f>
        <v>0</v>
      </c>
      <c r="K40" s="68">
        <f>COUNTIF(AY19:AY34,FALSE)</f>
        <v>0</v>
      </c>
      <c r="L40" s="68">
        <f>COUNTIF(BD19:BD34,FALSE)</f>
        <v>0</v>
      </c>
      <c r="M40" s="68">
        <f>COUNTIF(BI19:BI34,FALSE)</f>
        <v>0</v>
      </c>
      <c r="N40" s="69">
        <f>COUNTIF(BN19:BN34,FALSE)</f>
        <v>0</v>
      </c>
      <c r="O40" s="66"/>
      <c r="P40" s="67"/>
      <c r="Q40" s="67"/>
      <c r="R40" s="67"/>
      <c r="S40" s="67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</row>
    <row r="42">
      <c r="A42" s="40"/>
      <c r="B42" s="70" t="s">
        <v>144</v>
      </c>
      <c r="C42" s="71">
        <f>SUM('Week 1'!C38,'Week 2'!C38,'Week 3'!C38,'Week 4'!C38,'Week 5'!C39,'Week 6'!C35,'Week 7'!C35,'Week 8'!C37,'Week 9'!C38,'Week 10'!C36,'Week 11'!C33,'Week 12'!C40,'Week 13'!C34,'Week 14'!C38,'Week 15'!C38,'Week 16'!C38,'Week 17'!C38,C38)</f>
        <v>325</v>
      </c>
      <c r="D42" s="71">
        <f>SUM('Week 1'!D38,'Week 2'!D38,'Week 3'!D38,'Week 4'!D38,'Week 5'!D39,'Week 6'!D35,'Week 7'!D35,'Week 8'!D37,'Week 9'!D38,'Week 10'!D36,'Week 11'!D33,'Week 12'!D40,'Week 13'!D34,'Week 14'!D38,'Week 15'!D38,'Week 16'!D38,'Week 17'!D38,D38)</f>
        <v>275</v>
      </c>
      <c r="E42" s="71">
        <f>SUM('Week 1'!E38,'Week 2'!E38,'Week 3'!E38,'Week 4'!E38,'Week 5'!E39,'Week 6'!E35,'Week 7'!E35,'Week 8'!E37,'Week 9'!E38,'Week 10'!E36,'Week 11'!E33,'Week 12'!E40,'Week 13'!E34,'Week 14'!E38,'Week 15'!E38,'Week 16'!E38,'Week 17'!E38,E38)</f>
        <v>290</v>
      </c>
      <c r="F42" s="71">
        <f>SUM('Week 1'!F38,'Week 2'!F38,'Week 3'!F38,'Week 4'!F38,'Week 5'!F39,'Week 6'!F35,'Week 7'!F35,'Week 8'!F37,'Week 9'!F38,'Week 10'!F36,'Week 11'!F33,'Week 12'!F40,'Week 13'!F34,'Week 14'!F38,'Week 15'!F38,'Week 16'!F38,'Week 17'!F38,F38)</f>
        <v>375</v>
      </c>
      <c r="G42" s="71">
        <f>SUM('Week 1'!G38,'Week 2'!G38,'Week 3'!G38,'Week 4'!G38,'Week 5'!G39,'Week 6'!G35,'Week 7'!G35,'Week 8'!G37,'Week 9'!G38,'Week 10'!G36,'Week 11'!G33,'Week 12'!G40,'Week 13'!G34,'Week 14'!G38,'Week 15'!G38,'Week 16'!G38,'Week 17'!G38,G38)</f>
        <v>410</v>
      </c>
      <c r="H42" s="71">
        <f>SUM('Week 1'!H38,'Week 2'!H38,'Week 3'!H38,'Week 4'!H38,'Week 5'!H39,'Week 6'!H35,'Week 7'!H35,'Week 8'!H37,'Week 9'!H38,'Week 10'!H36,'Week 11'!H33,'Week 12'!H40,'Week 13'!H34,'Week 14'!H38,'Week 15'!H38,'Week 16'!H38,'Week 17'!H38,H38)</f>
        <v>480</v>
      </c>
      <c r="I42" s="71">
        <f>SUM('Week 1'!I38,'Week 2'!I38,'Week 3'!I38,'Week 4'!I38,'Week 5'!I39,'Week 6'!I35,'Week 7'!I35,'Week 8'!I37,'Week 9'!I38,'Week 10'!I36,'Week 11'!I33,'Week 12'!I40,'Week 13'!I34,'Week 14'!I38,'Week 15'!I38,'Week 16'!I38,'Week 17'!I38,I38)</f>
        <v>320</v>
      </c>
      <c r="J42" s="71">
        <f>SUM('Week 1'!J38,'Week 2'!J38,'Week 3'!J38,'Week 4'!J38,'Week 5'!J39,'Week 6'!J35,'Week 7'!J35,'Week 8'!J37,'Week 9'!J38,'Week 10'!J36,'Week 11'!J33,'Week 12'!J40,'Week 13'!J34,'Week 14'!J38,'Week 15'!J38,'Week 16'!J38,'Week 17'!J38,J38)</f>
        <v>445</v>
      </c>
      <c r="K42" s="71">
        <f>SUM('Week 1'!K38,'Week 2'!K38,'Week 3'!K38,'Week 4'!K38,'Week 5'!K39,'Week 6'!K35,'Week 7'!K35,'Week 8'!K37,'Week 9'!K38,'Week 10'!K36,'Week 11'!K33,'Week 12'!K40,'Week 13'!K34,'Week 14'!K38,'Week 15'!K38,'Week 16'!K38,'Week 17'!K38,K38)</f>
        <v>370</v>
      </c>
      <c r="L42" s="71">
        <f>SUM('Week 1'!L38,'Week 2'!L38,'Week 3'!L38,'Week 4'!L38,'Week 5'!L39,'Week 6'!L35,'Week 7'!L35,'Week 8'!L37,'Week 9'!L38,'Week 10'!L36,'Week 11'!L33,'Week 12'!L40,'Week 13'!L34,'Week 14'!L38,'Week 15'!L38,'Week 16'!L38,'Week 17'!L38,L38)</f>
        <v>280</v>
      </c>
      <c r="M42" s="71">
        <f>SUM('Week 1'!M38,'Week 2'!M38,'Week 3'!M38,'Week 4'!M38,'Week 5'!M39,'Week 6'!M35,'Week 7'!M35,'Week 8'!M37,'Week 9'!M38,'Week 10'!M36,'Week 11'!M33,'Week 12'!M40,'Week 13'!M34,'Week 14'!M38,'Week 15'!M38,'Week 16'!M38,'Week 17'!M38,M38)</f>
        <v>365</v>
      </c>
      <c r="N42" s="72">
        <f>SUM('Week 1'!N38,'Week 2'!N38,'Week 3'!N38,'Week 4'!N38,'Week 5'!N39,'Week 6'!N35,'Week 7'!N35,'Week 8'!N37,'Week 9'!N38,'Week 10'!N36,'Week 11'!N33,'Week 12'!N40,'Week 13'!N34,'Week 14'!N38,'Week 15'!N38,'Week 16'!N38,'Week 17'!N38,N38)</f>
        <v>290</v>
      </c>
      <c r="O42" s="61"/>
      <c r="P42" s="11"/>
      <c r="Q42" s="11"/>
      <c r="R42" s="11"/>
      <c r="S42" s="11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</row>
    <row r="43">
      <c r="A43" s="40"/>
      <c r="B43" s="57" t="s">
        <v>145</v>
      </c>
      <c r="C43" s="73" t="str">
        <f>CONCATENATE(SUM('Week 1'!C39,'Week 2'!C39,'Week 3'!C39,'Week 4'!C39,'Week 5'!C40,'Week 6'!C36,'Week 7'!C36,'Week 8'!C38,'Week 9'!C39,'Week 10'!C37,'Week 11'!C34,'Week 12'!C41,'Week 13'!C35,'Week 14'!C39,'Week 15'!C39,'Week 16'!C39,'Week 17'!C39,C39)," - ",SUM('Week 1'!C40,'Week 2'!C40,'Week 3'!C40,'Week 4'!C40,'Week 5'!C41,'Week 6'!C37,'Week 7'!C37,'Week 8'!C39,'Week 9'!C40,'Week 10'!C38,'Week 11'!C35,'Week 12'!C42,'Week 13'!C36,'Week 14'!C40,'Week 15'!C40,'Week 16'!C40,'Week 17'!C40,C40))</f>
        <v>25 - 21</v>
      </c>
      <c r="D43" s="73" t="str">
        <f>CONCATENATE(SUM('Week 1'!D39,'Week 2'!D39,'Week 3'!D39,'Week 4'!D39,'Week 5'!D40,'Week 6'!D36,'Week 7'!D36,'Week 8'!D38,'Week 9'!D39,'Week 10'!D37,'Week 11'!D34,'Week 12'!D41,'Week 13'!D35,'Week 14'!D39,'Week 15'!D39,'Week 16'!D39,'Week 17'!D39,D39)," - ",SUM('Week 1'!D40,'Week 2'!D40,'Week 3'!D40,'Week 4'!D40,'Week 5'!D41,'Week 6'!D37,'Week 7'!D37,'Week 8'!D39,'Week 9'!D40,'Week 10'!D38,'Week 11'!D35,'Week 12'!D42,'Week 13'!D36,'Week 14'!D40,'Week 15'!D40,'Week 16'!D40,'Week 17'!D40,D40))</f>
        <v>24 - 22</v>
      </c>
      <c r="E43" s="73" t="str">
        <f>CONCATENATE(SUM('Week 1'!E39,'Week 2'!E39,'Week 3'!E39,'Week 4'!E39,'Week 5'!E40,'Week 6'!E36,'Week 7'!E36,'Week 8'!E38,'Week 9'!E39,'Week 10'!E37,'Week 11'!E34,'Week 12'!E41,'Week 13'!E35,'Week 14'!E39,'Week 15'!E39,'Week 16'!E39,'Week 17'!E39,E39)," - ",SUM('Week 1'!E40,'Week 2'!E40,'Week 3'!E40,'Week 4'!E40,'Week 5'!E41,'Week 6'!E37,'Week 7'!E37,'Week 8'!E39,'Week 9'!E40,'Week 10'!E38,'Week 11'!E35,'Week 12'!E42,'Week 13'!E36,'Week 14'!E40,'Week 15'!E40,'Week 16'!E40,'Week 17'!E40,E40))</f>
        <v>23 - 23</v>
      </c>
      <c r="F43" s="73" t="str">
        <f>CONCATENATE(SUM('Week 1'!F39,'Week 2'!F39,'Week 3'!F39,'Week 4'!F39,'Week 5'!F40,'Week 6'!F36,'Week 7'!F36,'Week 8'!F38,'Week 9'!F39,'Week 10'!F37,'Week 11'!F34,'Week 12'!F41,'Week 13'!F35,'Week 14'!F39,'Week 15'!F39,'Week 16'!F39,'Week 17'!F39,F39)," - ",SUM('Week 1'!F40,'Week 2'!F40,'Week 3'!F40,'Week 4'!F40,'Week 5'!F41,'Week 6'!F37,'Week 7'!F37,'Week 8'!F39,'Week 9'!F40,'Week 10'!F38,'Week 11'!F35,'Week 12'!F42,'Week 13'!F36,'Week 14'!F40,'Week 15'!F40,'Week 16'!F40,'Week 17'!F40,F40))</f>
        <v>26 - 20</v>
      </c>
      <c r="G43" s="73" t="str">
        <f>CONCATENATE(SUM('Week 1'!G39,'Week 2'!G39,'Week 3'!G39,'Week 4'!G39,'Week 5'!G40,'Week 6'!G36,'Week 7'!G36,'Week 8'!G38,'Week 9'!G39,'Week 10'!G37,'Week 11'!G34,'Week 12'!G41,'Week 13'!G35,'Week 14'!G39,'Week 15'!G39,'Week 16'!G39,'Week 17'!G39,G39)," - ",SUM('Week 1'!G40,'Week 2'!G40,'Week 3'!G40,'Week 4'!G40,'Week 5'!G41,'Week 6'!G37,'Week 7'!G37,'Week 8'!G39,'Week 9'!G40,'Week 10'!G38,'Week 11'!G35,'Week 12'!G42,'Week 13'!G36,'Week 14'!G40,'Week 15'!G40,'Week 16'!G40,'Week 17'!G40,G40))</f>
        <v>30 - 16</v>
      </c>
      <c r="H43" s="73" t="str">
        <f>CONCATENATE(SUM('Week 1'!H39,'Week 2'!H39,'Week 3'!H39,'Week 4'!H39,'Week 5'!H40,'Week 6'!H36,'Week 7'!H36,'Week 8'!H38,'Week 9'!H39,'Week 10'!H37,'Week 11'!H34,'Week 12'!H41,'Week 13'!H35,'Week 14'!H39,'Week 15'!H39,'Week 16'!H39,'Week 17'!H39,H39)," - ",SUM('Week 1'!H40,'Week 2'!H40,'Week 3'!H40,'Week 4'!H40,'Week 5'!H41,'Week 6'!H37,'Week 7'!H37,'Week 8'!H39,'Week 9'!H40,'Week 10'!H38,'Week 11'!H35,'Week 12'!H42,'Week 13'!H36,'Week 14'!H40,'Week 15'!H40,'Week 16'!H40,'Week 17'!H40,H40))</f>
        <v>33 - 13</v>
      </c>
      <c r="I43" s="73" t="str">
        <f>CONCATENATE(SUM('Week 1'!I39,'Week 2'!I39,'Week 3'!I39,'Week 4'!I39,'Week 5'!I40,'Week 6'!I36,'Week 7'!I36,'Week 8'!I38,'Week 9'!I39,'Week 10'!I37,'Week 11'!I34,'Week 12'!I41,'Week 13'!I35,'Week 14'!I39,'Week 15'!I39,'Week 16'!I39,'Week 17'!I39,I39)," - ",SUM('Week 1'!I40,'Week 2'!I40,'Week 3'!I40,'Week 4'!I40,'Week 5'!I41,'Week 6'!I37,'Week 7'!I37,'Week 8'!I39,'Week 9'!I40,'Week 10'!I38,'Week 11'!I35,'Week 12'!I42,'Week 13'!I36,'Week 14'!I40,'Week 15'!I40,'Week 16'!I40,'Week 17'!I40,I40))</f>
        <v>26 - 20</v>
      </c>
      <c r="J43" s="73" t="str">
        <f>CONCATENATE(SUM('Week 1'!J39,'Week 2'!J39,'Week 3'!J39,'Week 4'!J39,'Week 5'!J40,'Week 6'!J36,'Week 7'!J36,'Week 8'!J38,'Week 9'!J39,'Week 10'!J37,'Week 11'!J34,'Week 12'!J41,'Week 13'!J35,'Week 14'!J39,'Week 15'!J39,'Week 16'!J39,'Week 17'!J39,J39)," - ",SUM('Week 1'!J40,'Week 2'!J40,'Week 3'!J40,'Week 4'!J40,'Week 5'!J41,'Week 6'!J37,'Week 7'!J37,'Week 8'!J39,'Week 9'!J40,'Week 10'!J38,'Week 11'!J35,'Week 12'!J42,'Week 13'!J36,'Week 14'!J40,'Week 15'!J40,'Week 16'!J40,'Week 17'!J40,J40))</f>
        <v>27 - 19</v>
      </c>
      <c r="K43" s="73" t="str">
        <f>CONCATENATE(SUM('Week 1'!K39,'Week 2'!K39,'Week 3'!K39,'Week 4'!K39,'Week 5'!K40,'Week 6'!K36,'Week 7'!K36,'Week 8'!K38,'Week 9'!K39,'Week 10'!K37,'Week 11'!K34,'Week 12'!K41,'Week 13'!K35,'Week 14'!K39,'Week 15'!K39,'Week 16'!K39,'Week 17'!K39,K39)," - ",SUM('Week 1'!K40,'Week 2'!K40,'Week 3'!K40,'Week 4'!K40,'Week 5'!K41,'Week 6'!K37,'Week 7'!K37,'Week 8'!K39,'Week 9'!K40,'Week 10'!K38,'Week 11'!K35,'Week 12'!K42,'Week 13'!K36,'Week 14'!K40,'Week 15'!K40,'Week 16'!K40,'Week 17'!K40,K40))</f>
        <v>29 - 17</v>
      </c>
      <c r="L43" s="73" t="str">
        <f>CONCATENATE(SUM('Week 1'!L39,'Week 2'!L39,'Week 3'!L39,'Week 4'!L39,'Week 5'!L40,'Week 6'!L36,'Week 7'!L36,'Week 8'!L38,'Week 9'!L39,'Week 10'!L37,'Week 11'!L34,'Week 12'!L41,'Week 13'!L35,'Week 14'!L39,'Week 15'!L39,'Week 16'!L39,'Week 17'!L39,L39)," - ",SUM('Week 1'!L40,'Week 2'!L40,'Week 3'!L40,'Week 4'!L40,'Week 5'!L41,'Week 6'!L37,'Week 7'!L37,'Week 8'!L39,'Week 9'!L40,'Week 10'!L38,'Week 11'!L35,'Week 12'!L42,'Week 13'!L36,'Week 14'!L40,'Week 15'!L40,'Week 16'!L40,'Week 17'!L40,L40))</f>
        <v>26 - 20</v>
      </c>
      <c r="M43" s="73" t="str">
        <f>CONCATENATE(SUM('Week 1'!M39,'Week 2'!M39,'Week 3'!M39,'Week 4'!M39,'Week 5'!M40,'Week 6'!M36,'Week 7'!M36,'Week 8'!M38,'Week 9'!M39,'Week 10'!M37,'Week 11'!M34,'Week 12'!M41,'Week 13'!M35,'Week 14'!M39,'Week 15'!M39,'Week 16'!M39,'Week 17'!M39,M39)," - ",SUM('Week 1'!M40,'Week 2'!M40,'Week 3'!M40,'Week 4'!M40,'Week 5'!M41,'Week 6'!M37,'Week 7'!M37,'Week 8'!M39,'Week 9'!M40,'Week 10'!M38,'Week 11'!M35,'Week 12'!M42,'Week 13'!M36,'Week 14'!M40,'Week 15'!M40,'Week 16'!M40,'Week 17'!M40,M40))</f>
        <v>24 - 22</v>
      </c>
      <c r="N43" s="74" t="str">
        <f>CONCATENATE(SUM('Week 1'!N39,'Week 2'!N39,'Week 3'!N39,'Week 4'!N39,'Week 5'!N40,'Week 6'!N36,'Week 7'!N36,'Week 8'!N38,'Week 9'!N39,'Week 10'!N37,'Week 11'!N34,'Week 12'!N41,'Week 13'!N35,'Week 14'!N39,'Week 15'!N39,'Week 16'!N39,'Week 17'!N39,N39)," - ",SUM('Week 1'!N40,'Week 2'!N40,'Week 3'!N40,'Week 4'!N40,'Week 5'!N41,'Week 6'!N37,'Week 7'!N37,'Week 8'!N39,'Week 9'!N40,'Week 10'!N38,'Week 11'!N35,'Week 12'!N42,'Week 13'!N36,'Week 14'!N40,'Week 15'!N40,'Week 16'!N40,'Week 17'!N40,N40))</f>
        <v>20 - 26</v>
      </c>
      <c r="O43" s="75"/>
      <c r="P43" s="76"/>
      <c r="Q43" s="76"/>
      <c r="R43" s="76"/>
      <c r="S43" s="76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</row>
    <row r="44">
      <c r="A44" s="40"/>
      <c r="B44" s="40"/>
      <c r="C44" s="40"/>
      <c r="D44" s="40"/>
      <c r="E44" s="191" t="s">
        <v>580</v>
      </c>
      <c r="F44" s="191" t="s">
        <v>581</v>
      </c>
      <c r="G44" s="191" t="s">
        <v>582</v>
      </c>
      <c r="H44" s="191" t="s">
        <v>583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</row>
    <row r="45">
      <c r="A45" s="40"/>
      <c r="B45" s="192" t="s">
        <v>584</v>
      </c>
      <c r="C45" s="29">
        <f t="array" ref="C45:E61">INDEX(H63:J79,0)</f>
        <v>1</v>
      </c>
      <c r="D45" s="29" t="s">
        <v>11</v>
      </c>
      <c r="E45" s="29">
        <v>480.0</v>
      </c>
      <c r="F45" s="187">
        <v>0.0</v>
      </c>
      <c r="G45" s="192">
        <f t="shared" ref="G45:G56" si="74">SUM(E45,F45)</f>
        <v>480</v>
      </c>
      <c r="H45" s="192" t="s">
        <v>585</v>
      </c>
      <c r="I45" s="191" t="s">
        <v>586</v>
      </c>
      <c r="J45" s="193">
        <f t="array" ref="J45:L61">INDEX(T63:V79,0)</f>
        <v>1</v>
      </c>
      <c r="K45" s="193" t="s">
        <v>11</v>
      </c>
      <c r="L45" s="193">
        <v>33.0</v>
      </c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</row>
    <row r="46">
      <c r="A46" s="40"/>
      <c r="C46" s="29">
        <v>2.0</v>
      </c>
      <c r="D46" s="29" t="s">
        <v>13</v>
      </c>
      <c r="E46" s="29">
        <v>445.0</v>
      </c>
      <c r="F46" s="187">
        <v>0.0</v>
      </c>
      <c r="G46" s="192">
        <f t="shared" si="74"/>
        <v>445</v>
      </c>
      <c r="H46" s="192" t="s">
        <v>585</v>
      </c>
      <c r="I46" s="40"/>
      <c r="J46" s="193">
        <v>2.0</v>
      </c>
      <c r="K46" s="193" t="s">
        <v>10</v>
      </c>
      <c r="L46" s="193">
        <v>30.0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</row>
    <row r="47">
      <c r="A47" s="40"/>
      <c r="C47" s="29">
        <v>3.0</v>
      </c>
      <c r="D47" s="29" t="s">
        <v>10</v>
      </c>
      <c r="E47" s="29">
        <v>410.0</v>
      </c>
      <c r="F47" s="187">
        <v>0.0</v>
      </c>
      <c r="G47" s="192">
        <f t="shared" si="74"/>
        <v>410</v>
      </c>
      <c r="H47" s="192" t="s">
        <v>585</v>
      </c>
      <c r="I47" s="40"/>
      <c r="J47" s="193">
        <v>3.0</v>
      </c>
      <c r="K47" s="193" t="s">
        <v>14</v>
      </c>
      <c r="L47" s="193">
        <v>29.0</v>
      </c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</row>
    <row r="48">
      <c r="A48" s="40"/>
      <c r="C48" s="29">
        <v>4.0</v>
      </c>
      <c r="D48" s="29" t="s">
        <v>9</v>
      </c>
      <c r="E48" s="29">
        <v>375.0</v>
      </c>
      <c r="F48" s="187">
        <v>0.0</v>
      </c>
      <c r="G48" s="192">
        <f t="shared" si="74"/>
        <v>375</v>
      </c>
      <c r="H48" s="192" t="s">
        <v>585</v>
      </c>
      <c r="I48" s="40"/>
      <c r="J48" s="193">
        <v>4.0</v>
      </c>
      <c r="K48" s="193" t="s">
        <v>13</v>
      </c>
      <c r="L48" s="193">
        <v>27.0</v>
      </c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</row>
    <row r="49">
      <c r="A49" s="40"/>
      <c r="C49" s="29">
        <v>5.0</v>
      </c>
      <c r="D49" s="29" t="s">
        <v>14</v>
      </c>
      <c r="E49" s="29">
        <v>370.0</v>
      </c>
      <c r="F49" s="187">
        <v>0.0</v>
      </c>
      <c r="G49" s="192">
        <f t="shared" si="74"/>
        <v>370</v>
      </c>
      <c r="H49" s="192" t="s">
        <v>585</v>
      </c>
      <c r="I49" s="40"/>
      <c r="J49" s="193">
        <v>5.0</v>
      </c>
      <c r="K49" s="193" t="s">
        <v>9</v>
      </c>
      <c r="L49" s="193">
        <v>26.0</v>
      </c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</row>
    <row r="50">
      <c r="A50" s="40"/>
      <c r="C50" s="29">
        <v>6.0</v>
      </c>
      <c r="D50" s="29" t="s">
        <v>16</v>
      </c>
      <c r="E50" s="29">
        <v>365.0</v>
      </c>
      <c r="F50" s="187">
        <v>0.0</v>
      </c>
      <c r="G50" s="192">
        <f t="shared" si="74"/>
        <v>365</v>
      </c>
      <c r="H50" s="192" t="s">
        <v>585</v>
      </c>
      <c r="I50" s="40"/>
      <c r="J50" s="193">
        <v>5.0</v>
      </c>
      <c r="K50" s="193" t="s">
        <v>12</v>
      </c>
      <c r="L50" s="193">
        <v>26.0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</row>
    <row r="51">
      <c r="A51" s="40"/>
      <c r="C51" s="29">
        <v>7.0</v>
      </c>
      <c r="D51" s="29" t="s">
        <v>6</v>
      </c>
      <c r="E51" s="29">
        <v>325.0</v>
      </c>
      <c r="F51" s="187">
        <v>0.0</v>
      </c>
      <c r="G51" s="192">
        <f t="shared" si="74"/>
        <v>325</v>
      </c>
      <c r="H51" s="192" t="s">
        <v>585</v>
      </c>
      <c r="I51" s="40"/>
      <c r="J51" s="193">
        <v>5.0</v>
      </c>
      <c r="K51" s="193" t="s">
        <v>15</v>
      </c>
      <c r="L51" s="193">
        <v>26.0</v>
      </c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</row>
    <row r="52">
      <c r="A52" s="40"/>
      <c r="C52" s="29">
        <v>8.0</v>
      </c>
      <c r="D52" s="29" t="s">
        <v>12</v>
      </c>
      <c r="E52" s="29">
        <v>320.0</v>
      </c>
      <c r="F52" s="187">
        <v>0.0</v>
      </c>
      <c r="G52" s="192">
        <f t="shared" si="74"/>
        <v>320</v>
      </c>
      <c r="H52" s="192" t="s">
        <v>585</v>
      </c>
      <c r="I52" s="40"/>
      <c r="J52" s="193">
        <v>8.0</v>
      </c>
      <c r="K52" s="193" t="s">
        <v>6</v>
      </c>
      <c r="L52" s="193">
        <v>25.0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</row>
    <row r="53">
      <c r="A53" s="40"/>
      <c r="C53" s="29">
        <v>9.0</v>
      </c>
      <c r="D53" s="29" t="s">
        <v>8</v>
      </c>
      <c r="E53" s="29">
        <v>290.0</v>
      </c>
      <c r="F53" s="187">
        <v>0.0</v>
      </c>
      <c r="G53" s="192">
        <f t="shared" si="74"/>
        <v>290</v>
      </c>
      <c r="H53" s="192" t="s">
        <v>585</v>
      </c>
      <c r="I53" s="40"/>
      <c r="J53" s="193">
        <v>9.0</v>
      </c>
      <c r="K53" s="193" t="s">
        <v>7</v>
      </c>
      <c r="L53" s="193">
        <v>24.0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</row>
    <row r="54">
      <c r="A54" s="40"/>
      <c r="C54" s="29">
        <v>9.0</v>
      </c>
      <c r="D54" s="29" t="s">
        <v>17</v>
      </c>
      <c r="E54" s="29">
        <v>290.0</v>
      </c>
      <c r="F54" s="187">
        <v>0.0</v>
      </c>
      <c r="G54" s="192">
        <f t="shared" si="74"/>
        <v>290</v>
      </c>
      <c r="H54" s="192" t="s">
        <v>585</v>
      </c>
      <c r="I54" s="40"/>
      <c r="J54" s="193">
        <v>9.0</v>
      </c>
      <c r="K54" s="193" t="s">
        <v>16</v>
      </c>
      <c r="L54" s="193">
        <v>24.0</v>
      </c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</row>
    <row r="55">
      <c r="A55" s="40"/>
      <c r="C55" s="29">
        <v>11.0</v>
      </c>
      <c r="D55" s="29" t="s">
        <v>15</v>
      </c>
      <c r="E55" s="29">
        <v>280.0</v>
      </c>
      <c r="F55" s="187">
        <v>0.0</v>
      </c>
      <c r="G55" s="192">
        <f t="shared" si="74"/>
        <v>280</v>
      </c>
      <c r="H55" s="192" t="s">
        <v>585</v>
      </c>
      <c r="I55" s="40"/>
      <c r="J55" s="193">
        <v>11.0</v>
      </c>
      <c r="K55" s="193" t="s">
        <v>8</v>
      </c>
      <c r="L55" s="193">
        <v>23.0</v>
      </c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</row>
    <row r="56">
      <c r="A56" s="40"/>
      <c r="C56" s="29">
        <v>12.0</v>
      </c>
      <c r="D56" s="29" t="s">
        <v>7</v>
      </c>
      <c r="E56" s="29">
        <v>275.0</v>
      </c>
      <c r="F56" s="187">
        <v>0.0</v>
      </c>
      <c r="G56" s="192">
        <f t="shared" si="74"/>
        <v>275</v>
      </c>
      <c r="H56" s="192" t="s">
        <v>585</v>
      </c>
      <c r="I56" s="40"/>
      <c r="J56" s="193">
        <v>12.0</v>
      </c>
      <c r="K56" s="193" t="s">
        <v>17</v>
      </c>
      <c r="L56" s="193">
        <v>20.0</v>
      </c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</row>
    <row r="57">
      <c r="A57" s="40"/>
      <c r="C57" s="29"/>
      <c r="D57" s="29"/>
      <c r="E57" s="29"/>
      <c r="I57" s="40"/>
      <c r="J57" s="193"/>
      <c r="K57" s="193"/>
      <c r="L57" s="193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</row>
    <row r="58">
      <c r="A58" s="40"/>
      <c r="C58" s="29"/>
      <c r="D58" s="29"/>
      <c r="E58" s="29"/>
      <c r="I58" s="40"/>
      <c r="J58" s="193"/>
      <c r="K58" s="193"/>
      <c r="L58" s="193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</row>
    <row r="59">
      <c r="A59" s="40"/>
      <c r="C59" s="29"/>
      <c r="D59" s="29"/>
      <c r="E59" s="29"/>
      <c r="I59" s="40"/>
      <c r="J59" s="193"/>
      <c r="K59" s="193"/>
      <c r="L59" s="193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</row>
    <row r="60" hidden="1">
      <c r="A60" s="40"/>
      <c r="C60" s="29"/>
      <c r="D60" s="29"/>
      <c r="E60" s="29"/>
      <c r="I60" s="40"/>
      <c r="J60" s="193"/>
      <c r="K60" s="193"/>
      <c r="L60" s="193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</row>
    <row r="61" hidden="1">
      <c r="A61" s="40"/>
      <c r="C61" s="29"/>
      <c r="D61" s="29"/>
      <c r="E61" s="29"/>
      <c r="I61" s="40"/>
      <c r="J61" s="193"/>
      <c r="K61" s="193"/>
      <c r="L61" s="193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</row>
    <row r="62" hidden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</row>
    <row r="63" hidden="1">
      <c r="A63" s="40"/>
      <c r="B63" s="77" t="s">
        <v>6</v>
      </c>
      <c r="C63" s="41">
        <f t="array" ref="C63">INDEX(C42,0)</f>
        <v>325</v>
      </c>
      <c r="D63" s="40"/>
      <c r="G63" s="40"/>
      <c r="H63" s="40">
        <f t="shared" ref="H63:H74" si="75">RANK(J63,$J$63:$J$79,false)</f>
        <v>1</v>
      </c>
      <c r="I63" s="40" t="str">
        <f t="array" ref="I63:J79">SORT(B63:C79,2,false)</f>
        <v>Caleb</v>
      </c>
      <c r="J63" s="40">
        <v>480.0</v>
      </c>
      <c r="K63" s="40"/>
      <c r="L63" s="40"/>
      <c r="M63" s="40"/>
      <c r="N63" s="40"/>
      <c r="O63" s="40"/>
      <c r="P63" s="77" t="s">
        <v>6</v>
      </c>
      <c r="Q63" s="41">
        <f>SUM('Week 1'!C39,'Week 2'!C39,'Week 3'!C39,'Week 4'!C39,'Week 5'!C40,'Week 6'!C36,'Week 7'!C36,'Week 8'!C38,'Week 9'!C39,'Week 10'!C37,'Week 11'!C34,'Week 12'!C41,'Week 13'!C35,'Week 14'!C39,'Week 15'!C39,'Week 16'!C39,'Week 17'!C39,C39)</f>
        <v>25</v>
      </c>
      <c r="R63" s="40"/>
      <c r="S63" s="40"/>
      <c r="T63" s="41">
        <f t="shared" ref="T63:T74" si="76">RANK(V63,$V$63:$V$79,false)</f>
        <v>1</v>
      </c>
      <c r="U63" s="41" t="str">
        <f t="array" ref="U63:V79">SORT(P63:Q79,2,false)</f>
        <v>Caleb</v>
      </c>
      <c r="V63" s="41">
        <v>33.0</v>
      </c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</row>
    <row r="64" hidden="1">
      <c r="A64" s="40"/>
      <c r="B64" s="77" t="s">
        <v>7</v>
      </c>
      <c r="C64" s="41">
        <f t="array" ref="C64">INDEX(D42,0)</f>
        <v>275</v>
      </c>
      <c r="D64" s="40"/>
      <c r="G64" s="40"/>
      <c r="H64" s="40">
        <f t="shared" si="75"/>
        <v>2</v>
      </c>
      <c r="I64" s="40" t="s">
        <v>13</v>
      </c>
      <c r="J64" s="40">
        <v>445.0</v>
      </c>
      <c r="K64" s="40"/>
      <c r="L64" s="40"/>
      <c r="M64" s="40"/>
      <c r="N64" s="40"/>
      <c r="O64" s="40"/>
      <c r="P64" s="77" t="s">
        <v>7</v>
      </c>
      <c r="Q64" s="41">
        <f>SUM('Week 1'!D39,'Week 2'!D39,'Week 3'!D39,'Week 4'!D39,'Week 5'!D40,'Week 6'!D36,'Week 7'!D36,'Week 8'!D38,'Week 9'!D39,'Week 10'!D37,'Week 11'!D34,'Week 12'!D41,'Week 13'!D35,'Week 14'!D39,'Week 15'!D39,'Week 16'!D39,'Week 17'!D39,D39)</f>
        <v>24</v>
      </c>
      <c r="R64" s="40"/>
      <c r="S64" s="40"/>
      <c r="T64" s="41">
        <f t="shared" si="76"/>
        <v>2</v>
      </c>
      <c r="U64" s="41" t="s">
        <v>10</v>
      </c>
      <c r="V64" s="41">
        <v>30.0</v>
      </c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</row>
    <row r="65" hidden="1">
      <c r="A65" s="40"/>
      <c r="B65" s="77" t="s">
        <v>8</v>
      </c>
      <c r="C65" s="41">
        <f t="array" ref="C65">INDEX(E42,0)</f>
        <v>290</v>
      </c>
      <c r="D65" s="40"/>
      <c r="G65" s="40"/>
      <c r="H65" s="40">
        <f t="shared" si="75"/>
        <v>3</v>
      </c>
      <c r="I65" s="40" t="s">
        <v>10</v>
      </c>
      <c r="J65" s="40">
        <v>410.0</v>
      </c>
      <c r="K65" s="40"/>
      <c r="L65" s="40"/>
      <c r="M65" s="40"/>
      <c r="N65" s="40"/>
      <c r="O65" s="40"/>
      <c r="P65" s="77" t="s">
        <v>8</v>
      </c>
      <c r="Q65" s="41">
        <f>SUM('Week 1'!E39,'Week 2'!E39,'Week 3'!E39,'Week 4'!E39,'Week 5'!E40,'Week 6'!E36,'Week 7'!E36,'Week 8'!E38,'Week 9'!E39,'Week 10'!E37,'Week 11'!E34,'Week 12'!E41,'Week 13'!E35,'Week 14'!E39,'Week 15'!E39,'Week 16'!E39,'Week 17'!E39,E39)</f>
        <v>23</v>
      </c>
      <c r="R65" s="40"/>
      <c r="S65" s="40"/>
      <c r="T65" s="41">
        <f t="shared" si="76"/>
        <v>3</v>
      </c>
      <c r="U65" s="41" t="s">
        <v>14</v>
      </c>
      <c r="V65" s="41">
        <v>29.0</v>
      </c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</row>
    <row r="66" hidden="1">
      <c r="A66" s="40"/>
      <c r="B66" s="77" t="s">
        <v>9</v>
      </c>
      <c r="C66" s="41">
        <f t="array" ref="C66">INDEX(F42,0)</f>
        <v>375</v>
      </c>
      <c r="D66" s="40"/>
      <c r="G66" s="40"/>
      <c r="H66" s="40">
        <f t="shared" si="75"/>
        <v>4</v>
      </c>
      <c r="I66" s="40" t="s">
        <v>9</v>
      </c>
      <c r="J66" s="40">
        <v>375.0</v>
      </c>
      <c r="K66" s="40"/>
      <c r="L66" s="40"/>
      <c r="M66" s="40"/>
      <c r="N66" s="40"/>
      <c r="O66" s="40"/>
      <c r="P66" s="77" t="s">
        <v>9</v>
      </c>
      <c r="Q66" s="41">
        <f>SUM('Week 1'!F39,'Week 2'!F39,'Week 3'!F39,'Week 4'!F39,'Week 5'!F40,'Week 6'!F36,'Week 7'!F36,'Week 8'!F38,'Week 9'!F39,'Week 10'!F37,'Week 11'!F34,'Week 12'!F41,'Week 13'!F35,'Week 14'!F39,'Week 15'!F39,'Week 16'!F39,'Week 17'!F39,F39)</f>
        <v>26</v>
      </c>
      <c r="R66" s="40"/>
      <c r="S66" s="40"/>
      <c r="T66" s="41">
        <f t="shared" si="76"/>
        <v>4</v>
      </c>
      <c r="U66" s="41" t="s">
        <v>13</v>
      </c>
      <c r="V66" s="41">
        <v>27.0</v>
      </c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</row>
    <row r="67" hidden="1">
      <c r="A67" s="40"/>
      <c r="B67" s="77" t="s">
        <v>10</v>
      </c>
      <c r="C67" s="41">
        <f t="array" ref="C67">INDEX(G42,0)</f>
        <v>410</v>
      </c>
      <c r="D67" s="40"/>
      <c r="G67" s="40"/>
      <c r="H67" s="40">
        <f t="shared" si="75"/>
        <v>5</v>
      </c>
      <c r="I67" s="40" t="s">
        <v>14</v>
      </c>
      <c r="J67" s="40">
        <v>370.0</v>
      </c>
      <c r="K67" s="40"/>
      <c r="L67" s="40"/>
      <c r="M67" s="40"/>
      <c r="N67" s="40"/>
      <c r="O67" s="40"/>
      <c r="P67" s="77" t="s">
        <v>10</v>
      </c>
      <c r="Q67" s="41">
        <f>SUM('Week 1'!G39,'Week 2'!G39,'Week 3'!G39,'Week 4'!G39,'Week 5'!G40,'Week 6'!G36,'Week 7'!G36,'Week 8'!G38,'Week 9'!G39,'Week 10'!G37,'Week 11'!G34,'Week 12'!G41,'Week 13'!G35,'Week 14'!G39,'Week 15'!G39,'Week 16'!G39,'Week 17'!G39,G39)</f>
        <v>30</v>
      </c>
      <c r="R67" s="40"/>
      <c r="S67" s="40"/>
      <c r="T67" s="41">
        <f t="shared" si="76"/>
        <v>5</v>
      </c>
      <c r="U67" s="41" t="s">
        <v>9</v>
      </c>
      <c r="V67" s="41">
        <v>26.0</v>
      </c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</row>
    <row r="68" hidden="1">
      <c r="A68" s="40"/>
      <c r="B68" s="77" t="s">
        <v>11</v>
      </c>
      <c r="C68" s="41">
        <f t="array" ref="C68">INDEX(H42,0)</f>
        <v>480</v>
      </c>
      <c r="D68" s="40"/>
      <c r="G68" s="40"/>
      <c r="H68" s="40">
        <f t="shared" si="75"/>
        <v>6</v>
      </c>
      <c r="I68" s="40" t="s">
        <v>16</v>
      </c>
      <c r="J68" s="40">
        <v>365.0</v>
      </c>
      <c r="K68" s="40"/>
      <c r="L68" s="40"/>
      <c r="M68" s="40"/>
      <c r="N68" s="40"/>
      <c r="O68" s="40"/>
      <c r="P68" s="77" t="s">
        <v>11</v>
      </c>
      <c r="Q68" s="41">
        <f>SUM('Week 1'!H39,'Week 2'!H39,'Week 3'!H39,'Week 4'!H39,'Week 5'!H40,'Week 6'!H36,'Week 7'!H36,'Week 8'!H38,'Week 9'!H39,'Week 10'!H37,'Week 11'!H34,'Week 12'!H41,'Week 13'!H35,'Week 14'!H39,'Week 15'!H39,'Week 16'!H39,'Week 17'!H39,H39)</f>
        <v>33</v>
      </c>
      <c r="R68" s="40"/>
      <c r="S68" s="40"/>
      <c r="T68" s="41">
        <f t="shared" si="76"/>
        <v>5</v>
      </c>
      <c r="U68" s="41" t="s">
        <v>12</v>
      </c>
      <c r="V68" s="41">
        <v>26.0</v>
      </c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</row>
    <row r="69" hidden="1">
      <c r="A69" s="40"/>
      <c r="B69" s="77" t="s">
        <v>12</v>
      </c>
      <c r="C69" s="41">
        <f t="array" ref="C69">INDEX(I42,0)</f>
        <v>320</v>
      </c>
      <c r="D69" s="40"/>
      <c r="G69" s="40"/>
      <c r="H69" s="40">
        <f t="shared" si="75"/>
        <v>7</v>
      </c>
      <c r="I69" s="40" t="s">
        <v>6</v>
      </c>
      <c r="J69" s="40">
        <v>325.0</v>
      </c>
      <c r="K69" s="40"/>
      <c r="L69" s="40"/>
      <c r="M69" s="40"/>
      <c r="N69" s="40"/>
      <c r="O69" s="40"/>
      <c r="P69" s="77" t="s">
        <v>12</v>
      </c>
      <c r="Q69" s="41">
        <f>SUM('Week 1'!I39,'Week 2'!I39,'Week 3'!I39,'Week 4'!I39,'Week 5'!I40,'Week 6'!I36,'Week 7'!I36,'Week 8'!I38,'Week 9'!I39,'Week 10'!I37,'Week 11'!I34,'Week 12'!I41,'Week 13'!I35,'Week 14'!I39,'Week 15'!I39,'Week 16'!I39,'Week 17'!I39,I39)</f>
        <v>26</v>
      </c>
      <c r="R69" s="40"/>
      <c r="S69" s="40"/>
      <c r="T69" s="41">
        <f t="shared" si="76"/>
        <v>5</v>
      </c>
      <c r="U69" s="41" t="s">
        <v>15</v>
      </c>
      <c r="V69" s="41">
        <v>26.0</v>
      </c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</row>
    <row r="70" hidden="1">
      <c r="A70" s="40"/>
      <c r="B70" s="77" t="s">
        <v>13</v>
      </c>
      <c r="C70" s="41">
        <f t="array" ref="C70">INDEX(J42,0)</f>
        <v>445</v>
      </c>
      <c r="D70" s="40"/>
      <c r="G70" s="40"/>
      <c r="H70" s="40">
        <f t="shared" si="75"/>
        <v>8</v>
      </c>
      <c r="I70" s="40" t="s">
        <v>12</v>
      </c>
      <c r="J70" s="40">
        <v>320.0</v>
      </c>
      <c r="K70" s="40"/>
      <c r="L70" s="40"/>
      <c r="M70" s="40"/>
      <c r="N70" s="40"/>
      <c r="O70" s="40"/>
      <c r="P70" s="77" t="s">
        <v>13</v>
      </c>
      <c r="Q70" s="41">
        <f>SUM('Week 1'!J39,'Week 2'!J39,'Week 3'!J39,'Week 4'!J39,'Week 5'!J40,'Week 6'!J36,'Week 7'!J36,'Week 8'!J38,'Week 9'!J39,'Week 10'!J37,'Week 11'!J34,'Week 12'!J41,'Week 13'!J35,'Week 14'!J39,'Week 15'!J39,'Week 16'!J39,'Week 17'!J39,J39)</f>
        <v>27</v>
      </c>
      <c r="R70" s="40"/>
      <c r="S70" s="40"/>
      <c r="T70" s="41">
        <f t="shared" si="76"/>
        <v>8</v>
      </c>
      <c r="U70" s="41" t="s">
        <v>6</v>
      </c>
      <c r="V70" s="41">
        <v>25.0</v>
      </c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</row>
    <row r="71" hidden="1">
      <c r="A71" s="40"/>
      <c r="B71" s="77" t="s">
        <v>14</v>
      </c>
      <c r="C71" s="41">
        <f t="array" ref="C71">INDEX(K42,0)</f>
        <v>370</v>
      </c>
      <c r="D71" s="40"/>
      <c r="G71" s="40"/>
      <c r="H71" s="40">
        <f t="shared" si="75"/>
        <v>9</v>
      </c>
      <c r="I71" s="40" t="s">
        <v>8</v>
      </c>
      <c r="J71" s="40">
        <v>290.0</v>
      </c>
      <c r="K71" s="40"/>
      <c r="L71" s="40"/>
      <c r="M71" s="40"/>
      <c r="N71" s="40"/>
      <c r="O71" s="40"/>
      <c r="P71" s="77" t="s">
        <v>14</v>
      </c>
      <c r="Q71" s="41">
        <f>SUM('Week 1'!K39,'Week 2'!K39,'Week 3'!K39,'Week 4'!K39,'Week 5'!K40,'Week 6'!K36,'Week 7'!K36,'Week 8'!K38,'Week 9'!K39,'Week 10'!K37,'Week 11'!K34,'Week 12'!K41,'Week 13'!K35,'Week 14'!K39,'Week 15'!K39,'Week 16'!K39,'Week 17'!K39,K39)</f>
        <v>29</v>
      </c>
      <c r="R71" s="40"/>
      <c r="S71" s="40"/>
      <c r="T71" s="41">
        <f t="shared" si="76"/>
        <v>9</v>
      </c>
      <c r="U71" s="41" t="s">
        <v>7</v>
      </c>
      <c r="V71" s="41">
        <v>24.0</v>
      </c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</row>
    <row r="72" hidden="1">
      <c r="A72" s="40"/>
      <c r="B72" s="77" t="s">
        <v>15</v>
      </c>
      <c r="C72" s="41">
        <f t="array" ref="C72">INDEX(L42,0)</f>
        <v>280</v>
      </c>
      <c r="D72" s="40"/>
      <c r="G72" s="40"/>
      <c r="H72" s="40">
        <f t="shared" si="75"/>
        <v>9</v>
      </c>
      <c r="I72" s="40" t="s">
        <v>17</v>
      </c>
      <c r="J72" s="40">
        <v>290.0</v>
      </c>
      <c r="K72" s="40"/>
      <c r="L72" s="40"/>
      <c r="M72" s="40"/>
      <c r="N72" s="40"/>
      <c r="O72" s="40"/>
      <c r="P72" s="77" t="s">
        <v>15</v>
      </c>
      <c r="Q72" s="41">
        <f>SUM('Week 1'!L39,'Week 2'!L39,'Week 3'!L39,'Week 4'!L39,'Week 5'!L40,'Week 6'!L36,'Week 7'!L36,'Week 8'!L38,'Week 9'!L39,'Week 10'!L37,'Week 11'!L34,'Week 12'!L41,'Week 13'!L35,'Week 14'!L39,'Week 15'!L39,'Week 16'!L39,'Week 17'!L39,L39)</f>
        <v>26</v>
      </c>
      <c r="R72" s="40"/>
      <c r="S72" s="40"/>
      <c r="T72" s="41">
        <f t="shared" si="76"/>
        <v>9</v>
      </c>
      <c r="U72" s="41" t="s">
        <v>16</v>
      </c>
      <c r="V72" s="41">
        <v>24.0</v>
      </c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</row>
    <row r="73" hidden="1">
      <c r="A73" s="40"/>
      <c r="B73" s="77" t="s">
        <v>16</v>
      </c>
      <c r="C73" s="41">
        <f t="array" ref="C73">INDEX(M42,0)</f>
        <v>365</v>
      </c>
      <c r="D73" s="40"/>
      <c r="G73" s="40"/>
      <c r="H73" s="40">
        <f t="shared" si="75"/>
        <v>11</v>
      </c>
      <c r="I73" s="40" t="s">
        <v>15</v>
      </c>
      <c r="J73" s="40">
        <v>280.0</v>
      </c>
      <c r="K73" s="40"/>
      <c r="L73" s="40"/>
      <c r="M73" s="40"/>
      <c r="N73" s="40"/>
      <c r="O73" s="40"/>
      <c r="P73" s="77" t="s">
        <v>16</v>
      </c>
      <c r="Q73" s="41">
        <f>SUM('Week 1'!M39,'Week 2'!M39,'Week 3'!M39,'Week 4'!M39,'Week 5'!M40,'Week 6'!M36,'Week 7'!M36,'Week 8'!M38,'Week 9'!M39,'Week 10'!M37,'Week 11'!M34,'Week 12'!M41,'Week 13'!M35,'Week 14'!M39,'Week 15'!M39,'Week 16'!M39,'Week 17'!M39,M39)</f>
        <v>24</v>
      </c>
      <c r="R73" s="40"/>
      <c r="S73" s="40"/>
      <c r="T73" s="41">
        <f t="shared" si="76"/>
        <v>11</v>
      </c>
      <c r="U73" s="41" t="s">
        <v>8</v>
      </c>
      <c r="V73" s="41">
        <v>23.0</v>
      </c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</row>
    <row r="74" hidden="1">
      <c r="A74" s="40"/>
      <c r="B74" s="77" t="s">
        <v>17</v>
      </c>
      <c r="C74" s="41">
        <f t="array" ref="C74">INDEX(N42,0)</f>
        <v>290</v>
      </c>
      <c r="D74" s="40"/>
      <c r="G74" s="40"/>
      <c r="H74" s="40">
        <f t="shared" si="75"/>
        <v>12</v>
      </c>
      <c r="I74" s="40" t="s">
        <v>7</v>
      </c>
      <c r="J74" s="40">
        <v>275.0</v>
      </c>
      <c r="K74" s="40"/>
      <c r="L74" s="40"/>
      <c r="M74" s="40"/>
      <c r="N74" s="40"/>
      <c r="O74" s="40"/>
      <c r="P74" s="77" t="s">
        <v>17</v>
      </c>
      <c r="Q74" s="41">
        <f>SUM('Week 1'!N39,'Week 2'!N39,'Week 3'!N39,'Week 4'!N39,'Week 5'!N40,'Week 6'!N36,'Week 7'!N36,'Week 8'!N38,'Week 9'!N39,'Week 10'!N37,'Week 11'!N34,'Week 12'!N41,'Week 13'!N35,'Week 14'!N39,'Week 15'!N39,'Week 16'!N39,'Week 17'!N39,N39)</f>
        <v>20</v>
      </c>
      <c r="R74" s="40"/>
      <c r="S74" s="40"/>
      <c r="T74" s="41">
        <f t="shared" si="76"/>
        <v>12</v>
      </c>
      <c r="U74" s="41" t="s">
        <v>17</v>
      </c>
      <c r="V74" s="41">
        <v>20.0</v>
      </c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</row>
    <row r="75" hidden="1">
      <c r="A75" s="40"/>
      <c r="B75" s="77"/>
      <c r="C75" s="41"/>
      <c r="D75" s="40"/>
      <c r="G75" s="40"/>
      <c r="H75" s="40"/>
      <c r="I75" s="40"/>
      <c r="J75" s="40"/>
      <c r="K75" s="40"/>
      <c r="L75" s="40"/>
      <c r="M75" s="40"/>
      <c r="N75" s="40"/>
      <c r="O75" s="40"/>
      <c r="P75" s="77"/>
      <c r="Q75" s="41"/>
      <c r="R75" s="40"/>
      <c r="S75" s="40"/>
      <c r="T75" s="41"/>
      <c r="U75" s="41"/>
      <c r="V75" s="41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</row>
    <row r="76" hidden="1">
      <c r="A76" s="40"/>
      <c r="B76" s="77"/>
      <c r="C76" s="41"/>
      <c r="D76" s="40"/>
      <c r="G76" s="40"/>
      <c r="H76" s="40"/>
      <c r="I76" s="40"/>
      <c r="J76" s="40"/>
      <c r="K76" s="40"/>
      <c r="L76" s="40"/>
      <c r="M76" s="40"/>
      <c r="N76" s="40"/>
      <c r="O76" s="40"/>
      <c r="P76" s="77"/>
      <c r="Q76" s="41"/>
      <c r="R76" s="40"/>
      <c r="S76" s="40"/>
      <c r="T76" s="41"/>
      <c r="U76" s="41"/>
      <c r="V76" s="41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</row>
    <row r="77" hidden="1">
      <c r="A77" s="40"/>
      <c r="B77" s="77"/>
      <c r="C77" s="41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77"/>
      <c r="Q77" s="41"/>
      <c r="R77" s="40"/>
      <c r="S77" s="40"/>
      <c r="T77" s="41"/>
      <c r="U77" s="41"/>
      <c r="V77" s="41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</row>
    <row r="78" hidden="1">
      <c r="A78" s="40"/>
      <c r="B78" s="77"/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77"/>
      <c r="Q78" s="41"/>
      <c r="R78" s="40"/>
      <c r="S78" s="40"/>
      <c r="T78" s="41"/>
      <c r="U78" s="41"/>
      <c r="V78" s="41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</row>
    <row r="79" hidden="1">
      <c r="A79" s="40"/>
      <c r="B79" s="77"/>
      <c r="C79" s="41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77"/>
      <c r="Q79" s="41"/>
      <c r="R79" s="40"/>
      <c r="S79" s="40"/>
      <c r="T79" s="41"/>
      <c r="U79" s="41"/>
      <c r="V79" s="41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</row>
    <row r="80" hidden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</row>
  </sheetData>
  <mergeCells count="13">
    <mergeCell ref="AK1:AO1"/>
    <mergeCell ref="AP1:AT1"/>
    <mergeCell ref="AU1:AY1"/>
    <mergeCell ref="AZ1:BD1"/>
    <mergeCell ref="BE1:BI1"/>
    <mergeCell ref="BJ1:BN1"/>
    <mergeCell ref="C1:F1"/>
    <mergeCell ref="G1:K1"/>
    <mergeCell ref="L1:P1"/>
    <mergeCell ref="Q1:U1"/>
    <mergeCell ref="V1:Z1"/>
    <mergeCell ref="AA1:AE1"/>
    <mergeCell ref="AF1:AJ1"/>
  </mergeCells>
  <conditionalFormatting sqref="G2:K17">
    <cfRule type="expression" dxfId="0" priority="1">
      <formula>AND($I19=$C19,$C19=0)</formula>
    </cfRule>
  </conditionalFormatting>
  <conditionalFormatting sqref="G2:K17">
    <cfRule type="expression" dxfId="7" priority="2">
      <formula>$I19=$C19</formula>
    </cfRule>
  </conditionalFormatting>
  <conditionalFormatting sqref="L2:L17">
    <cfRule type="expression" dxfId="2" priority="3">
      <formula>AND(C2&lt;&gt;"",C2&lt;&gt;L2)</formula>
    </cfRule>
  </conditionalFormatting>
  <conditionalFormatting sqref="M2:M17">
    <cfRule type="expression" dxfId="2" priority="4">
      <formula>AND(C2&lt;&gt;"",C2&lt;&gt;L2)</formula>
    </cfRule>
  </conditionalFormatting>
  <conditionalFormatting sqref="N2:N17">
    <cfRule type="expression" dxfId="2" priority="5">
      <formula>AND(C2&lt;&gt;"",C2&lt;&gt;L2)</formula>
    </cfRule>
  </conditionalFormatting>
  <conditionalFormatting sqref="O2:O17">
    <cfRule type="expression" dxfId="2" priority="6">
      <formula>AND(C2&lt;&gt;"",C2&lt;&gt;L2)</formula>
    </cfRule>
  </conditionalFormatting>
  <conditionalFormatting sqref="P2:P17">
    <cfRule type="expression" dxfId="2" priority="7">
      <formula>AND(C2&lt;&gt;"",C2&lt;&gt;L2)</formula>
    </cfRule>
  </conditionalFormatting>
  <conditionalFormatting sqref="L2:P17">
    <cfRule type="expression" dxfId="0" priority="8">
      <formula>AND($N19=$C19,$C19=0)</formula>
    </cfRule>
  </conditionalFormatting>
  <conditionalFormatting sqref="L2:P17">
    <cfRule type="expression" dxfId="7" priority="9">
      <formula>$N19=$C19</formula>
    </cfRule>
  </conditionalFormatting>
  <conditionalFormatting sqref="Q2:Q17">
    <cfRule type="expression" dxfId="2" priority="10">
      <formula>AND(C2&lt;&gt;"",C2&lt;&gt;Q2)</formula>
    </cfRule>
  </conditionalFormatting>
  <conditionalFormatting sqref="R2:R17">
    <cfRule type="expression" dxfId="2" priority="11">
      <formula>AND(C2&lt;&gt;"",C2&lt;&gt;Q2)</formula>
    </cfRule>
  </conditionalFormatting>
  <conditionalFormatting sqref="S2:S17">
    <cfRule type="expression" dxfId="2" priority="12">
      <formula>AND(C2&lt;&gt;"",C2&lt;&gt;Q2)</formula>
    </cfRule>
  </conditionalFormatting>
  <conditionalFormatting sqref="T2:T17">
    <cfRule type="expression" dxfId="2" priority="13">
      <formula>AND(C2&lt;&gt;"",C2&lt;&gt;Q2)</formula>
    </cfRule>
  </conditionalFormatting>
  <conditionalFormatting sqref="U2:U17">
    <cfRule type="expression" dxfId="2" priority="14">
      <formula>AND(C2&lt;&gt;"",C2&lt;&gt;Q2)</formula>
    </cfRule>
  </conditionalFormatting>
  <conditionalFormatting sqref="Q2:U17">
    <cfRule type="expression" dxfId="0" priority="15">
      <formula>AND($S19=$C19,$C19=0)</formula>
    </cfRule>
  </conditionalFormatting>
  <conditionalFormatting sqref="Q2:U17">
    <cfRule type="expression" dxfId="7" priority="16">
      <formula>$S19=$C19</formula>
    </cfRule>
  </conditionalFormatting>
  <conditionalFormatting sqref="V2:V17">
    <cfRule type="expression" dxfId="2" priority="17">
      <formula>AND(C2&lt;&gt;"",C2&lt;&gt;V2)</formula>
    </cfRule>
  </conditionalFormatting>
  <conditionalFormatting sqref="W2:W17">
    <cfRule type="expression" dxfId="2" priority="18">
      <formula>AND(C2&lt;&gt;"",C2&lt;&gt;V2)</formula>
    </cfRule>
  </conditionalFormatting>
  <conditionalFormatting sqref="X2:X17">
    <cfRule type="expression" dxfId="2" priority="19">
      <formula>AND(C2&lt;&gt;"",C2&lt;&gt;V2)</formula>
    </cfRule>
  </conditionalFormatting>
  <conditionalFormatting sqref="Y2:Y17">
    <cfRule type="expression" dxfId="2" priority="20">
      <formula>AND(C2&lt;&gt;"",C2&lt;&gt;V2)</formula>
    </cfRule>
  </conditionalFormatting>
  <conditionalFormatting sqref="Z2:Z17">
    <cfRule type="expression" dxfId="2" priority="21">
      <formula>AND(C2&lt;&gt;"",C2&lt;&gt;V2)</formula>
    </cfRule>
  </conditionalFormatting>
  <conditionalFormatting sqref="AA2:AA17">
    <cfRule type="expression" dxfId="2" priority="22">
      <formula>AND(C2&lt;&gt;"",C2&lt;&gt;AA2)</formula>
    </cfRule>
  </conditionalFormatting>
  <conditionalFormatting sqref="AB2:AB17">
    <cfRule type="expression" dxfId="2" priority="23">
      <formula>AND(C2&lt;&gt;"",C2&lt;&gt;AA2)</formula>
    </cfRule>
  </conditionalFormatting>
  <conditionalFormatting sqref="AC2:AC17">
    <cfRule type="expression" dxfId="2" priority="24">
      <formula>AND(C2&lt;&gt;"",C2&lt;&gt;AA2)</formula>
    </cfRule>
  </conditionalFormatting>
  <conditionalFormatting sqref="AD2:AD17">
    <cfRule type="expression" dxfId="2" priority="25">
      <formula>AND(C2&lt;&gt;"",C2&lt;&gt;AA2)</formula>
    </cfRule>
  </conditionalFormatting>
  <conditionalFormatting sqref="AE2:AE17">
    <cfRule type="expression" dxfId="2" priority="26">
      <formula>AND(C2&lt;&gt;"",C2&lt;&gt;AA2)</formula>
    </cfRule>
  </conditionalFormatting>
  <conditionalFormatting sqref="AF2:AF17">
    <cfRule type="expression" dxfId="2" priority="27">
      <formula>AND(C2&lt;&gt;"",C2&lt;&gt;AF2)</formula>
    </cfRule>
  </conditionalFormatting>
  <conditionalFormatting sqref="AG2:AG17">
    <cfRule type="expression" dxfId="2" priority="28">
      <formula>AND(C2&lt;&gt;"",C2&lt;&gt;AF2)</formula>
    </cfRule>
  </conditionalFormatting>
  <conditionalFormatting sqref="AH2:AH17">
    <cfRule type="expression" dxfId="2" priority="29">
      <formula>AND(C2&lt;&gt;"",C2&lt;&gt;AF2)</formula>
    </cfRule>
  </conditionalFormatting>
  <conditionalFormatting sqref="AI2:AI17">
    <cfRule type="expression" dxfId="2" priority="30">
      <formula>AND(C2&lt;&gt;"",C2&lt;&gt;AF2)</formula>
    </cfRule>
  </conditionalFormatting>
  <conditionalFormatting sqref="AJ2:AJ17">
    <cfRule type="expression" dxfId="2" priority="31">
      <formula>AND(C2&lt;&gt;"",C2&lt;&gt;AF2)</formula>
    </cfRule>
  </conditionalFormatting>
  <conditionalFormatting sqref="AK2:AK17">
    <cfRule type="expression" dxfId="2" priority="32">
      <formula>AND(C2&lt;&gt;"",C2&lt;&gt;AK2)</formula>
    </cfRule>
  </conditionalFormatting>
  <conditionalFormatting sqref="AL2:AL17">
    <cfRule type="expression" dxfId="2" priority="33">
      <formula>AND(C2&lt;&gt;"",C2&lt;&gt;AK2)</formula>
    </cfRule>
  </conditionalFormatting>
  <conditionalFormatting sqref="AM2:AM17">
    <cfRule type="expression" dxfId="2" priority="34">
      <formula>AND(C2&lt;&gt;"",C2&lt;&gt;AK2)</formula>
    </cfRule>
  </conditionalFormatting>
  <conditionalFormatting sqref="AN2:AN17">
    <cfRule type="expression" dxfId="2" priority="35">
      <formula>AND(C2&lt;&gt;"",C2&lt;&gt;AK2)</formula>
    </cfRule>
  </conditionalFormatting>
  <conditionalFormatting sqref="AO2:AO17">
    <cfRule type="expression" dxfId="2" priority="36">
      <formula>AND(C2&lt;&gt;"",C2&lt;&gt;AK2)</formula>
    </cfRule>
  </conditionalFormatting>
  <conditionalFormatting sqref="AP2:AP17">
    <cfRule type="expression" dxfId="2" priority="37">
      <formula>AND(C2&lt;&gt;"",C2&lt;&gt;AP2)</formula>
    </cfRule>
  </conditionalFormatting>
  <conditionalFormatting sqref="AQ2:AQ17">
    <cfRule type="expression" dxfId="2" priority="38">
      <formula>AND(C2&lt;&gt;"",C2&lt;&gt;AP2)</formula>
    </cfRule>
  </conditionalFormatting>
  <conditionalFormatting sqref="AR2:AR17">
    <cfRule type="expression" dxfId="2" priority="39">
      <formula>AND(C2&lt;&gt;"",C2&lt;&gt;AP2)</formula>
    </cfRule>
  </conditionalFormatting>
  <conditionalFormatting sqref="AS2:AS17">
    <cfRule type="expression" dxfId="2" priority="40">
      <formula>AND(C2&lt;&gt;"",C2&lt;&gt;AP2)</formula>
    </cfRule>
  </conditionalFormatting>
  <conditionalFormatting sqref="AT2:AT17">
    <cfRule type="expression" dxfId="2" priority="41">
      <formula>AND(C2&lt;&gt;"",C2&lt;&gt;AP2)</formula>
    </cfRule>
  </conditionalFormatting>
  <conditionalFormatting sqref="AU2:AU17">
    <cfRule type="expression" dxfId="2" priority="42">
      <formula>AND(C2&lt;&gt;"",C2&lt;&gt;AU2)</formula>
    </cfRule>
  </conditionalFormatting>
  <conditionalFormatting sqref="AV2:AV17">
    <cfRule type="expression" dxfId="2" priority="43">
      <formula>AND(C2&lt;&gt;"",C2&lt;&gt;AU2)</formula>
    </cfRule>
  </conditionalFormatting>
  <conditionalFormatting sqref="AW2:AW17">
    <cfRule type="expression" dxfId="2" priority="44">
      <formula>AND(C2&lt;&gt;"",C2&lt;&gt;AU2)</formula>
    </cfRule>
  </conditionalFormatting>
  <conditionalFormatting sqref="AX2:AX17">
    <cfRule type="expression" dxfId="2" priority="45">
      <formula>AND(C2&lt;&gt;"",C2&lt;&gt;AU2)</formula>
    </cfRule>
  </conditionalFormatting>
  <conditionalFormatting sqref="AY2:AY17">
    <cfRule type="expression" dxfId="2" priority="46">
      <formula>AND(C2&lt;&gt;"",C2&lt;&gt;AU2)</formula>
    </cfRule>
  </conditionalFormatting>
  <conditionalFormatting sqref="AZ2:AZ17">
    <cfRule type="expression" dxfId="2" priority="47">
      <formula>AND(C2&lt;&gt;"",C2&lt;&gt;AZ2)</formula>
    </cfRule>
  </conditionalFormatting>
  <conditionalFormatting sqref="BA2:BA17">
    <cfRule type="expression" dxfId="2" priority="48">
      <formula>AND(C2&lt;&gt;"",C2&lt;&gt;AZ2)</formula>
    </cfRule>
  </conditionalFormatting>
  <conditionalFormatting sqref="BB2:BB17">
    <cfRule type="expression" dxfId="2" priority="49">
      <formula>AND(C2&lt;&gt;"",C2&lt;&gt;AZ2)</formula>
    </cfRule>
  </conditionalFormatting>
  <conditionalFormatting sqref="BC2:BC17">
    <cfRule type="expression" dxfId="2" priority="50">
      <formula>AND(C2&lt;&gt;"",C2&lt;&gt;AZ2)</formula>
    </cfRule>
  </conditionalFormatting>
  <conditionalFormatting sqref="BD2:BD17">
    <cfRule type="expression" dxfId="2" priority="51">
      <formula>AND(C2&lt;&gt;"",C2&lt;&gt;AZ2)</formula>
    </cfRule>
  </conditionalFormatting>
  <conditionalFormatting sqref="BE2:BE17">
    <cfRule type="expression" dxfId="2" priority="52">
      <formula>AND(C2&lt;&gt;"",C2&lt;&gt;BE2)</formula>
    </cfRule>
  </conditionalFormatting>
  <conditionalFormatting sqref="BF2:BF17">
    <cfRule type="expression" dxfId="2" priority="53">
      <formula>AND(C2&lt;&gt;"",C2&lt;&gt;BE2)</formula>
    </cfRule>
  </conditionalFormatting>
  <conditionalFormatting sqref="BG2:BG17">
    <cfRule type="expression" dxfId="2" priority="54">
      <formula>AND(C2&lt;&gt;"",C2&lt;&gt;BE2)</formula>
    </cfRule>
  </conditionalFormatting>
  <conditionalFormatting sqref="BH2:BH17">
    <cfRule type="expression" dxfId="2" priority="55">
      <formula>AND(C2&lt;&gt;"",C2&lt;&gt;BE2)</formula>
    </cfRule>
  </conditionalFormatting>
  <conditionalFormatting sqref="BI2:BI17">
    <cfRule type="expression" dxfId="2" priority="56">
      <formula>AND(C2&lt;&gt;"",C2&lt;&gt;BE2)</formula>
    </cfRule>
  </conditionalFormatting>
  <conditionalFormatting sqref="BJ2:BJ17">
    <cfRule type="expression" dxfId="2" priority="57">
      <formula>AND(C2&lt;&gt;"",C2&lt;&gt;BJ2)</formula>
    </cfRule>
  </conditionalFormatting>
  <conditionalFormatting sqref="BK2:BK17">
    <cfRule type="expression" dxfId="2" priority="58">
      <formula>AND(C2&lt;&gt;"",C2&lt;&gt;BJ2)</formula>
    </cfRule>
  </conditionalFormatting>
  <conditionalFormatting sqref="BL2:BL17">
    <cfRule type="expression" dxfId="2" priority="59">
      <formula>AND(C2&lt;&gt;"",C2&lt;&gt;BJ2)</formula>
    </cfRule>
  </conditionalFormatting>
  <conditionalFormatting sqref="BM2:BM17">
    <cfRule type="expression" dxfId="2" priority="60">
      <formula>AND(C2&lt;&gt;"",C2&lt;&gt;BJ2)</formula>
    </cfRule>
  </conditionalFormatting>
  <conditionalFormatting sqref="BN2:BN17">
    <cfRule type="expression" dxfId="2" priority="61">
      <formula>AND(C2&lt;&gt;"",C2&lt;&gt;BJ2)</formula>
    </cfRule>
  </conditionalFormatting>
  <conditionalFormatting sqref="G2:G17">
    <cfRule type="expression" dxfId="3" priority="62">
      <formula>G2=C2</formula>
    </cfRule>
  </conditionalFormatting>
  <conditionalFormatting sqref="H2:H17">
    <cfRule type="expression" dxfId="3" priority="63">
      <formula>G2=C2</formula>
    </cfRule>
  </conditionalFormatting>
  <conditionalFormatting sqref="I2:I17">
    <cfRule type="expression" dxfId="3" priority="64">
      <formula>G2=C2</formula>
    </cfRule>
  </conditionalFormatting>
  <conditionalFormatting sqref="J2:J17">
    <cfRule type="expression" dxfId="3" priority="65">
      <formula>G2=C2</formula>
    </cfRule>
  </conditionalFormatting>
  <conditionalFormatting sqref="K2:K17">
    <cfRule type="expression" dxfId="3" priority="66">
      <formula>G2=C2</formula>
    </cfRule>
  </conditionalFormatting>
  <conditionalFormatting sqref="L2:L17">
    <cfRule type="expression" dxfId="3" priority="67">
      <formula>L2=C2</formula>
    </cfRule>
  </conditionalFormatting>
  <conditionalFormatting sqref="M2:M17">
    <cfRule type="expression" dxfId="3" priority="68">
      <formula>L2=C2</formula>
    </cfRule>
  </conditionalFormatting>
  <conditionalFormatting sqref="N2:N17">
    <cfRule type="expression" dxfId="3" priority="69">
      <formula>L2=C2</formula>
    </cfRule>
  </conditionalFormatting>
  <conditionalFormatting sqref="O2:O17">
    <cfRule type="expression" dxfId="3" priority="70">
      <formula>L2=C2</formula>
    </cfRule>
  </conditionalFormatting>
  <conditionalFormatting sqref="P2:P17">
    <cfRule type="expression" dxfId="3" priority="71">
      <formula>L2=C2</formula>
    </cfRule>
  </conditionalFormatting>
  <conditionalFormatting sqref="Q2:Q17">
    <cfRule type="expression" dxfId="3" priority="72">
      <formula>Q2=C2</formula>
    </cfRule>
  </conditionalFormatting>
  <conditionalFormatting sqref="R2:R17">
    <cfRule type="expression" dxfId="3" priority="73">
      <formula>Q2=C2</formula>
    </cfRule>
  </conditionalFormatting>
  <conditionalFormatting sqref="S2:S17">
    <cfRule type="expression" dxfId="3" priority="74">
      <formula>Q2=C2</formula>
    </cfRule>
  </conditionalFormatting>
  <conditionalFormatting sqref="T2:T17">
    <cfRule type="expression" dxfId="3" priority="75">
      <formula>Q2=C2</formula>
    </cfRule>
  </conditionalFormatting>
  <conditionalFormatting sqref="U2:U17">
    <cfRule type="expression" dxfId="3" priority="76">
      <formula>Q2=C2</formula>
    </cfRule>
  </conditionalFormatting>
  <conditionalFormatting sqref="V2:Z17">
    <cfRule type="expression" dxfId="0" priority="77">
      <formula>AND($X19=$C19,$C19=0)</formula>
    </cfRule>
  </conditionalFormatting>
  <conditionalFormatting sqref="V2:Z17">
    <cfRule type="expression" dxfId="7" priority="78">
      <formula>$X19=$C19</formula>
    </cfRule>
  </conditionalFormatting>
  <conditionalFormatting sqref="V2:Z17">
    <cfRule type="expression" dxfId="3" priority="79">
      <formula>$V2=$C2</formula>
    </cfRule>
  </conditionalFormatting>
  <conditionalFormatting sqref="AA2:AE17">
    <cfRule type="expression" dxfId="0" priority="80">
      <formula>AND($AC19=$C19,$C19=0)</formula>
    </cfRule>
  </conditionalFormatting>
  <conditionalFormatting sqref="AA2:AE17">
    <cfRule type="expression" dxfId="7" priority="81">
      <formula>$AC19=$C19</formula>
    </cfRule>
  </conditionalFormatting>
  <conditionalFormatting sqref="AA2:AE17">
    <cfRule type="expression" dxfId="3" priority="82">
      <formula>$AA2=$C2</formula>
    </cfRule>
  </conditionalFormatting>
  <conditionalFormatting sqref="AF2:AJ17">
    <cfRule type="expression" dxfId="0" priority="83">
      <formula>AND($AH19=$C19,$C19=0)</formula>
    </cfRule>
  </conditionalFormatting>
  <conditionalFormatting sqref="AF2:AJ17">
    <cfRule type="expression" dxfId="7" priority="84">
      <formula>$AH19=$C19</formula>
    </cfRule>
  </conditionalFormatting>
  <conditionalFormatting sqref="AF2:AJ17">
    <cfRule type="expression" dxfId="3" priority="85">
      <formula>$AF2=$C2</formula>
    </cfRule>
  </conditionalFormatting>
  <conditionalFormatting sqref="AK2:AO17">
    <cfRule type="expression" dxfId="0" priority="86">
      <formula>AND($AM19=$C19,$C19=0)</formula>
    </cfRule>
  </conditionalFormatting>
  <conditionalFormatting sqref="AK2:AO17">
    <cfRule type="expression" dxfId="7" priority="87">
      <formula>$AM19=$C19</formula>
    </cfRule>
  </conditionalFormatting>
  <conditionalFormatting sqref="AK2:AO17">
    <cfRule type="expression" dxfId="3" priority="88">
      <formula>$AK2=$C2</formula>
    </cfRule>
  </conditionalFormatting>
  <conditionalFormatting sqref="AP2:AT17">
    <cfRule type="expression" dxfId="0" priority="89">
      <formula>AND($AR19=$C19,$C19=0)</formula>
    </cfRule>
  </conditionalFormatting>
  <conditionalFormatting sqref="AP2:AT17">
    <cfRule type="expression" dxfId="7" priority="90">
      <formula>$AR19=$C19</formula>
    </cfRule>
  </conditionalFormatting>
  <conditionalFormatting sqref="AP2:AT17">
    <cfRule type="expression" dxfId="3" priority="91">
      <formula>$AP2=$C2</formula>
    </cfRule>
  </conditionalFormatting>
  <conditionalFormatting sqref="AU2:AY17">
    <cfRule type="expression" dxfId="0" priority="92">
      <formula>AND($AW19=$C19,$C19=0)</formula>
    </cfRule>
  </conditionalFormatting>
  <conditionalFormatting sqref="AU2:AY17">
    <cfRule type="expression" dxfId="7" priority="93">
      <formula>$AW19=$C19</formula>
    </cfRule>
  </conditionalFormatting>
  <conditionalFormatting sqref="AU2:AY17">
    <cfRule type="expression" dxfId="3" priority="94">
      <formula>$AU2=$C2</formula>
    </cfRule>
  </conditionalFormatting>
  <conditionalFormatting sqref="AZ2:BD17">
    <cfRule type="expression" dxfId="0" priority="95">
      <formula>AND($BB19=$C19,$C19=0)</formula>
    </cfRule>
  </conditionalFormatting>
  <conditionalFormatting sqref="AZ2:BD17">
    <cfRule type="expression" dxfId="7" priority="96">
      <formula>$BB19=$C19</formula>
    </cfRule>
  </conditionalFormatting>
  <conditionalFormatting sqref="AZ2:BD17">
    <cfRule type="expression" dxfId="3" priority="97">
      <formula>$AZ2=$C2</formula>
    </cfRule>
  </conditionalFormatting>
  <conditionalFormatting sqref="BE2:BI17">
    <cfRule type="expression" dxfId="0" priority="98">
      <formula>AND($BG19=$C19,$C19=0)</formula>
    </cfRule>
  </conditionalFormatting>
  <conditionalFormatting sqref="BE2:BI17">
    <cfRule type="expression" dxfId="7" priority="99">
      <formula>$BG19=$C19</formula>
    </cfRule>
  </conditionalFormatting>
  <conditionalFormatting sqref="BE2:BI17">
    <cfRule type="expression" dxfId="3" priority="100">
      <formula>$BE2=$C2</formula>
    </cfRule>
  </conditionalFormatting>
  <conditionalFormatting sqref="BJ2:BN17">
    <cfRule type="expression" dxfId="0" priority="101">
      <formula>AND($BL19=$C19,$C19=0)</formula>
    </cfRule>
  </conditionalFormatting>
  <conditionalFormatting sqref="BJ2:BN17">
    <cfRule type="expression" dxfId="7" priority="102">
      <formula>$BL19=$C19</formula>
    </cfRule>
  </conditionalFormatting>
  <conditionalFormatting sqref="BJ2:BN17">
    <cfRule type="expression" dxfId="3" priority="103">
      <formula>$BJ2=$C2</formula>
    </cfRule>
  </conditionalFormatting>
  <conditionalFormatting sqref="G2:K17">
    <cfRule type="expression" dxfId="2" priority="104">
      <formula>AND($C2&lt;&gt;"",$G2&lt;&gt;$C2)</formula>
    </cfRule>
  </conditionalFormatting>
  <conditionalFormatting sqref="C45:C61">
    <cfRule type="cellIs" dxfId="4" priority="105" operator="equal">
      <formula>1</formula>
    </cfRule>
  </conditionalFormatting>
  <conditionalFormatting sqref="C45:C61">
    <cfRule type="cellIs" dxfId="5" priority="106" operator="equal">
      <formula>2</formula>
    </cfRule>
  </conditionalFormatting>
  <conditionalFormatting sqref="C45:C61">
    <cfRule type="cellIs" dxfId="6" priority="107" operator="equal">
      <formula>3</formula>
    </cfRule>
  </conditionalFormatting>
  <conditionalFormatting sqref="J45:J61">
    <cfRule type="cellIs" dxfId="4" priority="108" operator="equal">
      <formula>1</formula>
    </cfRule>
  </conditionalFormatting>
  <conditionalFormatting sqref="J45:J61">
    <cfRule type="cellIs" dxfId="5" priority="109" operator="equal">
      <formula>2</formula>
    </cfRule>
  </conditionalFormatting>
  <conditionalFormatting sqref="J45:J61">
    <cfRule type="cellIs" dxfId="6" priority="110" operator="equal">
      <formula>3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5" max="5" width="3.63"/>
  </cols>
  <sheetData>
    <row r="1">
      <c r="A1" s="89" t="str">
        <f>IFERROR(__xludf.DUMMYFUNCTION("IMPORTRANGE(""https://docs.google.com/spreadsheets/d/1v9a6MxzpyXdVbef97sptWrOJUpuAu6ldKC6wbegqpyg/edit?gid=1504713352#gid=1504713352"",""Standings!A1:I33"")"),"")</f>
        <v/>
      </c>
      <c r="B1" s="70" t="str">
        <f>IFERROR(__xludf.DUMMYFUNCTION("""COMPUTED_VALUE"""),"AFC West")</f>
        <v>AFC West</v>
      </c>
      <c r="C1" s="70" t="str">
        <f>IFERROR(__xludf.DUMMYFUNCTION("""COMPUTED_VALUE"""),"Record")</f>
        <v>Record</v>
      </c>
      <c r="D1" s="70" t="str">
        <f>IFERROR(__xludf.DUMMYFUNCTION("""COMPUTED_VALUE"""),"Div Record")</f>
        <v>Div Record</v>
      </c>
      <c r="E1" s="89"/>
      <c r="F1" s="89"/>
      <c r="G1" s="70" t="str">
        <f>IFERROR(__xludf.DUMMYFUNCTION("""COMPUTED_VALUE"""),"NFC West")</f>
        <v>NFC West</v>
      </c>
      <c r="H1" s="70" t="str">
        <f>IFERROR(__xludf.DUMMYFUNCTION("""COMPUTED_VALUE"""),"Record")</f>
        <v>Record</v>
      </c>
      <c r="I1" s="70" t="str">
        <f>IFERROR(__xludf.DUMMYFUNCTION("""COMPUTED_VALUE"""),"Div Record")</f>
        <v>Div Record</v>
      </c>
    </row>
    <row r="2">
      <c r="A2" s="90" t="str">
        <f>IFERROR(__xludf.DUMMYFUNCTION("""COMPUTED_VALUE"""),"")</f>
        <v/>
      </c>
      <c r="B2" s="91" t="str">
        <f>IFERROR(__xludf.DUMMYFUNCTION("""COMPUTED_VALUE"""),"KC")</f>
        <v>KC</v>
      </c>
      <c r="C2" s="92" t="str">
        <f>IFERROR(__xludf.DUMMYFUNCTION("""COMPUTED_VALUE"""),"3 - 0")</f>
        <v>3 - 0</v>
      </c>
      <c r="D2" s="92" t="str">
        <f>IFERROR(__xludf.DUMMYFUNCTION("""COMPUTED_VALUE"""),"1 - 0")</f>
        <v>1 - 0</v>
      </c>
      <c r="E2" s="89"/>
      <c r="F2" s="90" t="str">
        <f>IFERROR(__xludf.DUMMYFUNCTION("""COMPUTED_VALUE"""),"")</f>
        <v/>
      </c>
      <c r="G2" s="93" t="str">
        <f>IFERROR(__xludf.DUMMYFUNCTION("""COMPUTED_VALUE"""),"SF")</f>
        <v>SF</v>
      </c>
      <c r="H2" s="92" t="str">
        <f>IFERROR(__xludf.DUMMYFUNCTION("""COMPUTED_VALUE"""),"3 - 0")</f>
        <v>3 - 0</v>
      </c>
      <c r="I2" s="92" t="str">
        <f>IFERROR(__xludf.DUMMYFUNCTION("""COMPUTED_VALUE"""),"2 - 0")</f>
        <v>2 - 0</v>
      </c>
    </row>
    <row r="3">
      <c r="A3" s="90" t="str">
        <f>IFERROR(__xludf.DUMMYFUNCTION("""COMPUTED_VALUE"""),"")</f>
        <v/>
      </c>
      <c r="B3" s="70" t="str">
        <f>IFERROR(__xludf.DUMMYFUNCTION("""COMPUTED_VALUE"""),"LV")</f>
        <v>LV</v>
      </c>
      <c r="C3" s="92" t="str">
        <f>IFERROR(__xludf.DUMMYFUNCTION("""COMPUTED_VALUE"""),"3 - 0")</f>
        <v>3 - 0</v>
      </c>
      <c r="D3" s="92" t="str">
        <f>IFERROR(__xludf.DUMMYFUNCTION("""COMPUTED_VALUE"""),"1 - 0")</f>
        <v>1 - 0</v>
      </c>
      <c r="E3" s="89"/>
      <c r="F3" s="90" t="str">
        <f>IFERROR(__xludf.DUMMYFUNCTION("""COMPUTED_VALUE"""),"")</f>
        <v/>
      </c>
      <c r="G3" s="94" t="str">
        <f>IFERROR(__xludf.DUMMYFUNCTION("""COMPUTED_VALUE"""),"LAR")</f>
        <v>LAR</v>
      </c>
      <c r="H3" s="92" t="str">
        <f>IFERROR(__xludf.DUMMYFUNCTION("""COMPUTED_VALUE"""),"1 - 1")</f>
        <v>1 - 1</v>
      </c>
      <c r="I3" s="92" t="str">
        <f>IFERROR(__xludf.DUMMYFUNCTION("""COMPUTED_VALUE"""),"0 - 1")</f>
        <v>0 - 1</v>
      </c>
    </row>
    <row r="4">
      <c r="A4" s="90" t="str">
        <f>IFERROR(__xludf.DUMMYFUNCTION("""COMPUTED_VALUE"""),"")</f>
        <v/>
      </c>
      <c r="B4" s="95" t="str">
        <f>IFERROR(__xludf.DUMMYFUNCTION("""COMPUTED_VALUE"""),"DEN")</f>
        <v>DEN</v>
      </c>
      <c r="C4" s="92" t="str">
        <f>IFERROR(__xludf.DUMMYFUNCTION("""COMPUTED_VALUE"""),"1 - 1")</f>
        <v>1 - 1</v>
      </c>
      <c r="D4" s="92" t="str">
        <f>IFERROR(__xludf.DUMMYFUNCTION("""COMPUTED_VALUE"""),"0 - 1")</f>
        <v>0 - 1</v>
      </c>
      <c r="E4" s="89"/>
      <c r="F4" s="90" t="str">
        <f>IFERROR(__xludf.DUMMYFUNCTION("""COMPUTED_VALUE"""),"")</f>
        <v/>
      </c>
      <c r="G4" s="96" t="str">
        <f>IFERROR(__xludf.DUMMYFUNCTION("""COMPUTED_VALUE"""),"SEA")</f>
        <v>SEA</v>
      </c>
      <c r="H4" s="92" t="str">
        <f>IFERROR(__xludf.DUMMYFUNCTION("""COMPUTED_VALUE"""),"2 - 1")</f>
        <v>2 - 1</v>
      </c>
      <c r="I4" s="92" t="str">
        <f>IFERROR(__xludf.DUMMYFUNCTION("""COMPUTED_VALUE"""),"1 - 0")</f>
        <v>1 - 0</v>
      </c>
    </row>
    <row r="5">
      <c r="A5" s="90" t="str">
        <f>IFERROR(__xludf.DUMMYFUNCTION("""COMPUTED_VALUE"""),"")</f>
        <v/>
      </c>
      <c r="B5" s="97" t="str">
        <f>IFERROR(__xludf.DUMMYFUNCTION("""COMPUTED_VALUE"""),"LAC")</f>
        <v>LAC</v>
      </c>
      <c r="C5" s="92" t="str">
        <f>IFERROR(__xludf.DUMMYFUNCTION("""COMPUTED_VALUE"""),"0 - 3")</f>
        <v>0 - 3</v>
      </c>
      <c r="D5" s="92" t="str">
        <f>IFERROR(__xludf.DUMMYFUNCTION("""COMPUTED_VALUE"""),"0 - 1")</f>
        <v>0 - 1</v>
      </c>
      <c r="E5" s="89"/>
      <c r="F5" s="90" t="str">
        <f>IFERROR(__xludf.DUMMYFUNCTION("""COMPUTED_VALUE"""),"")</f>
        <v/>
      </c>
      <c r="G5" s="98" t="str">
        <f>IFERROR(__xludf.DUMMYFUNCTION("""COMPUTED_VALUE"""),"AZ")</f>
        <v>AZ</v>
      </c>
      <c r="H5" s="92" t="str">
        <f>IFERROR(__xludf.DUMMYFUNCTION("""COMPUTED_VALUE"""),"1 - 2")</f>
        <v>1 - 2</v>
      </c>
      <c r="I5" s="92" t="str">
        <f>IFERROR(__xludf.DUMMYFUNCTION("""COMPUTED_VALUE"""),"0 - 2")</f>
        <v>0 - 2</v>
      </c>
    </row>
    <row r="6">
      <c r="A6" s="67"/>
      <c r="B6" s="67"/>
      <c r="C6" s="67"/>
      <c r="D6" s="67"/>
      <c r="E6" s="89"/>
      <c r="F6" s="67"/>
      <c r="G6" s="67"/>
      <c r="H6" s="67"/>
      <c r="I6" s="67"/>
    </row>
    <row r="7">
      <c r="A7" s="89"/>
      <c r="B7" s="70" t="str">
        <f>IFERROR(__xludf.DUMMYFUNCTION("""COMPUTED_VALUE"""),"AFC East")</f>
        <v>AFC East</v>
      </c>
      <c r="C7" s="70" t="str">
        <f>IFERROR(__xludf.DUMMYFUNCTION("""COMPUTED_VALUE"""),"Record")</f>
        <v>Record</v>
      </c>
      <c r="D7" s="70" t="str">
        <f>IFERROR(__xludf.DUMMYFUNCTION("""COMPUTED_VALUE"""),"Div Record")</f>
        <v>Div Record</v>
      </c>
      <c r="E7" s="89"/>
      <c r="F7" s="89"/>
      <c r="G7" s="70" t="str">
        <f>IFERROR(__xludf.DUMMYFUNCTION("""COMPUTED_VALUE"""),"NFC East")</f>
        <v>NFC East</v>
      </c>
      <c r="H7" s="70" t="str">
        <f>IFERROR(__xludf.DUMMYFUNCTION("""COMPUTED_VALUE"""),"Record")</f>
        <v>Record</v>
      </c>
      <c r="I7" s="70" t="str">
        <f>IFERROR(__xludf.DUMMYFUNCTION("""COMPUTED_VALUE"""),"Div Record")</f>
        <v>Div Record</v>
      </c>
    </row>
    <row r="8">
      <c r="A8" s="90" t="str">
        <f>IFERROR(__xludf.DUMMYFUNCTION("""COMPUTED_VALUE"""),"")</f>
        <v/>
      </c>
      <c r="B8" s="99" t="str">
        <f>IFERROR(__xludf.DUMMYFUNCTION("""COMPUTED_VALUE"""),"BUF")</f>
        <v>BUF</v>
      </c>
      <c r="C8" s="92" t="str">
        <f>IFERROR(__xludf.DUMMYFUNCTION("""COMPUTED_VALUE"""),"3 - 0")</f>
        <v>3 - 0</v>
      </c>
      <c r="D8" s="92" t="str">
        <f>IFERROR(__xludf.DUMMYFUNCTION("""COMPUTED_VALUE"""),"0 - 0")</f>
        <v>0 - 0</v>
      </c>
      <c r="E8" s="89"/>
      <c r="F8" s="90" t="str">
        <f>IFERROR(__xludf.DUMMYFUNCTION("""COMPUTED_VALUE"""),"")</f>
        <v/>
      </c>
      <c r="G8" s="100" t="str">
        <f>IFERROR(__xludf.DUMMYFUNCTION("""COMPUTED_VALUE"""),"DAL")</f>
        <v>DAL</v>
      </c>
      <c r="H8" s="92" t="str">
        <f>IFERROR(__xludf.DUMMYFUNCTION("""COMPUTED_VALUE"""),"1 - 2")</f>
        <v>1 - 2</v>
      </c>
      <c r="I8" s="92" t="str">
        <f>IFERROR(__xludf.DUMMYFUNCTION("""COMPUTED_VALUE"""),"1 - 1")</f>
        <v>1 - 1</v>
      </c>
    </row>
    <row r="9">
      <c r="A9" s="90" t="str">
        <f>IFERROR(__xludf.DUMMYFUNCTION("""COMPUTED_VALUE"""),"")</f>
        <v/>
      </c>
      <c r="B9" s="101" t="str">
        <f>IFERROR(__xludf.DUMMYFUNCTION("""COMPUTED_VALUE"""),"MIA")</f>
        <v>MIA</v>
      </c>
      <c r="C9" s="92" t="str">
        <f>IFERROR(__xludf.DUMMYFUNCTION("""COMPUTED_VALUE"""),"0 - 3")</f>
        <v>0 - 3</v>
      </c>
      <c r="D9" s="92" t="str">
        <f>IFERROR(__xludf.DUMMYFUNCTION("""COMPUTED_VALUE"""),"0 - 0")</f>
        <v>0 - 0</v>
      </c>
      <c r="E9" s="89"/>
      <c r="F9" s="90" t="str">
        <f>IFERROR(__xludf.DUMMYFUNCTION("""COMPUTED_VALUE"""),"")</f>
        <v/>
      </c>
      <c r="G9" s="102" t="str">
        <f>IFERROR(__xludf.DUMMYFUNCTION("""COMPUTED_VALUE"""),"PHI")</f>
        <v>PHI</v>
      </c>
      <c r="H9" s="92" t="str">
        <f>IFERROR(__xludf.DUMMYFUNCTION("""COMPUTED_VALUE"""),"2 - 0")</f>
        <v>2 - 0</v>
      </c>
      <c r="I9" s="92" t="str">
        <f>IFERROR(__xludf.DUMMYFUNCTION("""COMPUTED_VALUE"""),"1 - 0")</f>
        <v>1 - 0</v>
      </c>
    </row>
    <row r="10">
      <c r="A10" s="90" t="str">
        <f>IFERROR(__xludf.DUMMYFUNCTION("""COMPUTED_VALUE"""),"")</f>
        <v/>
      </c>
      <c r="B10" s="103" t="str">
        <f>IFERROR(__xludf.DUMMYFUNCTION("""COMPUTED_VALUE"""),"NYJ")</f>
        <v>NYJ</v>
      </c>
      <c r="C10" s="92" t="str">
        <f>IFERROR(__xludf.DUMMYFUNCTION("""COMPUTED_VALUE"""),"1 - 2")</f>
        <v>1 - 2</v>
      </c>
      <c r="D10" s="92" t="str">
        <f>IFERROR(__xludf.DUMMYFUNCTION("""COMPUTED_VALUE"""),"0 - 0")</f>
        <v>0 - 0</v>
      </c>
      <c r="E10" s="89"/>
      <c r="F10" s="90" t="str">
        <f>IFERROR(__xludf.DUMMYFUNCTION("""COMPUTED_VALUE"""),"")</f>
        <v/>
      </c>
      <c r="G10" s="104" t="str">
        <f>IFERROR(__xludf.DUMMYFUNCTION("""COMPUTED_VALUE"""),"NYG")</f>
        <v>NYG</v>
      </c>
      <c r="H10" s="92" t="str">
        <f>IFERROR(__xludf.DUMMYFUNCTION("""COMPUTED_VALUE"""),"2 - 1")</f>
        <v>2 - 1</v>
      </c>
      <c r="I10" s="92" t="str">
        <f>IFERROR(__xludf.DUMMYFUNCTION("""COMPUTED_VALUE"""),"1 - 0")</f>
        <v>1 - 0</v>
      </c>
    </row>
    <row r="11">
      <c r="A11" s="90" t="str">
        <f>IFERROR(__xludf.DUMMYFUNCTION("""COMPUTED_VALUE"""),"")</f>
        <v/>
      </c>
      <c r="B11" s="105" t="str">
        <f>IFERROR(__xludf.DUMMYFUNCTION("""COMPUTED_VALUE"""),"NE")</f>
        <v>NE</v>
      </c>
      <c r="C11" s="92" t="str">
        <f>IFERROR(__xludf.DUMMYFUNCTION("""COMPUTED_VALUE"""),"1 - 2")</f>
        <v>1 - 2</v>
      </c>
      <c r="D11" s="92" t="str">
        <f>IFERROR(__xludf.DUMMYFUNCTION("""COMPUTED_VALUE"""),"0 - 0")</f>
        <v>0 - 0</v>
      </c>
      <c r="E11" s="89"/>
      <c r="F11" s="90" t="str">
        <f>IFERROR(__xludf.DUMMYFUNCTION("""COMPUTED_VALUE"""),"")</f>
        <v/>
      </c>
      <c r="G11" s="106" t="str">
        <f>IFERROR(__xludf.DUMMYFUNCTION("""COMPUTED_VALUE"""),"WSH")</f>
        <v>WSH</v>
      </c>
      <c r="H11" s="92" t="str">
        <f>IFERROR(__xludf.DUMMYFUNCTION("""COMPUTED_VALUE"""),"1 - 2")</f>
        <v>1 - 2</v>
      </c>
      <c r="I11" s="92" t="str">
        <f>IFERROR(__xludf.DUMMYFUNCTION("""COMPUTED_VALUE"""),"0 - 2")</f>
        <v>0 - 2</v>
      </c>
    </row>
    <row r="12">
      <c r="A12" s="67"/>
      <c r="B12" s="67"/>
      <c r="C12" s="67"/>
      <c r="D12" s="67"/>
      <c r="E12" s="89"/>
      <c r="F12" s="67"/>
      <c r="G12" s="67"/>
      <c r="H12" s="67"/>
      <c r="I12" s="67"/>
    </row>
    <row r="13">
      <c r="A13" s="89"/>
      <c r="B13" s="70" t="str">
        <f>IFERROR(__xludf.DUMMYFUNCTION("""COMPUTED_VALUE"""),"AFC North")</f>
        <v>AFC North</v>
      </c>
      <c r="C13" s="70" t="str">
        <f>IFERROR(__xludf.DUMMYFUNCTION("""COMPUTED_VALUE"""),"Record")</f>
        <v>Record</v>
      </c>
      <c r="D13" s="70" t="str">
        <f>IFERROR(__xludf.DUMMYFUNCTION("""COMPUTED_VALUE"""),"Div Record")</f>
        <v>Div Record</v>
      </c>
      <c r="E13" s="89"/>
      <c r="F13" s="89"/>
      <c r="G13" s="70" t="str">
        <f>IFERROR(__xludf.DUMMYFUNCTION("""COMPUTED_VALUE"""),"NFC North")</f>
        <v>NFC North</v>
      </c>
      <c r="H13" s="70" t="str">
        <f>IFERROR(__xludf.DUMMYFUNCTION("""COMPUTED_VALUE"""),"Record")</f>
        <v>Record</v>
      </c>
      <c r="I13" s="70" t="str">
        <f>IFERROR(__xludf.DUMMYFUNCTION("""COMPUTED_VALUE"""),"Div Record")</f>
        <v>Div Record</v>
      </c>
    </row>
    <row r="14">
      <c r="A14" s="90" t="str">
        <f>IFERROR(__xludf.DUMMYFUNCTION("""COMPUTED_VALUE"""),"")</f>
        <v/>
      </c>
      <c r="B14" s="107" t="str">
        <f>IFERROR(__xludf.DUMMYFUNCTION("""COMPUTED_VALUE"""),"BAL")</f>
        <v>BAL</v>
      </c>
      <c r="C14" s="92" t="str">
        <f>IFERROR(__xludf.DUMMYFUNCTION("""COMPUTED_VALUE"""),"2 - 1")</f>
        <v>2 - 1</v>
      </c>
      <c r="D14" s="92" t="str">
        <f>IFERROR(__xludf.DUMMYFUNCTION("""COMPUTED_VALUE"""),"0 - 0")</f>
        <v>0 - 0</v>
      </c>
      <c r="E14" s="89"/>
      <c r="F14" s="90" t="str">
        <f>IFERROR(__xludf.DUMMYFUNCTION("""COMPUTED_VALUE"""),"")</f>
        <v/>
      </c>
      <c r="G14" s="108" t="str">
        <f>IFERROR(__xludf.DUMMYFUNCTION("""COMPUTED_VALUE"""),"DET")</f>
        <v>DET</v>
      </c>
      <c r="H14" s="92" t="str">
        <f>IFERROR(__xludf.DUMMYFUNCTION("""COMPUTED_VALUE"""),"2 - 1")</f>
        <v>2 - 1</v>
      </c>
      <c r="I14" s="92" t="str">
        <f>IFERROR(__xludf.DUMMYFUNCTION("""COMPUTED_VALUE"""),"0 - 0")</f>
        <v>0 - 0</v>
      </c>
    </row>
    <row r="15">
      <c r="A15" s="90" t="str">
        <f>IFERROR(__xludf.DUMMYFUNCTION("""COMPUTED_VALUE"""),"")</f>
        <v/>
      </c>
      <c r="B15" s="109" t="str">
        <f>IFERROR(__xludf.DUMMYFUNCTION("""COMPUTED_VALUE"""),"CLE")</f>
        <v>CLE</v>
      </c>
      <c r="C15" s="92" t="str">
        <f>IFERROR(__xludf.DUMMYFUNCTION("""COMPUTED_VALUE"""),"2 - 1")</f>
        <v>2 - 1</v>
      </c>
      <c r="D15" s="92" t="str">
        <f>IFERROR(__xludf.DUMMYFUNCTION("""COMPUTED_VALUE"""),"0 - 0")</f>
        <v>0 - 0</v>
      </c>
      <c r="E15" s="89"/>
      <c r="F15" s="90" t="str">
        <f>IFERROR(__xludf.DUMMYFUNCTION("""COMPUTED_VALUE"""),"")</f>
        <v/>
      </c>
      <c r="G15" s="110" t="str">
        <f>IFERROR(__xludf.DUMMYFUNCTION("""COMPUTED_VALUE"""),"GB")</f>
        <v>GB</v>
      </c>
      <c r="H15" s="92" t="str">
        <f>IFERROR(__xludf.DUMMYFUNCTION("""COMPUTED_VALUE"""),"1 - 2")</f>
        <v>1 - 2</v>
      </c>
      <c r="I15" s="92" t="str">
        <f>IFERROR(__xludf.DUMMYFUNCTION("""COMPUTED_VALUE"""),"0 - 1")</f>
        <v>0 - 1</v>
      </c>
    </row>
    <row r="16">
      <c r="A16" s="90" t="str">
        <f>IFERROR(__xludf.DUMMYFUNCTION("""COMPUTED_VALUE"""),"")</f>
        <v/>
      </c>
      <c r="B16" s="111" t="str">
        <f>IFERROR(__xludf.DUMMYFUNCTION("""COMPUTED_VALUE"""),"PIT")</f>
        <v>PIT</v>
      </c>
      <c r="C16" s="92" t="str">
        <f>IFERROR(__xludf.DUMMYFUNCTION("""COMPUTED_VALUE"""),"2 - 1")</f>
        <v>2 - 1</v>
      </c>
      <c r="D16" s="92" t="str">
        <f>IFERROR(__xludf.DUMMYFUNCTION("""COMPUTED_VALUE"""),"1 - 0")</f>
        <v>1 - 0</v>
      </c>
      <c r="E16" s="89"/>
      <c r="F16" s="90" t="str">
        <f>IFERROR(__xludf.DUMMYFUNCTION("""COMPUTED_VALUE"""),"")</f>
        <v/>
      </c>
      <c r="G16" s="112" t="str">
        <f>IFERROR(__xludf.DUMMYFUNCTION("""COMPUTED_VALUE"""),"MIN")</f>
        <v>MIN</v>
      </c>
      <c r="H16" s="92" t="str">
        <f>IFERROR(__xludf.DUMMYFUNCTION("""COMPUTED_VALUE"""),"3 - 0")</f>
        <v>3 - 0</v>
      </c>
      <c r="I16" s="92" t="str">
        <f>IFERROR(__xludf.DUMMYFUNCTION("""COMPUTED_VALUE"""),"2 - 0")</f>
        <v>2 - 0</v>
      </c>
    </row>
    <row r="17">
      <c r="A17" s="90" t="str">
        <f>IFERROR(__xludf.DUMMYFUNCTION("""COMPUTED_VALUE"""),"")</f>
        <v/>
      </c>
      <c r="B17" s="113" t="str">
        <f>IFERROR(__xludf.DUMMYFUNCTION("""COMPUTED_VALUE"""),"CIN")</f>
        <v>CIN</v>
      </c>
      <c r="C17" s="92" t="str">
        <f>IFERROR(__xludf.DUMMYFUNCTION("""COMPUTED_VALUE"""),"2 - 1")</f>
        <v>2 - 1</v>
      </c>
      <c r="D17" s="92" t="str">
        <f>IFERROR(__xludf.DUMMYFUNCTION("""COMPUTED_VALUE"""),"0 - 1")</f>
        <v>0 - 1</v>
      </c>
      <c r="E17" s="89"/>
      <c r="F17" s="90" t="str">
        <f>IFERROR(__xludf.DUMMYFUNCTION("""COMPUTED_VALUE"""),"")</f>
        <v/>
      </c>
      <c r="G17" s="114" t="str">
        <f>IFERROR(__xludf.DUMMYFUNCTION("""COMPUTED_VALUE"""),"CHI")</f>
        <v>CHI</v>
      </c>
      <c r="H17" s="92" t="str">
        <f>IFERROR(__xludf.DUMMYFUNCTION("""COMPUTED_VALUE"""),"1 - 1")</f>
        <v>1 - 1</v>
      </c>
      <c r="I17" s="92" t="str">
        <f>IFERROR(__xludf.DUMMYFUNCTION("""COMPUTED_VALUE"""),"0 - 1")</f>
        <v>0 - 1</v>
      </c>
    </row>
    <row r="18">
      <c r="A18" s="67"/>
      <c r="B18" s="67"/>
      <c r="C18" s="67"/>
      <c r="D18" s="67"/>
      <c r="E18" s="89"/>
      <c r="F18" s="67"/>
      <c r="G18" s="67"/>
      <c r="H18" s="67"/>
      <c r="I18" s="67"/>
    </row>
    <row r="19">
      <c r="A19" s="89"/>
      <c r="B19" s="70" t="str">
        <f>IFERROR(__xludf.DUMMYFUNCTION("""COMPUTED_VALUE"""),"AFC South")</f>
        <v>AFC South</v>
      </c>
      <c r="C19" s="70" t="str">
        <f>IFERROR(__xludf.DUMMYFUNCTION("""COMPUTED_VALUE"""),"Record")</f>
        <v>Record</v>
      </c>
      <c r="D19" s="70" t="str">
        <f>IFERROR(__xludf.DUMMYFUNCTION("""COMPUTED_VALUE"""),"Div Record")</f>
        <v>Div Record</v>
      </c>
      <c r="E19" s="89"/>
      <c r="F19" s="89"/>
      <c r="G19" s="70" t="str">
        <f>IFERROR(__xludf.DUMMYFUNCTION("""COMPUTED_VALUE"""),"NFC South")</f>
        <v>NFC South</v>
      </c>
      <c r="H19" s="70" t="str">
        <f>IFERROR(__xludf.DUMMYFUNCTION("""COMPUTED_VALUE"""),"Record")</f>
        <v>Record</v>
      </c>
      <c r="I19" s="70" t="str">
        <f>IFERROR(__xludf.DUMMYFUNCTION("""COMPUTED_VALUE"""),"Div Record")</f>
        <v>Div Record</v>
      </c>
    </row>
    <row r="20">
      <c r="A20" s="90" t="str">
        <f>IFERROR(__xludf.DUMMYFUNCTION("""COMPUTED_VALUE"""),"")</f>
        <v/>
      </c>
      <c r="B20" s="115" t="str">
        <f>IFERROR(__xludf.DUMMYFUNCTION("""COMPUTED_VALUE"""),"HOU")</f>
        <v>HOU</v>
      </c>
      <c r="C20" s="92" t="str">
        <f>IFERROR(__xludf.DUMMYFUNCTION("""COMPUTED_VALUE"""),"0 - 3")</f>
        <v>0 - 3</v>
      </c>
      <c r="D20" s="92" t="str">
        <f>IFERROR(__xludf.DUMMYFUNCTION("""COMPUTED_VALUE"""),"0 - 1")</f>
        <v>0 - 1</v>
      </c>
      <c r="E20" s="89"/>
      <c r="F20" s="90" t="str">
        <f>IFERROR(__xludf.DUMMYFUNCTION("""COMPUTED_VALUE"""),"")</f>
        <v/>
      </c>
      <c r="G20" s="116" t="str">
        <f>IFERROR(__xludf.DUMMYFUNCTION("""COMPUTED_VALUE"""),"TB")</f>
        <v>TB</v>
      </c>
      <c r="H20" s="92" t="str">
        <f>IFERROR(__xludf.DUMMYFUNCTION("""COMPUTED_VALUE"""),"0 - 3")</f>
        <v>0 - 3</v>
      </c>
      <c r="I20" s="92" t="str">
        <f>IFERROR(__xludf.DUMMYFUNCTION("""COMPUTED_VALUE"""),"0 - 0")</f>
        <v>0 - 0</v>
      </c>
    </row>
    <row r="21">
      <c r="A21" s="90" t="str">
        <f>IFERROR(__xludf.DUMMYFUNCTION("""COMPUTED_VALUE"""),"")</f>
        <v/>
      </c>
      <c r="B21" s="117" t="str">
        <f>IFERROR(__xludf.DUMMYFUNCTION("""COMPUTED_VALUE"""),"JAX")</f>
        <v>JAX</v>
      </c>
      <c r="C21" s="92" t="str">
        <f>IFERROR(__xludf.DUMMYFUNCTION("""COMPUTED_VALUE"""),"2 - 1")</f>
        <v>2 - 1</v>
      </c>
      <c r="D21" s="92" t="str">
        <f>IFERROR(__xludf.DUMMYFUNCTION("""COMPUTED_VALUE"""),"0 - 0")</f>
        <v>0 - 0</v>
      </c>
      <c r="E21" s="89"/>
      <c r="F21" s="90" t="str">
        <f>IFERROR(__xludf.DUMMYFUNCTION("""COMPUTED_VALUE"""),"")</f>
        <v/>
      </c>
      <c r="G21" s="118" t="str">
        <f>IFERROR(__xludf.DUMMYFUNCTION("""COMPUTED_VALUE"""),"NO")</f>
        <v>NO</v>
      </c>
      <c r="H21" s="92" t="str">
        <f>IFERROR(__xludf.DUMMYFUNCTION("""COMPUTED_VALUE"""),"1 - 2")</f>
        <v>1 - 2</v>
      </c>
      <c r="I21" s="92" t="str">
        <f>IFERROR(__xludf.DUMMYFUNCTION("""COMPUTED_VALUE"""),"0 - 0")</f>
        <v>0 - 0</v>
      </c>
    </row>
    <row r="22">
      <c r="A22" s="90" t="str">
        <f>IFERROR(__xludf.DUMMYFUNCTION("""COMPUTED_VALUE"""),"")</f>
        <v/>
      </c>
      <c r="B22" s="119" t="str">
        <f>IFERROR(__xludf.DUMMYFUNCTION("""COMPUTED_VALUE"""),"IND")</f>
        <v>IND</v>
      </c>
      <c r="C22" s="92" t="str">
        <f>IFERROR(__xludf.DUMMYFUNCTION("""COMPUTED_VALUE"""),"1 - 2")</f>
        <v>1 - 2</v>
      </c>
      <c r="D22" s="92" t="str">
        <f>IFERROR(__xludf.DUMMYFUNCTION("""COMPUTED_VALUE"""),"1 - 0")</f>
        <v>1 - 0</v>
      </c>
      <c r="E22" s="89"/>
      <c r="F22" s="90" t="str">
        <f>IFERROR(__xludf.DUMMYFUNCTION("""COMPUTED_VALUE"""),"")</f>
        <v/>
      </c>
      <c r="G22" s="120" t="str">
        <f>IFERROR(__xludf.DUMMYFUNCTION("""COMPUTED_VALUE"""),"ATL")</f>
        <v>ATL</v>
      </c>
      <c r="H22" s="92" t="str">
        <f>IFERROR(__xludf.DUMMYFUNCTION("""COMPUTED_VALUE"""),"1 - 2")</f>
        <v>1 - 2</v>
      </c>
      <c r="I22" s="92" t="str">
        <f>IFERROR(__xludf.DUMMYFUNCTION("""COMPUTED_VALUE"""),"0 - 1")</f>
        <v>0 - 1</v>
      </c>
    </row>
    <row r="23">
      <c r="A23" s="90" t="str">
        <f>IFERROR(__xludf.DUMMYFUNCTION("""COMPUTED_VALUE"""),"")</f>
        <v/>
      </c>
      <c r="B23" s="121" t="str">
        <f>IFERROR(__xludf.DUMMYFUNCTION("""COMPUTED_VALUE"""),"TEN")</f>
        <v>TEN</v>
      </c>
      <c r="C23" s="92" t="str">
        <f>IFERROR(__xludf.DUMMYFUNCTION("""COMPUTED_VALUE"""),"0 - 3")</f>
        <v>0 - 3</v>
      </c>
      <c r="D23" s="92" t="str">
        <f>IFERROR(__xludf.DUMMYFUNCTION("""COMPUTED_VALUE"""),"0 - 0")</f>
        <v>0 - 0</v>
      </c>
      <c r="E23" s="89"/>
      <c r="F23" s="90" t="str">
        <f>IFERROR(__xludf.DUMMYFUNCTION("""COMPUTED_VALUE"""),"")</f>
        <v/>
      </c>
      <c r="G23" s="122" t="str">
        <f>IFERROR(__xludf.DUMMYFUNCTION("""COMPUTED_VALUE"""),"CAR")</f>
        <v>CAR</v>
      </c>
      <c r="H23" s="92" t="str">
        <f>IFERROR(__xludf.DUMMYFUNCTION("""COMPUTED_VALUE"""),"1 - 2")</f>
        <v>1 - 2</v>
      </c>
      <c r="I23" s="92" t="str">
        <f>IFERROR(__xludf.DUMMYFUNCTION("""COMPUTED_VALUE"""),"1 - 0")</f>
        <v>1 - 0</v>
      </c>
    </row>
    <row r="24">
      <c r="A24" s="89"/>
      <c r="B24" s="89"/>
      <c r="C24" s="89"/>
      <c r="D24" s="89"/>
      <c r="E24" s="89"/>
      <c r="F24" s="89"/>
      <c r="G24" s="89"/>
      <c r="H24" s="89"/>
      <c r="I24" s="89"/>
    </row>
    <row r="25">
      <c r="A25" s="123"/>
      <c r="B25" s="123" t="str">
        <f>IFERROR(__xludf.DUMMYFUNCTION("""COMPUTED_VALUE"""),"AFC Playoff Picture")</f>
        <v>AFC Playoff Picture</v>
      </c>
      <c r="C25" s="123"/>
      <c r="D25" s="123"/>
      <c r="E25" s="123"/>
      <c r="F25" s="123"/>
      <c r="G25" s="123" t="str">
        <f>IFERROR(__xludf.DUMMYFUNCTION("""COMPUTED_VALUE"""),"NFC Playoff Picture")</f>
        <v>NFC Playoff Picture</v>
      </c>
      <c r="H25" s="123"/>
      <c r="I25" s="123"/>
    </row>
    <row r="26">
      <c r="A26" s="124">
        <f>IFERROR(__xludf.DUMMYFUNCTION("""COMPUTED_VALUE"""),1.0)</f>
        <v>1</v>
      </c>
      <c r="B26" s="29" t="str">
        <f>IFERROR(__xludf.DUMMYFUNCTION("""COMPUTED_VALUE"""),"KC")</f>
        <v>KC</v>
      </c>
      <c r="C26" s="29" t="str">
        <f>IFERROR(__xludf.DUMMYFUNCTION("""COMPUTED_VALUE"""),"")</f>
        <v/>
      </c>
      <c r="D26" s="29"/>
      <c r="E26" s="125"/>
      <c r="F26" s="124">
        <f>IFERROR(__xludf.DUMMYFUNCTION("""COMPUTED_VALUE"""),1.0)</f>
        <v>1</v>
      </c>
      <c r="G26" s="29" t="str">
        <f>IFERROR(__xludf.DUMMYFUNCTION("""COMPUTED_VALUE"""),"SF")</f>
        <v>SF</v>
      </c>
      <c r="H26" s="29" t="str">
        <f>IFERROR(__xludf.DUMMYFUNCTION("""COMPUTED_VALUE"""),"")</f>
        <v/>
      </c>
      <c r="I26" s="29"/>
    </row>
    <row r="27">
      <c r="A27" s="124">
        <f>IFERROR(__xludf.DUMMYFUNCTION("""COMPUTED_VALUE"""),2.0)</f>
        <v>2</v>
      </c>
      <c r="B27" s="29" t="str">
        <f>IFERROR(__xludf.DUMMYFUNCTION("""COMPUTED_VALUE"""),"BUF")</f>
        <v>BUF</v>
      </c>
      <c r="C27" s="29" t="str">
        <f>IFERROR(__xludf.DUMMYFUNCTION("""COMPUTED_VALUE"""),"")</f>
        <v/>
      </c>
      <c r="D27" s="29"/>
      <c r="E27" s="125"/>
      <c r="F27" s="124">
        <f>IFERROR(__xludf.DUMMYFUNCTION("""COMPUTED_VALUE"""),2.0)</f>
        <v>2</v>
      </c>
      <c r="G27" s="29" t="str">
        <f>IFERROR(__xludf.DUMMYFUNCTION("""COMPUTED_VALUE"""),"MIN")</f>
        <v>MIN</v>
      </c>
      <c r="H27" s="29" t="str">
        <f>IFERROR(__xludf.DUMMYFUNCTION("""COMPUTED_VALUE"""),"")</f>
        <v/>
      </c>
      <c r="I27" s="29"/>
    </row>
    <row r="28">
      <c r="A28" s="124">
        <f>IFERROR(__xludf.DUMMYFUNCTION("""COMPUTED_VALUE"""),3.0)</f>
        <v>3</v>
      </c>
      <c r="B28" s="29" t="str">
        <f>IFERROR(__xludf.DUMMYFUNCTION("""COMPUTED_VALUE"""),"PIT")</f>
        <v>PIT</v>
      </c>
      <c r="C28" s="29" t="str">
        <f>IFERROR(__xludf.DUMMYFUNCTION("""COMPUTED_VALUE"""),"")</f>
        <v/>
      </c>
      <c r="D28" s="29"/>
      <c r="E28" s="125"/>
      <c r="F28" s="124">
        <f>IFERROR(__xludf.DUMMYFUNCTION("""COMPUTED_VALUE"""),3.0)</f>
        <v>3</v>
      </c>
      <c r="G28" s="29" t="str">
        <f>IFERROR(__xludf.DUMMYFUNCTION("""COMPUTED_VALUE"""),"PHI")</f>
        <v>PHI</v>
      </c>
      <c r="H28" s="29" t="str">
        <f>IFERROR(__xludf.DUMMYFUNCTION("""COMPUTED_VALUE"""),"")</f>
        <v/>
      </c>
      <c r="I28" s="29"/>
    </row>
    <row r="29">
      <c r="A29" s="124">
        <f>IFERROR(__xludf.DUMMYFUNCTION("""COMPUTED_VALUE"""),4.0)</f>
        <v>4</v>
      </c>
      <c r="B29" s="29" t="str">
        <f>IFERROR(__xludf.DUMMYFUNCTION("""COMPUTED_VALUE"""),"JAX")</f>
        <v>JAX</v>
      </c>
      <c r="C29" s="29" t="str">
        <f>IFERROR(__xludf.DUMMYFUNCTION("""COMPUTED_VALUE"""),"")</f>
        <v/>
      </c>
      <c r="D29" s="29"/>
      <c r="E29" s="125"/>
      <c r="F29" s="124">
        <f>IFERROR(__xludf.DUMMYFUNCTION("""COMPUTED_VALUE"""),4.0)</f>
        <v>4</v>
      </c>
      <c r="G29" s="29" t="str">
        <f>IFERROR(__xludf.DUMMYFUNCTION("""COMPUTED_VALUE"""),"CAR")</f>
        <v>CAR</v>
      </c>
      <c r="H29" s="29" t="str">
        <f>IFERROR(__xludf.DUMMYFUNCTION("""COMPUTED_VALUE"""),"")</f>
        <v/>
      </c>
      <c r="I29" s="29"/>
    </row>
    <row r="30">
      <c r="A30" s="124">
        <f>IFERROR(__xludf.DUMMYFUNCTION("""COMPUTED_VALUE"""),5.0)</f>
        <v>5</v>
      </c>
      <c r="B30" s="29" t="str">
        <f>IFERROR(__xludf.DUMMYFUNCTION("""COMPUTED_VALUE"""),"LV")</f>
        <v>LV</v>
      </c>
      <c r="C30" s="29" t="str">
        <f>IFERROR(__xludf.DUMMYFUNCTION("""COMPUTED_VALUE"""),"")</f>
        <v/>
      </c>
      <c r="D30" s="29"/>
      <c r="E30" s="125"/>
      <c r="F30" s="124">
        <f>IFERROR(__xludf.DUMMYFUNCTION("""COMPUTED_VALUE"""),5.0)</f>
        <v>5</v>
      </c>
      <c r="G30" s="29" t="str">
        <f>IFERROR(__xludf.DUMMYFUNCTION("""COMPUTED_VALUE"""),"DET")</f>
        <v>DET</v>
      </c>
      <c r="H30" s="29" t="str">
        <f>IFERROR(__xludf.DUMMYFUNCTION("""COMPUTED_VALUE"""),"")</f>
        <v/>
      </c>
      <c r="I30" s="29"/>
    </row>
    <row r="31">
      <c r="A31" s="124">
        <f>IFERROR(__xludf.DUMMYFUNCTION("""COMPUTED_VALUE"""),6.0)</f>
        <v>6</v>
      </c>
      <c r="B31" s="29" t="str">
        <f>IFERROR(__xludf.DUMMYFUNCTION("""COMPUTED_VALUE"""),"BAL")</f>
        <v>BAL</v>
      </c>
      <c r="C31" s="29" t="str">
        <f>IFERROR(__xludf.DUMMYFUNCTION("""COMPUTED_VALUE"""),"")</f>
        <v/>
      </c>
      <c r="D31" s="29"/>
      <c r="E31" s="125"/>
      <c r="F31" s="124">
        <f>IFERROR(__xludf.DUMMYFUNCTION("""COMPUTED_VALUE"""),6.0)</f>
        <v>6</v>
      </c>
      <c r="G31" s="29" t="str">
        <f>IFERROR(__xludf.DUMMYFUNCTION("""COMPUTED_VALUE"""),"SEA")</f>
        <v>SEA</v>
      </c>
      <c r="H31" s="29" t="str">
        <f>IFERROR(__xludf.DUMMYFUNCTION("""COMPUTED_VALUE"""),"")</f>
        <v/>
      </c>
      <c r="I31" s="29"/>
    </row>
    <row r="32">
      <c r="A32" s="124">
        <f>IFERROR(__xludf.DUMMYFUNCTION("""COMPUTED_VALUE"""),7.0)</f>
        <v>7</v>
      </c>
      <c r="B32" s="29" t="str">
        <f>IFERROR(__xludf.DUMMYFUNCTION("""COMPUTED_VALUE"""),"CIN")</f>
        <v>CIN</v>
      </c>
      <c r="C32" s="29" t="str">
        <f>IFERROR(__xludf.DUMMYFUNCTION("""COMPUTED_VALUE"""),"")</f>
        <v/>
      </c>
      <c r="D32" s="29"/>
      <c r="E32" s="125"/>
      <c r="F32" s="124">
        <f>IFERROR(__xludf.DUMMYFUNCTION("""COMPUTED_VALUE"""),7.0)</f>
        <v>7</v>
      </c>
      <c r="G32" s="29" t="str">
        <f>IFERROR(__xludf.DUMMYFUNCTION("""COMPUTED_VALUE"""),"NYG")</f>
        <v>NYG</v>
      </c>
      <c r="H32" s="29" t="str">
        <f>IFERROR(__xludf.DUMMYFUNCTION("""COMPUTED_VALUE"""),"")</f>
        <v/>
      </c>
      <c r="I32" s="29"/>
    </row>
    <row r="33">
      <c r="A33" s="126"/>
      <c r="B33" s="126"/>
      <c r="C33" s="126"/>
      <c r="D33" s="126"/>
      <c r="E33" s="126"/>
      <c r="F33" s="126"/>
      <c r="G33" s="126"/>
      <c r="H33" s="126"/>
      <c r="I33" s="12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89" t="str">
        <f>IFERROR(__xludf.DUMMYFUNCTION("IMPORTRANGE(""https://docs.google.com/spreadsheets/d/1v9a6MxzpyXdVbef97sptWrOJUpuAu6ldKC6wbegqpyg/edit?gid=1504713352#gid=1504713352"",""More Stats!A1:X40"")"),"")</f>
        <v/>
      </c>
      <c r="B1" s="70" t="str">
        <f>IFERROR(__xludf.DUMMYFUNCTION("""COMPUTED_VALUE"""),"AFC West")</f>
        <v>AFC West</v>
      </c>
      <c r="C1" s="9" t="str">
        <f>IFERROR(__xludf.DUMMYFUNCTION("""COMPUTED_VALUE"""),"Wins")</f>
        <v>Wins</v>
      </c>
      <c r="D1" s="9" t="str">
        <f>IFERROR(__xludf.DUMMYFUNCTION("""COMPUTED_VALUE"""),"Losses")</f>
        <v>Losses</v>
      </c>
      <c r="E1" s="9" t="str">
        <f>IFERROR(__xludf.DUMMYFUNCTION("""COMPUTED_VALUE"""),"Win %")</f>
        <v>Win %</v>
      </c>
      <c r="F1" s="89"/>
      <c r="G1" s="9" t="str">
        <f>IFERROR(__xludf.DUMMYFUNCTION("""COMPUTED_VALUE"""),"Home")</f>
        <v>Home</v>
      </c>
      <c r="H1" s="9" t="str">
        <f>IFERROR(__xludf.DUMMYFUNCTION("""COMPUTED_VALUE"""),"Away")</f>
        <v>Away</v>
      </c>
      <c r="I1" s="9" t="str">
        <f>IFERROR(__xludf.DUMMYFUNCTION("""COMPUTED_VALUE"""),"Division")</f>
        <v>Division</v>
      </c>
      <c r="J1" s="9" t="str">
        <f>IFERROR(__xludf.DUMMYFUNCTION("""COMPUTED_VALUE"""),"Conference")</f>
        <v>Conference</v>
      </c>
      <c r="K1" s="89"/>
      <c r="L1" s="9" t="str">
        <f>IFERROR(__xludf.DUMMYFUNCTION("""COMPUTED_VALUE"""),"PF")</f>
        <v>PF</v>
      </c>
      <c r="M1" s="9" t="str">
        <f>IFERROR(__xludf.DUMMYFUNCTION("""COMPUTED_VALUE"""),"PA")</f>
        <v>PA</v>
      </c>
      <c r="N1" s="127" t="str">
        <f>IFERROR(__xludf.DUMMYFUNCTION("""COMPUTED_VALUE"""),"DIFF")</f>
        <v>DIFF</v>
      </c>
      <c r="O1" s="9" t="str">
        <f>IFERROR(__xludf.DUMMYFUNCTION("""COMPUTED_VALUE"""),"PPG")</f>
        <v>PPG</v>
      </c>
      <c r="P1" s="89"/>
      <c r="Q1" s="9" t="str">
        <f>IFERROR(__xludf.DUMMYFUNCTION("""COMPUTED_VALUE"""),"AFC West")</f>
        <v>AFC West</v>
      </c>
      <c r="R1" s="9" t="str">
        <f>IFERROR(__xludf.DUMMYFUNCTION("""COMPUTED_VALUE"""),"AFC East")</f>
        <v>AFC East</v>
      </c>
      <c r="S1" s="9" t="str">
        <f>IFERROR(__xludf.DUMMYFUNCTION("""COMPUTED_VALUE"""),"AFC North")</f>
        <v>AFC North</v>
      </c>
      <c r="T1" s="9" t="str">
        <f>IFERROR(__xludf.DUMMYFUNCTION("""COMPUTED_VALUE"""),"AFC South")</f>
        <v>AFC South</v>
      </c>
      <c r="U1" s="9" t="str">
        <f>IFERROR(__xludf.DUMMYFUNCTION("""COMPUTED_VALUE"""),"NFC West")</f>
        <v>NFC West</v>
      </c>
      <c r="V1" s="9" t="str">
        <f>IFERROR(__xludf.DUMMYFUNCTION("""COMPUTED_VALUE"""),"NFC East")</f>
        <v>NFC East</v>
      </c>
      <c r="W1" s="9" t="str">
        <f>IFERROR(__xludf.DUMMYFUNCTION("""COMPUTED_VALUE"""),"NFC North")</f>
        <v>NFC North</v>
      </c>
      <c r="X1" s="9" t="str">
        <f>IFERROR(__xludf.DUMMYFUNCTION("""COMPUTED_VALUE"""),"NFC South")</f>
        <v>NFC South</v>
      </c>
    </row>
    <row r="2">
      <c r="A2" s="90" t="str">
        <f>IFERROR(__xludf.DUMMYFUNCTION("""COMPUTED_VALUE"""),"")</f>
        <v/>
      </c>
      <c r="B2" s="91" t="str">
        <f>IFERROR(__xludf.DUMMYFUNCTION("""COMPUTED_VALUE"""),"KC")</f>
        <v>KC</v>
      </c>
      <c r="C2" s="11">
        <f>IFERROR(__xludf.DUMMYFUNCTION("""COMPUTED_VALUE"""),3.0)</f>
        <v>3</v>
      </c>
      <c r="D2" s="21">
        <f>IFERROR(__xludf.DUMMYFUNCTION("""COMPUTED_VALUE"""),0.0)</f>
        <v>0</v>
      </c>
      <c r="E2" s="128">
        <f>IFERROR(__xludf.DUMMYFUNCTION("""COMPUTED_VALUE"""),1.0)</f>
        <v>1</v>
      </c>
      <c r="F2" s="89"/>
      <c r="G2" s="129" t="str">
        <f>IFERROR(__xludf.DUMMYFUNCTION("""COMPUTED_VALUE"""),"2 - 0")</f>
        <v>2 - 0</v>
      </c>
      <c r="H2" s="21" t="str">
        <f>IFERROR(__xludf.DUMMYFUNCTION("""COMPUTED_VALUE"""),"1 - 0")</f>
        <v>1 - 0</v>
      </c>
      <c r="I2" s="11" t="str">
        <f>IFERROR(__xludf.DUMMYFUNCTION("""COMPUTED_VALUE"""),"1 - 0")</f>
        <v>1 - 0</v>
      </c>
      <c r="J2" s="21" t="str">
        <f>IFERROR(__xludf.DUMMYFUNCTION("""COMPUTED_VALUE"""),"3 - 0")</f>
        <v>3 - 0</v>
      </c>
      <c r="K2" s="89"/>
      <c r="L2" s="11">
        <f>IFERROR(__xludf.DUMMYFUNCTION("""COMPUTED_VALUE"""),88.0)</f>
        <v>88</v>
      </c>
      <c r="M2" s="21">
        <f>IFERROR(__xludf.DUMMYFUNCTION("""COMPUTED_VALUE"""),50.0)</f>
        <v>50</v>
      </c>
      <c r="N2" s="130">
        <f>IFERROR(__xludf.DUMMYFUNCTION("""COMPUTED_VALUE"""),38.0)</f>
        <v>38</v>
      </c>
      <c r="O2" s="131">
        <f>IFERROR(__xludf.DUMMYFUNCTION("""COMPUTED_VALUE"""),29.333333333333332)</f>
        <v>29.33333333</v>
      </c>
      <c r="P2" s="89"/>
      <c r="Q2" s="11" t="str">
        <f>IFERROR(__xludf.DUMMYFUNCTION("""COMPUTED_VALUE"""),"1 - 0")</f>
        <v>1 - 0</v>
      </c>
      <c r="R2" s="21" t="str">
        <f>IFERROR(__xludf.DUMMYFUNCTION("""COMPUTED_VALUE"""),"1 - 0")</f>
        <v>1 - 0</v>
      </c>
      <c r="S2" s="11" t="str">
        <f>IFERROR(__xludf.DUMMYFUNCTION("""COMPUTED_VALUE"""),"0 - 0")</f>
        <v>0 - 0</v>
      </c>
      <c r="T2" s="21" t="str">
        <f>IFERROR(__xludf.DUMMYFUNCTION("""COMPUTED_VALUE"""),"1 - 0")</f>
        <v>1 - 0</v>
      </c>
      <c r="U2" s="11" t="str">
        <f>IFERROR(__xludf.DUMMYFUNCTION("""COMPUTED_VALUE"""),"0 - 0")</f>
        <v>0 - 0</v>
      </c>
      <c r="V2" s="21" t="str">
        <f>IFERROR(__xludf.DUMMYFUNCTION("""COMPUTED_VALUE"""),"0 - 0")</f>
        <v>0 - 0</v>
      </c>
      <c r="W2" s="11" t="str">
        <f>IFERROR(__xludf.DUMMYFUNCTION("""COMPUTED_VALUE"""),"0 - 0")</f>
        <v>0 - 0</v>
      </c>
      <c r="X2" s="21" t="str">
        <f>IFERROR(__xludf.DUMMYFUNCTION("""COMPUTED_VALUE"""),"0 - 0")</f>
        <v>0 - 0</v>
      </c>
    </row>
    <row r="3">
      <c r="A3" s="90" t="str">
        <f>IFERROR(__xludf.DUMMYFUNCTION("""COMPUTED_VALUE"""),"")</f>
        <v/>
      </c>
      <c r="B3" s="70" t="str">
        <f>IFERROR(__xludf.DUMMYFUNCTION("""COMPUTED_VALUE"""),"LV")</f>
        <v>LV</v>
      </c>
      <c r="C3" s="11">
        <f>IFERROR(__xludf.DUMMYFUNCTION("""COMPUTED_VALUE"""),3.0)</f>
        <v>3</v>
      </c>
      <c r="D3" s="21">
        <f>IFERROR(__xludf.DUMMYFUNCTION("""COMPUTED_VALUE"""),0.0)</f>
        <v>0</v>
      </c>
      <c r="E3" s="128">
        <f>IFERROR(__xludf.DUMMYFUNCTION("""COMPUTED_VALUE"""),1.0)</f>
        <v>1</v>
      </c>
      <c r="F3" s="89"/>
      <c r="G3" s="129" t="str">
        <f>IFERROR(__xludf.DUMMYFUNCTION("""COMPUTED_VALUE"""),"1 - 0")</f>
        <v>1 - 0</v>
      </c>
      <c r="H3" s="21" t="str">
        <f>IFERROR(__xludf.DUMMYFUNCTION("""COMPUTED_VALUE"""),"2 - 0")</f>
        <v>2 - 0</v>
      </c>
      <c r="I3" s="11" t="str">
        <f>IFERROR(__xludf.DUMMYFUNCTION("""COMPUTED_VALUE"""),"1 - 0")</f>
        <v>1 - 0</v>
      </c>
      <c r="J3" s="21" t="str">
        <f>IFERROR(__xludf.DUMMYFUNCTION("""COMPUTED_VALUE"""),"2 - 0")</f>
        <v>2 - 0</v>
      </c>
      <c r="K3" s="89"/>
      <c r="L3" s="11">
        <f>IFERROR(__xludf.DUMMYFUNCTION("""COMPUTED_VALUE"""),88.0)</f>
        <v>88</v>
      </c>
      <c r="M3" s="21">
        <f>IFERROR(__xludf.DUMMYFUNCTION("""COMPUTED_VALUE"""),54.0)</f>
        <v>54</v>
      </c>
      <c r="N3" s="132">
        <f>IFERROR(__xludf.DUMMYFUNCTION("""COMPUTED_VALUE"""),34.0)</f>
        <v>34</v>
      </c>
      <c r="O3" s="131">
        <f>IFERROR(__xludf.DUMMYFUNCTION("""COMPUTED_VALUE"""),29.333333333333332)</f>
        <v>29.33333333</v>
      </c>
      <c r="P3" s="89"/>
      <c r="Q3" s="11" t="str">
        <f>IFERROR(__xludf.DUMMYFUNCTION("""COMPUTED_VALUE"""),"1 - 0")</f>
        <v>1 - 0</v>
      </c>
      <c r="R3" s="21" t="str">
        <f>IFERROR(__xludf.DUMMYFUNCTION("""COMPUTED_VALUE"""),"1 - 0")</f>
        <v>1 - 0</v>
      </c>
      <c r="S3" s="11" t="str">
        <f>IFERROR(__xludf.DUMMYFUNCTION("""COMPUTED_VALUE"""),"0 - 0")</f>
        <v>0 - 0</v>
      </c>
      <c r="T3" s="21" t="str">
        <f>IFERROR(__xludf.DUMMYFUNCTION("""COMPUTED_VALUE"""),"0 - 0")</f>
        <v>0 - 0</v>
      </c>
      <c r="U3" s="11" t="str">
        <f>IFERROR(__xludf.DUMMYFUNCTION("""COMPUTED_VALUE"""),"0 - 0")</f>
        <v>0 - 0</v>
      </c>
      <c r="V3" s="21" t="str">
        <f>IFERROR(__xludf.DUMMYFUNCTION("""COMPUTED_VALUE"""),"0 - 0")</f>
        <v>0 - 0</v>
      </c>
      <c r="W3" s="11" t="str">
        <f>IFERROR(__xludf.DUMMYFUNCTION("""COMPUTED_VALUE"""),"0 - 0")</f>
        <v>0 - 0</v>
      </c>
      <c r="X3" s="21" t="str">
        <f>IFERROR(__xludf.DUMMYFUNCTION("""COMPUTED_VALUE"""),"1 - 0")</f>
        <v>1 - 0</v>
      </c>
    </row>
    <row r="4">
      <c r="A4" s="90" t="str">
        <f>IFERROR(__xludf.DUMMYFUNCTION("""COMPUTED_VALUE"""),"")</f>
        <v/>
      </c>
      <c r="B4" s="95" t="str">
        <f>IFERROR(__xludf.DUMMYFUNCTION("""COMPUTED_VALUE"""),"DEN")</f>
        <v>DEN</v>
      </c>
      <c r="C4" s="11">
        <f>IFERROR(__xludf.DUMMYFUNCTION("""COMPUTED_VALUE"""),1.0)</f>
        <v>1</v>
      </c>
      <c r="D4" s="21">
        <f>IFERROR(__xludf.DUMMYFUNCTION("""COMPUTED_VALUE"""),1.0)</f>
        <v>1</v>
      </c>
      <c r="E4" s="128">
        <f>IFERROR(__xludf.DUMMYFUNCTION("""COMPUTED_VALUE"""),0.5)</f>
        <v>0.5</v>
      </c>
      <c r="F4" s="89"/>
      <c r="G4" s="129" t="str">
        <f>IFERROR(__xludf.DUMMYFUNCTION("""COMPUTED_VALUE"""),"1 - 0")</f>
        <v>1 - 0</v>
      </c>
      <c r="H4" s="21" t="str">
        <f>IFERROR(__xludf.DUMMYFUNCTION("""COMPUTED_VALUE"""),"0 - 1")</f>
        <v>0 - 1</v>
      </c>
      <c r="I4" s="11" t="str">
        <f>IFERROR(__xludf.DUMMYFUNCTION("""COMPUTED_VALUE"""),"0 - 1")</f>
        <v>0 - 1</v>
      </c>
      <c r="J4" s="21" t="str">
        <f>IFERROR(__xludf.DUMMYFUNCTION("""COMPUTED_VALUE"""),"1 - 1")</f>
        <v>1 - 1</v>
      </c>
      <c r="K4" s="89"/>
      <c r="L4" s="11">
        <f>IFERROR(__xludf.DUMMYFUNCTION("""COMPUTED_VALUE"""),30.0)</f>
        <v>30</v>
      </c>
      <c r="M4" s="21">
        <f>IFERROR(__xludf.DUMMYFUNCTION("""COMPUTED_VALUE"""),44.0)</f>
        <v>44</v>
      </c>
      <c r="N4" s="132">
        <f>IFERROR(__xludf.DUMMYFUNCTION("""COMPUTED_VALUE"""),-14.0)</f>
        <v>-14</v>
      </c>
      <c r="O4" s="131">
        <f>IFERROR(__xludf.DUMMYFUNCTION("""COMPUTED_VALUE"""),15.0)</f>
        <v>15</v>
      </c>
      <c r="P4" s="89"/>
      <c r="Q4" s="11" t="str">
        <f>IFERROR(__xludf.DUMMYFUNCTION("""COMPUTED_VALUE"""),"0 - 1")</f>
        <v>0 - 1</v>
      </c>
      <c r="R4" s="21" t="str">
        <f>IFERROR(__xludf.DUMMYFUNCTION("""COMPUTED_VALUE"""),"0 - 0")</f>
        <v>0 - 0</v>
      </c>
      <c r="S4" s="11" t="str">
        <f>IFERROR(__xludf.DUMMYFUNCTION("""COMPUTED_VALUE"""),"0 - 0")</f>
        <v>0 - 0</v>
      </c>
      <c r="T4" s="21" t="str">
        <f>IFERROR(__xludf.DUMMYFUNCTION("""COMPUTED_VALUE"""),"1 - 0")</f>
        <v>1 - 0</v>
      </c>
      <c r="U4" s="11" t="str">
        <f>IFERROR(__xludf.DUMMYFUNCTION("""COMPUTED_VALUE"""),"0 - 0")</f>
        <v>0 - 0</v>
      </c>
      <c r="V4" s="21" t="str">
        <f>IFERROR(__xludf.DUMMYFUNCTION("""COMPUTED_VALUE"""),"0 - 0")</f>
        <v>0 - 0</v>
      </c>
      <c r="W4" s="11" t="str">
        <f>IFERROR(__xludf.DUMMYFUNCTION("""COMPUTED_VALUE"""),"0 - 0")</f>
        <v>0 - 0</v>
      </c>
      <c r="X4" s="21" t="str">
        <f>IFERROR(__xludf.DUMMYFUNCTION("""COMPUTED_VALUE"""),"0 - 0")</f>
        <v>0 - 0</v>
      </c>
    </row>
    <row r="5">
      <c r="A5" s="90" t="str">
        <f>IFERROR(__xludf.DUMMYFUNCTION("""COMPUTED_VALUE"""),"")</f>
        <v/>
      </c>
      <c r="B5" s="97" t="str">
        <f>IFERROR(__xludf.DUMMYFUNCTION("""COMPUTED_VALUE"""),"LAC")</f>
        <v>LAC</v>
      </c>
      <c r="C5" s="11">
        <f>IFERROR(__xludf.DUMMYFUNCTION("""COMPUTED_VALUE"""),0.0)</f>
        <v>0</v>
      </c>
      <c r="D5" s="21">
        <f>IFERROR(__xludf.DUMMYFUNCTION("""COMPUTED_VALUE"""),3.0)</f>
        <v>3</v>
      </c>
      <c r="E5" s="128">
        <f>IFERROR(__xludf.DUMMYFUNCTION("""COMPUTED_VALUE"""),0.0)</f>
        <v>0</v>
      </c>
      <c r="F5" s="89"/>
      <c r="G5" s="129" t="str">
        <f>IFERROR(__xludf.DUMMYFUNCTION("""COMPUTED_VALUE"""),"0 - 2")</f>
        <v>0 - 2</v>
      </c>
      <c r="H5" s="21" t="str">
        <f>IFERROR(__xludf.DUMMYFUNCTION("""COMPUTED_VALUE"""),"0 - 1")</f>
        <v>0 - 1</v>
      </c>
      <c r="I5" s="11" t="str">
        <f>IFERROR(__xludf.DUMMYFUNCTION("""COMPUTED_VALUE"""),"0 - 1")</f>
        <v>0 - 1</v>
      </c>
      <c r="J5" s="21" t="str">
        <f>IFERROR(__xludf.DUMMYFUNCTION("""COMPUTED_VALUE"""),"0 - 2")</f>
        <v>0 - 2</v>
      </c>
      <c r="K5" s="89"/>
      <c r="L5" s="11">
        <f>IFERROR(__xludf.DUMMYFUNCTION("""COMPUTED_VALUE"""),42.0)</f>
        <v>42</v>
      </c>
      <c r="M5" s="21">
        <f>IFERROR(__xludf.DUMMYFUNCTION("""COMPUTED_VALUE"""),78.0)</f>
        <v>78</v>
      </c>
      <c r="N5" s="132">
        <f>IFERROR(__xludf.DUMMYFUNCTION("""COMPUTED_VALUE"""),-36.0)</f>
        <v>-36</v>
      </c>
      <c r="O5" s="131">
        <f>IFERROR(__xludf.DUMMYFUNCTION("""COMPUTED_VALUE"""),14.0)</f>
        <v>14</v>
      </c>
      <c r="P5" s="89"/>
      <c r="Q5" s="11" t="str">
        <f>IFERROR(__xludf.DUMMYFUNCTION("""COMPUTED_VALUE"""),"0 - 1")</f>
        <v>0 - 1</v>
      </c>
      <c r="R5" s="21" t="str">
        <f>IFERROR(__xludf.DUMMYFUNCTION("""COMPUTED_VALUE"""),"0 - 1")</f>
        <v>0 - 1</v>
      </c>
      <c r="S5" s="11" t="str">
        <f>IFERROR(__xludf.DUMMYFUNCTION("""COMPUTED_VALUE"""),"0 - 0")</f>
        <v>0 - 0</v>
      </c>
      <c r="T5" s="21" t="str">
        <f>IFERROR(__xludf.DUMMYFUNCTION("""COMPUTED_VALUE"""),"0 - 0")</f>
        <v>0 - 0</v>
      </c>
      <c r="U5" s="11" t="str">
        <f>IFERROR(__xludf.DUMMYFUNCTION("""COMPUTED_VALUE"""),"0 - 1")</f>
        <v>0 - 1</v>
      </c>
      <c r="V5" s="21" t="str">
        <f>IFERROR(__xludf.DUMMYFUNCTION("""COMPUTED_VALUE"""),"0 - 0")</f>
        <v>0 - 0</v>
      </c>
      <c r="W5" s="11" t="str">
        <f>IFERROR(__xludf.DUMMYFUNCTION("""COMPUTED_VALUE"""),"0 - 0")</f>
        <v>0 - 0</v>
      </c>
      <c r="X5" s="21" t="str">
        <f>IFERROR(__xludf.DUMMYFUNCTION("""COMPUTED_VALUE"""),"0 - 0")</f>
        <v>0 - 0</v>
      </c>
    </row>
    <row r="6">
      <c r="A6" s="89"/>
      <c r="B6" s="70" t="str">
        <f>IFERROR(__xludf.DUMMYFUNCTION("""COMPUTED_VALUE"""),"AFC East")</f>
        <v>AFC East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133"/>
      <c r="O6" s="89"/>
      <c r="P6" s="89"/>
      <c r="Q6" s="89"/>
      <c r="R6" s="89"/>
      <c r="S6" s="89"/>
      <c r="T6" s="89"/>
      <c r="U6" s="89"/>
      <c r="V6" s="89"/>
      <c r="W6" s="89"/>
      <c r="X6" s="89"/>
    </row>
    <row r="7">
      <c r="A7" s="90" t="str">
        <f>IFERROR(__xludf.DUMMYFUNCTION("""COMPUTED_VALUE"""),"")</f>
        <v/>
      </c>
      <c r="B7" s="99" t="str">
        <f>IFERROR(__xludf.DUMMYFUNCTION("""COMPUTED_VALUE"""),"BUF")</f>
        <v>BUF</v>
      </c>
      <c r="C7" s="11">
        <f>IFERROR(__xludf.DUMMYFUNCTION("""COMPUTED_VALUE"""),3.0)</f>
        <v>3</v>
      </c>
      <c r="D7" s="21">
        <f>IFERROR(__xludf.DUMMYFUNCTION("""COMPUTED_VALUE"""),0.0)</f>
        <v>0</v>
      </c>
      <c r="E7" s="128">
        <f>IFERROR(__xludf.DUMMYFUNCTION("""COMPUTED_VALUE"""),1.0)</f>
        <v>1</v>
      </c>
      <c r="F7" s="89"/>
      <c r="G7" s="11" t="str">
        <f>IFERROR(__xludf.DUMMYFUNCTION("""COMPUTED_VALUE"""),"2 - 0")</f>
        <v>2 - 0</v>
      </c>
      <c r="H7" s="21" t="str">
        <f>IFERROR(__xludf.DUMMYFUNCTION("""COMPUTED_VALUE"""),"1 - 0")</f>
        <v>1 - 0</v>
      </c>
      <c r="I7" s="11" t="str">
        <f>IFERROR(__xludf.DUMMYFUNCTION("""COMPUTED_VALUE"""),"0 - 0")</f>
        <v>0 - 0</v>
      </c>
      <c r="J7" s="21" t="str">
        <f>IFERROR(__xludf.DUMMYFUNCTION("""COMPUTED_VALUE"""),"2 - 0")</f>
        <v>2 - 0</v>
      </c>
      <c r="K7" s="89"/>
      <c r="L7" s="11">
        <f>IFERROR(__xludf.DUMMYFUNCTION("""COMPUTED_VALUE"""),103.0)</f>
        <v>103</v>
      </c>
      <c r="M7" s="21">
        <f>IFERROR(__xludf.DUMMYFUNCTION("""COMPUTED_VALUE"""),76.0)</f>
        <v>76</v>
      </c>
      <c r="N7" s="132">
        <f>IFERROR(__xludf.DUMMYFUNCTION("""COMPUTED_VALUE"""),27.0)</f>
        <v>27</v>
      </c>
      <c r="O7" s="131">
        <f>IFERROR(__xludf.DUMMYFUNCTION("""COMPUTED_VALUE"""),34.333333333333336)</f>
        <v>34.33333333</v>
      </c>
      <c r="P7" s="89"/>
      <c r="Q7" s="11" t="str">
        <f>IFERROR(__xludf.DUMMYFUNCTION("""COMPUTED_VALUE"""),"1 - 0")</f>
        <v>1 - 0</v>
      </c>
      <c r="R7" s="21" t="str">
        <f>IFERROR(__xludf.DUMMYFUNCTION("""COMPUTED_VALUE"""),"0 - 0")</f>
        <v>0 - 0</v>
      </c>
      <c r="S7" s="11" t="str">
        <f>IFERROR(__xludf.DUMMYFUNCTION("""COMPUTED_VALUE"""),"0 - 0")</f>
        <v>0 - 0</v>
      </c>
      <c r="T7" s="21" t="str">
        <f>IFERROR(__xludf.DUMMYFUNCTION("""COMPUTED_VALUE"""),"1 - 0")</f>
        <v>1 - 0</v>
      </c>
      <c r="U7" s="11" t="str">
        <f>IFERROR(__xludf.DUMMYFUNCTION("""COMPUTED_VALUE"""),"0 - 0")</f>
        <v>0 - 0</v>
      </c>
      <c r="V7" s="21" t="str">
        <f>IFERROR(__xludf.DUMMYFUNCTION("""COMPUTED_VALUE"""),"0 - 0")</f>
        <v>0 - 0</v>
      </c>
      <c r="W7" s="11" t="str">
        <f>IFERROR(__xludf.DUMMYFUNCTION("""COMPUTED_VALUE"""),"1 - 0")</f>
        <v>1 - 0</v>
      </c>
      <c r="X7" s="21" t="str">
        <f>IFERROR(__xludf.DUMMYFUNCTION("""COMPUTED_VALUE"""),"0 - 0")</f>
        <v>0 - 0</v>
      </c>
    </row>
    <row r="8">
      <c r="A8" s="90" t="str">
        <f>IFERROR(__xludf.DUMMYFUNCTION("""COMPUTED_VALUE"""),"")</f>
        <v/>
      </c>
      <c r="B8" s="101" t="str">
        <f>IFERROR(__xludf.DUMMYFUNCTION("""COMPUTED_VALUE"""),"MIA")</f>
        <v>MIA</v>
      </c>
      <c r="C8" s="11">
        <f>IFERROR(__xludf.DUMMYFUNCTION("""COMPUTED_VALUE"""),0.0)</f>
        <v>0</v>
      </c>
      <c r="D8" s="21">
        <f>IFERROR(__xludf.DUMMYFUNCTION("""COMPUTED_VALUE"""),3.0)</f>
        <v>3</v>
      </c>
      <c r="E8" s="128">
        <f>IFERROR(__xludf.DUMMYFUNCTION("""COMPUTED_VALUE"""),0.0)</f>
        <v>0</v>
      </c>
      <c r="F8" s="89"/>
      <c r="G8" s="11" t="str">
        <f>IFERROR(__xludf.DUMMYFUNCTION("""COMPUTED_VALUE"""),"0 - 1")</f>
        <v>0 - 1</v>
      </c>
      <c r="H8" s="21" t="str">
        <f>IFERROR(__xludf.DUMMYFUNCTION("""COMPUTED_VALUE"""),"0 - 2")</f>
        <v>0 - 2</v>
      </c>
      <c r="I8" s="11" t="str">
        <f>IFERROR(__xludf.DUMMYFUNCTION("""COMPUTED_VALUE"""),"0 - 0")</f>
        <v>0 - 0</v>
      </c>
      <c r="J8" s="21" t="str">
        <f>IFERROR(__xludf.DUMMYFUNCTION("""COMPUTED_VALUE"""),"0 - 2")</f>
        <v>0 - 2</v>
      </c>
      <c r="K8" s="89"/>
      <c r="L8" s="11">
        <f>IFERROR(__xludf.DUMMYFUNCTION("""COMPUTED_VALUE"""),36.0)</f>
        <v>36</v>
      </c>
      <c r="M8" s="21">
        <f>IFERROR(__xludf.DUMMYFUNCTION("""COMPUTED_VALUE"""),86.0)</f>
        <v>86</v>
      </c>
      <c r="N8" s="132">
        <f>IFERROR(__xludf.DUMMYFUNCTION("""COMPUTED_VALUE"""),-50.0)</f>
        <v>-50</v>
      </c>
      <c r="O8" s="131">
        <f>IFERROR(__xludf.DUMMYFUNCTION("""COMPUTED_VALUE"""),12.0)</f>
        <v>12</v>
      </c>
      <c r="P8" s="89"/>
      <c r="Q8" s="11" t="str">
        <f>IFERROR(__xludf.DUMMYFUNCTION("""COMPUTED_VALUE"""),"0 - 2")</f>
        <v>0 - 2</v>
      </c>
      <c r="R8" s="21" t="str">
        <f>IFERROR(__xludf.DUMMYFUNCTION("""COMPUTED_VALUE"""),"0 - 0")</f>
        <v>0 - 0</v>
      </c>
      <c r="S8" s="11" t="str">
        <f>IFERROR(__xludf.DUMMYFUNCTION("""COMPUTED_VALUE"""),"0 - 0")</f>
        <v>0 - 0</v>
      </c>
      <c r="T8" s="21" t="str">
        <f>IFERROR(__xludf.DUMMYFUNCTION("""COMPUTED_VALUE"""),"0 - 0")</f>
        <v>0 - 0</v>
      </c>
      <c r="U8" s="11" t="str">
        <f>IFERROR(__xludf.DUMMYFUNCTION("""COMPUTED_VALUE"""),"0 - 1")</f>
        <v>0 - 1</v>
      </c>
      <c r="V8" s="21" t="str">
        <f>IFERROR(__xludf.DUMMYFUNCTION("""COMPUTED_VALUE"""),"0 - 0")</f>
        <v>0 - 0</v>
      </c>
      <c r="W8" s="11" t="str">
        <f>IFERROR(__xludf.DUMMYFUNCTION("""COMPUTED_VALUE"""),"0 - 0")</f>
        <v>0 - 0</v>
      </c>
      <c r="X8" s="21" t="str">
        <f>IFERROR(__xludf.DUMMYFUNCTION("""COMPUTED_VALUE"""),"0 - 0")</f>
        <v>0 - 0</v>
      </c>
    </row>
    <row r="9">
      <c r="A9" s="90" t="str">
        <f>IFERROR(__xludf.DUMMYFUNCTION("""COMPUTED_VALUE"""),"")</f>
        <v/>
      </c>
      <c r="B9" s="103" t="str">
        <f>IFERROR(__xludf.DUMMYFUNCTION("""COMPUTED_VALUE"""),"NYJ")</f>
        <v>NYJ</v>
      </c>
      <c r="C9" s="11">
        <f>IFERROR(__xludf.DUMMYFUNCTION("""COMPUTED_VALUE"""),1.0)</f>
        <v>1</v>
      </c>
      <c r="D9" s="21">
        <f>IFERROR(__xludf.DUMMYFUNCTION("""COMPUTED_VALUE"""),2.0)</f>
        <v>2</v>
      </c>
      <c r="E9" s="128">
        <f>IFERROR(__xludf.DUMMYFUNCTION("""COMPUTED_VALUE"""),0.3333333333333333)</f>
        <v>0.3333333333</v>
      </c>
      <c r="F9" s="89"/>
      <c r="G9" s="11" t="str">
        <f>IFERROR(__xludf.DUMMYFUNCTION("""COMPUTED_VALUE"""),"0 - 1")</f>
        <v>0 - 1</v>
      </c>
      <c r="H9" s="21" t="str">
        <f>IFERROR(__xludf.DUMMYFUNCTION("""COMPUTED_VALUE"""),"1 - 1")</f>
        <v>1 - 1</v>
      </c>
      <c r="I9" s="11" t="str">
        <f>IFERROR(__xludf.DUMMYFUNCTION("""COMPUTED_VALUE"""),"0 - 0")</f>
        <v>0 - 0</v>
      </c>
      <c r="J9" s="21" t="str">
        <f>IFERROR(__xludf.DUMMYFUNCTION("""COMPUTED_VALUE"""),"1 - 0")</f>
        <v>1 - 0</v>
      </c>
      <c r="K9" s="89"/>
      <c r="L9" s="11">
        <f>IFERROR(__xludf.DUMMYFUNCTION("""COMPUTED_VALUE"""),64.0)</f>
        <v>64</v>
      </c>
      <c r="M9" s="21">
        <f>IFERROR(__xludf.DUMMYFUNCTION("""COMPUTED_VALUE"""),61.0)</f>
        <v>61</v>
      </c>
      <c r="N9" s="132">
        <f>IFERROR(__xludf.DUMMYFUNCTION("""COMPUTED_VALUE"""),3.0)</f>
        <v>3</v>
      </c>
      <c r="O9" s="131">
        <f>IFERROR(__xludf.DUMMYFUNCTION("""COMPUTED_VALUE"""),21.333333333333332)</f>
        <v>21.33333333</v>
      </c>
      <c r="P9" s="89"/>
      <c r="Q9" s="11" t="str">
        <f>IFERROR(__xludf.DUMMYFUNCTION("""COMPUTED_VALUE"""),"0 - 0")</f>
        <v>0 - 0</v>
      </c>
      <c r="R9" s="21" t="str">
        <f>IFERROR(__xludf.DUMMYFUNCTION("""COMPUTED_VALUE"""),"0 - 0")</f>
        <v>0 - 0</v>
      </c>
      <c r="S9" s="11" t="str">
        <f>IFERROR(__xludf.DUMMYFUNCTION("""COMPUTED_VALUE"""),"0 - 0")</f>
        <v>0 - 0</v>
      </c>
      <c r="T9" s="21" t="str">
        <f>IFERROR(__xludf.DUMMYFUNCTION("""COMPUTED_VALUE"""),"1 - 0")</f>
        <v>1 - 0</v>
      </c>
      <c r="U9" s="11" t="str">
        <f>IFERROR(__xludf.DUMMYFUNCTION("""COMPUTED_VALUE"""),"0 - 0")</f>
        <v>0 - 0</v>
      </c>
      <c r="V9" s="21" t="str">
        <f>IFERROR(__xludf.DUMMYFUNCTION("""COMPUTED_VALUE"""),"0 - 0")</f>
        <v>0 - 0</v>
      </c>
      <c r="W9" s="11" t="str">
        <f>IFERROR(__xludf.DUMMYFUNCTION("""COMPUTED_VALUE"""),"0 - 2")</f>
        <v>0 - 2</v>
      </c>
      <c r="X9" s="21" t="str">
        <f>IFERROR(__xludf.DUMMYFUNCTION("""COMPUTED_VALUE"""),"0 - 0")</f>
        <v>0 - 0</v>
      </c>
    </row>
    <row r="10">
      <c r="A10" s="90" t="str">
        <f>IFERROR(__xludf.DUMMYFUNCTION("""COMPUTED_VALUE"""),"")</f>
        <v/>
      </c>
      <c r="B10" s="105" t="str">
        <f>IFERROR(__xludf.DUMMYFUNCTION("""COMPUTED_VALUE"""),"NE")</f>
        <v>NE</v>
      </c>
      <c r="C10" s="11">
        <f>IFERROR(__xludf.DUMMYFUNCTION("""COMPUTED_VALUE"""),1.0)</f>
        <v>1</v>
      </c>
      <c r="D10" s="21">
        <f>IFERROR(__xludf.DUMMYFUNCTION("""COMPUTED_VALUE"""),2.0)</f>
        <v>2</v>
      </c>
      <c r="E10" s="128">
        <f>IFERROR(__xludf.DUMMYFUNCTION("""COMPUTED_VALUE"""),0.3333333333333333)</f>
        <v>0.3333333333</v>
      </c>
      <c r="F10" s="89"/>
      <c r="G10" s="11" t="str">
        <f>IFERROR(__xludf.DUMMYFUNCTION("""COMPUTED_VALUE"""),"1 - 0")</f>
        <v>1 - 0</v>
      </c>
      <c r="H10" s="21" t="str">
        <f>IFERROR(__xludf.DUMMYFUNCTION("""COMPUTED_VALUE"""),"0 - 2")</f>
        <v>0 - 2</v>
      </c>
      <c r="I10" s="11" t="str">
        <f>IFERROR(__xludf.DUMMYFUNCTION("""COMPUTED_VALUE"""),"0 - 0")</f>
        <v>0 - 0</v>
      </c>
      <c r="J10" s="21" t="str">
        <f>IFERROR(__xludf.DUMMYFUNCTION("""COMPUTED_VALUE"""),"1 - 1")</f>
        <v>1 - 1</v>
      </c>
      <c r="K10" s="89"/>
      <c r="L10" s="11">
        <f>IFERROR(__xludf.DUMMYFUNCTION("""COMPUTED_VALUE"""),36.0)</f>
        <v>36</v>
      </c>
      <c r="M10" s="21">
        <f>IFERROR(__xludf.DUMMYFUNCTION("""COMPUTED_VALUE"""),51.0)</f>
        <v>51</v>
      </c>
      <c r="N10" s="132">
        <f>IFERROR(__xludf.DUMMYFUNCTION("""COMPUTED_VALUE"""),-15.0)</f>
        <v>-15</v>
      </c>
      <c r="O10" s="131">
        <f>IFERROR(__xludf.DUMMYFUNCTION("""COMPUTED_VALUE"""),12.0)</f>
        <v>12</v>
      </c>
      <c r="P10" s="89"/>
      <c r="Q10" s="11" t="str">
        <f>IFERROR(__xludf.DUMMYFUNCTION("""COMPUTED_VALUE"""),"0 - 0")</f>
        <v>0 - 0</v>
      </c>
      <c r="R10" s="21" t="str">
        <f>IFERROR(__xludf.DUMMYFUNCTION("""COMPUTED_VALUE"""),"0 - 0")</f>
        <v>0 - 0</v>
      </c>
      <c r="S10" s="11" t="str">
        <f>IFERROR(__xludf.DUMMYFUNCTION("""COMPUTED_VALUE"""),"1 - 0")</f>
        <v>1 - 0</v>
      </c>
      <c r="T10" s="21" t="str">
        <f>IFERROR(__xludf.DUMMYFUNCTION("""COMPUTED_VALUE"""),"0 - 1")</f>
        <v>0 - 1</v>
      </c>
      <c r="U10" s="11" t="str">
        <f>IFERROR(__xludf.DUMMYFUNCTION("""COMPUTED_VALUE"""),"0 - 1")</f>
        <v>0 - 1</v>
      </c>
      <c r="V10" s="21" t="str">
        <f>IFERROR(__xludf.DUMMYFUNCTION("""COMPUTED_VALUE"""),"0 - 0")</f>
        <v>0 - 0</v>
      </c>
      <c r="W10" s="11" t="str">
        <f>IFERROR(__xludf.DUMMYFUNCTION("""COMPUTED_VALUE"""),"0 - 0")</f>
        <v>0 - 0</v>
      </c>
      <c r="X10" s="21" t="str">
        <f>IFERROR(__xludf.DUMMYFUNCTION("""COMPUTED_VALUE"""),"0 - 0")</f>
        <v>0 - 0</v>
      </c>
    </row>
    <row r="11">
      <c r="A11" s="89"/>
      <c r="B11" s="70" t="str">
        <f>IFERROR(__xludf.DUMMYFUNCTION("""COMPUTED_VALUE"""),"AFC North")</f>
        <v>AFC North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133"/>
      <c r="O11" s="89"/>
      <c r="P11" s="89"/>
      <c r="Q11" s="89"/>
      <c r="R11" s="89"/>
      <c r="S11" s="89"/>
      <c r="T11" s="89"/>
      <c r="U11" s="89"/>
      <c r="V11" s="89"/>
      <c r="W11" s="89"/>
      <c r="X11" s="89"/>
    </row>
    <row r="12">
      <c r="A12" s="90" t="str">
        <f>IFERROR(__xludf.DUMMYFUNCTION("""COMPUTED_VALUE"""),"")</f>
        <v/>
      </c>
      <c r="B12" s="107" t="str">
        <f>IFERROR(__xludf.DUMMYFUNCTION("""COMPUTED_VALUE"""),"BAL")</f>
        <v>BAL</v>
      </c>
      <c r="C12" s="11">
        <f>IFERROR(__xludf.DUMMYFUNCTION("""COMPUTED_VALUE"""),2.0)</f>
        <v>2</v>
      </c>
      <c r="D12" s="21">
        <f>IFERROR(__xludf.DUMMYFUNCTION("""COMPUTED_VALUE"""),1.0)</f>
        <v>1</v>
      </c>
      <c r="E12" s="128">
        <f>IFERROR(__xludf.DUMMYFUNCTION("""COMPUTED_VALUE"""),0.6666666666666666)</f>
        <v>0.6666666667</v>
      </c>
      <c r="F12" s="89"/>
      <c r="G12" s="11" t="str">
        <f>IFERROR(__xludf.DUMMYFUNCTION("""COMPUTED_VALUE"""),"0 - 1")</f>
        <v>0 - 1</v>
      </c>
      <c r="H12" s="21" t="str">
        <f>IFERROR(__xludf.DUMMYFUNCTION("""COMPUTED_VALUE"""),"2 - 0")</f>
        <v>2 - 0</v>
      </c>
      <c r="I12" s="11" t="str">
        <f>IFERROR(__xludf.DUMMYFUNCTION("""COMPUTED_VALUE"""),"0 - 0")</f>
        <v>0 - 0</v>
      </c>
      <c r="J12" s="21" t="str">
        <f>IFERROR(__xludf.DUMMYFUNCTION("""COMPUTED_VALUE"""),"1 - 0")</f>
        <v>1 - 0</v>
      </c>
      <c r="K12" s="89"/>
      <c r="L12" s="11">
        <f>IFERROR(__xludf.DUMMYFUNCTION("""COMPUTED_VALUE"""),92.0)</f>
        <v>92</v>
      </c>
      <c r="M12" s="21">
        <f>IFERROR(__xludf.DUMMYFUNCTION("""COMPUTED_VALUE"""),78.0)</f>
        <v>78</v>
      </c>
      <c r="N12" s="134">
        <f>IFERROR(__xludf.DUMMYFUNCTION("""COMPUTED_VALUE"""),14.0)</f>
        <v>14</v>
      </c>
      <c r="O12" s="131">
        <f>IFERROR(__xludf.DUMMYFUNCTION("""COMPUTED_VALUE"""),30.666666666666668)</f>
        <v>30.66666667</v>
      </c>
      <c r="P12" s="89"/>
      <c r="Q12" s="11" t="str">
        <f>IFERROR(__xludf.DUMMYFUNCTION("""COMPUTED_VALUE"""),"0 - 0")</f>
        <v>0 - 0</v>
      </c>
      <c r="R12" s="21" t="str">
        <f>IFERROR(__xludf.DUMMYFUNCTION("""COMPUTED_VALUE"""),"0 - 0")</f>
        <v>0 - 0</v>
      </c>
      <c r="S12" s="11" t="str">
        <f>IFERROR(__xludf.DUMMYFUNCTION("""COMPUTED_VALUE"""),"0 - 0")</f>
        <v>0 - 0</v>
      </c>
      <c r="T12" s="21" t="str">
        <f>IFERROR(__xludf.DUMMYFUNCTION("""COMPUTED_VALUE"""),"1 - 0")</f>
        <v>1 - 0</v>
      </c>
      <c r="U12" s="11" t="str">
        <f>IFERROR(__xludf.DUMMYFUNCTION("""COMPUTED_VALUE"""),"0 - 0")</f>
        <v>0 - 0</v>
      </c>
      <c r="V12" s="21" t="str">
        <f>IFERROR(__xludf.DUMMYFUNCTION("""COMPUTED_VALUE"""),"1 - 0")</f>
        <v>1 - 0</v>
      </c>
      <c r="W12" s="11" t="str">
        <f>IFERROR(__xludf.DUMMYFUNCTION("""COMPUTED_VALUE"""),"0 - 0")</f>
        <v>0 - 0</v>
      </c>
      <c r="X12" s="21" t="str">
        <f>IFERROR(__xludf.DUMMYFUNCTION("""COMPUTED_VALUE"""),"0 - 1")</f>
        <v>0 - 1</v>
      </c>
    </row>
    <row r="13">
      <c r="A13" s="90" t="str">
        <f>IFERROR(__xludf.DUMMYFUNCTION("""COMPUTED_VALUE"""),"")</f>
        <v/>
      </c>
      <c r="B13" s="109" t="str">
        <f>IFERROR(__xludf.DUMMYFUNCTION("""COMPUTED_VALUE"""),"CLE")</f>
        <v>CLE</v>
      </c>
      <c r="C13" s="11">
        <f>IFERROR(__xludf.DUMMYFUNCTION("""COMPUTED_VALUE"""),2.0)</f>
        <v>2</v>
      </c>
      <c r="D13" s="21">
        <f>IFERROR(__xludf.DUMMYFUNCTION("""COMPUTED_VALUE"""),1.0)</f>
        <v>1</v>
      </c>
      <c r="E13" s="128">
        <f>IFERROR(__xludf.DUMMYFUNCTION("""COMPUTED_VALUE"""),0.6666666666666666)</f>
        <v>0.6666666667</v>
      </c>
      <c r="F13" s="89"/>
      <c r="G13" s="11" t="str">
        <f>IFERROR(__xludf.DUMMYFUNCTION("""COMPUTED_VALUE"""),"1 - 0")</f>
        <v>1 - 0</v>
      </c>
      <c r="H13" s="21" t="str">
        <f>IFERROR(__xludf.DUMMYFUNCTION("""COMPUTED_VALUE"""),"1 - 1")</f>
        <v>1 - 1</v>
      </c>
      <c r="I13" s="11" t="str">
        <f>IFERROR(__xludf.DUMMYFUNCTION("""COMPUTED_VALUE"""),"0 - 0")</f>
        <v>0 - 0</v>
      </c>
      <c r="J13" s="21" t="str">
        <f>IFERROR(__xludf.DUMMYFUNCTION("""COMPUTED_VALUE"""),"0 - 1")</f>
        <v>0 - 1</v>
      </c>
      <c r="K13" s="89"/>
      <c r="L13" s="11">
        <f>IFERROR(__xludf.DUMMYFUNCTION("""COMPUTED_VALUE"""),54.0)</f>
        <v>54</v>
      </c>
      <c r="M13" s="21">
        <f>IFERROR(__xludf.DUMMYFUNCTION("""COMPUTED_VALUE"""),71.0)</f>
        <v>71</v>
      </c>
      <c r="N13" s="132">
        <f>IFERROR(__xludf.DUMMYFUNCTION("""COMPUTED_VALUE"""),-17.0)</f>
        <v>-17</v>
      </c>
      <c r="O13" s="131">
        <f>IFERROR(__xludf.DUMMYFUNCTION("""COMPUTED_VALUE"""),18.0)</f>
        <v>18</v>
      </c>
      <c r="P13" s="89"/>
      <c r="Q13" s="11" t="str">
        <f>IFERROR(__xludf.DUMMYFUNCTION("""COMPUTED_VALUE"""),"0 - 0")</f>
        <v>0 - 0</v>
      </c>
      <c r="R13" s="21" t="str">
        <f>IFERROR(__xludf.DUMMYFUNCTION("""COMPUTED_VALUE"""),"0 - 0")</f>
        <v>0 - 0</v>
      </c>
      <c r="S13" s="11" t="str">
        <f>IFERROR(__xludf.DUMMYFUNCTION("""COMPUTED_VALUE"""),"0 - 0")</f>
        <v>0 - 0</v>
      </c>
      <c r="T13" s="21" t="str">
        <f>IFERROR(__xludf.DUMMYFUNCTION("""COMPUTED_VALUE"""),"0 - 1")</f>
        <v>0 - 1</v>
      </c>
      <c r="U13" s="11" t="str">
        <f>IFERROR(__xludf.DUMMYFUNCTION("""COMPUTED_VALUE"""),"0 - 0")</f>
        <v>0 - 0</v>
      </c>
      <c r="V13" s="21" t="str">
        <f>IFERROR(__xludf.DUMMYFUNCTION("""COMPUTED_VALUE"""),"0 - 0")</f>
        <v>0 - 0</v>
      </c>
      <c r="W13" s="11" t="str">
        <f>IFERROR(__xludf.DUMMYFUNCTION("""COMPUTED_VALUE"""),"0 - 0")</f>
        <v>0 - 0</v>
      </c>
      <c r="X13" s="21" t="str">
        <f>IFERROR(__xludf.DUMMYFUNCTION("""COMPUTED_VALUE"""),"2 - 0")</f>
        <v>2 - 0</v>
      </c>
    </row>
    <row r="14">
      <c r="A14" s="90" t="str">
        <f>IFERROR(__xludf.DUMMYFUNCTION("""COMPUTED_VALUE"""),"")</f>
        <v/>
      </c>
      <c r="B14" s="111" t="str">
        <f>IFERROR(__xludf.DUMMYFUNCTION("""COMPUTED_VALUE"""),"PIT")</f>
        <v>PIT</v>
      </c>
      <c r="C14" s="11">
        <f>IFERROR(__xludf.DUMMYFUNCTION("""COMPUTED_VALUE"""),2.0)</f>
        <v>2</v>
      </c>
      <c r="D14" s="21">
        <f>IFERROR(__xludf.DUMMYFUNCTION("""COMPUTED_VALUE"""),1.0)</f>
        <v>1</v>
      </c>
      <c r="E14" s="128">
        <f>IFERROR(__xludf.DUMMYFUNCTION("""COMPUTED_VALUE"""),0.6666666666666666)</f>
        <v>0.6666666667</v>
      </c>
      <c r="F14" s="89"/>
      <c r="G14" s="11" t="str">
        <f>IFERROR(__xludf.DUMMYFUNCTION("""COMPUTED_VALUE"""),"2 - 0")</f>
        <v>2 - 0</v>
      </c>
      <c r="H14" s="21" t="str">
        <f>IFERROR(__xludf.DUMMYFUNCTION("""COMPUTED_VALUE"""),"0 - 1")</f>
        <v>0 - 1</v>
      </c>
      <c r="I14" s="11" t="str">
        <f>IFERROR(__xludf.DUMMYFUNCTION("""COMPUTED_VALUE"""),"1 - 0")</f>
        <v>1 - 0</v>
      </c>
      <c r="J14" s="21" t="str">
        <f>IFERROR(__xludf.DUMMYFUNCTION("""COMPUTED_VALUE"""),"1 - 1")</f>
        <v>1 - 1</v>
      </c>
      <c r="K14" s="89"/>
      <c r="L14" s="11">
        <f>IFERROR(__xludf.DUMMYFUNCTION("""COMPUTED_VALUE"""),53.0)</f>
        <v>53</v>
      </c>
      <c r="M14" s="21">
        <f>IFERROR(__xludf.DUMMYFUNCTION("""COMPUTED_VALUE"""),60.0)</f>
        <v>60</v>
      </c>
      <c r="N14" s="132">
        <f>IFERROR(__xludf.DUMMYFUNCTION("""COMPUTED_VALUE"""),-7.0)</f>
        <v>-7</v>
      </c>
      <c r="O14" s="131">
        <f>IFERROR(__xludf.DUMMYFUNCTION("""COMPUTED_VALUE"""),17.666666666666668)</f>
        <v>17.66666667</v>
      </c>
      <c r="P14" s="89"/>
      <c r="Q14" s="11" t="str">
        <f>IFERROR(__xludf.DUMMYFUNCTION("""COMPUTED_VALUE"""),"0 - 0")</f>
        <v>0 - 0</v>
      </c>
      <c r="R14" s="21" t="str">
        <f>IFERROR(__xludf.DUMMYFUNCTION("""COMPUTED_VALUE"""),"0 - 1")</f>
        <v>0 - 1</v>
      </c>
      <c r="S14" s="11" t="str">
        <f>IFERROR(__xludf.DUMMYFUNCTION("""COMPUTED_VALUE"""),"1 - 0")</f>
        <v>1 - 0</v>
      </c>
      <c r="T14" s="21" t="str">
        <f>IFERROR(__xludf.DUMMYFUNCTION("""COMPUTED_VALUE"""),"0 - 0")</f>
        <v>0 - 0</v>
      </c>
      <c r="U14" s="11" t="str">
        <f>IFERROR(__xludf.DUMMYFUNCTION("""COMPUTED_VALUE"""),"0 - 0")</f>
        <v>0 - 0</v>
      </c>
      <c r="V14" s="21" t="str">
        <f>IFERROR(__xludf.DUMMYFUNCTION("""COMPUTED_VALUE"""),"0 - 0")</f>
        <v>0 - 0</v>
      </c>
      <c r="W14" s="11" t="str">
        <f>IFERROR(__xludf.DUMMYFUNCTION("""COMPUTED_VALUE"""),"0 - 0")</f>
        <v>0 - 0</v>
      </c>
      <c r="X14" s="21" t="str">
        <f>IFERROR(__xludf.DUMMYFUNCTION("""COMPUTED_VALUE"""),"1 - 0")</f>
        <v>1 - 0</v>
      </c>
    </row>
    <row r="15">
      <c r="A15" s="90" t="str">
        <f>IFERROR(__xludf.DUMMYFUNCTION("""COMPUTED_VALUE"""),"")</f>
        <v/>
      </c>
      <c r="B15" s="113" t="str">
        <f>IFERROR(__xludf.DUMMYFUNCTION("""COMPUTED_VALUE"""),"CIN")</f>
        <v>CIN</v>
      </c>
      <c r="C15" s="11">
        <f>IFERROR(__xludf.DUMMYFUNCTION("""COMPUTED_VALUE"""),2.0)</f>
        <v>2</v>
      </c>
      <c r="D15" s="21">
        <f>IFERROR(__xludf.DUMMYFUNCTION("""COMPUTED_VALUE"""),1.0)</f>
        <v>1</v>
      </c>
      <c r="E15" s="128">
        <f>IFERROR(__xludf.DUMMYFUNCTION("""COMPUTED_VALUE"""),0.6666666666666666)</f>
        <v>0.6666666667</v>
      </c>
      <c r="F15" s="89"/>
      <c r="G15" s="11" t="str">
        <f>IFERROR(__xludf.DUMMYFUNCTION("""COMPUTED_VALUE"""),"1 - 0")</f>
        <v>1 - 0</v>
      </c>
      <c r="H15" s="21" t="str">
        <f>IFERROR(__xludf.DUMMYFUNCTION("""COMPUTED_VALUE"""),"1 - 1")</f>
        <v>1 - 1</v>
      </c>
      <c r="I15" s="11" t="str">
        <f>IFERROR(__xludf.DUMMYFUNCTION("""COMPUTED_VALUE"""),"0 - 1")</f>
        <v>0 - 1</v>
      </c>
      <c r="J15" s="21" t="str">
        <f>IFERROR(__xludf.DUMMYFUNCTION("""COMPUTED_VALUE"""),"1 - 1")</f>
        <v>1 - 1</v>
      </c>
      <c r="K15" s="89"/>
      <c r="L15" s="11">
        <f>IFERROR(__xludf.DUMMYFUNCTION("""COMPUTED_VALUE"""),80.0)</f>
        <v>80</v>
      </c>
      <c r="M15" s="21">
        <f>IFERROR(__xludf.DUMMYFUNCTION("""COMPUTED_VALUE"""),63.0)</f>
        <v>63</v>
      </c>
      <c r="N15" s="132">
        <f>IFERROR(__xludf.DUMMYFUNCTION("""COMPUTED_VALUE"""),17.0)</f>
        <v>17</v>
      </c>
      <c r="O15" s="131">
        <f>IFERROR(__xludf.DUMMYFUNCTION("""COMPUTED_VALUE"""),26.666666666666668)</f>
        <v>26.66666667</v>
      </c>
      <c r="P15" s="89"/>
      <c r="Q15" s="11" t="str">
        <f>IFERROR(__xludf.DUMMYFUNCTION("""COMPUTED_VALUE"""),"0 - 0")</f>
        <v>0 - 0</v>
      </c>
      <c r="R15" s="21" t="str">
        <f>IFERROR(__xludf.DUMMYFUNCTION("""COMPUTED_VALUE"""),"0 - 0")</f>
        <v>0 - 0</v>
      </c>
      <c r="S15" s="11" t="str">
        <f>IFERROR(__xludf.DUMMYFUNCTION("""COMPUTED_VALUE"""),"0 - 1")</f>
        <v>0 - 1</v>
      </c>
      <c r="T15" s="21" t="str">
        <f>IFERROR(__xludf.DUMMYFUNCTION("""COMPUTED_VALUE"""),"1 - 0")</f>
        <v>1 - 0</v>
      </c>
      <c r="U15" s="11" t="str">
        <f>IFERROR(__xludf.DUMMYFUNCTION("""COMPUTED_VALUE"""),"0 - 0")</f>
        <v>0 - 0</v>
      </c>
      <c r="V15" s="21" t="str">
        <f>IFERROR(__xludf.DUMMYFUNCTION("""COMPUTED_VALUE"""),"0 - 0")</f>
        <v>0 - 0</v>
      </c>
      <c r="W15" s="11" t="str">
        <f>IFERROR(__xludf.DUMMYFUNCTION("""COMPUTED_VALUE"""),"0 - 0")</f>
        <v>0 - 0</v>
      </c>
      <c r="X15" s="21" t="str">
        <f>IFERROR(__xludf.DUMMYFUNCTION("""COMPUTED_VALUE"""),"1 - 0")</f>
        <v>1 - 0</v>
      </c>
    </row>
    <row r="16">
      <c r="A16" s="89"/>
      <c r="B16" s="70" t="str">
        <f>IFERROR(__xludf.DUMMYFUNCTION("""COMPUTED_VALUE"""),"AFC South")</f>
        <v>AFC South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133"/>
      <c r="O16" s="89"/>
      <c r="P16" s="89"/>
      <c r="Q16" s="89"/>
      <c r="R16" s="89"/>
      <c r="S16" s="89"/>
      <c r="T16" s="89"/>
      <c r="U16" s="89"/>
      <c r="V16" s="89"/>
      <c r="W16" s="89"/>
      <c r="X16" s="89"/>
    </row>
    <row r="17">
      <c r="A17" s="90" t="str">
        <f>IFERROR(__xludf.DUMMYFUNCTION("""COMPUTED_VALUE"""),"")</f>
        <v/>
      </c>
      <c r="B17" s="115" t="str">
        <f>IFERROR(__xludf.DUMMYFUNCTION("""COMPUTED_VALUE"""),"HOU")</f>
        <v>HOU</v>
      </c>
      <c r="C17" s="11">
        <f>IFERROR(__xludf.DUMMYFUNCTION("""COMPUTED_VALUE"""),0.0)</f>
        <v>0</v>
      </c>
      <c r="D17" s="21">
        <f>IFERROR(__xludf.DUMMYFUNCTION("""COMPUTED_VALUE"""),3.0)</f>
        <v>3</v>
      </c>
      <c r="E17" s="128">
        <f>IFERROR(__xludf.DUMMYFUNCTION("""COMPUTED_VALUE"""),0.0)</f>
        <v>0</v>
      </c>
      <c r="F17" s="89"/>
      <c r="G17" s="11" t="str">
        <f>IFERROR(__xludf.DUMMYFUNCTION("""COMPUTED_VALUE"""),"0 - 2")</f>
        <v>0 - 2</v>
      </c>
      <c r="H17" s="21" t="str">
        <f>IFERROR(__xludf.DUMMYFUNCTION("""COMPUTED_VALUE"""),"0 - 1")</f>
        <v>0 - 1</v>
      </c>
      <c r="I17" s="11" t="str">
        <f>IFERROR(__xludf.DUMMYFUNCTION("""COMPUTED_VALUE"""),"0 - 1")</f>
        <v>0 - 1</v>
      </c>
      <c r="J17" s="21" t="str">
        <f>IFERROR(__xludf.DUMMYFUNCTION("""COMPUTED_VALUE"""),"0 - 3")</f>
        <v>0 - 3</v>
      </c>
      <c r="K17" s="89"/>
      <c r="L17" s="11">
        <f>IFERROR(__xludf.DUMMYFUNCTION("""COMPUTED_VALUE"""),56.0)</f>
        <v>56</v>
      </c>
      <c r="M17" s="21">
        <f>IFERROR(__xludf.DUMMYFUNCTION("""COMPUTED_VALUE"""),83.0)</f>
        <v>83</v>
      </c>
      <c r="N17" s="132">
        <f>IFERROR(__xludf.DUMMYFUNCTION("""COMPUTED_VALUE"""),-27.0)</f>
        <v>-27</v>
      </c>
      <c r="O17" s="131">
        <f>IFERROR(__xludf.DUMMYFUNCTION("""COMPUTED_VALUE"""),18.666666666666668)</f>
        <v>18.66666667</v>
      </c>
      <c r="P17" s="89"/>
      <c r="Q17" s="11" t="str">
        <f>IFERROR(__xludf.DUMMYFUNCTION("""COMPUTED_VALUE"""),"0 - 0")</f>
        <v>0 - 0</v>
      </c>
      <c r="R17" s="21" t="str">
        <f>IFERROR(__xludf.DUMMYFUNCTION("""COMPUTED_VALUE"""),"0 - 1")</f>
        <v>0 - 1</v>
      </c>
      <c r="S17" s="11" t="str">
        <f>IFERROR(__xludf.DUMMYFUNCTION("""COMPUTED_VALUE"""),"0 - 1")</f>
        <v>0 - 1</v>
      </c>
      <c r="T17" s="21" t="str">
        <f>IFERROR(__xludf.DUMMYFUNCTION("""COMPUTED_VALUE"""),"0 - 1")</f>
        <v>0 - 1</v>
      </c>
      <c r="U17" s="11" t="str">
        <f>IFERROR(__xludf.DUMMYFUNCTION("""COMPUTED_VALUE"""),"0 - 0")</f>
        <v>0 - 0</v>
      </c>
      <c r="V17" s="21" t="str">
        <f>IFERROR(__xludf.DUMMYFUNCTION("""COMPUTED_VALUE"""),"0 - 0")</f>
        <v>0 - 0</v>
      </c>
      <c r="W17" s="11" t="str">
        <f>IFERROR(__xludf.DUMMYFUNCTION("""COMPUTED_VALUE"""),"0 - 0")</f>
        <v>0 - 0</v>
      </c>
      <c r="X17" s="21" t="str">
        <f>IFERROR(__xludf.DUMMYFUNCTION("""COMPUTED_VALUE"""),"0 - 0")</f>
        <v>0 - 0</v>
      </c>
    </row>
    <row r="18">
      <c r="A18" s="90" t="str">
        <f>IFERROR(__xludf.DUMMYFUNCTION("""COMPUTED_VALUE"""),"")</f>
        <v/>
      </c>
      <c r="B18" s="117" t="str">
        <f>IFERROR(__xludf.DUMMYFUNCTION("""COMPUTED_VALUE"""),"JAX")</f>
        <v>JAX</v>
      </c>
      <c r="C18" s="11">
        <f>IFERROR(__xludf.DUMMYFUNCTION("""COMPUTED_VALUE"""),2.0)</f>
        <v>2</v>
      </c>
      <c r="D18" s="21">
        <f>IFERROR(__xludf.DUMMYFUNCTION("""COMPUTED_VALUE"""),1.0)</f>
        <v>1</v>
      </c>
      <c r="E18" s="128">
        <f>IFERROR(__xludf.DUMMYFUNCTION("""COMPUTED_VALUE"""),0.6666666666666666)</f>
        <v>0.6666666667</v>
      </c>
      <c r="F18" s="89"/>
      <c r="G18" s="11" t="str">
        <f>IFERROR(__xludf.DUMMYFUNCTION("""COMPUTED_VALUE"""),"2 - 0")</f>
        <v>2 - 0</v>
      </c>
      <c r="H18" s="21" t="str">
        <f>IFERROR(__xludf.DUMMYFUNCTION("""COMPUTED_VALUE"""),"0 - 1")</f>
        <v>0 - 1</v>
      </c>
      <c r="I18" s="11" t="str">
        <f>IFERROR(__xludf.DUMMYFUNCTION("""COMPUTED_VALUE"""),"0 - 0")</f>
        <v>0 - 0</v>
      </c>
      <c r="J18" s="21" t="str">
        <f>IFERROR(__xludf.DUMMYFUNCTION("""COMPUTED_VALUE"""),"2 - 1")</f>
        <v>2 - 1</v>
      </c>
      <c r="K18" s="89"/>
      <c r="L18" s="11">
        <f>IFERROR(__xludf.DUMMYFUNCTION("""COMPUTED_VALUE"""),82.0)</f>
        <v>82</v>
      </c>
      <c r="M18" s="21">
        <f>IFERROR(__xludf.DUMMYFUNCTION("""COMPUTED_VALUE"""),36.0)</f>
        <v>36</v>
      </c>
      <c r="N18" s="132">
        <f>IFERROR(__xludf.DUMMYFUNCTION("""COMPUTED_VALUE"""),46.0)</f>
        <v>46</v>
      </c>
      <c r="O18" s="131">
        <f>IFERROR(__xludf.DUMMYFUNCTION("""COMPUTED_VALUE"""),27.333333333333332)</f>
        <v>27.33333333</v>
      </c>
      <c r="P18" s="89"/>
      <c r="Q18" s="11" t="str">
        <f>IFERROR(__xludf.DUMMYFUNCTION("""COMPUTED_VALUE"""),"0 - 1")</f>
        <v>0 - 1</v>
      </c>
      <c r="R18" s="21" t="str">
        <f>IFERROR(__xludf.DUMMYFUNCTION("""COMPUTED_VALUE"""),"1 - 0")</f>
        <v>1 - 0</v>
      </c>
      <c r="S18" s="11" t="str">
        <f>IFERROR(__xludf.DUMMYFUNCTION("""COMPUTED_VALUE"""),"1 - 0")</f>
        <v>1 - 0</v>
      </c>
      <c r="T18" s="21" t="str">
        <f>IFERROR(__xludf.DUMMYFUNCTION("""COMPUTED_VALUE"""),"0 - 0")</f>
        <v>0 - 0</v>
      </c>
      <c r="U18" s="11" t="str">
        <f>IFERROR(__xludf.DUMMYFUNCTION("""COMPUTED_VALUE"""),"0 - 0")</f>
        <v>0 - 0</v>
      </c>
      <c r="V18" s="21" t="str">
        <f>IFERROR(__xludf.DUMMYFUNCTION("""COMPUTED_VALUE"""),"0 - 0")</f>
        <v>0 - 0</v>
      </c>
      <c r="W18" s="11" t="str">
        <f>IFERROR(__xludf.DUMMYFUNCTION("""COMPUTED_VALUE"""),"0 - 0")</f>
        <v>0 - 0</v>
      </c>
      <c r="X18" s="21" t="str">
        <f>IFERROR(__xludf.DUMMYFUNCTION("""COMPUTED_VALUE"""),"0 - 0")</f>
        <v>0 - 0</v>
      </c>
    </row>
    <row r="19">
      <c r="A19" s="90" t="str">
        <f>IFERROR(__xludf.DUMMYFUNCTION("""COMPUTED_VALUE"""),"")</f>
        <v/>
      </c>
      <c r="B19" s="119" t="str">
        <f>IFERROR(__xludf.DUMMYFUNCTION("""COMPUTED_VALUE"""),"IND")</f>
        <v>IND</v>
      </c>
      <c r="C19" s="11">
        <f>IFERROR(__xludf.DUMMYFUNCTION("""COMPUTED_VALUE"""),1.0)</f>
        <v>1</v>
      </c>
      <c r="D19" s="21">
        <f>IFERROR(__xludf.DUMMYFUNCTION("""COMPUTED_VALUE"""),2.0)</f>
        <v>2</v>
      </c>
      <c r="E19" s="128">
        <f>IFERROR(__xludf.DUMMYFUNCTION("""COMPUTED_VALUE"""),0.3333333333333333)</f>
        <v>0.3333333333</v>
      </c>
      <c r="F19" s="89"/>
      <c r="G19" s="11" t="str">
        <f>IFERROR(__xludf.DUMMYFUNCTION("""COMPUTED_VALUE"""),"1 - 1")</f>
        <v>1 - 1</v>
      </c>
      <c r="H19" s="21" t="str">
        <f>IFERROR(__xludf.DUMMYFUNCTION("""COMPUTED_VALUE"""),"0 - 1")</f>
        <v>0 - 1</v>
      </c>
      <c r="I19" s="11" t="str">
        <f>IFERROR(__xludf.DUMMYFUNCTION("""COMPUTED_VALUE"""),"1 - 0")</f>
        <v>1 - 0</v>
      </c>
      <c r="J19" s="21" t="str">
        <f>IFERROR(__xludf.DUMMYFUNCTION("""COMPUTED_VALUE"""),"1 - 2")</f>
        <v>1 - 2</v>
      </c>
      <c r="K19" s="89"/>
      <c r="L19" s="11">
        <f>IFERROR(__xludf.DUMMYFUNCTION("""COMPUTED_VALUE"""),80.0)</f>
        <v>80</v>
      </c>
      <c r="M19" s="21">
        <f>IFERROR(__xludf.DUMMYFUNCTION("""COMPUTED_VALUE"""),93.0)</f>
        <v>93</v>
      </c>
      <c r="N19" s="132">
        <f>IFERROR(__xludf.DUMMYFUNCTION("""COMPUTED_VALUE"""),-13.0)</f>
        <v>-13</v>
      </c>
      <c r="O19" s="131">
        <f>IFERROR(__xludf.DUMMYFUNCTION("""COMPUTED_VALUE"""),26.666666666666668)</f>
        <v>26.66666667</v>
      </c>
      <c r="P19" s="89"/>
      <c r="Q19" s="11" t="str">
        <f>IFERROR(__xludf.DUMMYFUNCTION("""COMPUTED_VALUE"""),"0 - 1")</f>
        <v>0 - 1</v>
      </c>
      <c r="R19" s="21" t="str">
        <f>IFERROR(__xludf.DUMMYFUNCTION("""COMPUTED_VALUE"""),"0 - 0")</f>
        <v>0 - 0</v>
      </c>
      <c r="S19" s="11" t="str">
        <f>IFERROR(__xludf.DUMMYFUNCTION("""COMPUTED_VALUE"""),"0 - 1")</f>
        <v>0 - 1</v>
      </c>
      <c r="T19" s="21" t="str">
        <f>IFERROR(__xludf.DUMMYFUNCTION("""COMPUTED_VALUE"""),"1 - 0")</f>
        <v>1 - 0</v>
      </c>
      <c r="U19" s="11" t="str">
        <f>IFERROR(__xludf.DUMMYFUNCTION("""COMPUTED_VALUE"""),"0 - 0")</f>
        <v>0 - 0</v>
      </c>
      <c r="V19" s="21" t="str">
        <f>IFERROR(__xludf.DUMMYFUNCTION("""COMPUTED_VALUE"""),"0 - 0")</f>
        <v>0 - 0</v>
      </c>
      <c r="W19" s="11" t="str">
        <f>IFERROR(__xludf.DUMMYFUNCTION("""COMPUTED_VALUE"""),"0 - 0")</f>
        <v>0 - 0</v>
      </c>
      <c r="X19" s="21" t="str">
        <f>IFERROR(__xludf.DUMMYFUNCTION("""COMPUTED_VALUE"""),"0 - 0")</f>
        <v>0 - 0</v>
      </c>
    </row>
    <row r="20">
      <c r="A20" s="90" t="str">
        <f>IFERROR(__xludf.DUMMYFUNCTION("""COMPUTED_VALUE"""),"")</f>
        <v/>
      </c>
      <c r="B20" s="121" t="str">
        <f>IFERROR(__xludf.DUMMYFUNCTION("""COMPUTED_VALUE"""),"TEN")</f>
        <v>TEN</v>
      </c>
      <c r="C20" s="11">
        <f>IFERROR(__xludf.DUMMYFUNCTION("""COMPUTED_VALUE"""),0.0)</f>
        <v>0</v>
      </c>
      <c r="D20" s="21">
        <f>IFERROR(__xludf.DUMMYFUNCTION("""COMPUTED_VALUE"""),3.0)</f>
        <v>3</v>
      </c>
      <c r="E20" s="128">
        <f>IFERROR(__xludf.DUMMYFUNCTION("""COMPUTED_VALUE"""),0.0)</f>
        <v>0</v>
      </c>
      <c r="F20" s="89"/>
      <c r="G20" s="11" t="str">
        <f>IFERROR(__xludf.DUMMYFUNCTION("""COMPUTED_VALUE"""),"0 - 2")</f>
        <v>0 - 2</v>
      </c>
      <c r="H20" s="21" t="str">
        <f>IFERROR(__xludf.DUMMYFUNCTION("""COMPUTED_VALUE"""),"0 - 1")</f>
        <v>0 - 1</v>
      </c>
      <c r="I20" s="11" t="str">
        <f>IFERROR(__xludf.DUMMYFUNCTION("""COMPUTED_VALUE"""),"0 - 0")</f>
        <v>0 - 0</v>
      </c>
      <c r="J20" s="21" t="str">
        <f>IFERROR(__xludf.DUMMYFUNCTION("""COMPUTED_VALUE"""),"0 - 1")</f>
        <v>0 - 1</v>
      </c>
      <c r="K20" s="89"/>
      <c r="L20" s="11">
        <f>IFERROR(__xludf.DUMMYFUNCTION("""COMPUTED_VALUE"""),37.0)</f>
        <v>37</v>
      </c>
      <c r="M20" s="21">
        <f>IFERROR(__xludf.DUMMYFUNCTION("""COMPUTED_VALUE"""),59.0)</f>
        <v>59</v>
      </c>
      <c r="N20" s="132">
        <f>IFERROR(__xludf.DUMMYFUNCTION("""COMPUTED_VALUE"""),-22.0)</f>
        <v>-22</v>
      </c>
      <c r="O20" s="131">
        <f>IFERROR(__xludf.DUMMYFUNCTION("""COMPUTED_VALUE"""),12.333333333333334)</f>
        <v>12.33333333</v>
      </c>
      <c r="P20" s="89"/>
      <c r="Q20" s="11" t="str">
        <f>IFERROR(__xludf.DUMMYFUNCTION("""COMPUTED_VALUE"""),"0 - 0")</f>
        <v>0 - 0</v>
      </c>
      <c r="R20" s="21" t="str">
        <f>IFERROR(__xludf.DUMMYFUNCTION("""COMPUTED_VALUE"""),"0 - 1")</f>
        <v>0 - 1</v>
      </c>
      <c r="S20" s="11" t="str">
        <f>IFERROR(__xludf.DUMMYFUNCTION("""COMPUTED_VALUE"""),"0 - 0")</f>
        <v>0 - 0</v>
      </c>
      <c r="T20" s="21" t="str">
        <f>IFERROR(__xludf.DUMMYFUNCTION("""COMPUTED_VALUE"""),"0 - 0")</f>
        <v>0 - 0</v>
      </c>
      <c r="U20" s="11" t="str">
        <f>IFERROR(__xludf.DUMMYFUNCTION("""COMPUTED_VALUE"""),"0 - 0")</f>
        <v>0 - 0</v>
      </c>
      <c r="V20" s="21" t="str">
        <f>IFERROR(__xludf.DUMMYFUNCTION("""COMPUTED_VALUE"""),"0 - 2")</f>
        <v>0 - 2</v>
      </c>
      <c r="W20" s="11" t="str">
        <f>IFERROR(__xludf.DUMMYFUNCTION("""COMPUTED_VALUE"""),"0 - 0")</f>
        <v>0 - 0</v>
      </c>
      <c r="X20" s="21" t="str">
        <f>IFERROR(__xludf.DUMMYFUNCTION("""COMPUTED_VALUE"""),"0 - 0")</f>
        <v>0 - 0</v>
      </c>
    </row>
    <row r="21">
      <c r="A21" s="89"/>
      <c r="B21" s="70" t="str">
        <f>IFERROR(__xludf.DUMMYFUNCTION("""COMPUTED_VALUE"""),"NFC West")</f>
        <v>NFC West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133"/>
      <c r="O21" s="89"/>
      <c r="P21" s="89"/>
      <c r="Q21" s="89"/>
      <c r="R21" s="89"/>
      <c r="S21" s="89"/>
      <c r="T21" s="89"/>
      <c r="U21" s="89"/>
      <c r="V21" s="89"/>
      <c r="W21" s="89"/>
      <c r="X21" s="89"/>
    </row>
    <row r="22">
      <c r="A22" s="90" t="str">
        <f>IFERROR(__xludf.DUMMYFUNCTION("""COMPUTED_VALUE"""),"")</f>
        <v/>
      </c>
      <c r="B22" s="93" t="str">
        <f>IFERROR(__xludf.DUMMYFUNCTION("""COMPUTED_VALUE"""),"SF")</f>
        <v>SF</v>
      </c>
      <c r="C22" s="11">
        <f>IFERROR(__xludf.DUMMYFUNCTION("""COMPUTED_VALUE"""),3.0)</f>
        <v>3</v>
      </c>
      <c r="D22" s="21">
        <f>IFERROR(__xludf.DUMMYFUNCTION("""COMPUTED_VALUE"""),0.0)</f>
        <v>0</v>
      </c>
      <c r="E22" s="128">
        <f>IFERROR(__xludf.DUMMYFUNCTION("""COMPUTED_VALUE"""),1.0)</f>
        <v>1</v>
      </c>
      <c r="F22" s="89"/>
      <c r="G22" s="11" t="str">
        <f>IFERROR(__xludf.DUMMYFUNCTION("""COMPUTED_VALUE"""),"2 - 0")</f>
        <v>2 - 0</v>
      </c>
      <c r="H22" s="21" t="str">
        <f>IFERROR(__xludf.DUMMYFUNCTION("""COMPUTED_VALUE"""),"1 - 0")</f>
        <v>1 - 0</v>
      </c>
      <c r="I22" s="11" t="str">
        <f>IFERROR(__xludf.DUMMYFUNCTION("""COMPUTED_VALUE"""),"2 - 0")</f>
        <v>2 - 0</v>
      </c>
      <c r="J22" s="21" t="str">
        <f>IFERROR(__xludf.DUMMYFUNCTION("""COMPUTED_VALUE"""),"2 - 0")</f>
        <v>2 - 0</v>
      </c>
      <c r="K22" s="89"/>
      <c r="L22" s="11">
        <f>IFERROR(__xludf.DUMMYFUNCTION("""COMPUTED_VALUE"""),98.0)</f>
        <v>98</v>
      </c>
      <c r="M22" s="21">
        <f>IFERROR(__xludf.DUMMYFUNCTION("""COMPUTED_VALUE"""),50.0)</f>
        <v>50</v>
      </c>
      <c r="N22" s="132">
        <f>IFERROR(__xludf.DUMMYFUNCTION("""COMPUTED_VALUE"""),48.0)</f>
        <v>48</v>
      </c>
      <c r="O22" s="131">
        <f>IFERROR(__xludf.DUMMYFUNCTION("""COMPUTED_VALUE"""),32.666666666666664)</f>
        <v>32.66666667</v>
      </c>
      <c r="P22" s="89"/>
      <c r="Q22" s="11" t="str">
        <f>IFERROR(__xludf.DUMMYFUNCTION("""COMPUTED_VALUE"""),"0 - 0")</f>
        <v>0 - 0</v>
      </c>
      <c r="R22" s="21" t="str">
        <f>IFERROR(__xludf.DUMMYFUNCTION("""COMPUTED_VALUE"""),"1 - 0")</f>
        <v>1 - 0</v>
      </c>
      <c r="S22" s="11" t="str">
        <f>IFERROR(__xludf.DUMMYFUNCTION("""COMPUTED_VALUE"""),"0 - 0")</f>
        <v>0 - 0</v>
      </c>
      <c r="T22" s="21" t="str">
        <f>IFERROR(__xludf.DUMMYFUNCTION("""COMPUTED_VALUE"""),"0 - 0")</f>
        <v>0 - 0</v>
      </c>
      <c r="U22" s="11" t="str">
        <f>IFERROR(__xludf.DUMMYFUNCTION("""COMPUTED_VALUE"""),"2 - 0")</f>
        <v>2 - 0</v>
      </c>
      <c r="V22" s="21" t="str">
        <f>IFERROR(__xludf.DUMMYFUNCTION("""COMPUTED_VALUE"""),"0 - 0")</f>
        <v>0 - 0</v>
      </c>
      <c r="W22" s="11" t="str">
        <f>IFERROR(__xludf.DUMMYFUNCTION("""COMPUTED_VALUE"""),"0 - 0")</f>
        <v>0 - 0</v>
      </c>
      <c r="X22" s="21" t="str">
        <f>IFERROR(__xludf.DUMMYFUNCTION("""COMPUTED_VALUE"""),"0 - 0")</f>
        <v>0 - 0</v>
      </c>
    </row>
    <row r="23">
      <c r="A23" s="90" t="str">
        <f>IFERROR(__xludf.DUMMYFUNCTION("""COMPUTED_VALUE"""),"")</f>
        <v/>
      </c>
      <c r="B23" s="94" t="str">
        <f>IFERROR(__xludf.DUMMYFUNCTION("""COMPUTED_VALUE"""),"LAR")</f>
        <v>LAR</v>
      </c>
      <c r="C23" s="11">
        <f>IFERROR(__xludf.DUMMYFUNCTION("""COMPUTED_VALUE"""),1.0)</f>
        <v>1</v>
      </c>
      <c r="D23" s="21">
        <f>IFERROR(__xludf.DUMMYFUNCTION("""COMPUTED_VALUE"""),1.0)</f>
        <v>1</v>
      </c>
      <c r="E23" s="128">
        <f>IFERROR(__xludf.DUMMYFUNCTION("""COMPUTED_VALUE"""),0.5)</f>
        <v>0.5</v>
      </c>
      <c r="F23" s="89"/>
      <c r="G23" s="11" t="str">
        <f>IFERROR(__xludf.DUMMYFUNCTION("""COMPUTED_VALUE"""),"1 - 1")</f>
        <v>1 - 1</v>
      </c>
      <c r="H23" s="21" t="str">
        <f>IFERROR(__xludf.DUMMYFUNCTION("""COMPUTED_VALUE"""),"0 - 0")</f>
        <v>0 - 0</v>
      </c>
      <c r="I23" s="11" t="str">
        <f>IFERROR(__xludf.DUMMYFUNCTION("""COMPUTED_VALUE"""),"0 - 1")</f>
        <v>0 - 1</v>
      </c>
      <c r="J23" s="21" t="str">
        <f>IFERROR(__xludf.DUMMYFUNCTION("""COMPUTED_VALUE"""),"1 - 1")</f>
        <v>1 - 1</v>
      </c>
      <c r="K23" s="89"/>
      <c r="L23" s="11">
        <f>IFERROR(__xludf.DUMMYFUNCTION("""COMPUTED_VALUE"""),35.0)</f>
        <v>35</v>
      </c>
      <c r="M23" s="21">
        <f>IFERROR(__xludf.DUMMYFUNCTION("""COMPUTED_VALUE"""),33.0)</f>
        <v>33</v>
      </c>
      <c r="N23" s="132">
        <f>IFERROR(__xludf.DUMMYFUNCTION("""COMPUTED_VALUE"""),2.0)</f>
        <v>2</v>
      </c>
      <c r="O23" s="131">
        <f>IFERROR(__xludf.DUMMYFUNCTION("""COMPUTED_VALUE"""),17.5)</f>
        <v>17.5</v>
      </c>
      <c r="P23" s="89"/>
      <c r="Q23" s="11" t="str">
        <f>IFERROR(__xludf.DUMMYFUNCTION("""COMPUTED_VALUE"""),"0 - 0")</f>
        <v>0 - 0</v>
      </c>
      <c r="R23" s="21" t="str">
        <f>IFERROR(__xludf.DUMMYFUNCTION("""COMPUTED_VALUE"""),"0 - 0")</f>
        <v>0 - 0</v>
      </c>
      <c r="S23" s="11" t="str">
        <f>IFERROR(__xludf.DUMMYFUNCTION("""COMPUTED_VALUE"""),"0 - 0")</f>
        <v>0 - 0</v>
      </c>
      <c r="T23" s="21" t="str">
        <f>IFERROR(__xludf.DUMMYFUNCTION("""COMPUTED_VALUE"""),"0 - 0")</f>
        <v>0 - 0</v>
      </c>
      <c r="U23" s="11" t="str">
        <f>IFERROR(__xludf.DUMMYFUNCTION("""COMPUTED_VALUE"""),"0 - 1")</f>
        <v>0 - 1</v>
      </c>
      <c r="V23" s="21" t="str">
        <f>IFERROR(__xludf.DUMMYFUNCTION("""COMPUTED_VALUE"""),"1 - 0")</f>
        <v>1 - 0</v>
      </c>
      <c r="W23" s="11" t="str">
        <f>IFERROR(__xludf.DUMMYFUNCTION("""COMPUTED_VALUE"""),"0 - 0")</f>
        <v>0 - 0</v>
      </c>
      <c r="X23" s="21" t="str">
        <f>IFERROR(__xludf.DUMMYFUNCTION("""COMPUTED_VALUE"""),"0 - 0")</f>
        <v>0 - 0</v>
      </c>
    </row>
    <row r="24">
      <c r="A24" s="90" t="str">
        <f>IFERROR(__xludf.DUMMYFUNCTION("""COMPUTED_VALUE"""),"")</f>
        <v/>
      </c>
      <c r="B24" s="96" t="str">
        <f>IFERROR(__xludf.DUMMYFUNCTION("""COMPUTED_VALUE"""),"SEA")</f>
        <v>SEA</v>
      </c>
      <c r="C24" s="11">
        <f>IFERROR(__xludf.DUMMYFUNCTION("""COMPUTED_VALUE"""),2.0)</f>
        <v>2</v>
      </c>
      <c r="D24" s="21">
        <f>IFERROR(__xludf.DUMMYFUNCTION("""COMPUTED_VALUE"""),1.0)</f>
        <v>1</v>
      </c>
      <c r="E24" s="128">
        <f>IFERROR(__xludf.DUMMYFUNCTION("""COMPUTED_VALUE"""),0.6666666666666666)</f>
        <v>0.6666666667</v>
      </c>
      <c r="F24" s="89"/>
      <c r="G24" s="11" t="str">
        <f>IFERROR(__xludf.DUMMYFUNCTION("""COMPUTED_VALUE"""),"1 - 0")</f>
        <v>1 - 0</v>
      </c>
      <c r="H24" s="21" t="str">
        <f>IFERROR(__xludf.DUMMYFUNCTION("""COMPUTED_VALUE"""),"1 - 1")</f>
        <v>1 - 1</v>
      </c>
      <c r="I24" s="11" t="str">
        <f>IFERROR(__xludf.DUMMYFUNCTION("""COMPUTED_VALUE"""),"1 - 0")</f>
        <v>1 - 0</v>
      </c>
      <c r="J24" s="21" t="str">
        <f>IFERROR(__xludf.DUMMYFUNCTION("""COMPUTED_VALUE"""),"1 - 1")</f>
        <v>1 - 1</v>
      </c>
      <c r="K24" s="89"/>
      <c r="L24" s="11">
        <f>IFERROR(__xludf.DUMMYFUNCTION("""COMPUTED_VALUE"""),75.0)</f>
        <v>75</v>
      </c>
      <c r="M24" s="21">
        <f>IFERROR(__xludf.DUMMYFUNCTION("""COMPUTED_VALUE"""),50.0)</f>
        <v>50</v>
      </c>
      <c r="N24" s="132">
        <f>IFERROR(__xludf.DUMMYFUNCTION("""COMPUTED_VALUE"""),25.0)</f>
        <v>25</v>
      </c>
      <c r="O24" s="131">
        <f>IFERROR(__xludf.DUMMYFUNCTION("""COMPUTED_VALUE"""),25.0)</f>
        <v>25</v>
      </c>
      <c r="P24" s="89"/>
      <c r="Q24" s="11" t="str">
        <f>IFERROR(__xludf.DUMMYFUNCTION("""COMPUTED_VALUE"""),"0 - 0")</f>
        <v>0 - 0</v>
      </c>
      <c r="R24" s="21" t="str">
        <f>IFERROR(__xludf.DUMMYFUNCTION("""COMPUTED_VALUE"""),"1 - 0")</f>
        <v>1 - 0</v>
      </c>
      <c r="S24" s="11" t="str">
        <f>IFERROR(__xludf.DUMMYFUNCTION("""COMPUTED_VALUE"""),"0 - 0")</f>
        <v>0 - 0</v>
      </c>
      <c r="T24" s="21" t="str">
        <f>IFERROR(__xludf.DUMMYFUNCTION("""COMPUTED_VALUE"""),"0 - 0")</f>
        <v>0 - 0</v>
      </c>
      <c r="U24" s="11" t="str">
        <f>IFERROR(__xludf.DUMMYFUNCTION("""COMPUTED_VALUE"""),"1 - 0")</f>
        <v>1 - 0</v>
      </c>
      <c r="V24" s="21" t="str">
        <f>IFERROR(__xludf.DUMMYFUNCTION("""COMPUTED_VALUE"""),"0 - 1")</f>
        <v>0 - 1</v>
      </c>
      <c r="W24" s="11" t="str">
        <f>IFERROR(__xludf.DUMMYFUNCTION("""COMPUTED_VALUE"""),"0 - 0")</f>
        <v>0 - 0</v>
      </c>
      <c r="X24" s="21" t="str">
        <f>IFERROR(__xludf.DUMMYFUNCTION("""COMPUTED_VALUE"""),"0 - 0")</f>
        <v>0 - 0</v>
      </c>
    </row>
    <row r="25">
      <c r="A25" s="90" t="str">
        <f>IFERROR(__xludf.DUMMYFUNCTION("""COMPUTED_VALUE"""),"")</f>
        <v/>
      </c>
      <c r="B25" s="98" t="str">
        <f>IFERROR(__xludf.DUMMYFUNCTION("""COMPUTED_VALUE"""),"AZ")</f>
        <v>AZ</v>
      </c>
      <c r="C25" s="11">
        <f>IFERROR(__xludf.DUMMYFUNCTION("""COMPUTED_VALUE"""),1.0)</f>
        <v>1</v>
      </c>
      <c r="D25" s="21">
        <f>IFERROR(__xludf.DUMMYFUNCTION("""COMPUTED_VALUE"""),2.0)</f>
        <v>2</v>
      </c>
      <c r="E25" s="128">
        <f>IFERROR(__xludf.DUMMYFUNCTION("""COMPUTED_VALUE"""),0.3333333333333333)</f>
        <v>0.3333333333</v>
      </c>
      <c r="F25" s="89"/>
      <c r="G25" s="11" t="str">
        <f>IFERROR(__xludf.DUMMYFUNCTION("""COMPUTED_VALUE"""),"0 - 1")</f>
        <v>0 - 1</v>
      </c>
      <c r="H25" s="21" t="str">
        <f>IFERROR(__xludf.DUMMYFUNCTION("""COMPUTED_VALUE"""),"1 - 1")</f>
        <v>1 - 1</v>
      </c>
      <c r="I25" s="11" t="str">
        <f>IFERROR(__xludf.DUMMYFUNCTION("""COMPUTED_VALUE"""),"0 - 2")</f>
        <v>0 - 2</v>
      </c>
      <c r="J25" s="21" t="str">
        <f>IFERROR(__xludf.DUMMYFUNCTION("""COMPUTED_VALUE"""),"0 - 2")</f>
        <v>0 - 2</v>
      </c>
      <c r="K25" s="89"/>
      <c r="L25" s="11">
        <f>IFERROR(__xludf.DUMMYFUNCTION("""COMPUTED_VALUE"""),63.0)</f>
        <v>63</v>
      </c>
      <c r="M25" s="21">
        <f>IFERROR(__xludf.DUMMYFUNCTION("""COMPUTED_VALUE"""),81.0)</f>
        <v>81</v>
      </c>
      <c r="N25" s="132">
        <f>IFERROR(__xludf.DUMMYFUNCTION("""COMPUTED_VALUE"""),-18.0)</f>
        <v>-18</v>
      </c>
      <c r="O25" s="131">
        <f>IFERROR(__xludf.DUMMYFUNCTION("""COMPUTED_VALUE"""),21.0)</f>
        <v>21</v>
      </c>
      <c r="P25" s="89"/>
      <c r="Q25" s="11" t="str">
        <f>IFERROR(__xludf.DUMMYFUNCTION("""COMPUTED_VALUE"""),"1 - 0")</f>
        <v>1 - 0</v>
      </c>
      <c r="R25" s="21" t="str">
        <f>IFERROR(__xludf.DUMMYFUNCTION("""COMPUTED_VALUE"""),"0 - 0")</f>
        <v>0 - 0</v>
      </c>
      <c r="S25" s="11" t="str">
        <f>IFERROR(__xludf.DUMMYFUNCTION("""COMPUTED_VALUE"""),"0 - 0")</f>
        <v>0 - 0</v>
      </c>
      <c r="T25" s="21" t="str">
        <f>IFERROR(__xludf.DUMMYFUNCTION("""COMPUTED_VALUE"""),"0 - 0")</f>
        <v>0 - 0</v>
      </c>
      <c r="U25" s="11" t="str">
        <f>IFERROR(__xludf.DUMMYFUNCTION("""COMPUTED_VALUE"""),"0 - 2")</f>
        <v>0 - 2</v>
      </c>
      <c r="V25" s="21" t="str">
        <f>IFERROR(__xludf.DUMMYFUNCTION("""COMPUTED_VALUE"""),"0 - 0")</f>
        <v>0 - 0</v>
      </c>
      <c r="W25" s="11" t="str">
        <f>IFERROR(__xludf.DUMMYFUNCTION("""COMPUTED_VALUE"""),"0 - 0")</f>
        <v>0 - 0</v>
      </c>
      <c r="X25" s="21" t="str">
        <f>IFERROR(__xludf.DUMMYFUNCTION("""COMPUTED_VALUE"""),"0 - 0")</f>
        <v>0 - 0</v>
      </c>
    </row>
    <row r="26">
      <c r="A26" s="89"/>
      <c r="B26" s="70" t="str">
        <f>IFERROR(__xludf.DUMMYFUNCTION("""COMPUTED_VALUE"""),"NFC East")</f>
        <v>NFC East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133"/>
      <c r="O26" s="89"/>
      <c r="P26" s="89"/>
      <c r="Q26" s="89"/>
      <c r="R26" s="89"/>
      <c r="S26" s="89"/>
      <c r="T26" s="89"/>
      <c r="U26" s="89"/>
      <c r="V26" s="89"/>
      <c r="W26" s="89"/>
      <c r="X26" s="89"/>
    </row>
    <row r="27">
      <c r="A27" s="90" t="str">
        <f>IFERROR(__xludf.DUMMYFUNCTION("""COMPUTED_VALUE"""),"")</f>
        <v/>
      </c>
      <c r="B27" s="100" t="str">
        <f>IFERROR(__xludf.DUMMYFUNCTION("""COMPUTED_VALUE"""),"DAL")</f>
        <v>DAL</v>
      </c>
      <c r="C27" s="11">
        <f>IFERROR(__xludf.DUMMYFUNCTION("""COMPUTED_VALUE"""),1.0)</f>
        <v>1</v>
      </c>
      <c r="D27" s="21">
        <f>IFERROR(__xludf.DUMMYFUNCTION("""COMPUTED_VALUE"""),2.0)</f>
        <v>2</v>
      </c>
      <c r="E27" s="128">
        <f>IFERROR(__xludf.DUMMYFUNCTION("""COMPUTED_VALUE"""),0.3333333333333333)</f>
        <v>0.3333333333</v>
      </c>
      <c r="F27" s="89"/>
      <c r="G27" s="11" t="str">
        <f>IFERROR(__xludf.DUMMYFUNCTION("""COMPUTED_VALUE"""),"1 - 1")</f>
        <v>1 - 1</v>
      </c>
      <c r="H27" s="21" t="str">
        <f>IFERROR(__xludf.DUMMYFUNCTION("""COMPUTED_VALUE"""),"0 - 1")</f>
        <v>0 - 1</v>
      </c>
      <c r="I27" s="11" t="str">
        <f>IFERROR(__xludf.DUMMYFUNCTION("""COMPUTED_VALUE"""),"1 - 1")</f>
        <v>1 - 1</v>
      </c>
      <c r="J27" s="21" t="str">
        <f>IFERROR(__xludf.DUMMYFUNCTION("""COMPUTED_VALUE"""),"1 - 1")</f>
        <v>1 - 1</v>
      </c>
      <c r="K27" s="89"/>
      <c r="L27" s="11">
        <f>IFERROR(__xludf.DUMMYFUNCTION("""COMPUTED_VALUE"""),88.0)</f>
        <v>88</v>
      </c>
      <c r="M27" s="21">
        <f>IFERROR(__xludf.DUMMYFUNCTION("""COMPUTED_VALUE"""),82.0)</f>
        <v>82</v>
      </c>
      <c r="N27" s="132">
        <f>IFERROR(__xludf.DUMMYFUNCTION("""COMPUTED_VALUE"""),6.0)</f>
        <v>6</v>
      </c>
      <c r="O27" s="131">
        <f>IFERROR(__xludf.DUMMYFUNCTION("""COMPUTED_VALUE"""),29.333333333333332)</f>
        <v>29.33333333</v>
      </c>
      <c r="P27" s="89"/>
      <c r="Q27" s="11" t="str">
        <f>IFERROR(__xludf.DUMMYFUNCTION("""COMPUTED_VALUE"""),"0 - 0")</f>
        <v>0 - 0</v>
      </c>
      <c r="R27" s="21" t="str">
        <f>IFERROR(__xludf.DUMMYFUNCTION("""COMPUTED_VALUE"""),"0 - 0")</f>
        <v>0 - 0</v>
      </c>
      <c r="S27" s="11" t="str">
        <f>IFERROR(__xludf.DUMMYFUNCTION("""COMPUTED_VALUE"""),"0 - 1")</f>
        <v>0 - 1</v>
      </c>
      <c r="T27" s="21" t="str">
        <f>IFERROR(__xludf.DUMMYFUNCTION("""COMPUTED_VALUE"""),"0 - 0")</f>
        <v>0 - 0</v>
      </c>
      <c r="U27" s="11" t="str">
        <f>IFERROR(__xludf.DUMMYFUNCTION("""COMPUTED_VALUE"""),"0 - 0")</f>
        <v>0 - 0</v>
      </c>
      <c r="V27" s="21" t="str">
        <f>IFERROR(__xludf.DUMMYFUNCTION("""COMPUTED_VALUE"""),"1 - 1")</f>
        <v>1 - 1</v>
      </c>
      <c r="W27" s="11" t="str">
        <f>IFERROR(__xludf.DUMMYFUNCTION("""COMPUTED_VALUE"""),"0 - 0")</f>
        <v>0 - 0</v>
      </c>
      <c r="X27" s="21" t="str">
        <f>IFERROR(__xludf.DUMMYFUNCTION("""COMPUTED_VALUE"""),"0 - 0")</f>
        <v>0 - 0</v>
      </c>
    </row>
    <row r="28">
      <c r="A28" s="90" t="str">
        <f>IFERROR(__xludf.DUMMYFUNCTION("""COMPUTED_VALUE"""),"")</f>
        <v/>
      </c>
      <c r="B28" s="102" t="str">
        <f>IFERROR(__xludf.DUMMYFUNCTION("""COMPUTED_VALUE"""),"PHI")</f>
        <v>PHI</v>
      </c>
      <c r="C28" s="11">
        <f>IFERROR(__xludf.DUMMYFUNCTION("""COMPUTED_VALUE"""),2.0)</f>
        <v>2</v>
      </c>
      <c r="D28" s="21">
        <f>IFERROR(__xludf.DUMMYFUNCTION("""COMPUTED_VALUE"""),0.0)</f>
        <v>0</v>
      </c>
      <c r="E28" s="128">
        <f>IFERROR(__xludf.DUMMYFUNCTION("""COMPUTED_VALUE"""),1.0)</f>
        <v>1</v>
      </c>
      <c r="F28" s="89"/>
      <c r="G28" s="11" t="str">
        <f>IFERROR(__xludf.DUMMYFUNCTION("""COMPUTED_VALUE"""),"1 - 0")</f>
        <v>1 - 0</v>
      </c>
      <c r="H28" s="21" t="str">
        <f>IFERROR(__xludf.DUMMYFUNCTION("""COMPUTED_VALUE"""),"1 - 0")</f>
        <v>1 - 0</v>
      </c>
      <c r="I28" s="11" t="str">
        <f>IFERROR(__xludf.DUMMYFUNCTION("""COMPUTED_VALUE"""),"1 - 0")</f>
        <v>1 - 0</v>
      </c>
      <c r="J28" s="21" t="str">
        <f>IFERROR(__xludf.DUMMYFUNCTION("""COMPUTED_VALUE"""),"1 - 0")</f>
        <v>1 - 0</v>
      </c>
      <c r="K28" s="89"/>
      <c r="L28" s="11">
        <f>IFERROR(__xludf.DUMMYFUNCTION("""COMPUTED_VALUE"""),48.0)</f>
        <v>48</v>
      </c>
      <c r="M28" s="21">
        <f>IFERROR(__xludf.DUMMYFUNCTION("""COMPUTED_VALUE"""),42.0)</f>
        <v>42</v>
      </c>
      <c r="N28" s="132">
        <f>IFERROR(__xludf.DUMMYFUNCTION("""COMPUTED_VALUE"""),6.0)</f>
        <v>6</v>
      </c>
      <c r="O28" s="131">
        <f>IFERROR(__xludf.DUMMYFUNCTION("""COMPUTED_VALUE"""),24.0)</f>
        <v>24</v>
      </c>
      <c r="P28" s="89"/>
      <c r="Q28" s="11" t="str">
        <f>IFERROR(__xludf.DUMMYFUNCTION("""COMPUTED_VALUE"""),"0 - 0")</f>
        <v>0 - 0</v>
      </c>
      <c r="R28" s="21" t="str">
        <f>IFERROR(__xludf.DUMMYFUNCTION("""COMPUTED_VALUE"""),"0 - 0")</f>
        <v>0 - 0</v>
      </c>
      <c r="S28" s="11" t="str">
        <f>IFERROR(__xludf.DUMMYFUNCTION("""COMPUTED_VALUE"""),"0 - 0")</f>
        <v>0 - 0</v>
      </c>
      <c r="T28" s="21" t="str">
        <f>IFERROR(__xludf.DUMMYFUNCTION("""COMPUTED_VALUE"""),"1 - 0")</f>
        <v>1 - 0</v>
      </c>
      <c r="U28" s="11" t="str">
        <f>IFERROR(__xludf.DUMMYFUNCTION("""COMPUTED_VALUE"""),"0 - 0")</f>
        <v>0 - 0</v>
      </c>
      <c r="V28" s="21" t="str">
        <f>IFERROR(__xludf.DUMMYFUNCTION("""COMPUTED_VALUE"""),"1 - 0")</f>
        <v>1 - 0</v>
      </c>
      <c r="W28" s="11" t="str">
        <f>IFERROR(__xludf.DUMMYFUNCTION("""COMPUTED_VALUE"""),"0 - 0")</f>
        <v>0 - 0</v>
      </c>
      <c r="X28" s="21" t="str">
        <f>IFERROR(__xludf.DUMMYFUNCTION("""COMPUTED_VALUE"""),"0 - 0")</f>
        <v>0 - 0</v>
      </c>
    </row>
    <row r="29">
      <c r="A29" s="90" t="str">
        <f>IFERROR(__xludf.DUMMYFUNCTION("""COMPUTED_VALUE"""),"")</f>
        <v/>
      </c>
      <c r="B29" s="104" t="str">
        <f>IFERROR(__xludf.DUMMYFUNCTION("""COMPUTED_VALUE"""),"NYG")</f>
        <v>NYG</v>
      </c>
      <c r="C29" s="11">
        <f>IFERROR(__xludf.DUMMYFUNCTION("""COMPUTED_VALUE"""),2.0)</f>
        <v>2</v>
      </c>
      <c r="D29" s="21">
        <f>IFERROR(__xludf.DUMMYFUNCTION("""COMPUTED_VALUE"""),1.0)</f>
        <v>1</v>
      </c>
      <c r="E29" s="128">
        <f>IFERROR(__xludf.DUMMYFUNCTION("""COMPUTED_VALUE"""),0.6666666666666666)</f>
        <v>0.6666666667</v>
      </c>
      <c r="F29" s="89"/>
      <c r="G29" s="11" t="str">
        <f>IFERROR(__xludf.DUMMYFUNCTION("""COMPUTED_VALUE"""),"2 - 0")</f>
        <v>2 - 0</v>
      </c>
      <c r="H29" s="21" t="str">
        <f>IFERROR(__xludf.DUMMYFUNCTION("""COMPUTED_VALUE"""),"0 - 1")</f>
        <v>0 - 1</v>
      </c>
      <c r="I29" s="11" t="str">
        <f>IFERROR(__xludf.DUMMYFUNCTION("""COMPUTED_VALUE"""),"1 - 0")</f>
        <v>1 - 0</v>
      </c>
      <c r="J29" s="21" t="str">
        <f>IFERROR(__xludf.DUMMYFUNCTION("""COMPUTED_VALUE"""),"1 - 1")</f>
        <v>1 - 1</v>
      </c>
      <c r="K29" s="89"/>
      <c r="L29" s="11">
        <f>IFERROR(__xludf.DUMMYFUNCTION("""COMPUTED_VALUE"""),46.0)</f>
        <v>46</v>
      </c>
      <c r="M29" s="21">
        <f>IFERROR(__xludf.DUMMYFUNCTION("""COMPUTED_VALUE"""),55.0)</f>
        <v>55</v>
      </c>
      <c r="N29" s="132">
        <f>IFERROR(__xludf.DUMMYFUNCTION("""COMPUTED_VALUE"""),-9.0)</f>
        <v>-9</v>
      </c>
      <c r="O29" s="131">
        <f>IFERROR(__xludf.DUMMYFUNCTION("""COMPUTED_VALUE"""),15.333333333333334)</f>
        <v>15.33333333</v>
      </c>
      <c r="P29" s="89"/>
      <c r="Q29" s="11" t="str">
        <f>IFERROR(__xludf.DUMMYFUNCTION("""COMPUTED_VALUE"""),"0 - 0")</f>
        <v>0 - 0</v>
      </c>
      <c r="R29" s="21" t="str">
        <f>IFERROR(__xludf.DUMMYFUNCTION("""COMPUTED_VALUE"""),"0 - 0")</f>
        <v>0 - 0</v>
      </c>
      <c r="S29" s="11" t="str">
        <f>IFERROR(__xludf.DUMMYFUNCTION("""COMPUTED_VALUE"""),"0 - 0")</f>
        <v>0 - 0</v>
      </c>
      <c r="T29" s="21" t="str">
        <f>IFERROR(__xludf.DUMMYFUNCTION("""COMPUTED_VALUE"""),"1 - 0")</f>
        <v>1 - 0</v>
      </c>
      <c r="U29" s="11" t="str">
        <f>IFERROR(__xludf.DUMMYFUNCTION("""COMPUTED_VALUE"""),"0 - 1")</f>
        <v>0 - 1</v>
      </c>
      <c r="V29" s="21" t="str">
        <f>IFERROR(__xludf.DUMMYFUNCTION("""COMPUTED_VALUE"""),"1 - 0")</f>
        <v>1 - 0</v>
      </c>
      <c r="W29" s="11" t="str">
        <f>IFERROR(__xludf.DUMMYFUNCTION("""COMPUTED_VALUE"""),"0 - 0")</f>
        <v>0 - 0</v>
      </c>
      <c r="X29" s="21" t="str">
        <f>IFERROR(__xludf.DUMMYFUNCTION("""COMPUTED_VALUE"""),"0 - 0")</f>
        <v>0 - 0</v>
      </c>
    </row>
    <row r="30">
      <c r="A30" s="90" t="str">
        <f>IFERROR(__xludf.DUMMYFUNCTION("""COMPUTED_VALUE"""),"")</f>
        <v/>
      </c>
      <c r="B30" s="106" t="str">
        <f>IFERROR(__xludf.DUMMYFUNCTION("""COMPUTED_VALUE"""),"WSH")</f>
        <v>WSH</v>
      </c>
      <c r="C30" s="11">
        <f>IFERROR(__xludf.DUMMYFUNCTION("""COMPUTED_VALUE"""),1.0)</f>
        <v>1</v>
      </c>
      <c r="D30" s="21">
        <f>IFERROR(__xludf.DUMMYFUNCTION("""COMPUTED_VALUE"""),2.0)</f>
        <v>2</v>
      </c>
      <c r="E30" s="128">
        <f>IFERROR(__xludf.DUMMYFUNCTION("""COMPUTED_VALUE"""),0.3333333333333333)</f>
        <v>0.3333333333</v>
      </c>
      <c r="F30" s="89"/>
      <c r="G30" s="11" t="str">
        <f>IFERROR(__xludf.DUMMYFUNCTION("""COMPUTED_VALUE"""),"1 - 0")</f>
        <v>1 - 0</v>
      </c>
      <c r="H30" s="21" t="str">
        <f>IFERROR(__xludf.DUMMYFUNCTION("""COMPUTED_VALUE"""),"0 - 2")</f>
        <v>0 - 2</v>
      </c>
      <c r="I30" s="11" t="str">
        <f>IFERROR(__xludf.DUMMYFUNCTION("""COMPUTED_VALUE"""),"0 - 2")</f>
        <v>0 - 2</v>
      </c>
      <c r="J30" s="21" t="str">
        <f>IFERROR(__xludf.DUMMYFUNCTION("""COMPUTED_VALUE"""),"1 - 2")</f>
        <v>1 - 2</v>
      </c>
      <c r="K30" s="89"/>
      <c r="L30" s="11">
        <f>IFERROR(__xludf.DUMMYFUNCTION("""COMPUTED_VALUE"""),0.0)</f>
        <v>0</v>
      </c>
      <c r="M30" s="21">
        <f>IFERROR(__xludf.DUMMYFUNCTION("""COMPUTED_VALUE"""),0.0)</f>
        <v>0</v>
      </c>
      <c r="N30" s="132">
        <f>IFERROR(__xludf.DUMMYFUNCTION("""COMPUTED_VALUE"""),0.0)</f>
        <v>0</v>
      </c>
      <c r="O30" s="131">
        <f>IFERROR(__xludf.DUMMYFUNCTION("""COMPUTED_VALUE"""),0.0)</f>
        <v>0</v>
      </c>
      <c r="P30" s="89"/>
      <c r="Q30" s="11" t="str">
        <f>IFERROR(__xludf.DUMMYFUNCTION("""COMPUTED_VALUE"""),"0 - 0")</f>
        <v>0 - 0</v>
      </c>
      <c r="R30" s="21" t="str">
        <f>IFERROR(__xludf.DUMMYFUNCTION("""COMPUTED_VALUE"""),"0 - 0")</f>
        <v>0 - 0</v>
      </c>
      <c r="S30" s="11" t="str">
        <f>IFERROR(__xludf.DUMMYFUNCTION("""COMPUTED_VALUE"""),"0 - 0")</f>
        <v>0 - 0</v>
      </c>
      <c r="T30" s="21" t="str">
        <f>IFERROR(__xludf.DUMMYFUNCTION("""COMPUTED_VALUE"""),"0 - 0")</f>
        <v>0 - 0</v>
      </c>
      <c r="U30" s="11" t="str">
        <f>IFERROR(__xludf.DUMMYFUNCTION("""COMPUTED_VALUE"""),"1 - 0")</f>
        <v>1 - 0</v>
      </c>
      <c r="V30" s="21" t="str">
        <f>IFERROR(__xludf.DUMMYFUNCTION("""COMPUTED_VALUE"""),"0 - 2")</f>
        <v>0 - 2</v>
      </c>
      <c r="W30" s="11" t="str">
        <f>IFERROR(__xludf.DUMMYFUNCTION("""COMPUTED_VALUE"""),"0 - 0")</f>
        <v>0 - 0</v>
      </c>
      <c r="X30" s="21" t="str">
        <f>IFERROR(__xludf.DUMMYFUNCTION("""COMPUTED_VALUE"""),"0 - 0")</f>
        <v>0 - 0</v>
      </c>
    </row>
    <row r="31">
      <c r="A31" s="89"/>
      <c r="B31" s="70" t="str">
        <f>IFERROR(__xludf.DUMMYFUNCTION("""COMPUTED_VALUE"""),"NFC North")</f>
        <v>NFC North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133"/>
      <c r="O31" s="89"/>
      <c r="P31" s="89"/>
      <c r="Q31" s="89"/>
      <c r="R31" s="89"/>
      <c r="S31" s="89"/>
      <c r="T31" s="89"/>
      <c r="U31" s="89"/>
      <c r="V31" s="89"/>
      <c r="W31" s="89"/>
      <c r="X31" s="89"/>
    </row>
    <row r="32">
      <c r="A32" s="90" t="str">
        <f>IFERROR(__xludf.DUMMYFUNCTION("""COMPUTED_VALUE"""),"")</f>
        <v/>
      </c>
      <c r="B32" s="108" t="str">
        <f>IFERROR(__xludf.DUMMYFUNCTION("""COMPUTED_VALUE"""),"DET")</f>
        <v>DET</v>
      </c>
      <c r="C32" s="11">
        <f>IFERROR(__xludf.DUMMYFUNCTION("""COMPUTED_VALUE"""),2.0)</f>
        <v>2</v>
      </c>
      <c r="D32" s="21">
        <f>IFERROR(__xludf.DUMMYFUNCTION("""COMPUTED_VALUE"""),1.0)</f>
        <v>1</v>
      </c>
      <c r="E32" s="128">
        <f>IFERROR(__xludf.DUMMYFUNCTION("""COMPUTED_VALUE"""),0.6666666666666666)</f>
        <v>0.6666666667</v>
      </c>
      <c r="F32" s="89"/>
      <c r="G32" s="11" t="str">
        <f>IFERROR(__xludf.DUMMYFUNCTION("""COMPUTED_VALUE"""),"2 - 0")</f>
        <v>2 - 0</v>
      </c>
      <c r="H32" s="21" t="str">
        <f>IFERROR(__xludf.DUMMYFUNCTION("""COMPUTED_VALUE"""),"0 - 1")</f>
        <v>0 - 1</v>
      </c>
      <c r="I32" s="11" t="str">
        <f>IFERROR(__xludf.DUMMYFUNCTION("""COMPUTED_VALUE"""),"0 - 0")</f>
        <v>0 - 0</v>
      </c>
      <c r="J32" s="21" t="str">
        <f>IFERROR(__xludf.DUMMYFUNCTION("""COMPUTED_VALUE"""),"1 - 0")</f>
        <v>1 - 0</v>
      </c>
      <c r="K32" s="89"/>
      <c r="L32" s="11">
        <f>IFERROR(__xludf.DUMMYFUNCTION("""COMPUTED_VALUE"""),93.0)</f>
        <v>93</v>
      </c>
      <c r="M32" s="21">
        <f>IFERROR(__xludf.DUMMYFUNCTION("""COMPUTED_VALUE"""),95.0)</f>
        <v>95</v>
      </c>
      <c r="N32" s="132">
        <f>IFERROR(__xludf.DUMMYFUNCTION("""COMPUTED_VALUE"""),-2.0)</f>
        <v>-2</v>
      </c>
      <c r="O32" s="131">
        <f>IFERROR(__xludf.DUMMYFUNCTION("""COMPUTED_VALUE"""),31.0)</f>
        <v>31</v>
      </c>
      <c r="P32" s="89"/>
      <c r="Q32" s="11" t="str">
        <f>IFERROR(__xludf.DUMMYFUNCTION("""COMPUTED_VALUE"""),"0 - 0")</f>
        <v>0 - 0</v>
      </c>
      <c r="R32" s="21" t="str">
        <f>IFERROR(__xludf.DUMMYFUNCTION("""COMPUTED_VALUE"""),"1 - 1")</f>
        <v>1 - 1</v>
      </c>
      <c r="S32" s="11" t="str">
        <f>IFERROR(__xludf.DUMMYFUNCTION("""COMPUTED_VALUE"""),"0 - 0")</f>
        <v>0 - 0</v>
      </c>
      <c r="T32" s="21" t="str">
        <f>IFERROR(__xludf.DUMMYFUNCTION("""COMPUTED_VALUE"""),"0 - 0")</f>
        <v>0 - 0</v>
      </c>
      <c r="U32" s="11" t="str">
        <f>IFERROR(__xludf.DUMMYFUNCTION("""COMPUTED_VALUE"""),"0 - 0")</f>
        <v>0 - 0</v>
      </c>
      <c r="V32" s="21" t="str">
        <f>IFERROR(__xludf.DUMMYFUNCTION("""COMPUTED_VALUE"""),"0 - 0")</f>
        <v>0 - 0</v>
      </c>
      <c r="W32" s="11" t="str">
        <f>IFERROR(__xludf.DUMMYFUNCTION("""COMPUTED_VALUE"""),"0 - 0")</f>
        <v>0 - 0</v>
      </c>
      <c r="X32" s="21" t="str">
        <f>IFERROR(__xludf.DUMMYFUNCTION("""COMPUTED_VALUE"""),"1 - 0")</f>
        <v>1 - 0</v>
      </c>
    </row>
    <row r="33">
      <c r="A33" s="90" t="str">
        <f>IFERROR(__xludf.DUMMYFUNCTION("""COMPUTED_VALUE"""),"")</f>
        <v/>
      </c>
      <c r="B33" s="110" t="str">
        <f>IFERROR(__xludf.DUMMYFUNCTION("""COMPUTED_VALUE"""),"GB")</f>
        <v>GB</v>
      </c>
      <c r="C33" s="11">
        <f>IFERROR(__xludf.DUMMYFUNCTION("""COMPUTED_VALUE"""),1.0)</f>
        <v>1</v>
      </c>
      <c r="D33" s="21">
        <f>IFERROR(__xludf.DUMMYFUNCTION("""COMPUTED_VALUE"""),2.0)</f>
        <v>2</v>
      </c>
      <c r="E33" s="128">
        <f>IFERROR(__xludf.DUMMYFUNCTION("""COMPUTED_VALUE"""),0.3333333333333333)</f>
        <v>0.3333333333</v>
      </c>
      <c r="F33" s="89"/>
      <c r="G33" s="11" t="str">
        <f>IFERROR(__xludf.DUMMYFUNCTION("""COMPUTED_VALUE"""),"0 - 1")</f>
        <v>0 - 1</v>
      </c>
      <c r="H33" s="21" t="str">
        <f>IFERROR(__xludf.DUMMYFUNCTION("""COMPUTED_VALUE"""),"1 - 1")</f>
        <v>1 - 1</v>
      </c>
      <c r="I33" s="11" t="str">
        <f>IFERROR(__xludf.DUMMYFUNCTION("""COMPUTED_VALUE"""),"0 - 1")</f>
        <v>0 - 1</v>
      </c>
      <c r="J33" s="21" t="str">
        <f>IFERROR(__xludf.DUMMYFUNCTION("""COMPUTED_VALUE"""),"0 - 2")</f>
        <v>0 - 2</v>
      </c>
      <c r="K33" s="89"/>
      <c r="L33" s="11">
        <f>IFERROR(__xludf.DUMMYFUNCTION("""COMPUTED_VALUE"""),56.0)</f>
        <v>56</v>
      </c>
      <c r="M33" s="21">
        <f>IFERROR(__xludf.DUMMYFUNCTION("""COMPUTED_VALUE"""),91.0)</f>
        <v>91</v>
      </c>
      <c r="N33" s="132">
        <f>IFERROR(__xludf.DUMMYFUNCTION("""COMPUTED_VALUE"""),-35.0)</f>
        <v>-35</v>
      </c>
      <c r="O33" s="131">
        <f>IFERROR(__xludf.DUMMYFUNCTION("""COMPUTED_VALUE"""),18.666666666666668)</f>
        <v>18.66666667</v>
      </c>
      <c r="P33" s="89"/>
      <c r="Q33" s="11" t="str">
        <f>IFERROR(__xludf.DUMMYFUNCTION("""COMPUTED_VALUE"""),"0 - 0")</f>
        <v>0 - 0</v>
      </c>
      <c r="R33" s="21" t="str">
        <f>IFERROR(__xludf.DUMMYFUNCTION("""COMPUTED_VALUE"""),"1 - 0")</f>
        <v>1 - 0</v>
      </c>
      <c r="S33" s="11" t="str">
        <f>IFERROR(__xludf.DUMMYFUNCTION("""COMPUTED_VALUE"""),"0 - 0")</f>
        <v>0 - 0</v>
      </c>
      <c r="T33" s="21" t="str">
        <f>IFERROR(__xludf.DUMMYFUNCTION("""COMPUTED_VALUE"""),"0 - 0")</f>
        <v>0 - 0</v>
      </c>
      <c r="U33" s="11" t="str">
        <f>IFERROR(__xludf.DUMMYFUNCTION("""COMPUTED_VALUE"""),"0 - 0")</f>
        <v>0 - 0</v>
      </c>
      <c r="V33" s="21" t="str">
        <f>IFERROR(__xludf.DUMMYFUNCTION("""COMPUTED_VALUE"""),"0 - 0")</f>
        <v>0 - 0</v>
      </c>
      <c r="W33" s="11" t="str">
        <f>IFERROR(__xludf.DUMMYFUNCTION("""COMPUTED_VALUE"""),"0 - 1")</f>
        <v>0 - 1</v>
      </c>
      <c r="X33" s="21" t="str">
        <f>IFERROR(__xludf.DUMMYFUNCTION("""COMPUTED_VALUE"""),"0 - 1")</f>
        <v>0 - 1</v>
      </c>
    </row>
    <row r="34">
      <c r="A34" s="90" t="str">
        <f>IFERROR(__xludf.DUMMYFUNCTION("""COMPUTED_VALUE"""),"")</f>
        <v/>
      </c>
      <c r="B34" s="112" t="str">
        <f>IFERROR(__xludf.DUMMYFUNCTION("""COMPUTED_VALUE"""),"MIN")</f>
        <v>MIN</v>
      </c>
      <c r="C34" s="11">
        <f>IFERROR(__xludf.DUMMYFUNCTION("""COMPUTED_VALUE"""),3.0)</f>
        <v>3</v>
      </c>
      <c r="D34" s="21">
        <f>IFERROR(__xludf.DUMMYFUNCTION("""COMPUTED_VALUE"""),0.0)</f>
        <v>0</v>
      </c>
      <c r="E34" s="128">
        <f>IFERROR(__xludf.DUMMYFUNCTION("""COMPUTED_VALUE"""),1.0)</f>
        <v>1</v>
      </c>
      <c r="F34" s="89"/>
      <c r="G34" s="11" t="str">
        <f>IFERROR(__xludf.DUMMYFUNCTION("""COMPUTED_VALUE"""),"1 - 0")</f>
        <v>1 - 0</v>
      </c>
      <c r="H34" s="21" t="str">
        <f>IFERROR(__xludf.DUMMYFUNCTION("""COMPUTED_VALUE"""),"2 - 0")</f>
        <v>2 - 0</v>
      </c>
      <c r="I34" s="11" t="str">
        <f>IFERROR(__xludf.DUMMYFUNCTION("""COMPUTED_VALUE"""),"2 - 0")</f>
        <v>2 - 0</v>
      </c>
      <c r="J34" s="21" t="str">
        <f>IFERROR(__xludf.DUMMYFUNCTION("""COMPUTED_VALUE"""),"3 - 0")</f>
        <v>3 - 0</v>
      </c>
      <c r="K34" s="89"/>
      <c r="L34" s="11">
        <f>IFERROR(__xludf.DUMMYFUNCTION("""COMPUTED_VALUE"""),71.0)</f>
        <v>71</v>
      </c>
      <c r="M34" s="21">
        <f>IFERROR(__xludf.DUMMYFUNCTION("""COMPUTED_VALUE"""),41.0)</f>
        <v>41</v>
      </c>
      <c r="N34" s="132">
        <f>IFERROR(__xludf.DUMMYFUNCTION("""COMPUTED_VALUE"""),30.0)</f>
        <v>30</v>
      </c>
      <c r="O34" s="131">
        <f>IFERROR(__xludf.DUMMYFUNCTION("""COMPUTED_VALUE"""),23.666666666666668)</f>
        <v>23.66666667</v>
      </c>
      <c r="P34" s="89"/>
      <c r="Q34" s="11" t="str">
        <f>IFERROR(__xludf.DUMMYFUNCTION("""COMPUTED_VALUE"""),"0 - 0")</f>
        <v>0 - 0</v>
      </c>
      <c r="R34" s="21" t="str">
        <f>IFERROR(__xludf.DUMMYFUNCTION("""COMPUTED_VALUE"""),"0 - 0")</f>
        <v>0 - 0</v>
      </c>
      <c r="S34" s="11" t="str">
        <f>IFERROR(__xludf.DUMMYFUNCTION("""COMPUTED_VALUE"""),"0 - 0")</f>
        <v>0 - 0</v>
      </c>
      <c r="T34" s="21" t="str">
        <f>IFERROR(__xludf.DUMMYFUNCTION("""COMPUTED_VALUE"""),"0 - 0")</f>
        <v>0 - 0</v>
      </c>
      <c r="U34" s="11" t="str">
        <f>IFERROR(__xludf.DUMMYFUNCTION("""COMPUTED_VALUE"""),"0 - 0")</f>
        <v>0 - 0</v>
      </c>
      <c r="V34" s="21" t="str">
        <f>IFERROR(__xludf.DUMMYFUNCTION("""COMPUTED_VALUE"""),"0 - 0")</f>
        <v>0 - 0</v>
      </c>
      <c r="W34" s="11" t="str">
        <f>IFERROR(__xludf.DUMMYFUNCTION("""COMPUTED_VALUE"""),"2 - 0")</f>
        <v>2 - 0</v>
      </c>
      <c r="X34" s="21" t="str">
        <f>IFERROR(__xludf.DUMMYFUNCTION("""COMPUTED_VALUE"""),"1 - 0")</f>
        <v>1 - 0</v>
      </c>
    </row>
    <row r="35">
      <c r="A35" s="90" t="str">
        <f>IFERROR(__xludf.DUMMYFUNCTION("""COMPUTED_VALUE"""),"")</f>
        <v/>
      </c>
      <c r="B35" s="114" t="str">
        <f>IFERROR(__xludf.DUMMYFUNCTION("""COMPUTED_VALUE"""),"CHI")</f>
        <v>CHI</v>
      </c>
      <c r="C35" s="11">
        <f>IFERROR(__xludf.DUMMYFUNCTION("""COMPUTED_VALUE"""),1.0)</f>
        <v>1</v>
      </c>
      <c r="D35" s="21">
        <f>IFERROR(__xludf.DUMMYFUNCTION("""COMPUTED_VALUE"""),1.0)</f>
        <v>1</v>
      </c>
      <c r="E35" s="128">
        <f>IFERROR(__xludf.DUMMYFUNCTION("""COMPUTED_VALUE"""),0.5)</f>
        <v>0.5</v>
      </c>
      <c r="F35" s="89"/>
      <c r="G35" s="11" t="str">
        <f>IFERROR(__xludf.DUMMYFUNCTION("""COMPUTED_VALUE"""),"0 - 1")</f>
        <v>0 - 1</v>
      </c>
      <c r="H35" s="21" t="str">
        <f>IFERROR(__xludf.DUMMYFUNCTION("""COMPUTED_VALUE"""),"1 - 0")</f>
        <v>1 - 0</v>
      </c>
      <c r="I35" s="11" t="str">
        <f>IFERROR(__xludf.DUMMYFUNCTION("""COMPUTED_VALUE"""),"0 - 1")</f>
        <v>0 - 1</v>
      </c>
      <c r="J35" s="21" t="str">
        <f>IFERROR(__xludf.DUMMYFUNCTION("""COMPUTED_VALUE"""),"1 - 1")</f>
        <v>1 - 1</v>
      </c>
      <c r="K35" s="89"/>
      <c r="L35" s="11">
        <f>IFERROR(__xludf.DUMMYFUNCTION("""COMPUTED_VALUE"""),62.0)</f>
        <v>62</v>
      </c>
      <c r="M35" s="21">
        <f>IFERROR(__xludf.DUMMYFUNCTION("""COMPUTED_VALUE"""),46.0)</f>
        <v>46</v>
      </c>
      <c r="N35" s="132">
        <f>IFERROR(__xludf.DUMMYFUNCTION("""COMPUTED_VALUE"""),16.0)</f>
        <v>16</v>
      </c>
      <c r="O35" s="131">
        <f>IFERROR(__xludf.DUMMYFUNCTION("""COMPUTED_VALUE"""),31.0)</f>
        <v>31</v>
      </c>
      <c r="P35" s="89"/>
      <c r="Q35" s="11" t="str">
        <f>IFERROR(__xludf.DUMMYFUNCTION("""COMPUTED_VALUE"""),"0 - 0")</f>
        <v>0 - 0</v>
      </c>
      <c r="R35" s="21" t="str">
        <f>IFERROR(__xludf.DUMMYFUNCTION("""COMPUTED_VALUE"""),"0 - 0")</f>
        <v>0 - 0</v>
      </c>
      <c r="S35" s="11" t="str">
        <f>IFERROR(__xludf.DUMMYFUNCTION("""COMPUTED_VALUE"""),"0 - 0")</f>
        <v>0 - 0</v>
      </c>
      <c r="T35" s="21" t="str">
        <f>IFERROR(__xludf.DUMMYFUNCTION("""COMPUTED_VALUE"""),"0 - 0")</f>
        <v>0 - 0</v>
      </c>
      <c r="U35" s="11" t="str">
        <f>IFERROR(__xludf.DUMMYFUNCTION("""COMPUTED_VALUE"""),"0 - 0")</f>
        <v>0 - 0</v>
      </c>
      <c r="V35" s="21" t="str">
        <f>IFERROR(__xludf.DUMMYFUNCTION("""COMPUTED_VALUE"""),"0 - 0")</f>
        <v>0 - 0</v>
      </c>
      <c r="W35" s="11" t="str">
        <f>IFERROR(__xludf.DUMMYFUNCTION("""COMPUTED_VALUE"""),"0 - 1")</f>
        <v>0 - 1</v>
      </c>
      <c r="X35" s="21" t="str">
        <f>IFERROR(__xludf.DUMMYFUNCTION("""COMPUTED_VALUE"""),"1 - 0")</f>
        <v>1 - 0</v>
      </c>
    </row>
    <row r="36">
      <c r="A36" s="89"/>
      <c r="B36" s="70" t="str">
        <f>IFERROR(__xludf.DUMMYFUNCTION("""COMPUTED_VALUE"""),"NFC South")</f>
        <v>NFC South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133"/>
      <c r="O36" s="89"/>
      <c r="P36" s="89"/>
      <c r="Q36" s="89"/>
      <c r="R36" s="89"/>
      <c r="S36" s="89"/>
      <c r="T36" s="89"/>
      <c r="U36" s="89"/>
      <c r="V36" s="89"/>
      <c r="W36" s="89"/>
      <c r="X36" s="89"/>
    </row>
    <row r="37">
      <c r="A37" s="90" t="str">
        <f>IFERROR(__xludf.DUMMYFUNCTION("""COMPUTED_VALUE"""),"")</f>
        <v/>
      </c>
      <c r="B37" s="116" t="str">
        <f>IFERROR(__xludf.DUMMYFUNCTION("""COMPUTED_VALUE"""),"TB")</f>
        <v>TB</v>
      </c>
      <c r="C37" s="11">
        <f>IFERROR(__xludf.DUMMYFUNCTION("""COMPUTED_VALUE"""),0.0)</f>
        <v>0</v>
      </c>
      <c r="D37" s="21">
        <f>IFERROR(__xludf.DUMMYFUNCTION("""COMPUTED_VALUE"""),3.0)</f>
        <v>3</v>
      </c>
      <c r="E37" s="128">
        <f>IFERROR(__xludf.DUMMYFUNCTION("""COMPUTED_VALUE"""),0.0)</f>
        <v>0</v>
      </c>
      <c r="F37" s="89"/>
      <c r="G37" s="11" t="str">
        <f>IFERROR(__xludf.DUMMYFUNCTION("""COMPUTED_VALUE"""),"0 - 2")</f>
        <v>0 - 2</v>
      </c>
      <c r="H37" s="21" t="str">
        <f>IFERROR(__xludf.DUMMYFUNCTION("""COMPUTED_VALUE"""),"0 - 1")</f>
        <v>0 - 1</v>
      </c>
      <c r="I37" s="11" t="str">
        <f>IFERROR(__xludf.DUMMYFUNCTION("""COMPUTED_VALUE"""),"0 - 0")</f>
        <v>0 - 0</v>
      </c>
      <c r="J37" s="21" t="str">
        <f>IFERROR(__xludf.DUMMYFUNCTION("""COMPUTED_VALUE"""),"0 - 1")</f>
        <v>0 - 1</v>
      </c>
      <c r="K37" s="89"/>
      <c r="L37" s="11">
        <f>IFERROR(__xludf.DUMMYFUNCTION("""COMPUTED_VALUE"""),62.0)</f>
        <v>62</v>
      </c>
      <c r="M37" s="21">
        <f>IFERROR(__xludf.DUMMYFUNCTION("""COMPUTED_VALUE"""),79.0)</f>
        <v>79</v>
      </c>
      <c r="N37" s="132">
        <f>IFERROR(__xludf.DUMMYFUNCTION("""COMPUTED_VALUE"""),-17.0)</f>
        <v>-17</v>
      </c>
      <c r="O37" s="131">
        <f>IFERROR(__xludf.DUMMYFUNCTION("""COMPUTED_VALUE"""),20.666666666666668)</f>
        <v>20.66666667</v>
      </c>
      <c r="P37" s="89"/>
      <c r="Q37" s="11" t="str">
        <f>IFERROR(__xludf.DUMMYFUNCTION("""COMPUTED_VALUE"""),"0 - 0")</f>
        <v>0 - 0</v>
      </c>
      <c r="R37" s="21" t="str">
        <f>IFERROR(__xludf.DUMMYFUNCTION("""COMPUTED_VALUE"""),"0 - 0")</f>
        <v>0 - 0</v>
      </c>
      <c r="S37" s="11" t="str">
        <f>IFERROR(__xludf.DUMMYFUNCTION("""COMPUTED_VALUE"""),"0 - 2")</f>
        <v>0 - 2</v>
      </c>
      <c r="T37" s="21" t="str">
        <f>IFERROR(__xludf.DUMMYFUNCTION("""COMPUTED_VALUE"""),"0 - 0")</f>
        <v>0 - 0</v>
      </c>
      <c r="U37" s="11" t="str">
        <f>IFERROR(__xludf.DUMMYFUNCTION("""COMPUTED_VALUE"""),"0 - 0")</f>
        <v>0 - 0</v>
      </c>
      <c r="V37" s="21" t="str">
        <f>IFERROR(__xludf.DUMMYFUNCTION("""COMPUTED_VALUE"""),"0 - 0")</f>
        <v>0 - 0</v>
      </c>
      <c r="W37" s="11" t="str">
        <f>IFERROR(__xludf.DUMMYFUNCTION("""COMPUTED_VALUE"""),"0 - 1")</f>
        <v>0 - 1</v>
      </c>
      <c r="X37" s="21" t="str">
        <f>IFERROR(__xludf.DUMMYFUNCTION("""COMPUTED_VALUE"""),"0 - 0")</f>
        <v>0 - 0</v>
      </c>
    </row>
    <row r="38">
      <c r="A38" s="90" t="str">
        <f>IFERROR(__xludf.DUMMYFUNCTION("""COMPUTED_VALUE"""),"")</f>
        <v/>
      </c>
      <c r="B38" s="118" t="str">
        <f>IFERROR(__xludf.DUMMYFUNCTION("""COMPUTED_VALUE"""),"NO")</f>
        <v>NO</v>
      </c>
      <c r="C38" s="11">
        <f>IFERROR(__xludf.DUMMYFUNCTION("""COMPUTED_VALUE"""),1.0)</f>
        <v>1</v>
      </c>
      <c r="D38" s="21">
        <f>IFERROR(__xludf.DUMMYFUNCTION("""COMPUTED_VALUE"""),2.0)</f>
        <v>2</v>
      </c>
      <c r="E38" s="128">
        <f>IFERROR(__xludf.DUMMYFUNCTION("""COMPUTED_VALUE"""),0.3333333333333333)</f>
        <v>0.3333333333</v>
      </c>
      <c r="F38" s="89"/>
      <c r="G38" s="11" t="str">
        <f>IFERROR(__xludf.DUMMYFUNCTION("""COMPUTED_VALUE"""),"0 - 1")</f>
        <v>0 - 1</v>
      </c>
      <c r="H38" s="21" t="str">
        <f>IFERROR(__xludf.DUMMYFUNCTION("""COMPUTED_VALUE"""),"1 - 1")</f>
        <v>1 - 1</v>
      </c>
      <c r="I38" s="11" t="str">
        <f>IFERROR(__xludf.DUMMYFUNCTION("""COMPUTED_VALUE"""),"0 - 0")</f>
        <v>0 - 0</v>
      </c>
      <c r="J38" s="21" t="str">
        <f>IFERROR(__xludf.DUMMYFUNCTION("""COMPUTED_VALUE"""),"0 - 1")</f>
        <v>0 - 1</v>
      </c>
      <c r="K38" s="89"/>
      <c r="L38" s="11">
        <f>IFERROR(__xludf.DUMMYFUNCTION("""COMPUTED_VALUE"""),81.0)</f>
        <v>81</v>
      </c>
      <c r="M38" s="21">
        <f>IFERROR(__xludf.DUMMYFUNCTION("""COMPUTED_VALUE"""),83.0)</f>
        <v>83</v>
      </c>
      <c r="N38" s="132">
        <f>IFERROR(__xludf.DUMMYFUNCTION("""COMPUTED_VALUE"""),-2.0)</f>
        <v>-2</v>
      </c>
      <c r="O38" s="131">
        <f>IFERROR(__xludf.DUMMYFUNCTION("""COMPUTED_VALUE"""),27.0)</f>
        <v>27</v>
      </c>
      <c r="P38" s="89"/>
      <c r="Q38" s="11" t="str">
        <f>IFERROR(__xludf.DUMMYFUNCTION("""COMPUTED_VALUE"""),"0 - 1")</f>
        <v>0 - 1</v>
      </c>
      <c r="R38" s="21" t="str">
        <f>IFERROR(__xludf.DUMMYFUNCTION("""COMPUTED_VALUE"""),"0 - 0")</f>
        <v>0 - 0</v>
      </c>
      <c r="S38" s="11" t="str">
        <f>IFERROR(__xludf.DUMMYFUNCTION("""COMPUTED_VALUE"""),"1 - 0")</f>
        <v>1 - 0</v>
      </c>
      <c r="T38" s="21" t="str">
        <f>IFERROR(__xludf.DUMMYFUNCTION("""COMPUTED_VALUE"""),"0 - 0")</f>
        <v>0 - 0</v>
      </c>
      <c r="U38" s="11" t="str">
        <f>IFERROR(__xludf.DUMMYFUNCTION("""COMPUTED_VALUE"""),"0 - 0")</f>
        <v>0 - 0</v>
      </c>
      <c r="V38" s="21" t="str">
        <f>IFERROR(__xludf.DUMMYFUNCTION("""COMPUTED_VALUE"""),"0 - 0")</f>
        <v>0 - 0</v>
      </c>
      <c r="W38" s="11" t="str">
        <f>IFERROR(__xludf.DUMMYFUNCTION("""COMPUTED_VALUE"""),"0 - 1")</f>
        <v>0 - 1</v>
      </c>
      <c r="X38" s="21" t="str">
        <f>IFERROR(__xludf.DUMMYFUNCTION("""COMPUTED_VALUE"""),"0 - 0")</f>
        <v>0 - 0</v>
      </c>
    </row>
    <row r="39">
      <c r="A39" s="90" t="str">
        <f>IFERROR(__xludf.DUMMYFUNCTION("""COMPUTED_VALUE"""),"")</f>
        <v/>
      </c>
      <c r="B39" s="120" t="str">
        <f>IFERROR(__xludf.DUMMYFUNCTION("""COMPUTED_VALUE"""),"ATL")</f>
        <v>ATL</v>
      </c>
      <c r="C39" s="11">
        <f>IFERROR(__xludf.DUMMYFUNCTION("""COMPUTED_VALUE"""),1.0)</f>
        <v>1</v>
      </c>
      <c r="D39" s="21">
        <f>IFERROR(__xludf.DUMMYFUNCTION("""COMPUTED_VALUE"""),2.0)</f>
        <v>2</v>
      </c>
      <c r="E39" s="128">
        <f>IFERROR(__xludf.DUMMYFUNCTION("""COMPUTED_VALUE"""),0.3333333333333333)</f>
        <v>0.3333333333</v>
      </c>
      <c r="F39" s="89"/>
      <c r="G39" s="11" t="str">
        <f>IFERROR(__xludf.DUMMYFUNCTION("""COMPUTED_VALUE"""),"0 - 1")</f>
        <v>0 - 1</v>
      </c>
      <c r="H39" s="21" t="str">
        <f>IFERROR(__xludf.DUMMYFUNCTION("""COMPUTED_VALUE"""),"1 - 1")</f>
        <v>1 - 1</v>
      </c>
      <c r="I39" s="11" t="str">
        <f>IFERROR(__xludf.DUMMYFUNCTION("""COMPUTED_VALUE"""),"0 - 1")</f>
        <v>0 - 1</v>
      </c>
      <c r="J39" s="21" t="str">
        <f>IFERROR(__xludf.DUMMYFUNCTION("""COMPUTED_VALUE"""),"1 - 1")</f>
        <v>1 - 1</v>
      </c>
      <c r="K39" s="89"/>
      <c r="L39" s="11">
        <f>IFERROR(__xludf.DUMMYFUNCTION("""COMPUTED_VALUE"""),51.0)</f>
        <v>51</v>
      </c>
      <c r="M39" s="21">
        <f>IFERROR(__xludf.DUMMYFUNCTION("""COMPUTED_VALUE"""),68.0)</f>
        <v>68</v>
      </c>
      <c r="N39" s="132">
        <f>IFERROR(__xludf.DUMMYFUNCTION("""COMPUTED_VALUE"""),-17.0)</f>
        <v>-17</v>
      </c>
      <c r="O39" s="131">
        <f>IFERROR(__xludf.DUMMYFUNCTION("""COMPUTED_VALUE"""),17.0)</f>
        <v>17</v>
      </c>
      <c r="P39" s="89"/>
      <c r="Q39" s="11" t="str">
        <f>IFERROR(__xludf.DUMMYFUNCTION("""COMPUTED_VALUE"""),"0 - 0")</f>
        <v>0 - 0</v>
      </c>
      <c r="R39" s="21" t="str">
        <f>IFERROR(__xludf.DUMMYFUNCTION("""COMPUTED_VALUE"""),"0 - 0")</f>
        <v>0 - 0</v>
      </c>
      <c r="S39" s="11" t="str">
        <f>IFERROR(__xludf.DUMMYFUNCTION("""COMPUTED_VALUE"""),"0 - 1")</f>
        <v>0 - 1</v>
      </c>
      <c r="T39" s="21" t="str">
        <f>IFERROR(__xludf.DUMMYFUNCTION("""COMPUTED_VALUE"""),"0 - 0")</f>
        <v>0 - 0</v>
      </c>
      <c r="U39" s="11" t="str">
        <f>IFERROR(__xludf.DUMMYFUNCTION("""COMPUTED_VALUE"""),"0 - 0")</f>
        <v>0 - 0</v>
      </c>
      <c r="V39" s="21" t="str">
        <f>IFERROR(__xludf.DUMMYFUNCTION("""COMPUTED_VALUE"""),"0 - 0")</f>
        <v>0 - 0</v>
      </c>
      <c r="W39" s="11" t="str">
        <f>IFERROR(__xludf.DUMMYFUNCTION("""COMPUTED_VALUE"""),"1 - 0")</f>
        <v>1 - 0</v>
      </c>
      <c r="X39" s="21" t="str">
        <f>IFERROR(__xludf.DUMMYFUNCTION("""COMPUTED_VALUE"""),"0 - 1")</f>
        <v>0 - 1</v>
      </c>
    </row>
    <row r="40">
      <c r="A40" s="90" t="str">
        <f>IFERROR(__xludf.DUMMYFUNCTION("""COMPUTED_VALUE"""),"")</f>
        <v/>
      </c>
      <c r="B40" s="122" t="str">
        <f>IFERROR(__xludf.DUMMYFUNCTION("""COMPUTED_VALUE"""),"CAR")</f>
        <v>CAR</v>
      </c>
      <c r="C40" s="11">
        <f>IFERROR(__xludf.DUMMYFUNCTION("""COMPUTED_VALUE"""),1.0)</f>
        <v>1</v>
      </c>
      <c r="D40" s="21">
        <f>IFERROR(__xludf.DUMMYFUNCTION("""COMPUTED_VALUE"""),2.0)</f>
        <v>2</v>
      </c>
      <c r="E40" s="128">
        <f>IFERROR(__xludf.DUMMYFUNCTION("""COMPUTED_VALUE"""),0.3333333333333333)</f>
        <v>0.3333333333</v>
      </c>
      <c r="F40" s="89"/>
      <c r="G40" s="11" t="str">
        <f>IFERROR(__xludf.DUMMYFUNCTION("""COMPUTED_VALUE"""),"0 - 1")</f>
        <v>0 - 1</v>
      </c>
      <c r="H40" s="21" t="str">
        <f>IFERROR(__xludf.DUMMYFUNCTION("""COMPUTED_VALUE"""),"1 - 1")</f>
        <v>1 - 1</v>
      </c>
      <c r="I40" s="11" t="str">
        <f>IFERROR(__xludf.DUMMYFUNCTION("""COMPUTED_VALUE"""),"1 - 0")</f>
        <v>1 - 0</v>
      </c>
      <c r="J40" s="21" t="str">
        <f>IFERROR(__xludf.DUMMYFUNCTION("""COMPUTED_VALUE"""),"1 - 1")</f>
        <v>1 - 1</v>
      </c>
      <c r="K40" s="89"/>
      <c r="L40" s="11">
        <f>IFERROR(__xludf.DUMMYFUNCTION("""COMPUTED_VALUE"""),89.0)</f>
        <v>89</v>
      </c>
      <c r="M40" s="21">
        <f>IFERROR(__xludf.DUMMYFUNCTION("""COMPUTED_VALUE"""),83.0)</f>
        <v>83</v>
      </c>
      <c r="N40" s="132">
        <f>IFERROR(__xludf.DUMMYFUNCTION("""COMPUTED_VALUE"""),6.0)</f>
        <v>6</v>
      </c>
      <c r="O40" s="131">
        <f>IFERROR(__xludf.DUMMYFUNCTION("""COMPUTED_VALUE"""),29.666666666666668)</f>
        <v>29.66666667</v>
      </c>
      <c r="P40" s="89"/>
      <c r="Q40" s="11" t="str">
        <f>IFERROR(__xludf.DUMMYFUNCTION("""COMPUTED_VALUE"""),"0 - 0")</f>
        <v>0 - 0</v>
      </c>
      <c r="R40" s="21" t="str">
        <f>IFERROR(__xludf.DUMMYFUNCTION("""COMPUTED_VALUE"""),"0 - 0")</f>
        <v>0 - 0</v>
      </c>
      <c r="S40" s="11" t="str">
        <f>IFERROR(__xludf.DUMMYFUNCTION("""COMPUTED_VALUE"""),"0 - 1")</f>
        <v>0 - 1</v>
      </c>
      <c r="T40" s="21" t="str">
        <f>IFERROR(__xludf.DUMMYFUNCTION("""COMPUTED_VALUE"""),"0 - 0")</f>
        <v>0 - 0</v>
      </c>
      <c r="U40" s="11" t="str">
        <f>IFERROR(__xludf.DUMMYFUNCTION("""COMPUTED_VALUE"""),"0 - 0")</f>
        <v>0 - 0</v>
      </c>
      <c r="V40" s="21" t="str">
        <f>IFERROR(__xludf.DUMMYFUNCTION("""COMPUTED_VALUE"""),"0 - 0")</f>
        <v>0 - 0</v>
      </c>
      <c r="W40" s="11" t="str">
        <f>IFERROR(__xludf.DUMMYFUNCTION("""COMPUTED_VALUE"""),"0 - 1")</f>
        <v>0 - 1</v>
      </c>
      <c r="X40" s="21" t="str">
        <f>IFERROR(__xludf.DUMMYFUNCTION("""COMPUTED_VALUE"""),"1 - 0")</f>
        <v>1 - 0</v>
      </c>
    </row>
    <row r="4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</row>
  </sheetData>
  <conditionalFormatting sqref="N1:N41">
    <cfRule type="cellIs" dxfId="8" priority="1" operator="greaterThan">
      <formula>0</formula>
    </cfRule>
  </conditionalFormatting>
  <conditionalFormatting sqref="N1:N41">
    <cfRule type="cellIs" dxfId="9" priority="2" operator="lessThan">
      <formula>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135" t="s">
        <v>457</v>
      </c>
      <c r="C1" s="135" t="s">
        <v>458</v>
      </c>
      <c r="D1" s="135" t="s">
        <v>459</v>
      </c>
      <c r="E1" s="7"/>
      <c r="F1" s="7"/>
      <c r="G1" s="135" t="s">
        <v>460</v>
      </c>
      <c r="H1" s="135" t="s">
        <v>458</v>
      </c>
      <c r="I1" s="135" t="s">
        <v>459</v>
      </c>
      <c r="J1" s="29"/>
      <c r="K1" s="136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</row>
    <row r="2">
      <c r="A2" s="21"/>
      <c r="B2" s="137" t="s">
        <v>88</v>
      </c>
      <c r="C2" s="138" t="s">
        <v>462</v>
      </c>
      <c r="D2" s="138" t="s">
        <v>463</v>
      </c>
      <c r="E2" s="7"/>
      <c r="F2" s="21"/>
      <c r="G2" s="139" t="s">
        <v>40</v>
      </c>
      <c r="H2" s="138" t="s">
        <v>462</v>
      </c>
      <c r="I2" s="138" t="s">
        <v>464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</row>
    <row r="3">
      <c r="A3" s="21"/>
      <c r="B3" s="135" t="s">
        <v>79</v>
      </c>
      <c r="C3" s="138" t="s">
        <v>465</v>
      </c>
      <c r="D3" s="138" t="s">
        <v>466</v>
      </c>
      <c r="E3" s="7"/>
      <c r="F3" s="21"/>
      <c r="G3" s="140" t="s">
        <v>39</v>
      </c>
      <c r="H3" s="138" t="s">
        <v>467</v>
      </c>
      <c r="I3" s="138" t="s">
        <v>463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</row>
    <row r="4">
      <c r="A4" s="21"/>
      <c r="B4" s="141" t="s">
        <v>74</v>
      </c>
      <c r="C4" s="138" t="s">
        <v>468</v>
      </c>
      <c r="D4" s="138" t="s">
        <v>464</v>
      </c>
      <c r="E4" s="7"/>
      <c r="F4" s="21"/>
      <c r="G4" s="142" t="s">
        <v>24</v>
      </c>
      <c r="H4" s="138" t="s">
        <v>468</v>
      </c>
      <c r="I4" s="138" t="s">
        <v>464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</row>
    <row r="5">
      <c r="A5" s="21"/>
      <c r="B5" s="143" t="s">
        <v>50</v>
      </c>
      <c r="C5" s="138" t="s">
        <v>469</v>
      </c>
      <c r="D5" s="138" t="s">
        <v>463</v>
      </c>
      <c r="E5" s="7"/>
      <c r="F5" s="21"/>
      <c r="G5" s="144" t="s">
        <v>93</v>
      </c>
      <c r="H5" s="138" t="s">
        <v>470</v>
      </c>
      <c r="I5" s="138" t="s">
        <v>471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</row>
    <row r="6">
      <c r="A6" s="11"/>
      <c r="B6" s="11"/>
      <c r="C6" s="11"/>
      <c r="D6" s="11"/>
      <c r="E6" s="7"/>
      <c r="F6" s="11"/>
      <c r="G6" s="11"/>
      <c r="H6" s="11"/>
      <c r="I6" s="11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</row>
    <row r="7">
      <c r="A7" s="7"/>
      <c r="B7" s="135" t="s">
        <v>472</v>
      </c>
      <c r="C7" s="135" t="s">
        <v>458</v>
      </c>
      <c r="D7" s="135" t="s">
        <v>459</v>
      </c>
      <c r="E7" s="7"/>
      <c r="F7" s="7"/>
      <c r="G7" s="135" t="s">
        <v>473</v>
      </c>
      <c r="H7" s="135" t="s">
        <v>458</v>
      </c>
      <c r="I7" s="135" t="s">
        <v>459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</row>
    <row r="8">
      <c r="A8" s="21"/>
      <c r="B8" s="145" t="s">
        <v>23</v>
      </c>
      <c r="C8" s="138" t="s">
        <v>468</v>
      </c>
      <c r="D8" s="138" t="s">
        <v>463</v>
      </c>
      <c r="E8" s="7"/>
      <c r="F8" s="21"/>
      <c r="G8" s="146" t="s">
        <v>84</v>
      </c>
      <c r="H8" s="138" t="s">
        <v>474</v>
      </c>
      <c r="I8" s="138" t="s">
        <v>475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</row>
    <row r="9">
      <c r="A9" s="21"/>
      <c r="B9" s="147" t="s">
        <v>87</v>
      </c>
      <c r="C9" s="138" t="s">
        <v>476</v>
      </c>
      <c r="D9" s="138" t="s">
        <v>471</v>
      </c>
      <c r="E9" s="7"/>
      <c r="F9" s="21"/>
      <c r="G9" s="148" t="s">
        <v>54</v>
      </c>
      <c r="H9" s="138" t="s">
        <v>467</v>
      </c>
      <c r="I9" s="138" t="s">
        <v>475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</row>
    <row r="10">
      <c r="A10" s="21"/>
      <c r="B10" s="149" t="s">
        <v>58</v>
      </c>
      <c r="C10" s="138" t="s">
        <v>477</v>
      </c>
      <c r="D10" s="138" t="s">
        <v>463</v>
      </c>
      <c r="E10" s="7"/>
      <c r="F10" s="21"/>
      <c r="G10" s="150" t="s">
        <v>92</v>
      </c>
      <c r="H10" s="138" t="s">
        <v>477</v>
      </c>
      <c r="I10" s="138" t="s">
        <v>479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</row>
    <row r="11">
      <c r="A11" s="21"/>
      <c r="B11" s="151" t="s">
        <v>28</v>
      </c>
      <c r="C11" s="138" t="s">
        <v>467</v>
      </c>
      <c r="D11" s="138" t="s">
        <v>475</v>
      </c>
      <c r="E11" s="7"/>
      <c r="F11" s="21"/>
      <c r="G11" s="152" t="s">
        <v>85</v>
      </c>
      <c r="H11" s="138" t="s">
        <v>480</v>
      </c>
      <c r="I11" s="138" t="s">
        <v>466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</row>
    <row r="12">
      <c r="A12" s="11"/>
      <c r="B12" s="11"/>
      <c r="C12" s="11"/>
      <c r="D12" s="11"/>
      <c r="E12" s="7"/>
      <c r="F12" s="11"/>
      <c r="G12" s="11"/>
      <c r="H12" s="11"/>
      <c r="I12" s="11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</row>
    <row r="13">
      <c r="A13" s="7"/>
      <c r="B13" s="135" t="s">
        <v>481</v>
      </c>
      <c r="C13" s="135" t="s">
        <v>458</v>
      </c>
      <c r="D13" s="135" t="s">
        <v>459</v>
      </c>
      <c r="E13" s="7"/>
      <c r="F13" s="7"/>
      <c r="G13" s="135" t="s">
        <v>482</v>
      </c>
      <c r="H13" s="135" t="s">
        <v>458</v>
      </c>
      <c r="I13" s="135" t="s">
        <v>459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</row>
    <row r="14">
      <c r="A14" s="21"/>
      <c r="B14" s="153" t="s">
        <v>61</v>
      </c>
      <c r="C14" s="138" t="s">
        <v>474</v>
      </c>
      <c r="D14" s="138" t="s">
        <v>464</v>
      </c>
      <c r="E14" s="7"/>
      <c r="F14" s="21"/>
      <c r="G14" s="154" t="s">
        <v>27</v>
      </c>
      <c r="H14" s="138" t="s">
        <v>474</v>
      </c>
      <c r="I14" s="138" t="s">
        <v>463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</row>
    <row r="15">
      <c r="A15" s="21"/>
      <c r="B15" s="155" t="s">
        <v>34</v>
      </c>
      <c r="C15" s="138" t="s">
        <v>477</v>
      </c>
      <c r="D15" s="138" t="s">
        <v>479</v>
      </c>
      <c r="E15" s="7"/>
      <c r="F15" s="21"/>
      <c r="G15" s="156" t="s">
        <v>26</v>
      </c>
      <c r="H15" s="138" t="s">
        <v>483</v>
      </c>
      <c r="I15" s="138" t="s">
        <v>463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</row>
    <row r="16">
      <c r="A16" s="21"/>
      <c r="B16" s="157" t="s">
        <v>33</v>
      </c>
      <c r="C16" s="138" t="s">
        <v>465</v>
      </c>
      <c r="D16" s="138" t="s">
        <v>463</v>
      </c>
      <c r="E16" s="7"/>
      <c r="F16" s="21"/>
      <c r="G16" s="159" t="s">
        <v>51</v>
      </c>
      <c r="H16" s="138" t="s">
        <v>469</v>
      </c>
      <c r="I16" s="138" t="s">
        <v>471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</row>
    <row r="17">
      <c r="A17" s="21"/>
      <c r="B17" s="160" t="s">
        <v>46</v>
      </c>
      <c r="C17" s="138" t="s">
        <v>462</v>
      </c>
      <c r="D17" s="138" t="s">
        <v>475</v>
      </c>
      <c r="E17" s="7"/>
      <c r="F17" s="21"/>
      <c r="G17" s="161" t="s">
        <v>44</v>
      </c>
      <c r="H17" s="138" t="s">
        <v>462</v>
      </c>
      <c r="I17" s="138" t="s">
        <v>475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</row>
    <row r="18">
      <c r="A18" s="11"/>
      <c r="B18" s="11"/>
      <c r="C18" s="11"/>
      <c r="D18" s="11"/>
      <c r="E18" s="7"/>
      <c r="F18" s="11"/>
      <c r="G18" s="11"/>
      <c r="H18" s="11"/>
      <c r="I18" s="11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</row>
    <row r="19">
      <c r="A19" s="7"/>
      <c r="B19" s="135" t="s">
        <v>484</v>
      </c>
      <c r="C19" s="135" t="s">
        <v>458</v>
      </c>
      <c r="D19" s="135" t="s">
        <v>459</v>
      </c>
      <c r="E19" s="7"/>
      <c r="F19" s="7"/>
      <c r="G19" s="135" t="s">
        <v>485</v>
      </c>
      <c r="H19" s="135" t="s">
        <v>458</v>
      </c>
      <c r="I19" s="135" t="s">
        <v>459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</row>
    <row r="20">
      <c r="A20" s="21"/>
      <c r="B20" s="162" t="s">
        <v>69</v>
      </c>
      <c r="C20" s="138" t="s">
        <v>462</v>
      </c>
      <c r="D20" s="138" t="s">
        <v>475</v>
      </c>
      <c r="E20" s="7"/>
      <c r="F20" s="21"/>
      <c r="G20" s="163" t="s">
        <v>48</v>
      </c>
      <c r="H20" s="138" t="s">
        <v>469</v>
      </c>
      <c r="I20" s="138" t="s">
        <v>463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</row>
    <row r="21">
      <c r="A21" s="21"/>
      <c r="B21" s="164" t="s">
        <v>71</v>
      </c>
      <c r="C21" s="138" t="s">
        <v>462</v>
      </c>
      <c r="D21" s="138" t="s">
        <v>475</v>
      </c>
      <c r="E21" s="7"/>
      <c r="F21" s="21"/>
      <c r="G21" s="165" t="s">
        <v>126</v>
      </c>
      <c r="H21" s="138" t="s">
        <v>483</v>
      </c>
      <c r="I21" s="138" t="s">
        <v>464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</row>
    <row r="22">
      <c r="A22" s="21"/>
      <c r="B22" s="166" t="s">
        <v>76</v>
      </c>
      <c r="C22" s="138" t="s">
        <v>465</v>
      </c>
      <c r="D22" s="138" t="s">
        <v>466</v>
      </c>
      <c r="E22" s="7"/>
      <c r="F22" s="21"/>
      <c r="G22" s="167" t="s">
        <v>29</v>
      </c>
      <c r="H22" s="138" t="s">
        <v>469</v>
      </c>
      <c r="I22" s="138" t="s">
        <v>464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</row>
    <row r="23">
      <c r="A23" s="21"/>
      <c r="B23" s="168" t="s">
        <v>55</v>
      </c>
      <c r="C23" s="138" t="s">
        <v>476</v>
      </c>
      <c r="D23" s="138" t="s">
        <v>479</v>
      </c>
      <c r="E23" s="7"/>
      <c r="F23" s="21"/>
      <c r="G23" s="169" t="s">
        <v>41</v>
      </c>
      <c r="H23" s="138" t="s">
        <v>477</v>
      </c>
      <c r="I23" s="138" t="s">
        <v>471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</row>
    <row r="24">
      <c r="A24" s="7"/>
      <c r="B24" s="7"/>
      <c r="C24" s="7"/>
      <c r="D24" s="7"/>
      <c r="E24" s="7"/>
      <c r="F24" s="7"/>
      <c r="G24" s="7"/>
      <c r="H24" s="7"/>
      <c r="I24" s="7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</row>
    <row r="25">
      <c r="A25" s="7"/>
      <c r="B25" s="170" t="s">
        <v>489</v>
      </c>
      <c r="C25" s="7"/>
      <c r="D25" s="7"/>
      <c r="E25" s="7"/>
      <c r="F25" s="7"/>
      <c r="G25" s="170" t="s">
        <v>490</v>
      </c>
      <c r="H25" s="7"/>
      <c r="I25" s="7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</row>
    <row r="26">
      <c r="A26" s="171">
        <v>1.0</v>
      </c>
      <c r="B26" s="172" t="s">
        <v>28</v>
      </c>
      <c r="C26" s="11"/>
      <c r="D26" s="11"/>
      <c r="E26" s="7"/>
      <c r="F26" s="171">
        <v>1.0</v>
      </c>
      <c r="G26" s="172" t="s">
        <v>54</v>
      </c>
      <c r="H26" s="11"/>
      <c r="I26" s="11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</row>
    <row r="27">
      <c r="A27" s="171">
        <v>2.0</v>
      </c>
      <c r="B27" s="172" t="s">
        <v>74</v>
      </c>
      <c r="C27" s="11"/>
      <c r="D27" s="11"/>
      <c r="E27" s="7"/>
      <c r="F27" s="171">
        <v>2.0</v>
      </c>
      <c r="G27" s="172" t="s">
        <v>39</v>
      </c>
      <c r="H27" s="11"/>
      <c r="I27" s="11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</row>
    <row r="28">
      <c r="A28" s="171">
        <v>3.0</v>
      </c>
      <c r="B28" s="172" t="s">
        <v>61</v>
      </c>
      <c r="C28" s="11"/>
      <c r="D28" s="11"/>
      <c r="E28" s="7"/>
      <c r="F28" s="172">
        <v>3.0</v>
      </c>
      <c r="G28" s="172" t="s">
        <v>27</v>
      </c>
      <c r="H28" s="11"/>
      <c r="I28" s="11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</row>
    <row r="29">
      <c r="A29" s="171">
        <v>4.0</v>
      </c>
      <c r="B29" s="172" t="s">
        <v>69</v>
      </c>
      <c r="C29" s="11"/>
      <c r="D29" s="11"/>
      <c r="E29" s="7"/>
      <c r="F29" s="171">
        <v>4.0</v>
      </c>
      <c r="G29" s="172" t="s">
        <v>126</v>
      </c>
      <c r="H29" s="11"/>
      <c r="I29" s="11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</row>
    <row r="30">
      <c r="A30" s="171">
        <v>5.0</v>
      </c>
      <c r="B30" s="172" t="s">
        <v>23</v>
      </c>
      <c r="C30" s="11"/>
      <c r="D30" s="11"/>
      <c r="E30" s="7"/>
      <c r="F30" s="171">
        <v>5.0</v>
      </c>
      <c r="G30" s="172" t="s">
        <v>24</v>
      </c>
      <c r="H30" s="11"/>
      <c r="I30" s="11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</row>
    <row r="31">
      <c r="A31" s="171">
        <v>6.0</v>
      </c>
      <c r="B31" s="172" t="s">
        <v>46</v>
      </c>
      <c r="C31" s="11"/>
      <c r="D31" s="11"/>
      <c r="E31" s="7"/>
      <c r="F31" s="171">
        <v>6.0</v>
      </c>
      <c r="G31" s="172" t="s">
        <v>84</v>
      </c>
      <c r="H31" s="11"/>
      <c r="I31" s="11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</row>
    <row r="32">
      <c r="A32" s="172">
        <v>7.0</v>
      </c>
      <c r="B32" s="172" t="s">
        <v>88</v>
      </c>
      <c r="C32" s="11"/>
      <c r="D32" s="11"/>
      <c r="E32" s="7"/>
      <c r="F32" s="171">
        <v>7.0</v>
      </c>
      <c r="G32" s="172" t="s">
        <v>44</v>
      </c>
      <c r="H32" s="11"/>
      <c r="I32" s="11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</row>
    <row r="33">
      <c r="A33" s="7"/>
      <c r="B33" s="7"/>
      <c r="C33" s="7"/>
      <c r="D33" s="7"/>
      <c r="E33" s="7"/>
      <c r="F33" s="7"/>
      <c r="G33" s="7"/>
      <c r="H33" s="7"/>
      <c r="I33" s="7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</row>
    <row r="35">
      <c r="A35" s="7"/>
      <c r="B35" s="170" t="s">
        <v>492</v>
      </c>
      <c r="C35" s="7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</row>
    <row r="36">
      <c r="A36" s="11"/>
      <c r="B36" s="173" t="s">
        <v>493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</row>
    <row r="39">
      <c r="A39" s="7"/>
      <c r="B39" s="170" t="s">
        <v>489</v>
      </c>
      <c r="C39" s="7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</row>
    <row r="40">
      <c r="A40" s="171">
        <v>1.0</v>
      </c>
      <c r="B40" s="172" t="s">
        <v>28</v>
      </c>
      <c r="C40" s="174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</row>
    <row r="41">
      <c r="A41" s="171">
        <v>2.0</v>
      </c>
      <c r="B41" s="172" t="s">
        <v>74</v>
      </c>
      <c r="C41" s="174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</row>
    <row r="42">
      <c r="A42" s="171">
        <v>3.0</v>
      </c>
      <c r="B42" s="172" t="s">
        <v>61</v>
      </c>
      <c r="C42" s="17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</row>
    <row r="43">
      <c r="A43" s="171">
        <v>4.0</v>
      </c>
      <c r="B43" s="172" t="s">
        <v>69</v>
      </c>
      <c r="C43" s="174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</row>
    <row r="44">
      <c r="A44" s="171">
        <v>5.0</v>
      </c>
      <c r="B44" s="172" t="s">
        <v>23</v>
      </c>
      <c r="C44" s="174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</row>
    <row r="45">
      <c r="A45" s="171">
        <v>6.0</v>
      </c>
      <c r="B45" s="172" t="s">
        <v>46</v>
      </c>
      <c r="C45" s="174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</row>
    <row r="46">
      <c r="A46" s="171">
        <v>7.0</v>
      </c>
      <c r="B46" s="172" t="s">
        <v>88</v>
      </c>
      <c r="C46" s="174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</row>
    <row r="47">
      <c r="A47" s="7"/>
      <c r="B47" s="7"/>
      <c r="C47" s="7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</row>
    <row r="49">
      <c r="A49" s="7"/>
      <c r="B49" s="170" t="s">
        <v>495</v>
      </c>
      <c r="C49" s="7"/>
      <c r="D49" s="170" t="s">
        <v>496</v>
      </c>
      <c r="E49" s="170" t="s">
        <v>497</v>
      </c>
      <c r="F49" s="11"/>
      <c r="G49" s="7"/>
      <c r="H49" s="170" t="s">
        <v>498</v>
      </c>
      <c r="I49" s="7"/>
      <c r="J49" s="170" t="s">
        <v>496</v>
      </c>
      <c r="K49" s="170" t="s">
        <v>497</v>
      </c>
      <c r="L49" s="11"/>
      <c r="M49" s="7"/>
      <c r="N49" s="170" t="s">
        <v>499</v>
      </c>
      <c r="O49" s="7"/>
      <c r="P49" s="170" t="s">
        <v>496</v>
      </c>
      <c r="Q49" s="170" t="s">
        <v>497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</row>
    <row r="51">
      <c r="A51" s="171" t="s">
        <v>501</v>
      </c>
      <c r="B51" s="172" t="s">
        <v>28</v>
      </c>
      <c r="C51" s="174"/>
      <c r="D51" s="11"/>
      <c r="E51" s="11"/>
      <c r="F51" s="11"/>
      <c r="G51" s="171">
        <v>7.0</v>
      </c>
      <c r="H51" s="172" t="s">
        <v>88</v>
      </c>
      <c r="I51" s="174"/>
      <c r="J51" s="177" t="b">
        <v>0</v>
      </c>
      <c r="K51" s="174">
        <v>17.0</v>
      </c>
      <c r="L51" s="11"/>
      <c r="M51" s="171">
        <v>3.0</v>
      </c>
      <c r="N51" s="172" t="s">
        <v>61</v>
      </c>
      <c r="O51" s="174"/>
      <c r="P51" s="177" t="b">
        <v>1</v>
      </c>
      <c r="Q51" s="174">
        <v>20.0</v>
      </c>
      <c r="R51" s="11"/>
      <c r="S51" s="11"/>
      <c r="T51" s="11"/>
      <c r="U51" s="11"/>
      <c r="V51" s="11"/>
      <c r="W51" s="11"/>
      <c r="X51" s="11"/>
      <c r="Y51" s="11"/>
      <c r="Z51" s="11"/>
      <c r="AA51" s="172"/>
      <c r="AB51" s="172"/>
      <c r="AC51" s="172"/>
      <c r="AD51" s="172"/>
      <c r="AE51" s="11"/>
      <c r="AF51" s="11"/>
      <c r="AG51" s="172"/>
      <c r="AH51" s="172"/>
      <c r="AI51" s="172"/>
      <c r="AJ51" s="172"/>
      <c r="AK51" s="172"/>
      <c r="AL51" s="172"/>
      <c r="AM51" s="11"/>
      <c r="AN51" s="11"/>
      <c r="AO51" s="11"/>
      <c r="AP51" s="11"/>
      <c r="AQ51" s="11"/>
      <c r="AR51" s="11"/>
      <c r="AS51" s="11"/>
      <c r="AT51" s="11"/>
      <c r="AU51" s="11"/>
      <c r="AV51" s="11"/>
    </row>
    <row r="52">
      <c r="A52" s="11"/>
      <c r="B52" s="11"/>
      <c r="C52" s="11"/>
      <c r="D52" s="11"/>
      <c r="E52" s="11"/>
      <c r="F52" s="11"/>
      <c r="G52" s="171">
        <v>1.0</v>
      </c>
      <c r="H52" s="172" t="s">
        <v>28</v>
      </c>
      <c r="I52" s="174"/>
      <c r="J52" s="177" t="b">
        <v>1</v>
      </c>
      <c r="K52" s="174">
        <v>20.0</v>
      </c>
      <c r="L52" s="11"/>
      <c r="M52" s="171">
        <v>1.0</v>
      </c>
      <c r="N52" s="172" t="s">
        <v>28</v>
      </c>
      <c r="O52" s="174"/>
      <c r="P52" s="177" t="b">
        <v>0</v>
      </c>
      <c r="Q52" s="174">
        <v>17.0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72"/>
      <c r="AD52" s="172"/>
      <c r="AE52" s="172"/>
      <c r="AF52" s="172"/>
      <c r="AG52" s="172"/>
      <c r="AH52" s="172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</row>
    <row r="53">
      <c r="A53" s="171">
        <v>7.0</v>
      </c>
      <c r="B53" s="172" t="s">
        <v>88</v>
      </c>
      <c r="C53" s="174"/>
      <c r="D53" s="177" t="b">
        <v>1</v>
      </c>
      <c r="E53" s="174">
        <v>20.0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72"/>
      <c r="AB53" s="172"/>
      <c r="AC53" s="172"/>
      <c r="AD53" s="172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>
      <c r="A54" s="171">
        <v>2.0</v>
      </c>
      <c r="B54" s="172" t="s">
        <v>74</v>
      </c>
      <c r="C54" s="174"/>
      <c r="D54" s="177" t="b">
        <v>0</v>
      </c>
      <c r="E54" s="174">
        <v>17.0</v>
      </c>
      <c r="F54" s="11"/>
      <c r="G54" s="171">
        <v>4.0</v>
      </c>
      <c r="H54" s="172" t="s">
        <v>69</v>
      </c>
      <c r="I54" s="174"/>
      <c r="J54" s="177" t="b">
        <v>0</v>
      </c>
      <c r="K54" s="174">
        <v>17.0</v>
      </c>
      <c r="L54" s="11"/>
      <c r="M54" s="7"/>
      <c r="N54" s="7"/>
      <c r="O54" s="7"/>
      <c r="P54" s="7"/>
      <c r="Q54" s="7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72"/>
      <c r="AD54" s="172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</row>
    <row r="55">
      <c r="A55" s="11"/>
      <c r="B55" s="11"/>
      <c r="C55" s="11"/>
      <c r="D55" s="11"/>
      <c r="E55" s="11"/>
      <c r="F55" s="11"/>
      <c r="G55" s="171">
        <v>3.0</v>
      </c>
      <c r="H55" s="172" t="s">
        <v>61</v>
      </c>
      <c r="I55" s="174"/>
      <c r="J55" s="177" t="b">
        <v>1</v>
      </c>
      <c r="K55" s="174">
        <v>20.0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72"/>
      <c r="AF55" s="172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</row>
    <row r="56">
      <c r="A56" s="171">
        <v>6.0</v>
      </c>
      <c r="B56" s="172" t="s">
        <v>46</v>
      </c>
      <c r="C56" s="174"/>
      <c r="D56" s="177" t="b">
        <v>0</v>
      </c>
      <c r="E56" s="174">
        <v>17.0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</row>
    <row r="57">
      <c r="A57" s="171">
        <v>3.0</v>
      </c>
      <c r="B57" s="172" t="s">
        <v>61</v>
      </c>
      <c r="C57" s="174"/>
      <c r="D57" s="177" t="b">
        <v>1</v>
      </c>
      <c r="E57" s="174">
        <v>20.0</v>
      </c>
      <c r="F57" s="11"/>
      <c r="G57" s="7"/>
      <c r="H57" s="7"/>
      <c r="I57" s="7"/>
      <c r="J57" s="7"/>
      <c r="K57" s="7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72"/>
      <c r="AB57" s="172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</row>
    <row r="59">
      <c r="A59" s="171">
        <v>5.0</v>
      </c>
      <c r="B59" s="172" t="s">
        <v>23</v>
      </c>
      <c r="C59" s="174"/>
      <c r="D59" s="177" t="b">
        <v>0</v>
      </c>
      <c r="E59" s="174">
        <v>17.0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</row>
    <row r="60">
      <c r="A60" s="171">
        <v>4.0</v>
      </c>
      <c r="B60" s="172" t="s">
        <v>69</v>
      </c>
      <c r="C60" s="174"/>
      <c r="D60" s="177" t="b">
        <v>1</v>
      </c>
      <c r="E60" s="174">
        <v>20.0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72"/>
      <c r="AB60" s="172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7"/>
      <c r="S61" s="170" t="s">
        <v>502</v>
      </c>
      <c r="T61" s="7"/>
      <c r="U61" s="170" t="s">
        <v>496</v>
      </c>
      <c r="V61" s="170" t="s">
        <v>497</v>
      </c>
      <c r="W61" s="170" t="s">
        <v>503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</row>
    <row r="62">
      <c r="A62" s="7"/>
      <c r="B62" s="7"/>
      <c r="C62" s="7"/>
      <c r="D62" s="7"/>
      <c r="E62" s="7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73" t="s">
        <v>493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71">
        <v>3.0</v>
      </c>
      <c r="S63" s="172" t="s">
        <v>61</v>
      </c>
      <c r="T63" s="174"/>
      <c r="U63" s="177" t="b">
        <v>0</v>
      </c>
      <c r="V63" s="174">
        <v>17.0</v>
      </c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</row>
    <row r="64">
      <c r="A64" s="7"/>
      <c r="B64" s="170" t="s">
        <v>490</v>
      </c>
      <c r="C64" s="7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71">
        <v>2.0</v>
      </c>
      <c r="S64" s="172" t="s">
        <v>39</v>
      </c>
      <c r="T64" s="174"/>
      <c r="U64" s="177" t="b">
        <v>1</v>
      </c>
      <c r="V64" s="174">
        <v>20.0</v>
      </c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</row>
    <row r="65">
      <c r="A65" s="171">
        <v>1.0</v>
      </c>
      <c r="B65" s="172" t="s">
        <v>54</v>
      </c>
      <c r="C65" s="174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</row>
    <row r="66">
      <c r="A66" s="171">
        <v>2.0</v>
      </c>
      <c r="B66" s="172" t="s">
        <v>39</v>
      </c>
      <c r="C66" s="174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7"/>
      <c r="S66" s="7"/>
      <c r="T66" s="7"/>
      <c r="U66" s="7"/>
      <c r="V66" s="7"/>
      <c r="W66" s="7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</row>
    <row r="67">
      <c r="A67" s="171">
        <v>3.0</v>
      </c>
      <c r="B67" s="172" t="s">
        <v>27</v>
      </c>
      <c r="C67" s="174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</row>
    <row r="68">
      <c r="A68" s="171">
        <v>4.0</v>
      </c>
      <c r="B68" s="172" t="s">
        <v>126</v>
      </c>
      <c r="C68" s="174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</row>
    <row r="69">
      <c r="A69" s="171">
        <v>5.0</v>
      </c>
      <c r="B69" s="172" t="s">
        <v>24</v>
      </c>
      <c r="C69" s="174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</row>
    <row r="70">
      <c r="A70" s="171">
        <v>6.0</v>
      </c>
      <c r="B70" s="172" t="s">
        <v>84</v>
      </c>
      <c r="C70" s="174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</row>
    <row r="71">
      <c r="A71" s="171">
        <v>7.0</v>
      </c>
      <c r="B71" s="172" t="s">
        <v>44</v>
      </c>
      <c r="C71" s="174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</row>
    <row r="72">
      <c r="A72" s="7"/>
      <c r="B72" s="7"/>
      <c r="C72" s="7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</row>
    <row r="74">
      <c r="A74" s="7"/>
      <c r="B74" s="170" t="s">
        <v>505</v>
      </c>
      <c r="C74" s="7"/>
      <c r="D74" s="170" t="s">
        <v>496</v>
      </c>
      <c r="E74" s="170" t="s">
        <v>497</v>
      </c>
      <c r="F74" s="11"/>
      <c r="G74" s="7"/>
      <c r="H74" s="170" t="s">
        <v>506</v>
      </c>
      <c r="I74" s="7"/>
      <c r="J74" s="170" t="s">
        <v>496</v>
      </c>
      <c r="K74" s="170" t="s">
        <v>497</v>
      </c>
      <c r="L74" s="11"/>
      <c r="M74" s="7"/>
      <c r="N74" s="170" t="s">
        <v>507</v>
      </c>
      <c r="O74" s="7"/>
      <c r="P74" s="170" t="s">
        <v>496</v>
      </c>
      <c r="Q74" s="170" t="s">
        <v>497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</row>
    <row r="76">
      <c r="A76" s="171" t="s">
        <v>501</v>
      </c>
      <c r="B76" s="172" t="s">
        <v>54</v>
      </c>
      <c r="C76" s="174"/>
      <c r="D76" s="11"/>
      <c r="E76" s="11"/>
      <c r="F76" s="11"/>
      <c r="G76" s="171">
        <v>6.0</v>
      </c>
      <c r="H76" s="172" t="s">
        <v>84</v>
      </c>
      <c r="I76" s="174"/>
      <c r="J76" s="177" t="b">
        <v>0</v>
      </c>
      <c r="K76" s="174">
        <v>17.0</v>
      </c>
      <c r="L76" s="11"/>
      <c r="M76" s="171">
        <v>2.0</v>
      </c>
      <c r="N76" s="172" t="s">
        <v>39</v>
      </c>
      <c r="O76" s="174"/>
      <c r="P76" s="177" t="b">
        <v>1</v>
      </c>
      <c r="Q76" s="174">
        <v>20.0</v>
      </c>
      <c r="R76" s="11"/>
      <c r="S76" s="11"/>
      <c r="T76" s="11"/>
      <c r="U76" s="11"/>
      <c r="V76" s="11"/>
      <c r="W76" s="11"/>
      <c r="X76" s="11"/>
      <c r="Y76" s="11"/>
      <c r="Z76" s="11"/>
      <c r="AA76" s="172"/>
      <c r="AB76" s="172"/>
      <c r="AC76" s="172"/>
      <c r="AD76" s="172"/>
      <c r="AE76" s="11"/>
      <c r="AF76" s="11"/>
      <c r="AG76" s="172"/>
      <c r="AH76" s="172"/>
      <c r="AI76" s="172"/>
      <c r="AJ76" s="172"/>
      <c r="AK76" s="172"/>
      <c r="AL76" s="172"/>
      <c r="AM76" s="11"/>
      <c r="AN76" s="11"/>
      <c r="AO76" s="11"/>
      <c r="AP76" s="11"/>
      <c r="AQ76" s="11"/>
      <c r="AR76" s="11"/>
      <c r="AS76" s="11"/>
      <c r="AT76" s="11"/>
      <c r="AU76" s="11"/>
      <c r="AV76" s="11"/>
    </row>
    <row r="77">
      <c r="A77" s="11"/>
      <c r="B77" s="11"/>
      <c r="C77" s="11"/>
      <c r="D77" s="11"/>
      <c r="E77" s="11"/>
      <c r="F77" s="11"/>
      <c r="G77" s="171">
        <v>1.0</v>
      </c>
      <c r="H77" s="172" t="s">
        <v>54</v>
      </c>
      <c r="I77" s="174"/>
      <c r="J77" s="177" t="b">
        <v>1</v>
      </c>
      <c r="K77" s="174">
        <v>20.0</v>
      </c>
      <c r="L77" s="11"/>
      <c r="M77" s="171">
        <v>1.0</v>
      </c>
      <c r="N77" s="172" t="s">
        <v>54</v>
      </c>
      <c r="O77" s="174"/>
      <c r="P77" s="177" t="b">
        <v>0</v>
      </c>
      <c r="Q77" s="174">
        <v>17.0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72"/>
      <c r="AD77" s="172"/>
      <c r="AE77" s="172"/>
      <c r="AF77" s="172"/>
      <c r="AG77" s="172"/>
      <c r="AH77" s="172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</row>
    <row r="78">
      <c r="A78" s="171">
        <v>7.0</v>
      </c>
      <c r="B78" s="172" t="s">
        <v>44</v>
      </c>
      <c r="C78" s="174"/>
      <c r="D78" s="177" t="b">
        <v>0</v>
      </c>
      <c r="E78" s="174">
        <v>17.0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72"/>
      <c r="AD78" s="172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</row>
    <row r="79">
      <c r="A79" s="171">
        <v>2.0</v>
      </c>
      <c r="B79" s="172" t="s">
        <v>39</v>
      </c>
      <c r="C79" s="174"/>
      <c r="D79" s="177" t="b">
        <v>1</v>
      </c>
      <c r="E79" s="174">
        <v>20.0</v>
      </c>
      <c r="F79" s="11"/>
      <c r="G79" s="171">
        <v>5.0</v>
      </c>
      <c r="H79" s="172" t="s">
        <v>24</v>
      </c>
      <c r="I79" s="174"/>
      <c r="J79" s="177" t="b">
        <v>0</v>
      </c>
      <c r="K79" s="174">
        <v>17.0</v>
      </c>
      <c r="L79" s="11"/>
      <c r="M79" s="7"/>
      <c r="N79" s="7"/>
      <c r="O79" s="7"/>
      <c r="P79" s="7"/>
      <c r="Q79" s="7"/>
      <c r="R79" s="11"/>
      <c r="S79" s="11"/>
      <c r="T79" s="11"/>
      <c r="U79" s="11"/>
      <c r="V79" s="11"/>
      <c r="W79" s="11"/>
      <c r="X79" s="11"/>
      <c r="Y79" s="11"/>
      <c r="Z79" s="11"/>
      <c r="AA79" s="172"/>
      <c r="AB79" s="172"/>
      <c r="AC79" s="172"/>
      <c r="AD79" s="172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</row>
    <row r="80">
      <c r="A80" s="11"/>
      <c r="B80" s="11"/>
      <c r="C80" s="11"/>
      <c r="D80" s="11"/>
      <c r="E80" s="11"/>
      <c r="F80" s="11"/>
      <c r="G80" s="171">
        <v>2.0</v>
      </c>
      <c r="H80" s="172" t="s">
        <v>39</v>
      </c>
      <c r="I80" s="174"/>
      <c r="J80" s="177" t="b">
        <v>1</v>
      </c>
      <c r="K80" s="174">
        <v>20.0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72"/>
      <c r="AF80" s="172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</row>
    <row r="81">
      <c r="A81" s="171">
        <v>6.0</v>
      </c>
      <c r="B81" s="172" t="s">
        <v>84</v>
      </c>
      <c r="C81" s="174"/>
      <c r="D81" s="177" t="b">
        <v>1</v>
      </c>
      <c r="E81" s="174">
        <v>20.0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72"/>
      <c r="AB81" s="172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</row>
    <row r="82">
      <c r="A82" s="171">
        <v>3.0</v>
      </c>
      <c r="B82" s="172" t="s">
        <v>27</v>
      </c>
      <c r="C82" s="174"/>
      <c r="D82" s="177" t="b">
        <v>0</v>
      </c>
      <c r="E82" s="174">
        <v>17.0</v>
      </c>
      <c r="F82" s="11"/>
      <c r="G82" s="7"/>
      <c r="H82" s="7"/>
      <c r="I82" s="7"/>
      <c r="J82" s="7"/>
      <c r="K82" s="7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</row>
    <row r="84">
      <c r="A84" s="171">
        <v>5.0</v>
      </c>
      <c r="B84" s="172" t="s">
        <v>24</v>
      </c>
      <c r="C84" s="174"/>
      <c r="D84" s="177" t="b">
        <v>1</v>
      </c>
      <c r="E84" s="174">
        <v>20.0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72"/>
      <c r="AB84" s="172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</row>
    <row r="85">
      <c r="A85" s="171">
        <v>4.0</v>
      </c>
      <c r="B85" s="172" t="s">
        <v>126</v>
      </c>
      <c r="C85" s="174"/>
      <c r="D85" s="177" t="b">
        <v>0</v>
      </c>
      <c r="E85" s="174">
        <v>17.0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</row>
    <row r="87">
      <c r="A87" s="7"/>
      <c r="B87" s="7"/>
      <c r="C87" s="7"/>
      <c r="D87" s="7"/>
      <c r="E87" s="7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5.63"/>
  </cols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462</v>
      </c>
      <c r="D2" s="138" t="s">
        <v>463</v>
      </c>
      <c r="E2" s="89"/>
      <c r="F2" s="90"/>
      <c r="G2" s="139" t="s">
        <v>40</v>
      </c>
      <c r="H2" s="138" t="s">
        <v>468</v>
      </c>
      <c r="I2" s="138" t="s">
        <v>464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477</v>
      </c>
      <c r="D3" s="138" t="s">
        <v>479</v>
      </c>
      <c r="E3" s="89"/>
      <c r="F3" s="90"/>
      <c r="G3" s="140" t="s">
        <v>39</v>
      </c>
      <c r="H3" s="138" t="s">
        <v>462</v>
      </c>
      <c r="I3" s="138" t="s">
        <v>466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474</v>
      </c>
      <c r="D4" s="138" t="s">
        <v>475</v>
      </c>
      <c r="E4" s="89"/>
      <c r="F4" s="90"/>
      <c r="G4" s="142" t="s">
        <v>24</v>
      </c>
      <c r="H4" s="138" t="s">
        <v>486</v>
      </c>
      <c r="I4" s="138" t="s">
        <v>487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474</v>
      </c>
      <c r="D5" s="138" t="s">
        <v>464</v>
      </c>
      <c r="E5" s="89"/>
      <c r="F5" s="90"/>
      <c r="G5" s="144" t="s">
        <v>93</v>
      </c>
      <c r="H5" s="138" t="s">
        <v>480</v>
      </c>
      <c r="I5" s="138" t="s">
        <v>479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486</v>
      </c>
      <c r="D8" s="138" t="s">
        <v>487</v>
      </c>
      <c r="E8" s="89"/>
      <c r="F8" s="90"/>
      <c r="G8" s="146" t="s">
        <v>84</v>
      </c>
      <c r="H8" s="138" t="s">
        <v>465</v>
      </c>
      <c r="I8" s="138" t="s">
        <v>466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476</v>
      </c>
      <c r="D9" s="138" t="s">
        <v>471</v>
      </c>
      <c r="E9" s="89"/>
      <c r="F9" s="90"/>
      <c r="G9" s="148" t="s">
        <v>54</v>
      </c>
      <c r="H9" s="138" t="s">
        <v>483</v>
      </c>
      <c r="I9" s="138" t="s">
        <v>475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470</v>
      </c>
      <c r="D10" s="138" t="s">
        <v>471</v>
      </c>
      <c r="E10" s="89"/>
      <c r="F10" s="90"/>
      <c r="G10" s="150" t="s">
        <v>92</v>
      </c>
      <c r="H10" s="138" t="s">
        <v>480</v>
      </c>
      <c r="I10" s="138" t="s">
        <v>466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474</v>
      </c>
      <c r="D11" s="138" t="s">
        <v>464</v>
      </c>
      <c r="E11" s="89"/>
      <c r="F11" s="90"/>
      <c r="G11" s="152" t="s">
        <v>85</v>
      </c>
      <c r="H11" s="138" t="s">
        <v>470</v>
      </c>
      <c r="I11" s="138" t="s">
        <v>463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468</v>
      </c>
      <c r="D14" s="138" t="s">
        <v>475</v>
      </c>
      <c r="E14" s="89"/>
      <c r="F14" s="90"/>
      <c r="G14" s="154" t="s">
        <v>27</v>
      </c>
      <c r="H14" s="138" t="s">
        <v>467</v>
      </c>
      <c r="I14" s="138" t="s">
        <v>463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476</v>
      </c>
      <c r="D15" s="138" t="s">
        <v>479</v>
      </c>
      <c r="E15" s="89"/>
      <c r="F15" s="90"/>
      <c r="G15" s="156" t="s">
        <v>26</v>
      </c>
      <c r="H15" s="138" t="s">
        <v>483</v>
      </c>
      <c r="I15" s="138" t="s">
        <v>475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480</v>
      </c>
      <c r="D16" s="138" t="s">
        <v>466</v>
      </c>
      <c r="E16" s="89"/>
      <c r="F16" s="90"/>
      <c r="G16" s="159" t="s">
        <v>51</v>
      </c>
      <c r="H16" s="138" t="s">
        <v>483</v>
      </c>
      <c r="I16" s="138" t="s">
        <v>466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468</v>
      </c>
      <c r="D17" s="138" t="s">
        <v>475</v>
      </c>
      <c r="E17" s="89"/>
      <c r="F17" s="90"/>
      <c r="G17" s="161" t="s">
        <v>44</v>
      </c>
      <c r="H17" s="138" t="s">
        <v>462</v>
      </c>
      <c r="I17" s="138" t="s">
        <v>466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468</v>
      </c>
      <c r="D20" s="138" t="s">
        <v>464</v>
      </c>
      <c r="E20" s="89"/>
      <c r="F20" s="90"/>
      <c r="G20" s="163" t="s">
        <v>48</v>
      </c>
      <c r="H20" s="138" t="s">
        <v>469</v>
      </c>
      <c r="I20" s="138" t="s">
        <v>464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467</v>
      </c>
      <c r="D21" s="138" t="s">
        <v>464</v>
      </c>
      <c r="E21" s="89"/>
      <c r="F21" s="90"/>
      <c r="G21" s="165" t="s">
        <v>126</v>
      </c>
      <c r="H21" s="138" t="s">
        <v>477</v>
      </c>
      <c r="I21" s="138" t="s">
        <v>471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462</v>
      </c>
      <c r="D22" s="138" t="s">
        <v>464</v>
      </c>
      <c r="E22" s="89"/>
      <c r="F22" s="90"/>
      <c r="G22" s="167" t="s">
        <v>29</v>
      </c>
      <c r="H22" s="138" t="s">
        <v>465</v>
      </c>
      <c r="I22" s="138" t="s">
        <v>475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476</v>
      </c>
      <c r="D23" s="138" t="s">
        <v>479</v>
      </c>
      <c r="E23" s="89"/>
      <c r="F23" s="90"/>
      <c r="G23" s="169" t="s">
        <v>41</v>
      </c>
      <c r="H23" s="138" t="s">
        <v>476</v>
      </c>
      <c r="I23" s="138" t="s">
        <v>466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23</v>
      </c>
      <c r="C26" s="67"/>
      <c r="D26" s="67"/>
      <c r="E26" s="89"/>
      <c r="F26" s="171">
        <v>1.0</v>
      </c>
      <c r="G26" s="172" t="s">
        <v>24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71</v>
      </c>
      <c r="C27" s="67"/>
      <c r="D27" s="67"/>
      <c r="E27" s="89"/>
      <c r="F27" s="171">
        <v>2.0</v>
      </c>
      <c r="G27" s="172" t="s">
        <v>27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61</v>
      </c>
      <c r="C28" s="67"/>
      <c r="D28" s="67"/>
      <c r="E28" s="89"/>
      <c r="F28" s="172">
        <v>3.0</v>
      </c>
      <c r="G28" s="172" t="s">
        <v>54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74</v>
      </c>
      <c r="C29" s="67"/>
      <c r="D29" s="67"/>
      <c r="E29" s="89"/>
      <c r="F29" s="171">
        <v>4.0</v>
      </c>
      <c r="G29" s="172" t="s">
        <v>48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69</v>
      </c>
      <c r="C30" s="67"/>
      <c r="D30" s="67"/>
      <c r="E30" s="89"/>
      <c r="F30" s="171">
        <v>5.0</v>
      </c>
      <c r="G30" s="172" t="s">
        <v>40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46</v>
      </c>
      <c r="C31" s="67"/>
      <c r="D31" s="67"/>
      <c r="E31" s="89"/>
      <c r="F31" s="171">
        <v>6.0</v>
      </c>
      <c r="G31" s="172" t="s">
        <v>39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28</v>
      </c>
      <c r="C32" s="67"/>
      <c r="D32" s="67"/>
      <c r="E32" s="89"/>
      <c r="F32" s="171">
        <v>7.0</v>
      </c>
      <c r="G32" s="172" t="s">
        <v>44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494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23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71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61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74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69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46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28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23</v>
      </c>
      <c r="C51" s="23"/>
      <c r="D51" s="49"/>
      <c r="E51" s="49"/>
      <c r="F51" s="49"/>
      <c r="G51" s="171">
        <v>7.0</v>
      </c>
      <c r="H51" s="172" t="s">
        <v>28</v>
      </c>
      <c r="I51" s="23"/>
      <c r="J51" s="176" t="b">
        <v>0</v>
      </c>
      <c r="K51" s="172">
        <v>17.0</v>
      </c>
      <c r="L51" s="49"/>
      <c r="M51" s="171">
        <v>4.0</v>
      </c>
      <c r="N51" s="172" t="s">
        <v>74</v>
      </c>
      <c r="O51" s="23"/>
      <c r="P51" s="176" t="b">
        <v>0</v>
      </c>
      <c r="Q51" s="172">
        <v>17.0</v>
      </c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23</v>
      </c>
      <c r="I52" s="23"/>
      <c r="J52" s="176" t="b">
        <v>1</v>
      </c>
      <c r="K52" s="172">
        <v>20.0</v>
      </c>
      <c r="L52" s="49"/>
      <c r="M52" s="171">
        <v>1.0</v>
      </c>
      <c r="N52" s="172" t="s">
        <v>23</v>
      </c>
      <c r="O52" s="23"/>
      <c r="P52" s="176" t="b">
        <v>1</v>
      </c>
      <c r="Q52" s="172">
        <v>20.0</v>
      </c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28</v>
      </c>
      <c r="C53" s="23"/>
      <c r="D53" s="176" t="b">
        <v>1</v>
      </c>
      <c r="E53" s="172">
        <v>20.0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71</v>
      </c>
      <c r="C54" s="23"/>
      <c r="D54" s="176" t="b">
        <v>0</v>
      </c>
      <c r="E54" s="172">
        <v>17.0</v>
      </c>
      <c r="F54" s="49"/>
      <c r="G54" s="171">
        <v>4.0</v>
      </c>
      <c r="H54" s="172" t="s">
        <v>74</v>
      </c>
      <c r="I54" s="23"/>
      <c r="J54" s="176" t="b">
        <v>1</v>
      </c>
      <c r="K54" s="172">
        <v>20.0</v>
      </c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3.0</v>
      </c>
      <c r="H55" s="172" t="s">
        <v>61</v>
      </c>
      <c r="I55" s="23"/>
      <c r="J55" s="176" t="b">
        <v>0</v>
      </c>
      <c r="K55" s="172">
        <v>17.0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46</v>
      </c>
      <c r="C56" s="23"/>
      <c r="D56" s="176" t="b">
        <v>0</v>
      </c>
      <c r="E56" s="172">
        <v>17.0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61</v>
      </c>
      <c r="C57" s="23"/>
      <c r="D57" s="176" t="b">
        <v>1</v>
      </c>
      <c r="E57" s="172">
        <v>20.0</v>
      </c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69</v>
      </c>
      <c r="C59" s="23"/>
      <c r="D59" s="176" t="b">
        <v>0</v>
      </c>
      <c r="E59" s="172">
        <v>17.0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74</v>
      </c>
      <c r="C60" s="23"/>
      <c r="D60" s="176" t="b">
        <v>1</v>
      </c>
      <c r="E60" s="172">
        <v>20.0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494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1.0</v>
      </c>
      <c r="S63" s="172" t="s">
        <v>23</v>
      </c>
      <c r="T63" s="23"/>
      <c r="U63" s="176" t="b">
        <v>1</v>
      </c>
      <c r="V63" s="172">
        <v>20.0</v>
      </c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6.0</v>
      </c>
      <c r="S64" s="172" t="s">
        <v>39</v>
      </c>
      <c r="T64" s="23"/>
      <c r="U64" s="176" t="b">
        <v>0</v>
      </c>
      <c r="V64" s="172">
        <v>17.0</v>
      </c>
      <c r="W64" s="49"/>
      <c r="X64" s="49"/>
    </row>
    <row r="65">
      <c r="A65" s="171">
        <v>1.0</v>
      </c>
      <c r="B65" s="172" t="s">
        <v>24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27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54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48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40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39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44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24</v>
      </c>
      <c r="C76" s="23"/>
      <c r="D76" s="49"/>
      <c r="E76" s="49"/>
      <c r="F76" s="49"/>
      <c r="G76" s="171">
        <v>7.0</v>
      </c>
      <c r="H76" s="172" t="s">
        <v>44</v>
      </c>
      <c r="I76" s="23"/>
      <c r="J76" s="176" t="b">
        <v>0</v>
      </c>
      <c r="K76" s="172">
        <v>17.0</v>
      </c>
      <c r="L76" s="49"/>
      <c r="M76" s="171">
        <v>6.0</v>
      </c>
      <c r="N76" s="172" t="s">
        <v>39</v>
      </c>
      <c r="O76" s="23"/>
      <c r="P76" s="176" t="b">
        <v>1</v>
      </c>
      <c r="Q76" s="172">
        <v>20.0</v>
      </c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24</v>
      </c>
      <c r="I77" s="23"/>
      <c r="J77" s="176" t="b">
        <v>1</v>
      </c>
      <c r="K77" s="172">
        <v>20.0</v>
      </c>
      <c r="L77" s="49"/>
      <c r="M77" s="171">
        <v>1.0</v>
      </c>
      <c r="N77" s="172" t="s">
        <v>24</v>
      </c>
      <c r="O77" s="23"/>
      <c r="P77" s="176" t="b">
        <v>0</v>
      </c>
      <c r="Q77" s="172">
        <v>17.0</v>
      </c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44</v>
      </c>
      <c r="C78" s="23"/>
      <c r="D78" s="176" t="b">
        <v>1</v>
      </c>
      <c r="E78" s="172">
        <v>20.0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27</v>
      </c>
      <c r="C79" s="23"/>
      <c r="D79" s="176" t="b">
        <v>0</v>
      </c>
      <c r="E79" s="172">
        <v>17.0</v>
      </c>
      <c r="F79" s="49"/>
      <c r="G79" s="171">
        <v>6.0</v>
      </c>
      <c r="H79" s="172" t="s">
        <v>39</v>
      </c>
      <c r="I79" s="23"/>
      <c r="J79" s="176" t="b">
        <v>1</v>
      </c>
      <c r="K79" s="172">
        <v>20.0</v>
      </c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5.0</v>
      </c>
      <c r="H80" s="172" t="s">
        <v>40</v>
      </c>
      <c r="I80" s="23"/>
      <c r="J80" s="176" t="b">
        <v>0</v>
      </c>
      <c r="K80" s="172">
        <v>17.0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39</v>
      </c>
      <c r="C81" s="23"/>
      <c r="D81" s="176" t="b">
        <v>1</v>
      </c>
      <c r="E81" s="172">
        <v>20.0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54</v>
      </c>
      <c r="C82" s="23"/>
      <c r="D82" s="176" t="b">
        <v>0</v>
      </c>
      <c r="E82" s="172">
        <v>17.0</v>
      </c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40</v>
      </c>
      <c r="C84" s="23"/>
      <c r="D84" s="176" t="b">
        <v>1</v>
      </c>
      <c r="E84" s="172">
        <v>20.0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48</v>
      </c>
      <c r="C85" s="23"/>
      <c r="D85" s="176" t="b">
        <v>0</v>
      </c>
      <c r="E85" s="172">
        <v>17.0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474</v>
      </c>
      <c r="D2" s="138" t="s">
        <v>475</v>
      </c>
      <c r="E2" s="89"/>
      <c r="F2" s="90"/>
      <c r="G2" s="139" t="s">
        <v>40</v>
      </c>
      <c r="H2" s="138" t="s">
        <v>462</v>
      </c>
      <c r="I2" s="138" t="s">
        <v>463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462</v>
      </c>
      <c r="D3" s="138" t="s">
        <v>466</v>
      </c>
      <c r="E3" s="89"/>
      <c r="F3" s="90"/>
      <c r="G3" s="140" t="s">
        <v>39</v>
      </c>
      <c r="H3" s="138" t="s">
        <v>469</v>
      </c>
      <c r="I3" s="138" t="s">
        <v>471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469</v>
      </c>
      <c r="D4" s="138" t="s">
        <v>463</v>
      </c>
      <c r="E4" s="89"/>
      <c r="F4" s="90"/>
      <c r="G4" s="142" t="s">
        <v>24</v>
      </c>
      <c r="H4" s="138" t="s">
        <v>486</v>
      </c>
      <c r="I4" s="138" t="s">
        <v>487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483</v>
      </c>
      <c r="D5" s="138" t="s">
        <v>466</v>
      </c>
      <c r="E5" s="89"/>
      <c r="F5" s="90"/>
      <c r="G5" s="144" t="s">
        <v>93</v>
      </c>
      <c r="H5" s="138" t="s">
        <v>469</v>
      </c>
      <c r="I5" s="138" t="s">
        <v>466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468</v>
      </c>
      <c r="D8" s="138" t="s">
        <v>487</v>
      </c>
      <c r="E8" s="89"/>
      <c r="F8" s="90"/>
      <c r="G8" s="146" t="s">
        <v>84</v>
      </c>
      <c r="H8" s="138" t="s">
        <v>465</v>
      </c>
      <c r="I8" s="138" t="s">
        <v>463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508</v>
      </c>
      <c r="D9" s="138" t="s">
        <v>471</v>
      </c>
      <c r="E9" s="89"/>
      <c r="F9" s="90"/>
      <c r="G9" s="148" t="s">
        <v>54</v>
      </c>
      <c r="H9" s="138" t="s">
        <v>474</v>
      </c>
      <c r="I9" s="138" t="s">
        <v>475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477</v>
      </c>
      <c r="D10" s="138" t="s">
        <v>466</v>
      </c>
      <c r="E10" s="89"/>
      <c r="F10" s="90"/>
      <c r="G10" s="150" t="s">
        <v>92</v>
      </c>
      <c r="H10" s="138" t="s">
        <v>476</v>
      </c>
      <c r="I10" s="138" t="s">
        <v>471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474</v>
      </c>
      <c r="D11" s="138" t="s">
        <v>463</v>
      </c>
      <c r="E11" s="89"/>
      <c r="F11" s="90"/>
      <c r="G11" s="152" t="s">
        <v>85</v>
      </c>
      <c r="H11" s="138" t="s">
        <v>469</v>
      </c>
      <c r="I11" s="138" t="s">
        <v>463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467</v>
      </c>
      <c r="D14" s="138" t="s">
        <v>487</v>
      </c>
      <c r="E14" s="89"/>
      <c r="F14" s="90"/>
      <c r="G14" s="154" t="s">
        <v>27</v>
      </c>
      <c r="H14" s="138" t="s">
        <v>474</v>
      </c>
      <c r="I14" s="138" t="s">
        <v>463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476</v>
      </c>
      <c r="D15" s="138" t="s">
        <v>471</v>
      </c>
      <c r="E15" s="89"/>
      <c r="F15" s="90"/>
      <c r="G15" s="156" t="s">
        <v>26</v>
      </c>
      <c r="H15" s="138" t="s">
        <v>462</v>
      </c>
      <c r="I15" s="138" t="s">
        <v>475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470</v>
      </c>
      <c r="D16" s="138" t="s">
        <v>471</v>
      </c>
      <c r="E16" s="89"/>
      <c r="F16" s="90"/>
      <c r="G16" s="159" t="s">
        <v>51</v>
      </c>
      <c r="H16" s="138" t="s">
        <v>465</v>
      </c>
      <c r="I16" s="138" t="s">
        <v>471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462</v>
      </c>
      <c r="D17" s="138" t="s">
        <v>464</v>
      </c>
      <c r="E17" s="89"/>
      <c r="F17" s="90"/>
      <c r="G17" s="161" t="s">
        <v>44</v>
      </c>
      <c r="H17" s="138" t="s">
        <v>462</v>
      </c>
      <c r="I17" s="138" t="s">
        <v>463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474</v>
      </c>
      <c r="D20" s="138" t="s">
        <v>464</v>
      </c>
      <c r="E20" s="89"/>
      <c r="F20" s="90"/>
      <c r="G20" s="163" t="s">
        <v>48</v>
      </c>
      <c r="H20" s="138" t="s">
        <v>465</v>
      </c>
      <c r="I20" s="138" t="s">
        <v>464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467</v>
      </c>
      <c r="D21" s="138" t="s">
        <v>475</v>
      </c>
      <c r="E21" s="89"/>
      <c r="F21" s="90"/>
      <c r="G21" s="165" t="s">
        <v>126</v>
      </c>
      <c r="H21" s="138" t="s">
        <v>470</v>
      </c>
      <c r="I21" s="138" t="s">
        <v>471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468</v>
      </c>
      <c r="D22" s="138" t="s">
        <v>463</v>
      </c>
      <c r="E22" s="89"/>
      <c r="F22" s="90"/>
      <c r="G22" s="167" t="s">
        <v>29</v>
      </c>
      <c r="H22" s="138" t="s">
        <v>465</v>
      </c>
      <c r="I22" s="138" t="s">
        <v>463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476</v>
      </c>
      <c r="D23" s="138" t="s">
        <v>479</v>
      </c>
      <c r="E23" s="89"/>
      <c r="F23" s="90"/>
      <c r="G23" s="169" t="s">
        <v>41</v>
      </c>
      <c r="H23" s="138" t="s">
        <v>483</v>
      </c>
      <c r="I23" s="138" t="s">
        <v>464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61</v>
      </c>
      <c r="C26" s="67"/>
      <c r="D26" s="67"/>
      <c r="E26" s="89"/>
      <c r="F26" s="171">
        <v>1.0</v>
      </c>
      <c r="G26" s="172" t="s">
        <v>24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71</v>
      </c>
      <c r="C27" s="67"/>
      <c r="D27" s="67"/>
      <c r="E27" s="89"/>
      <c r="F27" s="171">
        <v>2.0</v>
      </c>
      <c r="G27" s="172" t="s">
        <v>54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23</v>
      </c>
      <c r="C28" s="67"/>
      <c r="D28" s="67"/>
      <c r="E28" s="89"/>
      <c r="F28" s="172">
        <v>3.0</v>
      </c>
      <c r="G28" s="172" t="s">
        <v>27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88</v>
      </c>
      <c r="C29" s="67"/>
      <c r="D29" s="67"/>
      <c r="E29" s="89"/>
      <c r="F29" s="171">
        <v>4.0</v>
      </c>
      <c r="G29" s="172" t="s">
        <v>41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76</v>
      </c>
      <c r="C30" s="67"/>
      <c r="D30" s="67"/>
      <c r="E30" s="89"/>
      <c r="F30" s="171">
        <v>5.0</v>
      </c>
      <c r="G30" s="172" t="s">
        <v>44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69</v>
      </c>
      <c r="C31" s="67"/>
      <c r="D31" s="67"/>
      <c r="E31" s="89"/>
      <c r="F31" s="171">
        <v>6.0</v>
      </c>
      <c r="G31" s="172" t="s">
        <v>40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28</v>
      </c>
      <c r="C32" s="67"/>
      <c r="D32" s="67"/>
      <c r="E32" s="89"/>
      <c r="F32" s="171">
        <v>7.0</v>
      </c>
      <c r="G32" s="172" t="s">
        <v>26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509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61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71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23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88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76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69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28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61</v>
      </c>
      <c r="C51" s="23"/>
      <c r="D51" s="49"/>
      <c r="E51" s="49"/>
      <c r="F51" s="49"/>
      <c r="G51" s="171">
        <v>4.0</v>
      </c>
      <c r="H51" s="172" t="s">
        <v>88</v>
      </c>
      <c r="I51" s="23"/>
      <c r="J51" s="176" t="b">
        <v>0</v>
      </c>
      <c r="K51" s="172"/>
      <c r="L51" s="49"/>
      <c r="M51" s="171">
        <v>2.0</v>
      </c>
      <c r="N51" s="172" t="s">
        <v>71</v>
      </c>
      <c r="O51" s="23"/>
      <c r="P51" s="176" t="b">
        <v>0</v>
      </c>
      <c r="Q51" s="172"/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61</v>
      </c>
      <c r="I52" s="23"/>
      <c r="J52" s="176" t="b">
        <v>1</v>
      </c>
      <c r="K52" s="172"/>
      <c r="L52" s="49"/>
      <c r="M52" s="171">
        <v>1.0</v>
      </c>
      <c r="N52" s="172" t="s">
        <v>61</v>
      </c>
      <c r="O52" s="23"/>
      <c r="P52" s="176" t="b">
        <v>1</v>
      </c>
      <c r="Q52" s="172"/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28</v>
      </c>
      <c r="C53" s="23"/>
      <c r="D53" s="176" t="b">
        <v>0</v>
      </c>
      <c r="E53" s="172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71</v>
      </c>
      <c r="C54" s="23"/>
      <c r="D54" s="176" t="b">
        <v>1</v>
      </c>
      <c r="E54" s="172"/>
      <c r="F54" s="49"/>
      <c r="G54" s="171">
        <v>3.0</v>
      </c>
      <c r="H54" s="172" t="s">
        <v>23</v>
      </c>
      <c r="I54" s="23"/>
      <c r="J54" s="176" t="b">
        <v>0</v>
      </c>
      <c r="K54" s="172"/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2.0</v>
      </c>
      <c r="H55" s="172" t="s">
        <v>71</v>
      </c>
      <c r="I55" s="23"/>
      <c r="J55" s="176" t="b">
        <v>1</v>
      </c>
      <c r="K55" s="172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69</v>
      </c>
      <c r="C56" s="23"/>
      <c r="D56" s="176" t="b">
        <v>0</v>
      </c>
      <c r="E56" s="172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23</v>
      </c>
      <c r="C57" s="23"/>
      <c r="D57" s="176" t="b">
        <v>1</v>
      </c>
      <c r="E57" s="172"/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76</v>
      </c>
      <c r="C59" s="23"/>
      <c r="D59" s="176" t="b">
        <v>0</v>
      </c>
      <c r="E59" s="172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88</v>
      </c>
      <c r="C60" s="23"/>
      <c r="D60" s="176" t="b">
        <v>1</v>
      </c>
      <c r="E60" s="172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510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1.0</v>
      </c>
      <c r="S63" s="172" t="s">
        <v>61</v>
      </c>
      <c r="T63" s="23"/>
      <c r="U63" s="176" t="b">
        <v>0</v>
      </c>
      <c r="V63" s="172"/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2.0</v>
      </c>
      <c r="S64" s="172" t="s">
        <v>54</v>
      </c>
      <c r="T64" s="23"/>
      <c r="U64" s="176" t="b">
        <v>1</v>
      </c>
      <c r="V64" s="172"/>
      <c r="W64" s="49"/>
      <c r="X64" s="49"/>
    </row>
    <row r="65">
      <c r="A65" s="171">
        <v>1.0</v>
      </c>
      <c r="B65" s="172" t="s">
        <v>24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54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27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41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44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40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26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24</v>
      </c>
      <c r="C76" s="23"/>
      <c r="D76" s="49"/>
      <c r="E76" s="49"/>
      <c r="F76" s="49"/>
      <c r="G76" s="171">
        <v>5.0</v>
      </c>
      <c r="H76" s="172" t="s">
        <v>44</v>
      </c>
      <c r="I76" s="23"/>
      <c r="J76" s="176" t="b">
        <v>0</v>
      </c>
      <c r="K76" s="172"/>
      <c r="L76" s="49"/>
      <c r="M76" s="171">
        <v>2.0</v>
      </c>
      <c r="N76" s="172" t="s">
        <v>54</v>
      </c>
      <c r="O76" s="23"/>
      <c r="P76" s="176" t="b">
        <v>1</v>
      </c>
      <c r="Q76" s="172"/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24</v>
      </c>
      <c r="I77" s="23"/>
      <c r="J77" s="176" t="b">
        <v>1</v>
      </c>
      <c r="K77" s="172"/>
      <c r="L77" s="49"/>
      <c r="M77" s="171">
        <v>1.0</v>
      </c>
      <c r="N77" s="172" t="s">
        <v>24</v>
      </c>
      <c r="O77" s="23"/>
      <c r="P77" s="176" t="b">
        <v>0</v>
      </c>
      <c r="Q77" s="172"/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26</v>
      </c>
      <c r="C78" s="23"/>
      <c r="D78" s="176" t="b">
        <v>0</v>
      </c>
      <c r="E78" s="172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54</v>
      </c>
      <c r="C79" s="23"/>
      <c r="D79" s="176" t="b">
        <v>1</v>
      </c>
      <c r="E79" s="172"/>
      <c r="F79" s="49"/>
      <c r="G79" s="171">
        <v>3.0</v>
      </c>
      <c r="H79" s="172" t="s">
        <v>27</v>
      </c>
      <c r="I79" s="23"/>
      <c r="J79" s="176" t="b">
        <v>0</v>
      </c>
      <c r="K79" s="172"/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2.0</v>
      </c>
      <c r="H80" s="172" t="s">
        <v>54</v>
      </c>
      <c r="I80" s="23"/>
      <c r="J80" s="176" t="b">
        <v>1</v>
      </c>
      <c r="K80" s="172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40</v>
      </c>
      <c r="C81" s="23"/>
      <c r="D81" s="176" t="b">
        <v>0</v>
      </c>
      <c r="E81" s="172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27</v>
      </c>
      <c r="C82" s="23"/>
      <c r="D82" s="176" t="b">
        <v>1</v>
      </c>
      <c r="E82" s="172"/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44</v>
      </c>
      <c r="C84" s="23"/>
      <c r="D84" s="176" t="b">
        <v>1</v>
      </c>
      <c r="E84" s="172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41</v>
      </c>
      <c r="C85" s="23"/>
      <c r="D85" s="176" t="b">
        <v>0</v>
      </c>
      <c r="E85" s="172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468</v>
      </c>
      <c r="D2" s="138" t="s">
        <v>464</v>
      </c>
      <c r="E2" s="89"/>
      <c r="F2" s="90"/>
      <c r="G2" s="139" t="s">
        <v>40</v>
      </c>
      <c r="H2" s="138" t="s">
        <v>474</v>
      </c>
      <c r="I2" s="138" t="s">
        <v>466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508</v>
      </c>
      <c r="D3" s="138" t="s">
        <v>479</v>
      </c>
      <c r="E3" s="89"/>
      <c r="F3" s="90"/>
      <c r="G3" s="140" t="s">
        <v>39</v>
      </c>
      <c r="H3" s="138" t="s">
        <v>486</v>
      </c>
      <c r="I3" s="138" t="s">
        <v>475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474</v>
      </c>
      <c r="D4" s="138" t="s">
        <v>475</v>
      </c>
      <c r="E4" s="89"/>
      <c r="F4" s="90"/>
      <c r="G4" s="142" t="s">
        <v>24</v>
      </c>
      <c r="H4" s="138" t="s">
        <v>474</v>
      </c>
      <c r="I4" s="138" t="s">
        <v>463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469</v>
      </c>
      <c r="D5" s="138" t="s">
        <v>463</v>
      </c>
      <c r="E5" s="89"/>
      <c r="F5" s="90"/>
      <c r="G5" s="144" t="s">
        <v>93</v>
      </c>
      <c r="H5" s="138" t="s">
        <v>480</v>
      </c>
      <c r="I5" s="138" t="s">
        <v>466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468</v>
      </c>
      <c r="D8" s="138" t="s">
        <v>487</v>
      </c>
      <c r="E8" s="89"/>
      <c r="F8" s="90"/>
      <c r="G8" s="146" t="s">
        <v>84</v>
      </c>
      <c r="H8" s="138" t="s">
        <v>462</v>
      </c>
      <c r="I8" s="138" t="s">
        <v>464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470</v>
      </c>
      <c r="D9" s="138" t="s">
        <v>471</v>
      </c>
      <c r="E9" s="89"/>
      <c r="F9" s="90"/>
      <c r="G9" s="148" t="s">
        <v>54</v>
      </c>
      <c r="H9" s="138" t="s">
        <v>467</v>
      </c>
      <c r="I9" s="138" t="s">
        <v>487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470</v>
      </c>
      <c r="D10" s="138" t="s">
        <v>466</v>
      </c>
      <c r="E10" s="89"/>
      <c r="F10" s="90"/>
      <c r="G10" s="150" t="s">
        <v>92</v>
      </c>
      <c r="H10" s="138" t="s">
        <v>477</v>
      </c>
      <c r="I10" s="138" t="s">
        <v>471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465</v>
      </c>
      <c r="D11" s="138" t="s">
        <v>463</v>
      </c>
      <c r="E11" s="89"/>
      <c r="F11" s="90"/>
      <c r="G11" s="152" t="s">
        <v>85</v>
      </c>
      <c r="H11" s="138" t="s">
        <v>477</v>
      </c>
      <c r="I11" s="138" t="s">
        <v>471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468</v>
      </c>
      <c r="D14" s="138" t="s">
        <v>464</v>
      </c>
      <c r="E14" s="89"/>
      <c r="F14" s="90"/>
      <c r="G14" s="154" t="s">
        <v>27</v>
      </c>
      <c r="H14" s="138" t="s">
        <v>462</v>
      </c>
      <c r="I14" s="138" t="s">
        <v>464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483</v>
      </c>
      <c r="D15" s="138" t="s">
        <v>466</v>
      </c>
      <c r="E15" s="89"/>
      <c r="F15" s="90"/>
      <c r="G15" s="156" t="s">
        <v>26</v>
      </c>
      <c r="H15" s="138" t="s">
        <v>474</v>
      </c>
      <c r="I15" s="138" t="s">
        <v>464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470</v>
      </c>
      <c r="D16" s="138" t="s">
        <v>471</v>
      </c>
      <c r="E16" s="89"/>
      <c r="F16" s="90"/>
      <c r="G16" s="159" t="s">
        <v>51</v>
      </c>
      <c r="H16" s="138" t="s">
        <v>469</v>
      </c>
      <c r="I16" s="138" t="s">
        <v>466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486</v>
      </c>
      <c r="D17" s="138" t="s">
        <v>475</v>
      </c>
      <c r="E17" s="89"/>
      <c r="F17" s="90"/>
      <c r="G17" s="161" t="s">
        <v>44</v>
      </c>
      <c r="H17" s="138" t="s">
        <v>480</v>
      </c>
      <c r="I17" s="138" t="s">
        <v>466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468</v>
      </c>
      <c r="D20" s="138" t="s">
        <v>475</v>
      </c>
      <c r="E20" s="89"/>
      <c r="F20" s="90"/>
      <c r="G20" s="163" t="s">
        <v>48</v>
      </c>
      <c r="H20" s="138" t="s">
        <v>468</v>
      </c>
      <c r="I20" s="138" t="s">
        <v>487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474</v>
      </c>
      <c r="D21" s="138" t="s">
        <v>475</v>
      </c>
      <c r="E21" s="89"/>
      <c r="F21" s="90"/>
      <c r="G21" s="165" t="s">
        <v>126</v>
      </c>
      <c r="H21" s="138" t="s">
        <v>483</v>
      </c>
      <c r="I21" s="138" t="s">
        <v>466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465</v>
      </c>
      <c r="D22" s="138" t="s">
        <v>471</v>
      </c>
      <c r="E22" s="89"/>
      <c r="F22" s="90"/>
      <c r="G22" s="167" t="s">
        <v>29</v>
      </c>
      <c r="H22" s="138" t="s">
        <v>470</v>
      </c>
      <c r="I22" s="138" t="s">
        <v>466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476</v>
      </c>
      <c r="D23" s="138" t="s">
        <v>471</v>
      </c>
      <c r="E23" s="89"/>
      <c r="F23" s="90"/>
      <c r="G23" s="169" t="s">
        <v>41</v>
      </c>
      <c r="H23" s="138" t="s">
        <v>476</v>
      </c>
      <c r="I23" s="138" t="s">
        <v>466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46</v>
      </c>
      <c r="C26" s="67"/>
      <c r="D26" s="67"/>
      <c r="E26" s="89"/>
      <c r="F26" s="171">
        <v>1.0</v>
      </c>
      <c r="G26" s="172" t="s">
        <v>39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23</v>
      </c>
      <c r="C27" s="67"/>
      <c r="D27" s="67"/>
      <c r="E27" s="89"/>
      <c r="F27" s="171">
        <v>2.0</v>
      </c>
      <c r="G27" s="172" t="s">
        <v>54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69</v>
      </c>
      <c r="C28" s="67"/>
      <c r="D28" s="67"/>
      <c r="E28" s="89"/>
      <c r="F28" s="172">
        <v>3.0</v>
      </c>
      <c r="G28" s="172" t="s">
        <v>48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88</v>
      </c>
      <c r="C29" s="67"/>
      <c r="D29" s="67"/>
      <c r="E29" s="89"/>
      <c r="F29" s="171">
        <v>4.0</v>
      </c>
      <c r="G29" s="172" t="s">
        <v>26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61</v>
      </c>
      <c r="C30" s="67"/>
      <c r="D30" s="67"/>
      <c r="E30" s="89"/>
      <c r="F30" s="171">
        <v>5.0</v>
      </c>
      <c r="G30" s="172" t="s">
        <v>24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74</v>
      </c>
      <c r="C31" s="67"/>
      <c r="D31" s="67"/>
      <c r="E31" s="89"/>
      <c r="F31" s="171">
        <v>6.0</v>
      </c>
      <c r="G31" s="172" t="s">
        <v>40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71</v>
      </c>
      <c r="C32" s="67"/>
      <c r="D32" s="67"/>
      <c r="E32" s="89"/>
      <c r="F32" s="171">
        <v>7.0</v>
      </c>
      <c r="G32" s="172" t="s">
        <v>84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494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46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23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69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88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61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74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71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46</v>
      </c>
      <c r="C51" s="23"/>
      <c r="D51" s="49"/>
      <c r="E51" s="49"/>
      <c r="F51" s="49"/>
      <c r="G51" s="171">
        <v>4.0</v>
      </c>
      <c r="H51" s="172" t="s">
        <v>88</v>
      </c>
      <c r="I51" s="23"/>
      <c r="J51" s="176" t="b">
        <v>1</v>
      </c>
      <c r="K51" s="172"/>
      <c r="L51" s="49"/>
      <c r="M51" s="171">
        <v>4.0</v>
      </c>
      <c r="N51" s="172" t="s">
        <v>88</v>
      </c>
      <c r="O51" s="23"/>
      <c r="P51" s="176" t="b">
        <v>0</v>
      </c>
      <c r="Q51" s="172"/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46</v>
      </c>
      <c r="I52" s="23"/>
      <c r="J52" s="176" t="b">
        <v>0</v>
      </c>
      <c r="K52" s="172"/>
      <c r="L52" s="49"/>
      <c r="M52" s="171">
        <v>2.0</v>
      </c>
      <c r="N52" s="172" t="s">
        <v>23</v>
      </c>
      <c r="O52" s="23"/>
      <c r="P52" s="176" t="b">
        <v>1</v>
      </c>
      <c r="Q52" s="172"/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71</v>
      </c>
      <c r="C53" s="23"/>
      <c r="D53" s="176" t="b">
        <v>0</v>
      </c>
      <c r="E53" s="172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23</v>
      </c>
      <c r="C54" s="23"/>
      <c r="D54" s="176" t="b">
        <v>1</v>
      </c>
      <c r="E54" s="172"/>
      <c r="F54" s="49"/>
      <c r="G54" s="171">
        <v>3.0</v>
      </c>
      <c r="H54" s="172" t="s">
        <v>69</v>
      </c>
      <c r="I54" s="23"/>
      <c r="J54" s="176" t="b">
        <v>0</v>
      </c>
      <c r="K54" s="172"/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2.0</v>
      </c>
      <c r="H55" s="172" t="s">
        <v>23</v>
      </c>
      <c r="I55" s="23"/>
      <c r="J55" s="176" t="b">
        <v>1</v>
      </c>
      <c r="K55" s="172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74</v>
      </c>
      <c r="C56" s="23"/>
      <c r="D56" s="176" t="b">
        <v>0</v>
      </c>
      <c r="E56" s="172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69</v>
      </c>
      <c r="C57" s="23"/>
      <c r="D57" s="176" t="b">
        <v>1</v>
      </c>
      <c r="E57" s="172"/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61</v>
      </c>
      <c r="C59" s="23"/>
      <c r="D59" s="176" t="b">
        <v>0</v>
      </c>
      <c r="E59" s="172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88</v>
      </c>
      <c r="C60" s="23"/>
      <c r="D60" s="176" t="b">
        <v>1</v>
      </c>
      <c r="E60" s="172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494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2.0</v>
      </c>
      <c r="S63" s="172" t="s">
        <v>23</v>
      </c>
      <c r="T63" s="23"/>
      <c r="U63" s="176" t="b">
        <v>1</v>
      </c>
      <c r="V63" s="172"/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1.0</v>
      </c>
      <c r="S64" s="172" t="s">
        <v>39</v>
      </c>
      <c r="T64" s="23"/>
      <c r="U64" s="176" t="b">
        <v>0</v>
      </c>
      <c r="V64" s="172"/>
      <c r="W64" s="49"/>
      <c r="X64" s="49"/>
    </row>
    <row r="65">
      <c r="A65" s="171">
        <v>1.0</v>
      </c>
      <c r="B65" s="172" t="s">
        <v>39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54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48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26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24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40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84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39</v>
      </c>
      <c r="C76" s="23"/>
      <c r="D76" s="49"/>
      <c r="E76" s="49"/>
      <c r="F76" s="49"/>
      <c r="G76" s="171">
        <v>4.0</v>
      </c>
      <c r="H76" s="172" t="s">
        <v>26</v>
      </c>
      <c r="I76" s="23"/>
      <c r="J76" s="176" t="b">
        <v>0</v>
      </c>
      <c r="K76" s="172"/>
      <c r="L76" s="49"/>
      <c r="M76" s="171">
        <v>3.0</v>
      </c>
      <c r="N76" s="172" t="s">
        <v>48</v>
      </c>
      <c r="O76" s="23"/>
      <c r="P76" s="176" t="b">
        <v>0</v>
      </c>
      <c r="Q76" s="172"/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39</v>
      </c>
      <c r="I77" s="23"/>
      <c r="J77" s="176" t="b">
        <v>1</v>
      </c>
      <c r="K77" s="172"/>
      <c r="L77" s="49"/>
      <c r="M77" s="171">
        <v>1.0</v>
      </c>
      <c r="N77" s="172" t="s">
        <v>39</v>
      </c>
      <c r="O77" s="23"/>
      <c r="P77" s="176" t="b">
        <v>1</v>
      </c>
      <c r="Q77" s="172"/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84</v>
      </c>
      <c r="C78" s="23"/>
      <c r="D78" s="176" t="b">
        <v>0</v>
      </c>
      <c r="E78" s="172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54</v>
      </c>
      <c r="C79" s="23"/>
      <c r="D79" s="176" t="b">
        <v>1</v>
      </c>
      <c r="E79" s="172"/>
      <c r="F79" s="49"/>
      <c r="G79" s="171">
        <v>3.0</v>
      </c>
      <c r="H79" s="172" t="s">
        <v>48</v>
      </c>
      <c r="I79" s="23"/>
      <c r="J79" s="176" t="b">
        <v>1</v>
      </c>
      <c r="K79" s="172"/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2.0</v>
      </c>
      <c r="H80" s="172" t="s">
        <v>54</v>
      </c>
      <c r="I80" s="23"/>
      <c r="J80" s="176" t="b">
        <v>0</v>
      </c>
      <c r="K80" s="172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40</v>
      </c>
      <c r="C81" s="23"/>
      <c r="D81" s="176" t="b">
        <v>0</v>
      </c>
      <c r="E81" s="172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48</v>
      </c>
      <c r="C82" s="23"/>
      <c r="D82" s="176" t="b">
        <v>1</v>
      </c>
      <c r="E82" s="172"/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24</v>
      </c>
      <c r="C84" s="23"/>
      <c r="D84" s="176" t="b">
        <v>0</v>
      </c>
      <c r="E84" s="172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26</v>
      </c>
      <c r="C85" s="23"/>
      <c r="D85" s="176" t="b">
        <v>1</v>
      </c>
      <c r="E85" s="172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468</v>
      </c>
      <c r="D2" s="138" t="s">
        <v>475</v>
      </c>
      <c r="E2" s="89"/>
      <c r="F2" s="90"/>
      <c r="G2" s="139" t="s">
        <v>40</v>
      </c>
      <c r="H2" s="138" t="s">
        <v>511</v>
      </c>
      <c r="I2" s="138" t="s">
        <v>475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470</v>
      </c>
      <c r="D3" s="138" t="s">
        <v>471</v>
      </c>
      <c r="E3" s="89"/>
      <c r="F3" s="90"/>
      <c r="G3" s="140" t="s">
        <v>39</v>
      </c>
      <c r="H3" s="138" t="s">
        <v>486</v>
      </c>
      <c r="I3" s="138" t="s">
        <v>475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512</v>
      </c>
      <c r="D4" s="138" t="s">
        <v>475</v>
      </c>
      <c r="E4" s="89"/>
      <c r="F4" s="90"/>
      <c r="G4" s="142" t="s">
        <v>24</v>
      </c>
      <c r="H4" s="138" t="s">
        <v>468</v>
      </c>
      <c r="I4" s="138" t="s">
        <v>466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470</v>
      </c>
      <c r="D5" s="138" t="s">
        <v>471</v>
      </c>
      <c r="E5" s="89"/>
      <c r="F5" s="90"/>
      <c r="G5" s="144" t="s">
        <v>93</v>
      </c>
      <c r="H5" s="138" t="s">
        <v>513</v>
      </c>
      <c r="I5" s="138" t="s">
        <v>479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512</v>
      </c>
      <c r="D8" s="138" t="s">
        <v>487</v>
      </c>
      <c r="E8" s="89"/>
      <c r="F8" s="90"/>
      <c r="G8" s="146" t="s">
        <v>84</v>
      </c>
      <c r="H8" s="138" t="s">
        <v>468</v>
      </c>
      <c r="I8" s="138" t="s">
        <v>475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476</v>
      </c>
      <c r="D9" s="138" t="s">
        <v>466</v>
      </c>
      <c r="E9" s="89"/>
      <c r="F9" s="90"/>
      <c r="G9" s="148" t="s">
        <v>54</v>
      </c>
      <c r="H9" s="138" t="s">
        <v>468</v>
      </c>
      <c r="I9" s="138" t="s">
        <v>464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514</v>
      </c>
      <c r="D10" s="138" t="s">
        <v>479</v>
      </c>
      <c r="E10" s="89"/>
      <c r="F10" s="90"/>
      <c r="G10" s="150" t="s">
        <v>92</v>
      </c>
      <c r="H10" s="138" t="s">
        <v>480</v>
      </c>
      <c r="I10" s="138" t="s">
        <v>471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462</v>
      </c>
      <c r="D11" s="138" t="s">
        <v>464</v>
      </c>
      <c r="E11" s="89"/>
      <c r="F11" s="90"/>
      <c r="G11" s="152" t="s">
        <v>85</v>
      </c>
      <c r="H11" s="138" t="s">
        <v>462</v>
      </c>
      <c r="I11" s="138" t="s">
        <v>466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468</v>
      </c>
      <c r="D14" s="138" t="s">
        <v>463</v>
      </c>
      <c r="E14" s="89"/>
      <c r="F14" s="90"/>
      <c r="G14" s="154" t="s">
        <v>27</v>
      </c>
      <c r="H14" s="138" t="s">
        <v>474</v>
      </c>
      <c r="I14" s="138" t="s">
        <v>463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508</v>
      </c>
      <c r="D15" s="138" t="s">
        <v>479</v>
      </c>
      <c r="E15" s="89"/>
      <c r="F15" s="90"/>
      <c r="G15" s="156" t="s">
        <v>26</v>
      </c>
      <c r="H15" s="138" t="s">
        <v>462</v>
      </c>
      <c r="I15" s="138" t="s">
        <v>463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486</v>
      </c>
      <c r="D16" s="138" t="s">
        <v>487</v>
      </c>
      <c r="E16" s="89"/>
      <c r="F16" s="90"/>
      <c r="G16" s="159" t="s">
        <v>51</v>
      </c>
      <c r="H16" s="138" t="s">
        <v>508</v>
      </c>
      <c r="I16" s="138" t="s">
        <v>471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462</v>
      </c>
      <c r="D17" s="138" t="s">
        <v>463</v>
      </c>
      <c r="E17" s="89"/>
      <c r="F17" s="90"/>
      <c r="G17" s="161" t="s">
        <v>44</v>
      </c>
      <c r="H17" s="138" t="s">
        <v>468</v>
      </c>
      <c r="I17" s="138" t="s">
        <v>475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465</v>
      </c>
      <c r="D20" s="138" t="s">
        <v>464</v>
      </c>
      <c r="E20" s="89"/>
      <c r="F20" s="90"/>
      <c r="G20" s="163" t="s">
        <v>48</v>
      </c>
      <c r="H20" s="138" t="s">
        <v>483</v>
      </c>
      <c r="I20" s="138" t="s">
        <v>464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480</v>
      </c>
      <c r="D21" s="138" t="s">
        <v>464</v>
      </c>
      <c r="E21" s="89"/>
      <c r="F21" s="90"/>
      <c r="G21" s="165" t="s">
        <v>126</v>
      </c>
      <c r="H21" s="138" t="s">
        <v>483</v>
      </c>
      <c r="I21" s="138" t="s">
        <v>463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469</v>
      </c>
      <c r="D22" s="138" t="s">
        <v>463</v>
      </c>
      <c r="E22" s="89"/>
      <c r="F22" s="90"/>
      <c r="G22" s="167" t="s">
        <v>29</v>
      </c>
      <c r="H22" s="138" t="s">
        <v>513</v>
      </c>
      <c r="I22" s="138" t="s">
        <v>479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477</v>
      </c>
      <c r="D23" s="138" t="s">
        <v>471</v>
      </c>
      <c r="E23" s="89"/>
      <c r="F23" s="90"/>
      <c r="G23" s="169" t="s">
        <v>41</v>
      </c>
      <c r="H23" s="138" t="s">
        <v>465</v>
      </c>
      <c r="I23" s="138" t="s">
        <v>475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23</v>
      </c>
      <c r="C26" s="67"/>
      <c r="D26" s="67"/>
      <c r="E26" s="89"/>
      <c r="F26" s="171">
        <v>1.0</v>
      </c>
      <c r="G26" s="172" t="s">
        <v>40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74</v>
      </c>
      <c r="C27" s="67"/>
      <c r="D27" s="67"/>
      <c r="E27" s="89"/>
      <c r="F27" s="171">
        <v>2.0</v>
      </c>
      <c r="G27" s="172" t="s">
        <v>44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33</v>
      </c>
      <c r="C28" s="67"/>
      <c r="D28" s="67"/>
      <c r="E28" s="89"/>
      <c r="F28" s="172">
        <v>3.0</v>
      </c>
      <c r="G28" s="172" t="s">
        <v>84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76</v>
      </c>
      <c r="C29" s="67"/>
      <c r="D29" s="67"/>
      <c r="E29" s="89"/>
      <c r="F29" s="171">
        <v>4.0</v>
      </c>
      <c r="G29" s="172" t="s">
        <v>48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88</v>
      </c>
      <c r="C30" s="67"/>
      <c r="D30" s="67"/>
      <c r="E30" s="89"/>
      <c r="F30" s="171">
        <v>5.0</v>
      </c>
      <c r="G30" s="172" t="s">
        <v>39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61</v>
      </c>
      <c r="C31" s="67"/>
      <c r="D31" s="67"/>
      <c r="E31" s="89"/>
      <c r="F31" s="171">
        <v>6.0</v>
      </c>
      <c r="G31" s="172" t="s">
        <v>24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28</v>
      </c>
      <c r="C32" s="67"/>
      <c r="D32" s="67"/>
      <c r="E32" s="89"/>
      <c r="F32" s="171">
        <v>7.0</v>
      </c>
      <c r="G32" s="172" t="s">
        <v>54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175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494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23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74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33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76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88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61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28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23</v>
      </c>
      <c r="C51" s="23"/>
      <c r="D51" s="49"/>
      <c r="E51" s="49"/>
      <c r="F51" s="49"/>
      <c r="G51" s="171">
        <v>5.0</v>
      </c>
      <c r="H51" s="172" t="s">
        <v>88</v>
      </c>
      <c r="I51" s="23"/>
      <c r="J51" s="176" t="b">
        <v>0</v>
      </c>
      <c r="K51" s="172">
        <v>17.0</v>
      </c>
      <c r="L51" s="49"/>
      <c r="M51" s="171">
        <v>2.0</v>
      </c>
      <c r="N51" s="172" t="s">
        <v>74</v>
      </c>
      <c r="O51" s="23"/>
      <c r="P51" s="176" t="b">
        <v>1</v>
      </c>
      <c r="Q51" s="172">
        <v>24.0</v>
      </c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23</v>
      </c>
      <c r="I52" s="23"/>
      <c r="J52" s="176" t="b">
        <v>1</v>
      </c>
      <c r="K52" s="172">
        <v>24.0</v>
      </c>
      <c r="L52" s="49"/>
      <c r="M52" s="171">
        <v>1.0</v>
      </c>
      <c r="N52" s="172" t="s">
        <v>23</v>
      </c>
      <c r="O52" s="23"/>
      <c r="P52" s="176" t="b">
        <v>0</v>
      </c>
      <c r="Q52" s="172">
        <v>17.0</v>
      </c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28</v>
      </c>
      <c r="C53" s="23"/>
      <c r="D53" s="176" t="b">
        <v>0</v>
      </c>
      <c r="E53" s="172">
        <v>17.0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74</v>
      </c>
      <c r="C54" s="23"/>
      <c r="D54" s="176" t="b">
        <v>1</v>
      </c>
      <c r="E54" s="172">
        <v>24.0</v>
      </c>
      <c r="F54" s="49"/>
      <c r="G54" s="171">
        <v>3.0</v>
      </c>
      <c r="H54" s="172" t="s">
        <v>33</v>
      </c>
      <c r="I54" s="23"/>
      <c r="J54" s="176" t="b">
        <v>0</v>
      </c>
      <c r="K54" s="172">
        <v>17.0</v>
      </c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2.0</v>
      </c>
      <c r="H55" s="172" t="s">
        <v>74</v>
      </c>
      <c r="I55" s="23"/>
      <c r="J55" s="176" t="b">
        <v>1</v>
      </c>
      <c r="K55" s="172">
        <v>24.0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61</v>
      </c>
      <c r="C56" s="23"/>
      <c r="D56" s="176" t="b">
        <v>0</v>
      </c>
      <c r="E56" s="172">
        <v>17.0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33</v>
      </c>
      <c r="C57" s="23"/>
      <c r="D57" s="176" t="b">
        <v>1</v>
      </c>
      <c r="E57" s="172">
        <v>24.0</v>
      </c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88</v>
      </c>
      <c r="C59" s="23"/>
      <c r="D59" s="176" t="b">
        <v>1</v>
      </c>
      <c r="E59" s="172">
        <v>24.0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76</v>
      </c>
      <c r="C60" s="23"/>
      <c r="D60" s="176" t="b">
        <v>0</v>
      </c>
      <c r="E60" s="172">
        <v>17.0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516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2.0</v>
      </c>
      <c r="S63" s="172" t="s">
        <v>74</v>
      </c>
      <c r="T63" s="23"/>
      <c r="U63" s="176" t="b">
        <v>1</v>
      </c>
      <c r="V63" s="172">
        <v>24.0</v>
      </c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1.0</v>
      </c>
      <c r="S64" s="172" t="s">
        <v>40</v>
      </c>
      <c r="T64" s="23"/>
      <c r="U64" s="176" t="b">
        <v>0</v>
      </c>
      <c r="V64" s="172">
        <v>17.0</v>
      </c>
      <c r="W64" s="49"/>
      <c r="X64" s="49"/>
    </row>
    <row r="65">
      <c r="A65" s="171">
        <v>1.0</v>
      </c>
      <c r="B65" s="172" t="s">
        <v>40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44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84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48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39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24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54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40</v>
      </c>
      <c r="C76" s="23"/>
      <c r="D76" s="49"/>
      <c r="E76" s="49"/>
      <c r="F76" s="49"/>
      <c r="G76" s="171">
        <v>7.0</v>
      </c>
      <c r="H76" s="172" t="s">
        <v>54</v>
      </c>
      <c r="I76" s="23"/>
      <c r="J76" s="176" t="b">
        <v>0</v>
      </c>
      <c r="K76" s="172">
        <v>17.0</v>
      </c>
      <c r="L76" s="49"/>
      <c r="M76" s="171">
        <v>5.0</v>
      </c>
      <c r="N76" s="172" t="s">
        <v>39</v>
      </c>
      <c r="O76" s="23"/>
      <c r="P76" s="176" t="b">
        <v>0</v>
      </c>
      <c r="Q76" s="172">
        <v>17.0</v>
      </c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40</v>
      </c>
      <c r="I77" s="23"/>
      <c r="J77" s="176" t="b">
        <v>1</v>
      </c>
      <c r="K77" s="172">
        <v>24.0</v>
      </c>
      <c r="L77" s="49"/>
      <c r="M77" s="171">
        <v>1.0</v>
      </c>
      <c r="N77" s="172" t="s">
        <v>40</v>
      </c>
      <c r="O77" s="23"/>
      <c r="P77" s="176" t="b">
        <v>1</v>
      </c>
      <c r="Q77" s="172">
        <v>24.0</v>
      </c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54</v>
      </c>
      <c r="C78" s="23"/>
      <c r="D78" s="176" t="b">
        <v>1</v>
      </c>
      <c r="E78" s="172">
        <v>24.0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44</v>
      </c>
      <c r="C79" s="23"/>
      <c r="D79" s="176" t="b">
        <v>0</v>
      </c>
      <c r="E79" s="172">
        <v>17.0</v>
      </c>
      <c r="F79" s="49"/>
      <c r="G79" s="171">
        <v>5.0</v>
      </c>
      <c r="H79" s="172" t="s">
        <v>39</v>
      </c>
      <c r="I79" s="23"/>
      <c r="J79" s="176" t="b">
        <v>1</v>
      </c>
      <c r="K79" s="172">
        <v>24.0</v>
      </c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3.0</v>
      </c>
      <c r="H80" s="172" t="s">
        <v>84</v>
      </c>
      <c r="I80" s="23"/>
      <c r="J80" s="176" t="b">
        <v>0</v>
      </c>
      <c r="K80" s="172">
        <v>17.0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24</v>
      </c>
      <c r="C81" s="23"/>
      <c r="D81" s="176" t="b">
        <v>0</v>
      </c>
      <c r="E81" s="172">
        <v>17.0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84</v>
      </c>
      <c r="C82" s="23"/>
      <c r="D82" s="176" t="b">
        <v>1</v>
      </c>
      <c r="E82" s="172">
        <v>24.0</v>
      </c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39</v>
      </c>
      <c r="C84" s="23"/>
      <c r="D84" s="176" t="b">
        <v>1</v>
      </c>
      <c r="E84" s="172">
        <v>24.0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48</v>
      </c>
      <c r="C85" s="23"/>
      <c r="D85" s="176" t="b">
        <v>0</v>
      </c>
      <c r="E85" s="172">
        <v>17.0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483</v>
      </c>
      <c r="D2" s="138" t="s">
        <v>463</v>
      </c>
      <c r="E2" s="89"/>
      <c r="F2" s="90"/>
      <c r="G2" s="139" t="s">
        <v>40</v>
      </c>
      <c r="H2" s="138" t="s">
        <v>483</v>
      </c>
      <c r="I2" s="138" t="s">
        <v>466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465</v>
      </c>
      <c r="D3" s="138" t="s">
        <v>471</v>
      </c>
      <c r="E3" s="89"/>
      <c r="F3" s="90"/>
      <c r="G3" s="140" t="s">
        <v>39</v>
      </c>
      <c r="H3" s="138" t="s">
        <v>474</v>
      </c>
      <c r="I3" s="138" t="s">
        <v>464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462</v>
      </c>
      <c r="D4" s="138" t="s">
        <v>463</v>
      </c>
      <c r="E4" s="89"/>
      <c r="F4" s="90"/>
      <c r="G4" s="142" t="s">
        <v>24</v>
      </c>
      <c r="H4" s="138" t="s">
        <v>483</v>
      </c>
      <c r="I4" s="138" t="s">
        <v>464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462</v>
      </c>
      <c r="D5" s="138" t="s">
        <v>475</v>
      </c>
      <c r="E5" s="89"/>
      <c r="F5" s="90"/>
      <c r="G5" s="144" t="s">
        <v>93</v>
      </c>
      <c r="H5" s="138" t="s">
        <v>465</v>
      </c>
      <c r="I5" s="138" t="s">
        <v>466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462</v>
      </c>
      <c r="D8" s="138" t="s">
        <v>475</v>
      </c>
      <c r="E8" s="89"/>
      <c r="F8" s="90"/>
      <c r="G8" s="146" t="s">
        <v>84</v>
      </c>
      <c r="H8" s="138" t="s">
        <v>480</v>
      </c>
      <c r="I8" s="138" t="s">
        <v>464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477</v>
      </c>
      <c r="D9" s="138" t="s">
        <v>466</v>
      </c>
      <c r="E9" s="89"/>
      <c r="F9" s="90"/>
      <c r="G9" s="148" t="s">
        <v>54</v>
      </c>
      <c r="H9" s="138" t="s">
        <v>468</v>
      </c>
      <c r="I9" s="138" t="s">
        <v>464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465</v>
      </c>
      <c r="D10" s="138" t="s">
        <v>466</v>
      </c>
      <c r="E10" s="89"/>
      <c r="F10" s="90"/>
      <c r="G10" s="150" t="s">
        <v>92</v>
      </c>
      <c r="H10" s="138" t="s">
        <v>469</v>
      </c>
      <c r="I10" s="138" t="s">
        <v>466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462</v>
      </c>
      <c r="D11" s="138" t="s">
        <v>463</v>
      </c>
      <c r="E11" s="89"/>
      <c r="F11" s="90"/>
      <c r="G11" s="152" t="s">
        <v>85</v>
      </c>
      <c r="H11" s="138" t="s">
        <v>465</v>
      </c>
      <c r="I11" s="138" t="s">
        <v>466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467</v>
      </c>
      <c r="D14" s="138" t="s">
        <v>463</v>
      </c>
      <c r="E14" s="89"/>
      <c r="F14" s="90"/>
      <c r="G14" s="154" t="s">
        <v>27</v>
      </c>
      <c r="H14" s="138" t="s">
        <v>474</v>
      </c>
      <c r="I14" s="138" t="s">
        <v>475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480</v>
      </c>
      <c r="D15" s="138" t="s">
        <v>463</v>
      </c>
      <c r="E15" s="89"/>
      <c r="F15" s="90"/>
      <c r="G15" s="156" t="s">
        <v>26</v>
      </c>
      <c r="H15" s="138" t="s">
        <v>462</v>
      </c>
      <c r="I15" s="138" t="s">
        <v>466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462</v>
      </c>
      <c r="D16" s="138" t="s">
        <v>463</v>
      </c>
      <c r="E16" s="89"/>
      <c r="F16" s="90"/>
      <c r="G16" s="159" t="s">
        <v>51</v>
      </c>
      <c r="H16" s="138" t="s">
        <v>469</v>
      </c>
      <c r="I16" s="138" t="s">
        <v>464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462</v>
      </c>
      <c r="D17" s="138" t="s">
        <v>463</v>
      </c>
      <c r="E17" s="89"/>
      <c r="F17" s="90"/>
      <c r="G17" s="161" t="s">
        <v>44</v>
      </c>
      <c r="H17" s="138" t="s">
        <v>483</v>
      </c>
      <c r="I17" s="138" t="s">
        <v>471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474</v>
      </c>
      <c r="D20" s="138" t="s">
        <v>464</v>
      </c>
      <c r="E20" s="89"/>
      <c r="F20" s="90"/>
      <c r="G20" s="163" t="s">
        <v>48</v>
      </c>
      <c r="H20" s="138" t="s">
        <v>480</v>
      </c>
      <c r="I20" s="138" t="s">
        <v>466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465</v>
      </c>
      <c r="D21" s="138" t="s">
        <v>463</v>
      </c>
      <c r="E21" s="89"/>
      <c r="F21" s="90"/>
      <c r="G21" s="165" t="s">
        <v>126</v>
      </c>
      <c r="H21" s="138" t="s">
        <v>465</v>
      </c>
      <c r="I21" s="138" t="s">
        <v>466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480</v>
      </c>
      <c r="D22" s="138" t="s">
        <v>466</v>
      </c>
      <c r="E22" s="89"/>
      <c r="F22" s="90"/>
      <c r="G22" s="167" t="s">
        <v>29</v>
      </c>
      <c r="H22" s="138" t="s">
        <v>480</v>
      </c>
      <c r="I22" s="138" t="s">
        <v>464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469</v>
      </c>
      <c r="D23" s="138" t="s">
        <v>463</v>
      </c>
      <c r="E23" s="89"/>
      <c r="F23" s="90"/>
      <c r="G23" s="169" t="s">
        <v>41</v>
      </c>
      <c r="H23" s="138" t="s">
        <v>469</v>
      </c>
      <c r="I23" s="138" t="s">
        <v>464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61</v>
      </c>
      <c r="C26" s="67"/>
      <c r="D26" s="67"/>
      <c r="E26" s="89"/>
      <c r="F26" s="171">
        <v>1.0</v>
      </c>
      <c r="G26" s="172" t="s">
        <v>54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69</v>
      </c>
      <c r="C27" s="67"/>
      <c r="D27" s="67"/>
      <c r="E27" s="89"/>
      <c r="F27" s="171">
        <v>2.0</v>
      </c>
      <c r="G27" s="172" t="s">
        <v>27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23</v>
      </c>
      <c r="C28" s="67"/>
      <c r="D28" s="67"/>
      <c r="E28" s="89"/>
      <c r="F28" s="172">
        <v>3.0</v>
      </c>
      <c r="G28" s="172" t="s">
        <v>39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50</v>
      </c>
      <c r="C29" s="67"/>
      <c r="D29" s="67"/>
      <c r="E29" s="89"/>
      <c r="F29" s="171">
        <v>4.0</v>
      </c>
      <c r="G29" s="172" t="s">
        <v>41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74</v>
      </c>
      <c r="C30" s="67"/>
      <c r="D30" s="67"/>
      <c r="E30" s="89"/>
      <c r="F30" s="171">
        <v>5.0</v>
      </c>
      <c r="G30" s="172" t="s">
        <v>26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46</v>
      </c>
      <c r="C31" s="67"/>
      <c r="D31" s="67"/>
      <c r="E31" s="89"/>
      <c r="F31" s="171">
        <v>6.0</v>
      </c>
      <c r="G31" s="172" t="s">
        <v>24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28</v>
      </c>
      <c r="C32" s="67"/>
      <c r="D32" s="67"/>
      <c r="E32" s="89"/>
      <c r="F32" s="171">
        <v>7.0</v>
      </c>
      <c r="G32" s="172" t="s">
        <v>44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515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61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69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23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50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74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46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28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61</v>
      </c>
      <c r="C51" s="23"/>
      <c r="D51" s="49"/>
      <c r="E51" s="49"/>
      <c r="F51" s="49"/>
      <c r="G51" s="171">
        <v>6.0</v>
      </c>
      <c r="H51" s="172" t="s">
        <v>46</v>
      </c>
      <c r="I51" s="23"/>
      <c r="J51" s="176" t="b">
        <v>0</v>
      </c>
      <c r="K51" s="172">
        <v>28.0</v>
      </c>
      <c r="L51" s="49"/>
      <c r="M51" s="171">
        <v>2.0</v>
      </c>
      <c r="N51" s="172" t="s">
        <v>69</v>
      </c>
      <c r="O51" s="23"/>
      <c r="P51" s="176" t="b">
        <v>0</v>
      </c>
      <c r="Q51" s="172">
        <v>10.0</v>
      </c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61</v>
      </c>
      <c r="I52" s="23"/>
      <c r="J52" s="176" t="b">
        <v>1</v>
      </c>
      <c r="K52" s="172">
        <v>35.0</v>
      </c>
      <c r="L52" s="49"/>
      <c r="M52" s="171">
        <v>1.0</v>
      </c>
      <c r="N52" s="172" t="s">
        <v>61</v>
      </c>
      <c r="O52" s="23"/>
      <c r="P52" s="176" t="b">
        <v>1</v>
      </c>
      <c r="Q52" s="172">
        <v>17.0</v>
      </c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28</v>
      </c>
      <c r="C53" s="23"/>
      <c r="D53" s="176" t="b">
        <v>0</v>
      </c>
      <c r="E53" s="172">
        <v>17.0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69</v>
      </c>
      <c r="C54" s="23"/>
      <c r="D54" s="176" t="b">
        <v>1</v>
      </c>
      <c r="E54" s="172">
        <v>21.0</v>
      </c>
      <c r="F54" s="49"/>
      <c r="G54" s="171">
        <v>4.0</v>
      </c>
      <c r="H54" s="172" t="s">
        <v>50</v>
      </c>
      <c r="I54" s="23"/>
      <c r="J54" s="176" t="b">
        <v>0</v>
      </c>
      <c r="K54" s="172">
        <v>17.0</v>
      </c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2.0</v>
      </c>
      <c r="H55" s="172" t="s">
        <v>69</v>
      </c>
      <c r="I55" s="23"/>
      <c r="J55" s="176" t="b">
        <v>1</v>
      </c>
      <c r="K55" s="172">
        <v>23.0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46</v>
      </c>
      <c r="C56" s="23"/>
      <c r="D56" s="176" t="b">
        <v>1</v>
      </c>
      <c r="E56" s="172">
        <v>28.0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23</v>
      </c>
      <c r="C57" s="23"/>
      <c r="D57" s="176" t="b">
        <v>0</v>
      </c>
      <c r="E57" s="172">
        <v>27.0</v>
      </c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74</v>
      </c>
      <c r="C59" s="23"/>
      <c r="D59" s="176" t="b">
        <v>0</v>
      </c>
      <c r="E59" s="172">
        <v>21.0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50</v>
      </c>
      <c r="C60" s="23"/>
      <c r="D60" s="176" t="b">
        <v>1</v>
      </c>
      <c r="E60" s="172">
        <v>24.0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510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1.0</v>
      </c>
      <c r="S63" s="172" t="s">
        <v>61</v>
      </c>
      <c r="T63" s="23"/>
      <c r="U63" s="176" t="b">
        <v>0</v>
      </c>
      <c r="V63" s="172">
        <v>23.0</v>
      </c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1.0</v>
      </c>
      <c r="S64" s="172" t="s">
        <v>54</v>
      </c>
      <c r="T64" s="23"/>
      <c r="U64" s="176" t="b">
        <v>1</v>
      </c>
      <c r="V64" s="172">
        <v>24.0</v>
      </c>
      <c r="W64" s="49"/>
      <c r="X64" s="49"/>
    </row>
    <row r="65">
      <c r="A65" s="171">
        <v>1.0</v>
      </c>
      <c r="B65" s="172" t="s">
        <v>54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27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39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41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26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24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44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54</v>
      </c>
      <c r="C76" s="23"/>
      <c r="D76" s="49"/>
      <c r="E76" s="49"/>
      <c r="F76" s="49"/>
      <c r="G76" s="171">
        <v>5.0</v>
      </c>
      <c r="H76" s="172" t="s">
        <v>26</v>
      </c>
      <c r="I76" s="23"/>
      <c r="J76" s="176" t="b">
        <v>0</v>
      </c>
      <c r="K76" s="172">
        <v>13.0</v>
      </c>
      <c r="L76" s="49"/>
      <c r="M76" s="171">
        <v>3.0</v>
      </c>
      <c r="N76" s="172" t="s">
        <v>39</v>
      </c>
      <c r="O76" s="23"/>
      <c r="P76" s="176" t="b">
        <v>0</v>
      </c>
      <c r="Q76" s="172">
        <v>17.0</v>
      </c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54</v>
      </c>
      <c r="I77" s="23"/>
      <c r="J77" s="176" t="b">
        <v>1</v>
      </c>
      <c r="K77" s="172">
        <v>27.0</v>
      </c>
      <c r="L77" s="49"/>
      <c r="M77" s="171">
        <v>1.0</v>
      </c>
      <c r="N77" s="172" t="s">
        <v>54</v>
      </c>
      <c r="O77" s="23"/>
      <c r="P77" s="176" t="b">
        <v>1</v>
      </c>
      <c r="Q77" s="172">
        <v>21.0</v>
      </c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44</v>
      </c>
      <c r="C78" s="23"/>
      <c r="D78" s="176" t="b">
        <v>0</v>
      </c>
      <c r="E78" s="172">
        <v>13.0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27</v>
      </c>
      <c r="C79" s="23"/>
      <c r="D79" s="176" t="b">
        <v>1</v>
      </c>
      <c r="E79" s="172">
        <v>24.0</v>
      </c>
      <c r="F79" s="49"/>
      <c r="G79" s="171">
        <v>3.0</v>
      </c>
      <c r="H79" s="172" t="s">
        <v>39</v>
      </c>
      <c r="I79" s="23"/>
      <c r="J79" s="176" t="b">
        <v>1</v>
      </c>
      <c r="K79" s="172">
        <v>21.0</v>
      </c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2.0</v>
      </c>
      <c r="H80" s="172" t="s">
        <v>27</v>
      </c>
      <c r="I80" s="23"/>
      <c r="J80" s="176" t="b">
        <v>0</v>
      </c>
      <c r="K80" s="172">
        <v>20.0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24</v>
      </c>
      <c r="C81" s="23"/>
      <c r="D81" s="176" t="b">
        <v>0</v>
      </c>
      <c r="E81" s="172">
        <v>10.0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39</v>
      </c>
      <c r="C82" s="23"/>
      <c r="D82" s="176" t="b">
        <v>1</v>
      </c>
      <c r="E82" s="172">
        <v>21.0</v>
      </c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26</v>
      </c>
      <c r="C84" s="23"/>
      <c r="D84" s="176" t="b">
        <v>1</v>
      </c>
      <c r="E84" s="172">
        <v>13.0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41</v>
      </c>
      <c r="C85" s="23"/>
      <c r="D85" s="176" t="b">
        <v>0</v>
      </c>
      <c r="E85" s="172">
        <v>10.0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467</v>
      </c>
      <c r="D2" s="138" t="s">
        <v>464</v>
      </c>
      <c r="E2" s="89"/>
      <c r="F2" s="90"/>
      <c r="G2" s="139" t="s">
        <v>40</v>
      </c>
      <c r="H2" s="138" t="s">
        <v>474</v>
      </c>
      <c r="I2" s="138" t="s">
        <v>464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477</v>
      </c>
      <c r="D3" s="138" t="s">
        <v>479</v>
      </c>
      <c r="E3" s="89"/>
      <c r="F3" s="90"/>
      <c r="G3" s="140" t="s">
        <v>39</v>
      </c>
      <c r="H3" s="138" t="s">
        <v>467</v>
      </c>
      <c r="I3" s="138" t="s">
        <v>464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468</v>
      </c>
      <c r="D4" s="138" t="s">
        <v>464</v>
      </c>
      <c r="E4" s="89"/>
      <c r="F4" s="90"/>
      <c r="G4" s="142" t="s">
        <v>24</v>
      </c>
      <c r="H4" s="138" t="s">
        <v>467</v>
      </c>
      <c r="I4" s="138" t="s">
        <v>464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474</v>
      </c>
      <c r="D5" s="138" t="s">
        <v>464</v>
      </c>
      <c r="E5" s="89"/>
      <c r="F5" s="90"/>
      <c r="G5" s="144" t="s">
        <v>93</v>
      </c>
      <c r="H5" s="138" t="s">
        <v>476</v>
      </c>
      <c r="I5" s="138" t="s">
        <v>479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467</v>
      </c>
      <c r="D8" s="138" t="s">
        <v>475</v>
      </c>
      <c r="E8" s="89"/>
      <c r="F8" s="90"/>
      <c r="G8" s="146" t="s">
        <v>84</v>
      </c>
      <c r="H8" s="138" t="s">
        <v>468</v>
      </c>
      <c r="I8" s="138" t="s">
        <v>475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514</v>
      </c>
      <c r="D9" s="138" t="s">
        <v>479</v>
      </c>
      <c r="E9" s="89"/>
      <c r="F9" s="90"/>
      <c r="G9" s="148" t="s">
        <v>54</v>
      </c>
      <c r="H9" s="138" t="s">
        <v>468</v>
      </c>
      <c r="I9" s="138" t="s">
        <v>464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476</v>
      </c>
      <c r="D10" s="138" t="s">
        <v>466</v>
      </c>
      <c r="E10" s="89"/>
      <c r="F10" s="90"/>
      <c r="G10" s="150" t="s">
        <v>92</v>
      </c>
      <c r="H10" s="138" t="s">
        <v>480</v>
      </c>
      <c r="I10" s="138" t="s">
        <v>471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474</v>
      </c>
      <c r="D11" s="138" t="s">
        <v>475</v>
      </c>
      <c r="E11" s="89"/>
      <c r="F11" s="90"/>
      <c r="G11" s="152" t="s">
        <v>85</v>
      </c>
      <c r="H11" s="138" t="s">
        <v>480</v>
      </c>
      <c r="I11" s="138" t="s">
        <v>466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474</v>
      </c>
      <c r="D14" s="138" t="s">
        <v>463</v>
      </c>
      <c r="E14" s="89"/>
      <c r="F14" s="90"/>
      <c r="G14" s="154" t="s">
        <v>27</v>
      </c>
      <c r="H14" s="138" t="s">
        <v>467</v>
      </c>
      <c r="I14" s="138" t="s">
        <v>464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477</v>
      </c>
      <c r="D15" s="138" t="s">
        <v>471</v>
      </c>
      <c r="E15" s="89"/>
      <c r="F15" s="90"/>
      <c r="G15" s="156" t="s">
        <v>26</v>
      </c>
      <c r="H15" s="138" t="s">
        <v>462</v>
      </c>
      <c r="I15" s="138" t="s">
        <v>463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476</v>
      </c>
      <c r="D16" s="138" t="s">
        <v>466</v>
      </c>
      <c r="E16" s="89"/>
      <c r="F16" s="90"/>
      <c r="G16" s="159" t="s">
        <v>51</v>
      </c>
      <c r="H16" s="138" t="s">
        <v>465</v>
      </c>
      <c r="I16" s="138" t="s">
        <v>466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468</v>
      </c>
      <c r="D17" s="138" t="s">
        <v>487</v>
      </c>
      <c r="E17" s="89"/>
      <c r="F17" s="90"/>
      <c r="G17" s="161" t="s">
        <v>44</v>
      </c>
      <c r="H17" s="138" t="s">
        <v>462</v>
      </c>
      <c r="I17" s="138" t="s">
        <v>463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462</v>
      </c>
      <c r="D20" s="138" t="s">
        <v>464</v>
      </c>
      <c r="E20" s="89"/>
      <c r="F20" s="90"/>
      <c r="G20" s="163" t="s">
        <v>48</v>
      </c>
      <c r="H20" s="138" t="s">
        <v>480</v>
      </c>
      <c r="I20" s="138" t="s">
        <v>466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480</v>
      </c>
      <c r="D21" s="138" t="s">
        <v>466</v>
      </c>
      <c r="E21" s="89"/>
      <c r="F21" s="90"/>
      <c r="G21" s="165" t="s">
        <v>126</v>
      </c>
      <c r="H21" s="138" t="s">
        <v>465</v>
      </c>
      <c r="I21" s="138" t="s">
        <v>466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465</v>
      </c>
      <c r="D22" s="138" t="s">
        <v>463</v>
      </c>
      <c r="E22" s="89"/>
      <c r="F22" s="90"/>
      <c r="G22" s="167" t="s">
        <v>29</v>
      </c>
      <c r="H22" s="138" t="s">
        <v>483</v>
      </c>
      <c r="I22" s="138" t="s">
        <v>464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480</v>
      </c>
      <c r="D23" s="138" t="s">
        <v>463</v>
      </c>
      <c r="E23" s="89"/>
      <c r="F23" s="90"/>
      <c r="G23" s="169" t="s">
        <v>41</v>
      </c>
      <c r="H23" s="138" t="s">
        <v>469</v>
      </c>
      <c r="I23" s="138" t="s">
        <v>464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23</v>
      </c>
      <c r="C26" s="67"/>
      <c r="D26" s="67"/>
      <c r="E26" s="89"/>
      <c r="F26" s="171">
        <v>1.0</v>
      </c>
      <c r="G26" s="172" t="s">
        <v>39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88</v>
      </c>
      <c r="C27" s="67"/>
      <c r="D27" s="67"/>
      <c r="E27" s="89"/>
      <c r="F27" s="171">
        <v>2.0</v>
      </c>
      <c r="G27" s="172" t="s">
        <v>27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46</v>
      </c>
      <c r="C28" s="67"/>
      <c r="D28" s="67"/>
      <c r="E28" s="89"/>
      <c r="F28" s="172">
        <v>3.0</v>
      </c>
      <c r="G28" s="172" t="s">
        <v>84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69</v>
      </c>
      <c r="C29" s="67"/>
      <c r="D29" s="67"/>
      <c r="E29" s="89"/>
      <c r="F29" s="171">
        <v>4.0</v>
      </c>
      <c r="G29" s="172" t="s">
        <v>29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74</v>
      </c>
      <c r="C30" s="67"/>
      <c r="D30" s="67"/>
      <c r="E30" s="89"/>
      <c r="F30" s="171">
        <v>5.0</v>
      </c>
      <c r="G30" s="172" t="s">
        <v>24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28</v>
      </c>
      <c r="C31" s="67"/>
      <c r="D31" s="67"/>
      <c r="E31" s="89"/>
      <c r="F31" s="171">
        <v>6.0</v>
      </c>
      <c r="G31" s="172" t="s">
        <v>54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50</v>
      </c>
      <c r="C32" s="67"/>
      <c r="D32" s="67"/>
      <c r="E32" s="89"/>
      <c r="F32" s="171">
        <v>7.0</v>
      </c>
      <c r="G32" s="172" t="s">
        <v>40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517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23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88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46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69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74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28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50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23</v>
      </c>
      <c r="C51" s="23"/>
      <c r="D51" s="49"/>
      <c r="E51" s="49"/>
      <c r="F51" s="49"/>
      <c r="G51" s="171">
        <v>6.0</v>
      </c>
      <c r="H51" s="172" t="s">
        <v>28</v>
      </c>
      <c r="I51" s="23"/>
      <c r="J51" s="176" t="b">
        <v>1</v>
      </c>
      <c r="K51" s="172"/>
      <c r="L51" s="49"/>
      <c r="M51" s="171">
        <v>6.0</v>
      </c>
      <c r="N51" s="172" t="s">
        <v>28</v>
      </c>
      <c r="O51" s="23"/>
      <c r="P51" s="176" t="b">
        <v>1</v>
      </c>
      <c r="Q51" s="172"/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23</v>
      </c>
      <c r="I52" s="23"/>
      <c r="J52" s="176" t="b">
        <v>0</v>
      </c>
      <c r="K52" s="172"/>
      <c r="L52" s="49"/>
      <c r="M52" s="171">
        <v>2.0</v>
      </c>
      <c r="N52" s="172" t="s">
        <v>88</v>
      </c>
      <c r="O52" s="23"/>
      <c r="P52" s="176" t="b">
        <v>0</v>
      </c>
      <c r="Q52" s="172"/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50</v>
      </c>
      <c r="C53" s="23"/>
      <c r="D53" s="176" t="b">
        <v>0</v>
      </c>
      <c r="E53" s="172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88</v>
      </c>
      <c r="C54" s="23"/>
      <c r="D54" s="176" t="b">
        <v>1</v>
      </c>
      <c r="E54" s="172"/>
      <c r="F54" s="49"/>
      <c r="G54" s="171">
        <v>5.0</v>
      </c>
      <c r="H54" s="172" t="s">
        <v>74</v>
      </c>
      <c r="I54" s="23"/>
      <c r="J54" s="176" t="b">
        <v>0</v>
      </c>
      <c r="K54" s="172"/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2.0</v>
      </c>
      <c r="H55" s="172" t="s">
        <v>88</v>
      </c>
      <c r="I55" s="23"/>
      <c r="J55" s="176" t="b">
        <v>1</v>
      </c>
      <c r="K55" s="172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28</v>
      </c>
      <c r="C56" s="23"/>
      <c r="D56" s="176" t="b">
        <v>1</v>
      </c>
      <c r="E56" s="172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46</v>
      </c>
      <c r="C57" s="23"/>
      <c r="D57" s="176" t="b">
        <v>0</v>
      </c>
      <c r="E57" s="172"/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74</v>
      </c>
      <c r="C59" s="23"/>
      <c r="D59" s="176" t="b">
        <v>1</v>
      </c>
      <c r="E59" s="172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69</v>
      </c>
      <c r="C60" s="23"/>
      <c r="D60" s="176" t="b">
        <v>0</v>
      </c>
      <c r="E60" s="172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519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6.0</v>
      </c>
      <c r="S63" s="172" t="s">
        <v>28</v>
      </c>
      <c r="T63" s="23"/>
      <c r="U63" s="176" t="b">
        <v>0</v>
      </c>
      <c r="V63" s="172"/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1.0</v>
      </c>
      <c r="S64" s="172" t="s">
        <v>39</v>
      </c>
      <c r="T64" s="23"/>
      <c r="U64" s="176" t="b">
        <v>1</v>
      </c>
      <c r="V64" s="172"/>
      <c r="W64" s="49"/>
      <c r="X64" s="49"/>
    </row>
    <row r="65">
      <c r="A65" s="171">
        <v>1.0</v>
      </c>
      <c r="B65" s="172" t="s">
        <v>39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27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84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29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24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54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40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39</v>
      </c>
      <c r="C76" s="23"/>
      <c r="D76" s="49"/>
      <c r="E76" s="49"/>
      <c r="F76" s="49"/>
      <c r="G76" s="171">
        <v>5.0</v>
      </c>
      <c r="H76" s="172" t="s">
        <v>24</v>
      </c>
      <c r="I76" s="23"/>
      <c r="J76" s="176" t="b">
        <v>0</v>
      </c>
      <c r="K76" s="172"/>
      <c r="L76" s="49"/>
      <c r="M76" s="171">
        <v>3.0</v>
      </c>
      <c r="N76" s="172" t="s">
        <v>84</v>
      </c>
      <c r="O76" s="23"/>
      <c r="P76" s="176" t="b">
        <v>0</v>
      </c>
      <c r="Q76" s="172"/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39</v>
      </c>
      <c r="I77" s="23"/>
      <c r="J77" s="176" t="b">
        <v>1</v>
      </c>
      <c r="K77" s="172"/>
      <c r="L77" s="49"/>
      <c r="M77" s="171">
        <v>1.0</v>
      </c>
      <c r="N77" s="172" t="s">
        <v>39</v>
      </c>
      <c r="O77" s="23"/>
      <c r="P77" s="176" t="b">
        <v>1</v>
      </c>
      <c r="Q77" s="172"/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40</v>
      </c>
      <c r="C78" s="23"/>
      <c r="D78" s="176" t="b">
        <v>0</v>
      </c>
      <c r="E78" s="172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27</v>
      </c>
      <c r="C79" s="23"/>
      <c r="D79" s="176" t="b">
        <v>1</v>
      </c>
      <c r="E79" s="172"/>
      <c r="F79" s="49"/>
      <c r="G79" s="171">
        <v>3.0</v>
      </c>
      <c r="H79" s="172" t="s">
        <v>84</v>
      </c>
      <c r="I79" s="23"/>
      <c r="J79" s="176" t="b">
        <v>1</v>
      </c>
      <c r="K79" s="172"/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2.0</v>
      </c>
      <c r="H80" s="172" t="s">
        <v>27</v>
      </c>
      <c r="I80" s="23"/>
      <c r="J80" s="176" t="b">
        <v>0</v>
      </c>
      <c r="K80" s="172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54</v>
      </c>
      <c r="C81" s="23"/>
      <c r="D81" s="176" t="b">
        <v>0</v>
      </c>
      <c r="E81" s="172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84</v>
      </c>
      <c r="C82" s="23"/>
      <c r="D82" s="176" t="b">
        <v>1</v>
      </c>
      <c r="E82" s="172"/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24</v>
      </c>
      <c r="C84" s="23"/>
      <c r="D84" s="176" t="b">
        <v>1</v>
      </c>
      <c r="E84" s="172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29</v>
      </c>
      <c r="C85" s="23"/>
      <c r="D85" s="176" t="b">
        <v>0</v>
      </c>
      <c r="E85" s="172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23" max="23" width="20.75"/>
  </cols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467</v>
      </c>
      <c r="D2" s="138" t="s">
        <v>475</v>
      </c>
      <c r="E2" s="89"/>
      <c r="F2" s="90"/>
      <c r="G2" s="139" t="s">
        <v>40</v>
      </c>
      <c r="H2" s="138" t="s">
        <v>467</v>
      </c>
      <c r="I2" s="138" t="s">
        <v>463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470</v>
      </c>
      <c r="D3" s="138" t="s">
        <v>479</v>
      </c>
      <c r="E3" s="89"/>
      <c r="F3" s="90"/>
      <c r="G3" s="140" t="s">
        <v>39</v>
      </c>
      <c r="H3" s="138" t="s">
        <v>468</v>
      </c>
      <c r="I3" s="138" t="s">
        <v>463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474</v>
      </c>
      <c r="D4" s="138" t="s">
        <v>464</v>
      </c>
      <c r="E4" s="89"/>
      <c r="F4" s="90"/>
      <c r="G4" s="142" t="s">
        <v>24</v>
      </c>
      <c r="H4" s="138" t="s">
        <v>474</v>
      </c>
      <c r="I4" s="138" t="s">
        <v>475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469</v>
      </c>
      <c r="D5" s="138" t="s">
        <v>463</v>
      </c>
      <c r="E5" s="89"/>
      <c r="F5" s="90"/>
      <c r="G5" s="144" t="s">
        <v>93</v>
      </c>
      <c r="H5" s="138" t="s">
        <v>508</v>
      </c>
      <c r="I5" s="138" t="s">
        <v>471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467</v>
      </c>
      <c r="D8" s="138" t="s">
        <v>475</v>
      </c>
      <c r="E8" s="89"/>
      <c r="F8" s="90"/>
      <c r="G8" s="146" t="s">
        <v>84</v>
      </c>
      <c r="H8" s="138" t="s">
        <v>469</v>
      </c>
      <c r="I8" s="138" t="s">
        <v>466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470</v>
      </c>
      <c r="D9" s="138" t="s">
        <v>463</v>
      </c>
      <c r="E9" s="89"/>
      <c r="F9" s="90"/>
      <c r="G9" s="148" t="s">
        <v>54</v>
      </c>
      <c r="H9" s="138" t="s">
        <v>511</v>
      </c>
      <c r="I9" s="138" t="s">
        <v>487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508</v>
      </c>
      <c r="D10" s="138" t="s">
        <v>479</v>
      </c>
      <c r="E10" s="89"/>
      <c r="F10" s="90"/>
      <c r="G10" s="150" t="s">
        <v>92</v>
      </c>
      <c r="H10" s="138" t="s">
        <v>480</v>
      </c>
      <c r="I10" s="138" t="s">
        <v>466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483</v>
      </c>
      <c r="D11" s="138" t="s">
        <v>464</v>
      </c>
      <c r="E11" s="89"/>
      <c r="F11" s="90"/>
      <c r="G11" s="152" t="s">
        <v>85</v>
      </c>
      <c r="H11" s="138" t="s">
        <v>480</v>
      </c>
      <c r="I11" s="138" t="s">
        <v>466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486</v>
      </c>
      <c r="D14" s="138" t="s">
        <v>464</v>
      </c>
      <c r="E14" s="89"/>
      <c r="F14" s="90"/>
      <c r="G14" s="154" t="s">
        <v>27</v>
      </c>
      <c r="H14" s="138" t="s">
        <v>512</v>
      </c>
      <c r="I14" s="138" t="s">
        <v>475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470</v>
      </c>
      <c r="D15" s="138" t="s">
        <v>466</v>
      </c>
      <c r="E15" s="89"/>
      <c r="F15" s="90"/>
      <c r="G15" s="156" t="s">
        <v>26</v>
      </c>
      <c r="H15" s="138" t="s">
        <v>483</v>
      </c>
      <c r="I15" s="138" t="s">
        <v>466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469</v>
      </c>
      <c r="D16" s="138" t="s">
        <v>463</v>
      </c>
      <c r="E16" s="89"/>
      <c r="F16" s="90"/>
      <c r="G16" s="159" t="s">
        <v>51</v>
      </c>
      <c r="H16" s="138" t="s">
        <v>469</v>
      </c>
      <c r="I16" s="138" t="s">
        <v>466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468</v>
      </c>
      <c r="D17" s="138" t="s">
        <v>463</v>
      </c>
      <c r="E17" s="89"/>
      <c r="F17" s="90"/>
      <c r="G17" s="161" t="s">
        <v>44</v>
      </c>
      <c r="H17" s="138" t="s">
        <v>483</v>
      </c>
      <c r="I17" s="138" t="s">
        <v>463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486</v>
      </c>
      <c r="D20" s="138" t="s">
        <v>475</v>
      </c>
      <c r="E20" s="89"/>
      <c r="F20" s="90"/>
      <c r="G20" s="163" t="s">
        <v>48</v>
      </c>
      <c r="H20" s="138" t="s">
        <v>462</v>
      </c>
      <c r="I20" s="138" t="s">
        <v>475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469</v>
      </c>
      <c r="D21" s="138" t="s">
        <v>475</v>
      </c>
      <c r="E21" s="89"/>
      <c r="F21" s="90"/>
      <c r="G21" s="165" t="s">
        <v>126</v>
      </c>
      <c r="H21" s="138" t="s">
        <v>470</v>
      </c>
      <c r="I21" s="138" t="s">
        <v>471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476</v>
      </c>
      <c r="D22" s="138" t="s">
        <v>471</v>
      </c>
      <c r="E22" s="89"/>
      <c r="F22" s="90"/>
      <c r="G22" s="167" t="s">
        <v>29</v>
      </c>
      <c r="H22" s="138" t="s">
        <v>470</v>
      </c>
      <c r="I22" s="138" t="s">
        <v>463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476</v>
      </c>
      <c r="D23" s="138" t="s">
        <v>471</v>
      </c>
      <c r="E23" s="89"/>
      <c r="F23" s="90"/>
      <c r="G23" s="169" t="s">
        <v>41</v>
      </c>
      <c r="H23" s="138" t="s">
        <v>477</v>
      </c>
      <c r="I23" s="138" t="s">
        <v>463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69</v>
      </c>
      <c r="C26" s="67"/>
      <c r="D26" s="67"/>
      <c r="E26" s="89"/>
      <c r="F26" s="171">
        <v>1.0</v>
      </c>
      <c r="G26" s="172" t="s">
        <v>54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61</v>
      </c>
      <c r="C27" s="67"/>
      <c r="D27" s="67"/>
      <c r="E27" s="89"/>
      <c r="F27" s="171">
        <v>2.0</v>
      </c>
      <c r="G27" s="172" t="s">
        <v>27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88</v>
      </c>
      <c r="C28" s="67"/>
      <c r="D28" s="67"/>
      <c r="E28" s="89"/>
      <c r="F28" s="172">
        <v>3.0</v>
      </c>
      <c r="G28" s="172" t="s">
        <v>40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23</v>
      </c>
      <c r="C29" s="67"/>
      <c r="D29" s="67"/>
      <c r="E29" s="89"/>
      <c r="F29" s="171">
        <v>4.0</v>
      </c>
      <c r="G29" s="172" t="s">
        <v>48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46</v>
      </c>
      <c r="C30" s="67"/>
      <c r="D30" s="67"/>
      <c r="E30" s="89"/>
      <c r="F30" s="171">
        <v>5.0</v>
      </c>
      <c r="G30" s="172" t="s">
        <v>39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74</v>
      </c>
      <c r="C31" s="67"/>
      <c r="D31" s="67"/>
      <c r="E31" s="89"/>
      <c r="F31" s="171">
        <v>6.0</v>
      </c>
      <c r="G31" s="172" t="s">
        <v>24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28</v>
      </c>
      <c r="C32" s="67"/>
      <c r="D32" s="67"/>
      <c r="E32" s="89"/>
      <c r="F32" s="171">
        <v>7.0</v>
      </c>
      <c r="G32" s="172" t="s">
        <v>44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518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69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61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88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23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46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74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28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69</v>
      </c>
      <c r="C51" s="23"/>
      <c r="D51" s="49"/>
      <c r="E51" s="49"/>
      <c r="F51" s="49"/>
      <c r="G51" s="171">
        <v>4.0</v>
      </c>
      <c r="H51" s="172" t="s">
        <v>23</v>
      </c>
      <c r="I51" s="23"/>
      <c r="J51" s="176" t="b">
        <v>0</v>
      </c>
      <c r="K51" s="172">
        <v>24.0</v>
      </c>
      <c r="L51" s="49"/>
      <c r="M51" s="171">
        <v>2.0</v>
      </c>
      <c r="N51" s="172" t="s">
        <v>61</v>
      </c>
      <c r="O51" s="23"/>
      <c r="P51" s="176" t="b">
        <v>1</v>
      </c>
      <c r="Q51" s="172">
        <v>24.0</v>
      </c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69</v>
      </c>
      <c r="I52" s="23"/>
      <c r="J52" s="176" t="b">
        <v>1</v>
      </c>
      <c r="K52" s="172">
        <v>30.0</v>
      </c>
      <c r="L52" s="49"/>
      <c r="M52" s="171">
        <v>1.0</v>
      </c>
      <c r="N52" s="172" t="s">
        <v>69</v>
      </c>
      <c r="O52" s="23"/>
      <c r="P52" s="176" t="b">
        <v>0</v>
      </c>
      <c r="Q52" s="172">
        <v>20.0</v>
      </c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28</v>
      </c>
      <c r="C53" s="23"/>
      <c r="D53" s="176" t="b">
        <v>0</v>
      </c>
      <c r="E53" s="172">
        <v>20.0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61</v>
      </c>
      <c r="C54" s="23"/>
      <c r="D54" s="176" t="b">
        <v>1</v>
      </c>
      <c r="E54" s="172">
        <v>27.0</v>
      </c>
      <c r="F54" s="49"/>
      <c r="G54" s="171">
        <v>3.0</v>
      </c>
      <c r="H54" s="172" t="s">
        <v>88</v>
      </c>
      <c r="I54" s="23"/>
      <c r="J54" s="176" t="b">
        <v>0</v>
      </c>
      <c r="K54" s="172">
        <v>23.0</v>
      </c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2.0</v>
      </c>
      <c r="H55" s="172" t="s">
        <v>61</v>
      </c>
      <c r="I55" s="23"/>
      <c r="J55" s="176" t="b">
        <v>1</v>
      </c>
      <c r="K55" s="172">
        <v>24.0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74</v>
      </c>
      <c r="C56" s="23"/>
      <c r="D56" s="176" t="b">
        <v>0</v>
      </c>
      <c r="E56" s="172">
        <v>17.0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88</v>
      </c>
      <c r="C57" s="23"/>
      <c r="D57" s="176" t="b">
        <v>1</v>
      </c>
      <c r="E57" s="172">
        <v>24.0</v>
      </c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46</v>
      </c>
      <c r="C59" s="23"/>
      <c r="D59" s="176" t="b">
        <v>0</v>
      </c>
      <c r="E59" s="172">
        <v>24.0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23</v>
      </c>
      <c r="C60" s="23"/>
      <c r="D60" s="176" t="b">
        <v>1</v>
      </c>
      <c r="E60" s="172">
        <v>27.0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520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2.0</v>
      </c>
      <c r="S63" s="172" t="s">
        <v>61</v>
      </c>
      <c r="T63" s="23"/>
      <c r="U63" s="176" t="b">
        <v>1</v>
      </c>
      <c r="V63" s="172">
        <v>31.0</v>
      </c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2.0</v>
      </c>
      <c r="S64" s="172" t="s">
        <v>27</v>
      </c>
      <c r="T64" s="23"/>
      <c r="U64" s="176" t="b">
        <v>1</v>
      </c>
      <c r="V64" s="172">
        <v>34.0</v>
      </c>
      <c r="W64" s="49"/>
      <c r="X64" s="49"/>
    </row>
    <row r="65">
      <c r="A65" s="171">
        <v>1.0</v>
      </c>
      <c r="B65" s="172" t="s">
        <v>54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27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40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48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39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24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44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54</v>
      </c>
      <c r="C76" s="23"/>
      <c r="D76" s="49"/>
      <c r="E76" s="49"/>
      <c r="F76" s="49"/>
      <c r="G76" s="171">
        <v>5.0</v>
      </c>
      <c r="H76" s="172" t="s">
        <v>39</v>
      </c>
      <c r="I76" s="23"/>
      <c r="J76" s="176" t="b">
        <v>0</v>
      </c>
      <c r="K76" s="172">
        <v>17.0</v>
      </c>
      <c r="L76" s="49"/>
      <c r="M76" s="171">
        <v>2.0</v>
      </c>
      <c r="N76" s="172" t="s">
        <v>27</v>
      </c>
      <c r="O76" s="23"/>
      <c r="P76" s="176" t="b">
        <v>1</v>
      </c>
      <c r="Q76" s="172">
        <v>31.0</v>
      </c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54</v>
      </c>
      <c r="I77" s="23"/>
      <c r="J77" s="176" t="b">
        <v>1</v>
      </c>
      <c r="K77" s="172">
        <v>27.0</v>
      </c>
      <c r="L77" s="49"/>
      <c r="M77" s="171">
        <v>1.0</v>
      </c>
      <c r="N77" s="172" t="s">
        <v>54</v>
      </c>
      <c r="O77" s="23"/>
      <c r="P77" s="176" t="b">
        <v>0</v>
      </c>
      <c r="Q77" s="172">
        <v>28.0</v>
      </c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44</v>
      </c>
      <c r="C78" s="23"/>
      <c r="D78" s="176" t="b">
        <v>0</v>
      </c>
      <c r="E78" s="172">
        <v>20.0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27</v>
      </c>
      <c r="C79" s="23"/>
      <c r="D79" s="176" t="b">
        <v>1</v>
      </c>
      <c r="E79" s="172">
        <v>31.0</v>
      </c>
      <c r="F79" s="49"/>
      <c r="G79" s="171">
        <v>3.0</v>
      </c>
      <c r="H79" s="172" t="s">
        <v>40</v>
      </c>
      <c r="I79" s="23"/>
      <c r="J79" s="176" t="b">
        <v>0</v>
      </c>
      <c r="K79" s="172">
        <v>31.0</v>
      </c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2.0</v>
      </c>
      <c r="H80" s="172" t="s">
        <v>27</v>
      </c>
      <c r="I80" s="23"/>
      <c r="J80" s="176" t="b">
        <v>1</v>
      </c>
      <c r="K80" s="172">
        <v>34.0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24</v>
      </c>
      <c r="C81" s="23"/>
      <c r="D81" s="176" t="b">
        <v>0</v>
      </c>
      <c r="E81" s="172">
        <v>27.0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40</v>
      </c>
      <c r="C82" s="23"/>
      <c r="D82" s="176" t="b">
        <v>1</v>
      </c>
      <c r="E82" s="172">
        <v>33.0</v>
      </c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39</v>
      </c>
      <c r="C84" s="23"/>
      <c r="D84" s="176" t="b">
        <v>1</v>
      </c>
      <c r="E84" s="172">
        <v>24.0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48</v>
      </c>
      <c r="C85" s="23"/>
      <c r="D85" s="176" t="b">
        <v>0</v>
      </c>
      <c r="E85" s="172">
        <v>21.0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483</v>
      </c>
      <c r="D2" s="138" t="s">
        <v>475</v>
      </c>
      <c r="E2" s="89"/>
      <c r="F2" s="90"/>
      <c r="G2" s="139" t="s">
        <v>40</v>
      </c>
      <c r="H2" s="138" t="s">
        <v>462</v>
      </c>
      <c r="I2" s="138" t="s">
        <v>466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483</v>
      </c>
      <c r="D3" s="138" t="s">
        <v>463</v>
      </c>
      <c r="E3" s="89"/>
      <c r="F3" s="90"/>
      <c r="G3" s="140" t="s">
        <v>39</v>
      </c>
      <c r="H3" s="138" t="s">
        <v>462</v>
      </c>
      <c r="I3" s="138" t="s">
        <v>463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483</v>
      </c>
      <c r="D4" s="138" t="s">
        <v>466</v>
      </c>
      <c r="E4" s="89"/>
      <c r="F4" s="90"/>
      <c r="G4" s="142" t="s">
        <v>24</v>
      </c>
      <c r="H4" s="138" t="s">
        <v>480</v>
      </c>
      <c r="I4" s="138" t="s">
        <v>464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465</v>
      </c>
      <c r="D5" s="138" t="s">
        <v>466</v>
      </c>
      <c r="E5" s="89"/>
      <c r="F5" s="90"/>
      <c r="G5" s="144" t="s">
        <v>93</v>
      </c>
      <c r="H5" s="138" t="s">
        <v>470</v>
      </c>
      <c r="I5" s="138" t="s">
        <v>463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468</v>
      </c>
      <c r="D8" s="138" t="s">
        <v>464</v>
      </c>
      <c r="E8" s="89"/>
      <c r="F8" s="90"/>
      <c r="G8" s="146" t="s">
        <v>84</v>
      </c>
      <c r="H8" s="138" t="s">
        <v>465</v>
      </c>
      <c r="I8" s="138" t="s">
        <v>464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480</v>
      </c>
      <c r="D9" s="138" t="s">
        <v>466</v>
      </c>
      <c r="E9" s="89"/>
      <c r="F9" s="90"/>
      <c r="G9" s="148" t="s">
        <v>54</v>
      </c>
      <c r="H9" s="138" t="s">
        <v>467</v>
      </c>
      <c r="I9" s="138" t="s">
        <v>464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477</v>
      </c>
      <c r="D10" s="138" t="s">
        <v>466</v>
      </c>
      <c r="E10" s="89"/>
      <c r="F10" s="90"/>
      <c r="G10" s="150" t="s">
        <v>92</v>
      </c>
      <c r="H10" s="138" t="s">
        <v>480</v>
      </c>
      <c r="I10" s="138" t="s">
        <v>471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468</v>
      </c>
      <c r="D11" s="138" t="s">
        <v>464</v>
      </c>
      <c r="E11" s="89"/>
      <c r="F11" s="90"/>
      <c r="G11" s="152" t="s">
        <v>85</v>
      </c>
      <c r="H11" s="138" t="s">
        <v>480</v>
      </c>
      <c r="I11" s="138" t="s">
        <v>463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468</v>
      </c>
      <c r="D14" s="138" t="s">
        <v>466</v>
      </c>
      <c r="E14" s="89"/>
      <c r="F14" s="90"/>
      <c r="G14" s="154" t="s">
        <v>27</v>
      </c>
      <c r="H14" s="138" t="s">
        <v>483</v>
      </c>
      <c r="I14" s="138" t="s">
        <v>463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462</v>
      </c>
      <c r="D15" s="138" t="s">
        <v>463</v>
      </c>
      <c r="E15" s="89"/>
      <c r="F15" s="90"/>
      <c r="G15" s="156" t="s">
        <v>26</v>
      </c>
      <c r="H15" s="138" t="s">
        <v>462</v>
      </c>
      <c r="I15" s="138" t="s">
        <v>475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462</v>
      </c>
      <c r="D16" s="138" t="s">
        <v>464</v>
      </c>
      <c r="E16" s="89"/>
      <c r="F16" s="90"/>
      <c r="G16" s="159" t="s">
        <v>51</v>
      </c>
      <c r="H16" s="138" t="s">
        <v>465</v>
      </c>
      <c r="I16" s="138" t="s">
        <v>463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467</v>
      </c>
      <c r="D17" s="138" t="s">
        <v>463</v>
      </c>
      <c r="E17" s="89"/>
      <c r="F17" s="90"/>
      <c r="G17" s="161" t="s">
        <v>44</v>
      </c>
      <c r="H17" s="138" t="s">
        <v>480</v>
      </c>
      <c r="I17" s="138" t="s">
        <v>471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483</v>
      </c>
      <c r="D20" s="138" t="s">
        <v>464</v>
      </c>
      <c r="E20" s="89"/>
      <c r="F20" s="90"/>
      <c r="G20" s="163" t="s">
        <v>48</v>
      </c>
      <c r="H20" s="138" t="s">
        <v>474</v>
      </c>
      <c r="I20" s="138" t="s">
        <v>464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480</v>
      </c>
      <c r="D21" s="138" t="s">
        <v>466</v>
      </c>
      <c r="E21" s="89"/>
      <c r="F21" s="90"/>
      <c r="G21" s="165" t="s">
        <v>126</v>
      </c>
      <c r="H21" s="138" t="s">
        <v>480</v>
      </c>
      <c r="I21" s="138" t="s">
        <v>466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462</v>
      </c>
      <c r="D22" s="138" t="s">
        <v>464</v>
      </c>
      <c r="E22" s="89"/>
      <c r="F22" s="90"/>
      <c r="G22" s="167" t="s">
        <v>29</v>
      </c>
      <c r="H22" s="138" t="s">
        <v>483</v>
      </c>
      <c r="I22" s="138" t="s">
        <v>463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480</v>
      </c>
      <c r="D23" s="138" t="s">
        <v>466</v>
      </c>
      <c r="E23" s="89"/>
      <c r="F23" s="90"/>
      <c r="G23" s="169" t="s">
        <v>41</v>
      </c>
      <c r="H23" s="138" t="s">
        <v>465</v>
      </c>
      <c r="I23" s="138" t="s">
        <v>463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46</v>
      </c>
      <c r="C26" s="67"/>
      <c r="D26" s="67"/>
      <c r="E26" s="89"/>
      <c r="F26" s="171">
        <v>1.0</v>
      </c>
      <c r="G26" s="172" t="s">
        <v>54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28</v>
      </c>
      <c r="C27" s="67"/>
      <c r="D27" s="67"/>
      <c r="E27" s="89"/>
      <c r="F27" s="171">
        <v>2.0</v>
      </c>
      <c r="G27" s="172" t="s">
        <v>48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76</v>
      </c>
      <c r="C28" s="67"/>
      <c r="D28" s="67"/>
      <c r="E28" s="89"/>
      <c r="F28" s="172">
        <v>3.0</v>
      </c>
      <c r="G28" s="172" t="s">
        <v>26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88</v>
      </c>
      <c r="C29" s="67"/>
      <c r="D29" s="67"/>
      <c r="E29" s="89"/>
      <c r="F29" s="171">
        <v>4.0</v>
      </c>
      <c r="G29" s="172" t="s">
        <v>39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23</v>
      </c>
      <c r="C30" s="67"/>
      <c r="D30" s="67"/>
      <c r="E30" s="89"/>
      <c r="F30" s="171">
        <v>5.0</v>
      </c>
      <c r="G30" s="172" t="s">
        <v>40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61</v>
      </c>
      <c r="C31" s="67"/>
      <c r="D31" s="67"/>
      <c r="E31" s="89"/>
      <c r="F31" s="171">
        <v>6.0</v>
      </c>
      <c r="G31" s="172" t="s">
        <v>29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33</v>
      </c>
      <c r="C32" s="67"/>
      <c r="D32" s="67"/>
      <c r="E32" s="89"/>
      <c r="F32" s="171">
        <v>7.0</v>
      </c>
      <c r="G32" s="172" t="s">
        <v>27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521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46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28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76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88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23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61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33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46</v>
      </c>
      <c r="C51" s="23"/>
      <c r="D51" s="49"/>
      <c r="E51" s="49"/>
      <c r="F51" s="49"/>
      <c r="G51" s="171">
        <v>6.0</v>
      </c>
      <c r="H51" s="172" t="s">
        <v>61</v>
      </c>
      <c r="I51" s="23"/>
      <c r="J51" s="176" t="b">
        <v>0</v>
      </c>
      <c r="K51" s="172"/>
      <c r="L51" s="49"/>
      <c r="M51" s="171">
        <v>2.0</v>
      </c>
      <c r="N51" s="172" t="s">
        <v>28</v>
      </c>
      <c r="O51" s="23"/>
      <c r="P51" s="176" t="b">
        <v>0</v>
      </c>
      <c r="Q51" s="172"/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46</v>
      </c>
      <c r="I52" s="23"/>
      <c r="J52" s="176" t="b">
        <v>1</v>
      </c>
      <c r="K52" s="172"/>
      <c r="L52" s="49"/>
      <c r="M52" s="171">
        <v>1.0</v>
      </c>
      <c r="N52" s="172" t="s">
        <v>46</v>
      </c>
      <c r="O52" s="23"/>
      <c r="P52" s="176" t="b">
        <v>1</v>
      </c>
      <c r="Q52" s="172"/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33</v>
      </c>
      <c r="C53" s="23"/>
      <c r="D53" s="176" t="b">
        <v>0</v>
      </c>
      <c r="E53" s="172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28</v>
      </c>
      <c r="C54" s="23"/>
      <c r="D54" s="176" t="b">
        <v>1</v>
      </c>
      <c r="E54" s="172"/>
      <c r="F54" s="49"/>
      <c r="G54" s="171">
        <v>5.0</v>
      </c>
      <c r="H54" s="172" t="s">
        <v>23</v>
      </c>
      <c r="I54" s="23"/>
      <c r="J54" s="176" t="b">
        <v>0</v>
      </c>
      <c r="K54" s="172"/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2.0</v>
      </c>
      <c r="H55" s="172" t="s">
        <v>28</v>
      </c>
      <c r="I55" s="23"/>
      <c r="J55" s="176" t="b">
        <v>1</v>
      </c>
      <c r="K55" s="172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61</v>
      </c>
      <c r="C56" s="23"/>
      <c r="D56" s="176" t="b">
        <v>1</v>
      </c>
      <c r="E56" s="172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76</v>
      </c>
      <c r="C57" s="23"/>
      <c r="D57" s="176" t="b">
        <v>0</v>
      </c>
      <c r="E57" s="172"/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23</v>
      </c>
      <c r="C59" s="23"/>
      <c r="D59" s="176" t="b">
        <v>1</v>
      </c>
      <c r="E59" s="172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88</v>
      </c>
      <c r="C60" s="23"/>
      <c r="D60" s="176" t="b">
        <v>0</v>
      </c>
      <c r="E60" s="172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522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1.0</v>
      </c>
      <c r="S63" s="172" t="s">
        <v>46</v>
      </c>
      <c r="T63" s="23"/>
      <c r="U63" s="176" t="b">
        <v>1</v>
      </c>
      <c r="V63" s="172"/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7.0</v>
      </c>
      <c r="S64" s="172" t="s">
        <v>27</v>
      </c>
      <c r="T64" s="23"/>
      <c r="U64" s="176" t="b">
        <v>0</v>
      </c>
      <c r="V64" s="172"/>
      <c r="W64" s="49"/>
      <c r="X64" s="49"/>
    </row>
    <row r="65">
      <c r="A65" s="171">
        <v>1.0</v>
      </c>
      <c r="B65" s="172" t="s">
        <v>54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48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26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39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40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29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27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54</v>
      </c>
      <c r="C76" s="23"/>
      <c r="D76" s="49"/>
      <c r="E76" s="49"/>
      <c r="F76" s="49"/>
      <c r="G76" s="171">
        <v>7.0</v>
      </c>
      <c r="H76" s="172" t="s">
        <v>27</v>
      </c>
      <c r="I76" s="23"/>
      <c r="J76" s="176" t="b">
        <v>1</v>
      </c>
      <c r="K76" s="172"/>
      <c r="L76" s="49"/>
      <c r="M76" s="171">
        <v>7.0</v>
      </c>
      <c r="N76" s="172" t="s">
        <v>27</v>
      </c>
      <c r="O76" s="23"/>
      <c r="P76" s="176" t="b">
        <v>1</v>
      </c>
      <c r="Q76" s="172"/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54</v>
      </c>
      <c r="I77" s="23"/>
      <c r="J77" s="176" t="b">
        <v>0</v>
      </c>
      <c r="K77" s="172"/>
      <c r="L77" s="49"/>
      <c r="M77" s="171">
        <v>4.0</v>
      </c>
      <c r="N77" s="172" t="s">
        <v>39</v>
      </c>
      <c r="O77" s="23"/>
      <c r="P77" s="176" t="b">
        <v>0</v>
      </c>
      <c r="Q77" s="172"/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27</v>
      </c>
      <c r="C78" s="23"/>
      <c r="D78" s="176" t="b">
        <v>1</v>
      </c>
      <c r="E78" s="172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48</v>
      </c>
      <c r="C79" s="23"/>
      <c r="D79" s="176" t="b">
        <v>0</v>
      </c>
      <c r="E79" s="172"/>
      <c r="F79" s="49"/>
      <c r="G79" s="171">
        <v>4.0</v>
      </c>
      <c r="H79" s="172" t="s">
        <v>39</v>
      </c>
      <c r="I79" s="23"/>
      <c r="J79" s="176" t="b">
        <v>1</v>
      </c>
      <c r="K79" s="172"/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3.0</v>
      </c>
      <c r="H80" s="172" t="s">
        <v>26</v>
      </c>
      <c r="I80" s="23"/>
      <c r="J80" s="176" t="b">
        <v>0</v>
      </c>
      <c r="K80" s="172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29</v>
      </c>
      <c r="C81" s="23"/>
      <c r="D81" s="176" t="b">
        <v>0</v>
      </c>
      <c r="E81" s="172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26</v>
      </c>
      <c r="C82" s="23"/>
      <c r="D82" s="176" t="b">
        <v>1</v>
      </c>
      <c r="E82" s="172"/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40</v>
      </c>
      <c r="C84" s="23"/>
      <c r="D84" s="176" t="b">
        <v>0</v>
      </c>
      <c r="E84" s="172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39</v>
      </c>
      <c r="C85" s="23"/>
      <c r="D85" s="176" t="b">
        <v>1</v>
      </c>
      <c r="E85" s="172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23" max="23" width="13.88"/>
  </cols>
  <sheetData>
    <row r="1">
      <c r="A1" s="89" t="str">
        <f>IFERROR(__xludf.DUMMYFUNCTION("IMPORTRANGE(""https://docs.google.com/spreadsheets/d/1bLdBI0kftQCv83BcOyybzKCM1MYN5e5AJnu8g5Px_C8/edit?gid=1462027705#gid=1462027705"",""Standings!A1:I33"")"),"")</f>
        <v/>
      </c>
      <c r="B1" s="135" t="str">
        <f>IFERROR(__xludf.DUMMYFUNCTION("""COMPUTED_VALUE"""),"AFC West")</f>
        <v>AFC West</v>
      </c>
      <c r="C1" s="135" t="str">
        <f>IFERROR(__xludf.DUMMYFUNCTION("""COMPUTED_VALUE"""),"Record")</f>
        <v>Record</v>
      </c>
      <c r="D1" s="135" t="str">
        <f>IFERROR(__xludf.DUMMYFUNCTION("""COMPUTED_VALUE"""),"Div Record")</f>
        <v>Div Record</v>
      </c>
      <c r="E1" s="89"/>
      <c r="F1" s="89"/>
      <c r="G1" s="135" t="str">
        <f>IFERROR(__xludf.DUMMYFUNCTION("""COMPUTED_VALUE"""),"NFC West")</f>
        <v>NFC West</v>
      </c>
      <c r="H1" s="135" t="str">
        <f>IFERROR(__xludf.DUMMYFUNCTION("""COMPUTED_VALUE"""),"Record")</f>
        <v>Record</v>
      </c>
      <c r="I1" s="135" t="str">
        <f>IFERROR(__xludf.DUMMYFUNCTION("""COMPUTED_VALUE"""),"Div Record")</f>
        <v>Div Record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 t="str">
        <f>IFERROR(__xludf.DUMMYFUNCTION("""COMPUTED_VALUE"""),"")</f>
        <v/>
      </c>
      <c r="B2" s="137" t="str">
        <f>IFERROR(__xludf.DUMMYFUNCTION("""COMPUTED_VALUE"""),"KC")</f>
        <v>KC</v>
      </c>
      <c r="C2" s="138" t="str">
        <f>IFERROR(__xludf.DUMMYFUNCTION("""COMPUTED_VALUE"""),"8 - 9")</f>
        <v>8 - 9</v>
      </c>
      <c r="D2" s="138" t="str">
        <f>IFERROR(__xludf.DUMMYFUNCTION("""COMPUTED_VALUE"""),"2 - 4")</f>
        <v>2 - 4</v>
      </c>
      <c r="E2" s="89"/>
      <c r="F2" s="90" t="str">
        <f>IFERROR(__xludf.DUMMYFUNCTION("""COMPUTED_VALUE"""),"")</f>
        <v/>
      </c>
      <c r="G2" s="139" t="str">
        <f>IFERROR(__xludf.DUMMYFUNCTION("""COMPUTED_VALUE"""),"SF")</f>
        <v>SF</v>
      </c>
      <c r="H2" s="138" t="str">
        <f>IFERROR(__xludf.DUMMYFUNCTION("""COMPUTED_VALUE"""),"9 - 8")</f>
        <v>9 - 8</v>
      </c>
      <c r="I2" s="138" t="str">
        <f>IFERROR(__xludf.DUMMYFUNCTION("""COMPUTED_VALUE"""),"2 - 4")</f>
        <v>2 - 4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 t="str">
        <f>IFERROR(__xludf.DUMMYFUNCTION("""COMPUTED_VALUE"""),"")</f>
        <v/>
      </c>
      <c r="B3" s="135" t="str">
        <f>IFERROR(__xludf.DUMMYFUNCTION("""COMPUTED_VALUE"""),"LV")</f>
        <v>LV</v>
      </c>
      <c r="C3" s="138" t="str">
        <f>IFERROR(__xludf.DUMMYFUNCTION("""COMPUTED_VALUE"""),"2 - 15")</f>
        <v>2 - 15</v>
      </c>
      <c r="D3" s="138" t="str">
        <f>IFERROR(__xludf.DUMMYFUNCTION("""COMPUTED_VALUE"""),"0 - 6")</f>
        <v>0 - 6</v>
      </c>
      <c r="E3" s="89"/>
      <c r="F3" s="90" t="str">
        <f>IFERROR(__xludf.DUMMYFUNCTION("""COMPUTED_VALUE"""),"")</f>
        <v/>
      </c>
      <c r="G3" s="140" t="str">
        <f>IFERROR(__xludf.DUMMYFUNCTION("""COMPUTED_VALUE"""),"LAR")</f>
        <v>LAR</v>
      </c>
      <c r="H3" s="138" t="str">
        <f>IFERROR(__xludf.DUMMYFUNCTION("""COMPUTED_VALUE"""),"16 - 1")</f>
        <v>16 - 1</v>
      </c>
      <c r="I3" s="138" t="str">
        <f>IFERROR(__xludf.DUMMYFUNCTION("""COMPUTED_VALUE"""),"5 - 1")</f>
        <v>5 - 1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 t="str">
        <f>IFERROR(__xludf.DUMMYFUNCTION("""COMPUTED_VALUE"""),"")</f>
        <v/>
      </c>
      <c r="B4" s="141" t="str">
        <f>IFERROR(__xludf.DUMMYFUNCTION("""COMPUTED_VALUE"""),"DEN")</f>
        <v>DEN</v>
      </c>
      <c r="C4" s="138" t="str">
        <f>IFERROR(__xludf.DUMMYFUNCTION("""COMPUTED_VALUE"""),"12 - 5")</f>
        <v>12 - 5</v>
      </c>
      <c r="D4" s="138" t="str">
        <f>IFERROR(__xludf.DUMMYFUNCTION("""COMPUTED_VALUE"""),"5 - 1")</f>
        <v>5 - 1</v>
      </c>
      <c r="E4" s="89"/>
      <c r="F4" s="90" t="str">
        <f>IFERROR(__xludf.DUMMYFUNCTION("""COMPUTED_VALUE"""),"")</f>
        <v/>
      </c>
      <c r="G4" s="142" t="str">
        <f>IFERROR(__xludf.DUMMYFUNCTION("""COMPUTED_VALUE"""),"SEA")</f>
        <v>SEA</v>
      </c>
      <c r="H4" s="138" t="str">
        <f>IFERROR(__xludf.DUMMYFUNCTION("""COMPUTED_VALUE"""),"15 - 2")</f>
        <v>15 - 2</v>
      </c>
      <c r="I4" s="138" t="str">
        <f>IFERROR(__xludf.DUMMYFUNCTION("""COMPUTED_VALUE"""),"5 - 1")</f>
        <v>5 - 1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 t="str">
        <f>IFERROR(__xludf.DUMMYFUNCTION("""COMPUTED_VALUE"""),"")</f>
        <v/>
      </c>
      <c r="B5" s="143" t="str">
        <f>IFERROR(__xludf.DUMMYFUNCTION("""COMPUTED_VALUE"""),"LAC")</f>
        <v>LAC</v>
      </c>
      <c r="C5" s="138" t="str">
        <f>IFERROR(__xludf.DUMMYFUNCTION("""COMPUTED_VALUE"""),"13 - 4")</f>
        <v>13 - 4</v>
      </c>
      <c r="D5" s="138" t="str">
        <f>IFERROR(__xludf.DUMMYFUNCTION("""COMPUTED_VALUE"""),"5 - 1")</f>
        <v>5 - 1</v>
      </c>
      <c r="E5" s="89"/>
      <c r="F5" s="90" t="str">
        <f>IFERROR(__xludf.DUMMYFUNCTION("""COMPUTED_VALUE"""),"")</f>
        <v/>
      </c>
      <c r="G5" s="144" t="str">
        <f>IFERROR(__xludf.DUMMYFUNCTION("""COMPUTED_VALUE"""),"AZ")</f>
        <v>AZ</v>
      </c>
      <c r="H5" s="138" t="str">
        <f>IFERROR(__xludf.DUMMYFUNCTION("""COMPUTED_VALUE"""),"2 - 15")</f>
        <v>2 - 15</v>
      </c>
      <c r="I5" s="138" t="str">
        <f>IFERROR(__xludf.DUMMYFUNCTION("""COMPUTED_VALUE"""),"0 - 6")</f>
        <v>0 - 6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tr">
        <f>IFERROR(__xludf.DUMMYFUNCTION("""COMPUTED_VALUE"""),"AFC East")</f>
        <v>AFC East</v>
      </c>
      <c r="C7" s="135" t="str">
        <f>IFERROR(__xludf.DUMMYFUNCTION("""COMPUTED_VALUE"""),"Record")</f>
        <v>Record</v>
      </c>
      <c r="D7" s="135" t="str">
        <f>IFERROR(__xludf.DUMMYFUNCTION("""COMPUTED_VALUE"""),"Div Record")</f>
        <v>Div Record</v>
      </c>
      <c r="E7" s="89"/>
      <c r="F7" s="89"/>
      <c r="G7" s="135" t="str">
        <f>IFERROR(__xludf.DUMMYFUNCTION("""COMPUTED_VALUE"""),"NFC East")</f>
        <v>NFC East</v>
      </c>
      <c r="H7" s="135" t="str">
        <f>IFERROR(__xludf.DUMMYFUNCTION("""COMPUTED_VALUE"""),"Record")</f>
        <v>Record</v>
      </c>
      <c r="I7" s="135" t="str">
        <f>IFERROR(__xludf.DUMMYFUNCTION("""COMPUTED_VALUE"""),"Div Record")</f>
        <v>Div Record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 t="str">
        <f>IFERROR(__xludf.DUMMYFUNCTION("""COMPUTED_VALUE"""),"")</f>
        <v/>
      </c>
      <c r="B8" s="145" t="str">
        <f>IFERROR(__xludf.DUMMYFUNCTION("""COMPUTED_VALUE"""),"BUF")</f>
        <v>BUF</v>
      </c>
      <c r="C8" s="138" t="str">
        <f>IFERROR(__xludf.DUMMYFUNCTION("""COMPUTED_VALUE"""),"16 - 1")</f>
        <v>16 - 1</v>
      </c>
      <c r="D8" s="138" t="str">
        <f>IFERROR(__xludf.DUMMYFUNCTION("""COMPUTED_VALUE"""),"6 - 0")</f>
        <v>6 - 0</v>
      </c>
      <c r="E8" s="89"/>
      <c r="F8" s="90" t="str">
        <f>IFERROR(__xludf.DUMMYFUNCTION("""COMPUTED_VALUE"""),"")</f>
        <v/>
      </c>
      <c r="G8" s="146" t="str">
        <f>IFERROR(__xludf.DUMMYFUNCTION("""COMPUTED_VALUE"""),"DAL")</f>
        <v>DAL</v>
      </c>
      <c r="H8" s="138" t="str">
        <f>IFERROR(__xludf.DUMMYFUNCTION("""COMPUTED_VALUE"""),"9 - 8")</f>
        <v>9 - 8</v>
      </c>
      <c r="I8" s="138" t="str">
        <f>IFERROR(__xludf.DUMMYFUNCTION("""COMPUTED_VALUE"""),"4 - 2")</f>
        <v>4 - 2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 t="str">
        <f>IFERROR(__xludf.DUMMYFUNCTION("""COMPUTED_VALUE"""),"")</f>
        <v/>
      </c>
      <c r="B9" s="147" t="str">
        <f>IFERROR(__xludf.DUMMYFUNCTION("""COMPUTED_VALUE"""),"MIA")</f>
        <v>MIA</v>
      </c>
      <c r="C9" s="138" t="str">
        <f>IFERROR(__xludf.DUMMYFUNCTION("""COMPUTED_VALUE"""),"2 - 15")</f>
        <v>2 - 15</v>
      </c>
      <c r="D9" s="138" t="str">
        <f>IFERROR(__xludf.DUMMYFUNCTION("""COMPUTED_VALUE"""),"0 - 6")</f>
        <v>0 - 6</v>
      </c>
      <c r="E9" s="89"/>
      <c r="F9" s="90" t="str">
        <f>IFERROR(__xludf.DUMMYFUNCTION("""COMPUTED_VALUE"""),"")</f>
        <v/>
      </c>
      <c r="G9" s="148" t="str">
        <f>IFERROR(__xludf.DUMMYFUNCTION("""COMPUTED_VALUE"""),"PHI")</f>
        <v>PHI</v>
      </c>
      <c r="H9" s="138" t="str">
        <f>IFERROR(__xludf.DUMMYFUNCTION("""COMPUTED_VALUE"""),"16 - 1")</f>
        <v>16 - 1</v>
      </c>
      <c r="I9" s="138" t="str">
        <f>IFERROR(__xludf.DUMMYFUNCTION("""COMPUTED_VALUE"""),"6 - 0")</f>
        <v>6 - 0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 t="str">
        <f>IFERROR(__xludf.DUMMYFUNCTION("""COMPUTED_VALUE"""),"")</f>
        <v/>
      </c>
      <c r="B10" s="149" t="str">
        <f>IFERROR(__xludf.DUMMYFUNCTION("""COMPUTED_VALUE"""),"NYJ")</f>
        <v>NYJ</v>
      </c>
      <c r="C10" s="138" t="str">
        <f>IFERROR(__xludf.DUMMYFUNCTION("""COMPUTED_VALUE"""),"3 - 14")</f>
        <v>3 - 14</v>
      </c>
      <c r="D10" s="138" t="str">
        <f>IFERROR(__xludf.DUMMYFUNCTION("""COMPUTED_VALUE"""),"2 - 4")</f>
        <v>2 - 4</v>
      </c>
      <c r="E10" s="89"/>
      <c r="F10" s="90" t="str">
        <f>IFERROR(__xludf.DUMMYFUNCTION("""COMPUTED_VALUE"""),"")</f>
        <v/>
      </c>
      <c r="G10" s="150" t="str">
        <f>IFERROR(__xludf.DUMMYFUNCTION("""COMPUTED_VALUE"""),"NYG")</f>
        <v>NYG</v>
      </c>
      <c r="H10" s="138" t="str">
        <f>IFERROR(__xludf.DUMMYFUNCTION("""COMPUTED_VALUE"""),"5 - 12")</f>
        <v>5 - 12</v>
      </c>
      <c r="I10" s="138" t="str">
        <f>IFERROR(__xludf.DUMMYFUNCTION("""COMPUTED_VALUE"""),"1 - 5")</f>
        <v>1 - 5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 t="str">
        <f>IFERROR(__xludf.DUMMYFUNCTION("""COMPUTED_VALUE"""),"")</f>
        <v/>
      </c>
      <c r="B11" s="151" t="str">
        <f>IFERROR(__xludf.DUMMYFUNCTION("""COMPUTED_VALUE"""),"NE")</f>
        <v>NE</v>
      </c>
      <c r="C11" s="138" t="str">
        <f>IFERROR(__xludf.DUMMYFUNCTION("""COMPUTED_VALUE"""),"11 - 6")</f>
        <v>11 - 6</v>
      </c>
      <c r="D11" s="138" t="str">
        <f>IFERROR(__xludf.DUMMYFUNCTION("""COMPUTED_VALUE"""),"4 - 2")</f>
        <v>4 - 2</v>
      </c>
      <c r="E11" s="89"/>
      <c r="F11" s="90" t="str">
        <f>IFERROR(__xludf.DUMMYFUNCTION("""COMPUTED_VALUE"""),"")</f>
        <v/>
      </c>
      <c r="G11" s="152" t="str">
        <f>IFERROR(__xludf.DUMMYFUNCTION("""COMPUTED_VALUE"""),"WSH")</f>
        <v>WSH</v>
      </c>
      <c r="H11" s="138" t="str">
        <f>IFERROR(__xludf.DUMMYFUNCTION("""COMPUTED_VALUE"""),"4 - 13")</f>
        <v>4 - 13</v>
      </c>
      <c r="I11" s="138" t="str">
        <f>IFERROR(__xludf.DUMMYFUNCTION("""COMPUTED_VALUE"""),"1 - 5")</f>
        <v>1 - 5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tr">
        <f>IFERROR(__xludf.DUMMYFUNCTION("""COMPUTED_VALUE"""),"AFC North")</f>
        <v>AFC North</v>
      </c>
      <c r="C13" s="135" t="str">
        <f>IFERROR(__xludf.DUMMYFUNCTION("""COMPUTED_VALUE"""),"Record")</f>
        <v>Record</v>
      </c>
      <c r="D13" s="135" t="str">
        <f>IFERROR(__xludf.DUMMYFUNCTION("""COMPUTED_VALUE"""),"Div Record")</f>
        <v>Div Record</v>
      </c>
      <c r="E13" s="89"/>
      <c r="F13" s="89"/>
      <c r="G13" s="135" t="str">
        <f>IFERROR(__xludf.DUMMYFUNCTION("""COMPUTED_VALUE"""),"NFC North")</f>
        <v>NFC North</v>
      </c>
      <c r="H13" s="135" t="str">
        <f>IFERROR(__xludf.DUMMYFUNCTION("""COMPUTED_VALUE"""),"Record")</f>
        <v>Record</v>
      </c>
      <c r="I13" s="135" t="str">
        <f>IFERROR(__xludf.DUMMYFUNCTION("""COMPUTED_VALUE"""),"Div Record")</f>
        <v>Div Record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 t="str">
        <f>IFERROR(__xludf.DUMMYFUNCTION("""COMPUTED_VALUE"""),"")</f>
        <v/>
      </c>
      <c r="B14" s="153" t="str">
        <f>IFERROR(__xludf.DUMMYFUNCTION("""COMPUTED_VALUE"""),"BAL")</f>
        <v>BAL</v>
      </c>
      <c r="C14" s="138" t="str">
        <f>IFERROR(__xludf.DUMMYFUNCTION("""COMPUTED_VALUE"""),"14 - 3")</f>
        <v>14 - 3</v>
      </c>
      <c r="D14" s="138" t="str">
        <f>IFERROR(__xludf.DUMMYFUNCTION("""COMPUTED_VALUE"""),"6 - 0")</f>
        <v>6 - 0</v>
      </c>
      <c r="E14" s="89"/>
      <c r="F14" s="90" t="str">
        <f>IFERROR(__xludf.DUMMYFUNCTION("""COMPUTED_VALUE"""),"")</f>
        <v/>
      </c>
      <c r="G14" s="154" t="str">
        <f>IFERROR(__xludf.DUMMYFUNCTION("""COMPUTED_VALUE"""),"DET")</f>
        <v>DET</v>
      </c>
      <c r="H14" s="138" t="str">
        <f>IFERROR(__xludf.DUMMYFUNCTION("""COMPUTED_VALUE"""),"12 - 5")</f>
        <v>12 - 5</v>
      </c>
      <c r="I14" s="138" t="str">
        <f>IFERROR(__xludf.DUMMYFUNCTION("""COMPUTED_VALUE"""),"3 - 3")</f>
        <v>3 - 3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 t="str">
        <f>IFERROR(__xludf.DUMMYFUNCTION("""COMPUTED_VALUE"""),"")</f>
        <v/>
      </c>
      <c r="B15" s="155" t="str">
        <f>IFERROR(__xludf.DUMMYFUNCTION("""COMPUTED_VALUE"""),"CLE")</f>
        <v>CLE</v>
      </c>
      <c r="C15" s="138" t="str">
        <f>IFERROR(__xludf.DUMMYFUNCTION("""COMPUTED_VALUE"""),"2 - 15")</f>
        <v>2 - 15</v>
      </c>
      <c r="D15" s="138" t="str">
        <f>IFERROR(__xludf.DUMMYFUNCTION("""COMPUTED_VALUE"""),"0 - 6")</f>
        <v>0 - 6</v>
      </c>
      <c r="E15" s="89"/>
      <c r="F15" s="90" t="str">
        <f>IFERROR(__xludf.DUMMYFUNCTION("""COMPUTED_VALUE"""),"")</f>
        <v/>
      </c>
      <c r="G15" s="156" t="str">
        <f>IFERROR(__xludf.DUMMYFUNCTION("""COMPUTED_VALUE"""),"GB")</f>
        <v>GB</v>
      </c>
      <c r="H15" s="138" t="str">
        <f>IFERROR(__xludf.DUMMYFUNCTION("""COMPUTED_VALUE"""),"15 - 2")</f>
        <v>15 - 2</v>
      </c>
      <c r="I15" s="138" t="str">
        <f>IFERROR(__xludf.DUMMYFUNCTION("""COMPUTED_VALUE"""),"6 - 0")</f>
        <v>6 - 0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 t="str">
        <f>IFERROR(__xludf.DUMMYFUNCTION("""COMPUTED_VALUE"""),"")</f>
        <v/>
      </c>
      <c r="B16" s="157" t="str">
        <f>IFERROR(__xludf.DUMMYFUNCTION("""COMPUTED_VALUE"""),"PIT")</f>
        <v>PIT</v>
      </c>
      <c r="C16" s="138" t="str">
        <f>IFERROR(__xludf.DUMMYFUNCTION("""COMPUTED_VALUE"""),"6 - 11")</f>
        <v>6 - 11</v>
      </c>
      <c r="D16" s="138" t="str">
        <f>IFERROR(__xludf.DUMMYFUNCTION("""COMPUTED_VALUE"""),"2 - 4")</f>
        <v>2 - 4</v>
      </c>
      <c r="E16" s="89"/>
      <c r="F16" s="90" t="str">
        <f>IFERROR(__xludf.DUMMYFUNCTION("""COMPUTED_VALUE"""),"")</f>
        <v/>
      </c>
      <c r="G16" s="159" t="str">
        <f>IFERROR(__xludf.DUMMYFUNCTION("""COMPUTED_VALUE"""),"MIN")</f>
        <v>MIN</v>
      </c>
      <c r="H16" s="138" t="str">
        <f>IFERROR(__xludf.DUMMYFUNCTION("""COMPUTED_VALUE"""),"7 - 10")</f>
        <v>7 - 10</v>
      </c>
      <c r="I16" s="138" t="str">
        <f>IFERROR(__xludf.DUMMYFUNCTION("""COMPUTED_VALUE"""),"0 - 6")</f>
        <v>0 - 6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 t="str">
        <f>IFERROR(__xludf.DUMMYFUNCTION("""COMPUTED_VALUE"""),"")</f>
        <v/>
      </c>
      <c r="B17" s="160" t="str">
        <f>IFERROR(__xludf.DUMMYFUNCTION("""COMPUTED_VALUE"""),"CIN")</f>
        <v>CIN</v>
      </c>
      <c r="C17" s="138" t="str">
        <f>IFERROR(__xludf.DUMMYFUNCTION("""COMPUTED_VALUE"""),"14 - 3")</f>
        <v>14 - 3</v>
      </c>
      <c r="D17" s="138" t="str">
        <f>IFERROR(__xludf.DUMMYFUNCTION("""COMPUTED_VALUE"""),"4 - 2")</f>
        <v>4 - 2</v>
      </c>
      <c r="E17" s="89"/>
      <c r="F17" s="90" t="str">
        <f>IFERROR(__xludf.DUMMYFUNCTION("""COMPUTED_VALUE"""),"")</f>
        <v/>
      </c>
      <c r="G17" s="161" t="str">
        <f>IFERROR(__xludf.DUMMYFUNCTION("""COMPUTED_VALUE"""),"CHI")</f>
        <v>CHI</v>
      </c>
      <c r="H17" s="138" t="str">
        <f>IFERROR(__xludf.DUMMYFUNCTION("""COMPUTED_VALUE"""),"8 - 9")</f>
        <v>8 - 9</v>
      </c>
      <c r="I17" s="138" t="str">
        <f>IFERROR(__xludf.DUMMYFUNCTION("""COMPUTED_VALUE"""),"3 - 3")</f>
        <v>3 - 3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tr">
        <f>IFERROR(__xludf.DUMMYFUNCTION("""COMPUTED_VALUE"""),"AFC South")</f>
        <v>AFC South</v>
      </c>
      <c r="C19" s="135" t="str">
        <f>IFERROR(__xludf.DUMMYFUNCTION("""COMPUTED_VALUE"""),"Record")</f>
        <v>Record</v>
      </c>
      <c r="D19" s="135" t="str">
        <f>IFERROR(__xludf.DUMMYFUNCTION("""COMPUTED_VALUE"""),"Div Record")</f>
        <v>Div Record</v>
      </c>
      <c r="E19" s="89"/>
      <c r="F19" s="89"/>
      <c r="G19" s="135" t="str">
        <f>IFERROR(__xludf.DUMMYFUNCTION("""COMPUTED_VALUE"""),"NFC South")</f>
        <v>NFC South</v>
      </c>
      <c r="H19" s="135" t="str">
        <f>IFERROR(__xludf.DUMMYFUNCTION("""COMPUTED_VALUE"""),"Record")</f>
        <v>Record</v>
      </c>
      <c r="I19" s="135" t="str">
        <f>IFERROR(__xludf.DUMMYFUNCTION("""COMPUTED_VALUE"""),"Div Record")</f>
        <v>Div Record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 t="str">
        <f>IFERROR(__xludf.DUMMYFUNCTION("""COMPUTED_VALUE"""),"")</f>
        <v/>
      </c>
      <c r="B20" s="162" t="str">
        <f>IFERROR(__xludf.DUMMYFUNCTION("""COMPUTED_VALUE"""),"HOU")</f>
        <v>HOU</v>
      </c>
      <c r="C20" s="138" t="str">
        <f>IFERROR(__xludf.DUMMYFUNCTION("""COMPUTED_VALUE"""),"13 - 4")</f>
        <v>13 - 4</v>
      </c>
      <c r="D20" s="138" t="str">
        <f>IFERROR(__xludf.DUMMYFUNCTION("""COMPUTED_VALUE"""),"6 - 0")</f>
        <v>6 - 0</v>
      </c>
      <c r="E20" s="89"/>
      <c r="F20" s="90" t="str">
        <f>IFERROR(__xludf.DUMMYFUNCTION("""COMPUTED_VALUE"""),"")</f>
        <v/>
      </c>
      <c r="G20" s="163" t="str">
        <f>IFERROR(__xludf.DUMMYFUNCTION("""COMPUTED_VALUE"""),"TB")</f>
        <v>TB</v>
      </c>
      <c r="H20" s="138" t="str">
        <f>IFERROR(__xludf.DUMMYFUNCTION("""COMPUTED_VALUE"""),"9 - 8")</f>
        <v>9 - 8</v>
      </c>
      <c r="I20" s="138" t="str">
        <f>IFERROR(__xludf.DUMMYFUNCTION("""COMPUTED_VALUE"""),"6 - 0")</f>
        <v>6 - 0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 t="str">
        <f>IFERROR(__xludf.DUMMYFUNCTION("""COMPUTED_VALUE"""),"")</f>
        <v/>
      </c>
      <c r="B21" s="164" t="str">
        <f>IFERROR(__xludf.DUMMYFUNCTION("""COMPUTED_VALUE"""),"JAX")</f>
        <v>JAX</v>
      </c>
      <c r="C21" s="138" t="str">
        <f>IFERROR(__xludf.DUMMYFUNCTION("""COMPUTED_VALUE"""),"9 - 8")</f>
        <v>9 - 8</v>
      </c>
      <c r="D21" s="138" t="str">
        <f>IFERROR(__xludf.DUMMYFUNCTION("""COMPUTED_VALUE"""),"4 - 2")</f>
        <v>4 - 2</v>
      </c>
      <c r="E21" s="89"/>
      <c r="F21" s="90" t="str">
        <f>IFERROR(__xludf.DUMMYFUNCTION("""COMPUTED_VALUE"""),"")</f>
        <v/>
      </c>
      <c r="G21" s="165" t="str">
        <f>IFERROR(__xludf.DUMMYFUNCTION("""COMPUTED_VALUE"""),"NO")</f>
        <v>NO</v>
      </c>
      <c r="H21" s="138" t="str">
        <f>IFERROR(__xludf.DUMMYFUNCTION("""COMPUTED_VALUE"""),"4 - 13")</f>
        <v>4 - 13</v>
      </c>
      <c r="I21" s="138" t="str">
        <f>IFERROR(__xludf.DUMMYFUNCTION("""COMPUTED_VALUE"""),"1 - 5")</f>
        <v>1 - 5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 t="str">
        <f>IFERROR(__xludf.DUMMYFUNCTION("""COMPUTED_VALUE"""),"")</f>
        <v/>
      </c>
      <c r="B22" s="166" t="str">
        <f>IFERROR(__xludf.DUMMYFUNCTION("""COMPUTED_VALUE"""),"IND")</f>
        <v>IND</v>
      </c>
      <c r="C22" s="138" t="str">
        <f>IFERROR(__xludf.DUMMYFUNCTION("""COMPUTED_VALUE"""),"5 - 12")</f>
        <v>5 - 12</v>
      </c>
      <c r="D22" s="138" t="str">
        <f>IFERROR(__xludf.DUMMYFUNCTION("""COMPUTED_VALUE"""),"2 - 4")</f>
        <v>2 - 4</v>
      </c>
      <c r="E22" s="89"/>
      <c r="F22" s="90" t="str">
        <f>IFERROR(__xludf.DUMMYFUNCTION("""COMPUTED_VALUE"""),"")</f>
        <v/>
      </c>
      <c r="G22" s="167" t="str">
        <f>IFERROR(__xludf.DUMMYFUNCTION("""COMPUTED_VALUE"""),"ATL")</f>
        <v>ATL</v>
      </c>
      <c r="H22" s="138" t="str">
        <f>IFERROR(__xludf.DUMMYFUNCTION("""COMPUTED_VALUE"""),"2 - 15")</f>
        <v>2 - 15</v>
      </c>
      <c r="I22" s="138" t="str">
        <f>IFERROR(__xludf.DUMMYFUNCTION("""COMPUTED_VALUE"""),"1 - 5")</f>
        <v>1 - 5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 t="str">
        <f>IFERROR(__xludf.DUMMYFUNCTION("""COMPUTED_VALUE"""),"")</f>
        <v/>
      </c>
      <c r="B23" s="168" t="str">
        <f>IFERROR(__xludf.DUMMYFUNCTION("""COMPUTED_VALUE"""),"TEN")</f>
        <v>TEN</v>
      </c>
      <c r="C23" s="138" t="str">
        <f>IFERROR(__xludf.DUMMYFUNCTION("""COMPUTED_VALUE"""),"3 - 14")</f>
        <v>3 - 14</v>
      </c>
      <c r="D23" s="138" t="str">
        <f>IFERROR(__xludf.DUMMYFUNCTION("""COMPUTED_VALUE"""),"0 - 6")</f>
        <v>0 - 6</v>
      </c>
      <c r="E23" s="89"/>
      <c r="F23" s="90" t="str">
        <f>IFERROR(__xludf.DUMMYFUNCTION("""COMPUTED_VALUE"""),"")</f>
        <v/>
      </c>
      <c r="G23" s="169" t="str">
        <f>IFERROR(__xludf.DUMMYFUNCTION("""COMPUTED_VALUE"""),"CAR")</f>
        <v>CAR</v>
      </c>
      <c r="H23" s="138" t="str">
        <f>IFERROR(__xludf.DUMMYFUNCTION("""COMPUTED_VALUE"""),"6 - 11")</f>
        <v>6 - 11</v>
      </c>
      <c r="I23" s="138" t="str">
        <f>IFERROR(__xludf.DUMMYFUNCTION("""COMPUTED_VALUE"""),"4 - 2")</f>
        <v>4 - 2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tr">
        <f>IFERROR(__xludf.DUMMYFUNCTION("""COMPUTED_VALUE"""),"AFC Playoff Picture")</f>
        <v>AFC Playoff Picture</v>
      </c>
      <c r="C25" s="89"/>
      <c r="D25" s="89"/>
      <c r="E25" s="89"/>
      <c r="F25" s="89"/>
      <c r="G25" s="170" t="str">
        <f>IFERROR(__xludf.DUMMYFUNCTION("""COMPUTED_VALUE"""),"NFC Playoff Picture")</f>
        <v>NFC Playoff Picture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f>IFERROR(__xludf.DUMMYFUNCTION("""COMPUTED_VALUE"""),1.0)</f>
        <v>1</v>
      </c>
      <c r="B26" s="172" t="str">
        <f>IFERROR(__xludf.DUMMYFUNCTION("""COMPUTED_VALUE"""),"BUF")</f>
        <v>BUF</v>
      </c>
      <c r="C26" s="67" t="str">
        <f>IFERROR(__xludf.DUMMYFUNCTION("""COMPUTED_VALUE"""),"")</f>
        <v/>
      </c>
      <c r="D26" s="67"/>
      <c r="E26" s="89"/>
      <c r="F26" s="171">
        <f>IFERROR(__xludf.DUMMYFUNCTION("""COMPUTED_VALUE"""),1.0)</f>
        <v>1</v>
      </c>
      <c r="G26" s="172" t="str">
        <f>IFERROR(__xludf.DUMMYFUNCTION("""COMPUTED_VALUE"""),"PHI")</f>
        <v>PHI</v>
      </c>
      <c r="H26" s="67" t="str">
        <f>IFERROR(__xludf.DUMMYFUNCTION("""COMPUTED_VALUE"""),"")</f>
        <v/>
      </c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f>IFERROR(__xludf.DUMMYFUNCTION("""COMPUTED_VALUE"""),2.0)</f>
        <v>2</v>
      </c>
      <c r="B27" s="172" t="str">
        <f>IFERROR(__xludf.DUMMYFUNCTION("""COMPUTED_VALUE"""),"BAL")</f>
        <v>BAL</v>
      </c>
      <c r="C27" s="67" t="str">
        <f>IFERROR(__xludf.DUMMYFUNCTION("""COMPUTED_VALUE"""),"")</f>
        <v/>
      </c>
      <c r="D27" s="67"/>
      <c r="E27" s="89"/>
      <c r="F27" s="171">
        <f>IFERROR(__xludf.DUMMYFUNCTION("""COMPUTED_VALUE"""),2.0)</f>
        <v>2</v>
      </c>
      <c r="G27" s="172" t="str">
        <f>IFERROR(__xludf.DUMMYFUNCTION("""COMPUTED_VALUE"""),"LAR")</f>
        <v>LAR</v>
      </c>
      <c r="H27" s="67" t="str">
        <f>IFERROR(__xludf.DUMMYFUNCTION("""COMPUTED_VALUE"""),"")</f>
        <v/>
      </c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f>IFERROR(__xludf.DUMMYFUNCTION("""COMPUTED_VALUE"""),3.0)</f>
        <v>3</v>
      </c>
      <c r="B28" s="172" t="str">
        <f>IFERROR(__xludf.DUMMYFUNCTION("""COMPUTED_VALUE"""),"HOU")</f>
        <v>HOU</v>
      </c>
      <c r="C28" s="67" t="str">
        <f>IFERROR(__xludf.DUMMYFUNCTION("""COMPUTED_VALUE"""),"")</f>
        <v/>
      </c>
      <c r="D28" s="67"/>
      <c r="E28" s="89"/>
      <c r="F28" s="172">
        <f>IFERROR(__xludf.DUMMYFUNCTION("""COMPUTED_VALUE"""),3.0)</f>
        <v>3</v>
      </c>
      <c r="G28" s="172" t="str">
        <f>IFERROR(__xludf.DUMMYFUNCTION("""COMPUTED_VALUE"""),"GB")</f>
        <v>GB</v>
      </c>
      <c r="H28" s="67" t="str">
        <f>IFERROR(__xludf.DUMMYFUNCTION("""COMPUTED_VALUE"""),"")</f>
        <v/>
      </c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f>IFERROR(__xludf.DUMMYFUNCTION("""COMPUTED_VALUE"""),4.0)</f>
        <v>4</v>
      </c>
      <c r="B29" s="172" t="str">
        <f>IFERROR(__xludf.DUMMYFUNCTION("""COMPUTED_VALUE"""),"LAC")</f>
        <v>LAC</v>
      </c>
      <c r="C29" s="67" t="str">
        <f>IFERROR(__xludf.DUMMYFUNCTION("""COMPUTED_VALUE"""),"")</f>
        <v/>
      </c>
      <c r="D29" s="67"/>
      <c r="E29" s="89"/>
      <c r="F29" s="171">
        <f>IFERROR(__xludf.DUMMYFUNCTION("""COMPUTED_VALUE"""),4.0)</f>
        <v>4</v>
      </c>
      <c r="G29" s="172" t="str">
        <f>IFERROR(__xludf.DUMMYFUNCTION("""COMPUTED_VALUE"""),"TB")</f>
        <v>TB</v>
      </c>
      <c r="H29" s="67" t="str">
        <f>IFERROR(__xludf.DUMMYFUNCTION("""COMPUTED_VALUE"""),"")</f>
        <v/>
      </c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f>IFERROR(__xludf.DUMMYFUNCTION("""COMPUTED_VALUE"""),5.0)</f>
        <v>5</v>
      </c>
      <c r="B30" s="172" t="str">
        <f>IFERROR(__xludf.DUMMYFUNCTION("""COMPUTED_VALUE"""),"CIN")</f>
        <v>CIN</v>
      </c>
      <c r="C30" s="67" t="str">
        <f>IFERROR(__xludf.DUMMYFUNCTION("""COMPUTED_VALUE"""),"")</f>
        <v/>
      </c>
      <c r="D30" s="67"/>
      <c r="E30" s="89"/>
      <c r="F30" s="171">
        <f>IFERROR(__xludf.DUMMYFUNCTION("""COMPUTED_VALUE"""),5.0)</f>
        <v>5</v>
      </c>
      <c r="G30" s="172" t="str">
        <f>IFERROR(__xludf.DUMMYFUNCTION("""COMPUTED_VALUE"""),"SEA")</f>
        <v>SEA</v>
      </c>
      <c r="H30" s="67" t="str">
        <f>IFERROR(__xludf.DUMMYFUNCTION("""COMPUTED_VALUE"""),"")</f>
        <v/>
      </c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f>IFERROR(__xludf.DUMMYFUNCTION("""COMPUTED_VALUE"""),6.0)</f>
        <v>6</v>
      </c>
      <c r="B31" s="172" t="str">
        <f>IFERROR(__xludf.DUMMYFUNCTION("""COMPUTED_VALUE"""),"DEN")</f>
        <v>DEN</v>
      </c>
      <c r="C31" s="67" t="str">
        <f>IFERROR(__xludf.DUMMYFUNCTION("""COMPUTED_VALUE"""),"")</f>
        <v/>
      </c>
      <c r="D31" s="67"/>
      <c r="E31" s="89"/>
      <c r="F31" s="171">
        <f>IFERROR(__xludf.DUMMYFUNCTION("""COMPUTED_VALUE"""),6.0)</f>
        <v>6</v>
      </c>
      <c r="G31" s="172" t="str">
        <f>IFERROR(__xludf.DUMMYFUNCTION("""COMPUTED_VALUE"""),"DET")</f>
        <v>DET</v>
      </c>
      <c r="H31" s="67" t="str">
        <f>IFERROR(__xludf.DUMMYFUNCTION("""COMPUTED_VALUE"""),"")</f>
        <v/>
      </c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f>IFERROR(__xludf.DUMMYFUNCTION("""COMPUTED_VALUE"""),7.0)</f>
        <v>7</v>
      </c>
      <c r="B32" s="172" t="str">
        <f>IFERROR(__xludf.DUMMYFUNCTION("""COMPUTED_VALUE"""),"NE")</f>
        <v>NE</v>
      </c>
      <c r="C32" s="67" t="str">
        <f>IFERROR(__xludf.DUMMYFUNCTION("""COMPUTED_VALUE"""),"")</f>
        <v/>
      </c>
      <c r="D32" s="67"/>
      <c r="E32" s="89"/>
      <c r="F32" s="171">
        <f>IFERROR(__xludf.DUMMYFUNCTION("""COMPUTED_VALUE"""),7.0)</f>
        <v>7</v>
      </c>
      <c r="G32" s="172" t="str">
        <f>IFERROR(__xludf.DUMMYFUNCTION("""COMPUTED_VALUE"""),"SF")</f>
        <v>SF</v>
      </c>
      <c r="H32" s="67" t="str">
        <f>IFERROR(__xludf.DUMMYFUNCTION("""COMPUTED_VALUE"""),"")</f>
        <v/>
      </c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 t="str">
        <f>IFERROR(__xludf.DUMMYFUNCTION("IMPORTRANGE(""https://docs.google.com/spreadsheets/d/1bLdBI0kftQCv83BcOyybzKCM1MYN5e5AJnu8g5Px_C8/edit?gid=1462027705#gid=1462027705"",""Playoffs!A1:W53"")"),"")</f>
        <v/>
      </c>
      <c r="B35" s="170" t="str">
        <f>IFERROR(__xludf.DUMMYFUNCTION("""COMPUTED_VALUE"""),"Regular Season MVP")</f>
        <v>Regular Season MVP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tr">
        <f>IFERROR(__xludf.DUMMYFUNCTION("""COMPUTED_VALUE"""),"Matthew Stafford")</f>
        <v>Matthew Stafford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tr">
        <f>IFERROR(__xludf.DUMMYFUNCTION("""COMPUTED_VALUE"""),"AFC Playoff Picture")</f>
        <v>AFC Playoff Picture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f>IFERROR(__xludf.DUMMYFUNCTION("""COMPUTED_VALUE"""),1.0)</f>
        <v>1</v>
      </c>
      <c r="B40" s="172" t="str">
        <f>IFERROR(__xludf.DUMMYFUNCTION("""COMPUTED_VALUE"""),"BUF")</f>
        <v>BUF</v>
      </c>
      <c r="C40" s="23" t="str">
        <f>IFERROR(__xludf.DUMMYFUNCTION("""COMPUTED_VALUE"""),"")</f>
        <v/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f>IFERROR(__xludf.DUMMYFUNCTION("""COMPUTED_VALUE"""),2.0)</f>
        <v>2</v>
      </c>
      <c r="B41" s="172" t="str">
        <f>IFERROR(__xludf.DUMMYFUNCTION("""COMPUTED_VALUE"""),"BAL")</f>
        <v>BAL</v>
      </c>
      <c r="C41" s="23" t="str">
        <f>IFERROR(__xludf.DUMMYFUNCTION("""COMPUTED_VALUE"""),"")</f>
        <v/>
      </c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f>IFERROR(__xludf.DUMMYFUNCTION("""COMPUTED_VALUE"""),3.0)</f>
        <v>3</v>
      </c>
      <c r="B42" s="172" t="str">
        <f>IFERROR(__xludf.DUMMYFUNCTION("""COMPUTED_VALUE"""),"HOU")</f>
        <v>HOU</v>
      </c>
      <c r="C42" s="23" t="str">
        <f>IFERROR(__xludf.DUMMYFUNCTION("""COMPUTED_VALUE"""),"")</f>
        <v/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f>IFERROR(__xludf.DUMMYFUNCTION("""COMPUTED_VALUE"""),4.0)</f>
        <v>4</v>
      </c>
      <c r="B43" s="172" t="str">
        <f>IFERROR(__xludf.DUMMYFUNCTION("""COMPUTED_VALUE"""),"LAC")</f>
        <v>LAC</v>
      </c>
      <c r="C43" s="23" t="str">
        <f>IFERROR(__xludf.DUMMYFUNCTION("""COMPUTED_VALUE"""),"")</f>
        <v/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f>IFERROR(__xludf.DUMMYFUNCTION("""COMPUTED_VALUE"""),5.0)</f>
        <v>5</v>
      </c>
      <c r="B44" s="172" t="str">
        <f>IFERROR(__xludf.DUMMYFUNCTION("""COMPUTED_VALUE"""),"CIN")</f>
        <v>CIN</v>
      </c>
      <c r="C44" s="23" t="str">
        <f>IFERROR(__xludf.DUMMYFUNCTION("""COMPUTED_VALUE"""),"")</f>
        <v/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f>IFERROR(__xludf.DUMMYFUNCTION("""COMPUTED_VALUE"""),6.0)</f>
        <v>6</v>
      </c>
      <c r="B45" s="172" t="str">
        <f>IFERROR(__xludf.DUMMYFUNCTION("""COMPUTED_VALUE"""),"DEN")</f>
        <v>DEN</v>
      </c>
      <c r="C45" s="23" t="str">
        <f>IFERROR(__xludf.DUMMYFUNCTION("""COMPUTED_VALUE"""),"")</f>
        <v/>
      </c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f>IFERROR(__xludf.DUMMYFUNCTION("""COMPUTED_VALUE"""),7.0)</f>
        <v>7</v>
      </c>
      <c r="B46" s="172" t="str">
        <f>IFERROR(__xludf.DUMMYFUNCTION("""COMPUTED_VALUE"""),"NE")</f>
        <v>NE</v>
      </c>
      <c r="C46" s="23" t="str">
        <f>IFERROR(__xludf.DUMMYFUNCTION("""COMPUTED_VALUE"""),"")</f>
        <v/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tr">
        <f>IFERROR(__xludf.DUMMYFUNCTION("""COMPUTED_VALUE"""),"AFC Wild Card")</f>
        <v>AFC Wild Card</v>
      </c>
      <c r="C49" s="175"/>
      <c r="D49" s="170" t="str">
        <f>IFERROR(__xludf.DUMMYFUNCTION("""COMPUTED_VALUE"""),"Winner")</f>
        <v>Winner</v>
      </c>
      <c r="E49" s="170" t="str">
        <f>IFERROR(__xludf.DUMMYFUNCTION("""COMPUTED_VALUE"""),"Score")</f>
        <v>Score</v>
      </c>
      <c r="F49" s="49"/>
      <c r="G49" s="175"/>
      <c r="H49" s="170" t="str">
        <f>IFERROR(__xludf.DUMMYFUNCTION("""COMPUTED_VALUE"""),"AFC Divisional Round")</f>
        <v>AFC Divisional Round</v>
      </c>
      <c r="I49" s="175"/>
      <c r="J49" s="170" t="str">
        <f>IFERROR(__xludf.DUMMYFUNCTION("""COMPUTED_VALUE"""),"Winner")</f>
        <v>Winner</v>
      </c>
      <c r="K49" s="170" t="str">
        <f>IFERROR(__xludf.DUMMYFUNCTION("""COMPUTED_VALUE"""),"Score")</f>
        <v>Score</v>
      </c>
      <c r="L49" s="49"/>
      <c r="M49" s="175"/>
      <c r="N49" s="170" t="str">
        <f>IFERROR(__xludf.DUMMYFUNCTION("""COMPUTED_VALUE"""),"AFC Championship Game")</f>
        <v>AFC Championship Game</v>
      </c>
      <c r="O49" s="175"/>
      <c r="P49" s="170" t="str">
        <f>IFERROR(__xludf.DUMMYFUNCTION("""COMPUTED_VALUE"""),"Winner")</f>
        <v>Winner</v>
      </c>
      <c r="Q49" s="170" t="str">
        <f>IFERROR(__xludf.DUMMYFUNCTION("""COMPUTED_VALUE"""),"Score")</f>
        <v>Score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tr">
        <f>IFERROR(__xludf.DUMMYFUNCTION("""COMPUTED_VALUE"""),"BYE")</f>
        <v>BYE</v>
      </c>
      <c r="B51" s="172" t="str">
        <f>IFERROR(__xludf.DUMMYFUNCTION("""COMPUTED_VALUE"""),"BUF")</f>
        <v>BUF</v>
      </c>
      <c r="C51" s="23" t="str">
        <f>IFERROR(__xludf.DUMMYFUNCTION("""COMPUTED_VALUE"""),"")</f>
        <v/>
      </c>
      <c r="D51" s="49"/>
      <c r="E51" s="49"/>
      <c r="F51" s="49"/>
      <c r="G51" s="171">
        <f>IFERROR(__xludf.DUMMYFUNCTION("""COMPUTED_VALUE"""),7.0)</f>
        <v>7</v>
      </c>
      <c r="H51" s="172" t="str">
        <f>IFERROR(__xludf.DUMMYFUNCTION("""COMPUTED_VALUE"""),"NE")</f>
        <v>NE</v>
      </c>
      <c r="I51" s="23" t="str">
        <f>IFERROR(__xludf.DUMMYFUNCTION("""COMPUTED_VALUE"""),"")</f>
        <v/>
      </c>
      <c r="J51" s="176" t="b">
        <f>IFERROR(__xludf.DUMMYFUNCTION("""COMPUTED_VALUE"""),FALSE)</f>
        <v>0</v>
      </c>
      <c r="K51" s="172"/>
      <c r="L51" s="49"/>
      <c r="M51" s="171">
        <f>IFERROR(__xludf.DUMMYFUNCTION("""COMPUTED_VALUE"""),6.0)</f>
        <v>6</v>
      </c>
      <c r="N51" s="172" t="str">
        <f>IFERROR(__xludf.DUMMYFUNCTION("""COMPUTED_VALUE"""),"DEN")</f>
        <v>DEN</v>
      </c>
      <c r="O51" s="23" t="str">
        <f>IFERROR(__xludf.DUMMYFUNCTION("""COMPUTED_VALUE"""),"")</f>
        <v/>
      </c>
      <c r="P51" s="176" t="b">
        <f>IFERROR(__xludf.DUMMYFUNCTION("""COMPUTED_VALUE"""),FALSE)</f>
        <v>0</v>
      </c>
      <c r="Q51" s="172"/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f>IFERROR(__xludf.DUMMYFUNCTION("""COMPUTED_VALUE"""),1.0)</f>
        <v>1</v>
      </c>
      <c r="H52" s="172" t="str">
        <f>IFERROR(__xludf.DUMMYFUNCTION("""COMPUTED_VALUE"""),"BUF")</f>
        <v>BUF</v>
      </c>
      <c r="I52" s="23" t="str">
        <f>IFERROR(__xludf.DUMMYFUNCTION("""COMPUTED_VALUE"""),"")</f>
        <v/>
      </c>
      <c r="J52" s="176" t="b">
        <f>IFERROR(__xludf.DUMMYFUNCTION("""COMPUTED_VALUE"""),TRUE)</f>
        <v>1</v>
      </c>
      <c r="K52" s="172"/>
      <c r="L52" s="49"/>
      <c r="M52" s="171">
        <f>IFERROR(__xludf.DUMMYFUNCTION("""COMPUTED_VALUE"""),1.0)</f>
        <v>1</v>
      </c>
      <c r="N52" s="172" t="str">
        <f>IFERROR(__xludf.DUMMYFUNCTION("""COMPUTED_VALUE"""),"BUF")</f>
        <v>BUF</v>
      </c>
      <c r="O52" s="23" t="str">
        <f>IFERROR(__xludf.DUMMYFUNCTION("""COMPUTED_VALUE"""),"")</f>
        <v/>
      </c>
      <c r="P52" s="176" t="b">
        <f>IFERROR(__xludf.DUMMYFUNCTION("""COMPUTED_VALUE"""),TRUE)</f>
        <v>1</v>
      </c>
      <c r="Q52" s="172"/>
      <c r="R52" s="49"/>
      <c r="S52" s="49"/>
      <c r="T52" s="49"/>
      <c r="U52" s="49"/>
      <c r="V52" s="49"/>
      <c r="W52" s="49"/>
      <c r="X52" s="49"/>
    </row>
    <row r="53">
      <c r="A53" s="171">
        <f>IFERROR(__xludf.DUMMYFUNCTION("""COMPUTED_VALUE"""),7.0)</f>
        <v>7</v>
      </c>
      <c r="B53" s="172" t="str">
        <f>IFERROR(__xludf.DUMMYFUNCTION("""COMPUTED_VALUE"""),"NE")</f>
        <v>NE</v>
      </c>
      <c r="C53" s="23" t="str">
        <f>IFERROR(__xludf.DUMMYFUNCTION("""COMPUTED_VALUE"""),"")</f>
        <v/>
      </c>
      <c r="D53" s="176" t="b">
        <f>IFERROR(__xludf.DUMMYFUNCTION("""COMPUTED_VALUE"""),TRUE)</f>
        <v>1</v>
      </c>
      <c r="E53" s="172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f>IFERROR(__xludf.DUMMYFUNCTION("""COMPUTED_VALUE"""),2.0)</f>
        <v>2</v>
      </c>
      <c r="B54" s="172" t="str">
        <f>IFERROR(__xludf.DUMMYFUNCTION("""COMPUTED_VALUE"""),"BAL")</f>
        <v>BAL</v>
      </c>
      <c r="C54" s="23" t="str">
        <f>IFERROR(__xludf.DUMMYFUNCTION("""COMPUTED_VALUE"""),"")</f>
        <v/>
      </c>
      <c r="D54" s="176" t="b">
        <f>IFERROR(__xludf.DUMMYFUNCTION("""COMPUTED_VALUE"""),FALSE)</f>
        <v>0</v>
      </c>
      <c r="E54" s="172"/>
      <c r="F54" s="49"/>
      <c r="G54" s="171">
        <f>IFERROR(__xludf.DUMMYFUNCTION("""COMPUTED_VALUE"""),6.0)</f>
        <v>6</v>
      </c>
      <c r="H54" s="172" t="str">
        <f>IFERROR(__xludf.DUMMYFUNCTION("""COMPUTED_VALUE"""),"DEN")</f>
        <v>DEN</v>
      </c>
      <c r="I54" s="23" t="str">
        <f>IFERROR(__xludf.DUMMYFUNCTION("""COMPUTED_VALUE"""),"")</f>
        <v/>
      </c>
      <c r="J54" s="176" t="b">
        <f>IFERROR(__xludf.DUMMYFUNCTION("""COMPUTED_VALUE"""),TRUE)</f>
        <v>1</v>
      </c>
      <c r="K54" s="172"/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f>IFERROR(__xludf.DUMMYFUNCTION("""COMPUTED_VALUE"""),4.0)</f>
        <v>4</v>
      </c>
      <c r="H55" s="172" t="str">
        <f>IFERROR(__xludf.DUMMYFUNCTION("""COMPUTED_VALUE"""),"LAC")</f>
        <v>LAC</v>
      </c>
      <c r="I55" s="23" t="str">
        <f>IFERROR(__xludf.DUMMYFUNCTION("""COMPUTED_VALUE"""),"")</f>
        <v/>
      </c>
      <c r="J55" s="176" t="b">
        <f>IFERROR(__xludf.DUMMYFUNCTION("""COMPUTED_VALUE"""),FALSE)</f>
        <v>0</v>
      </c>
      <c r="K55" s="172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f>IFERROR(__xludf.DUMMYFUNCTION("""COMPUTED_VALUE"""),6.0)</f>
        <v>6</v>
      </c>
      <c r="B56" s="172" t="str">
        <f>IFERROR(__xludf.DUMMYFUNCTION("""COMPUTED_VALUE"""),"DEN")</f>
        <v>DEN</v>
      </c>
      <c r="C56" s="23" t="str">
        <f>IFERROR(__xludf.DUMMYFUNCTION("""COMPUTED_VALUE"""),"")</f>
        <v/>
      </c>
      <c r="D56" s="176" t="b">
        <f>IFERROR(__xludf.DUMMYFUNCTION("""COMPUTED_VALUE"""),TRUE)</f>
        <v>1</v>
      </c>
      <c r="E56" s="172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f>IFERROR(__xludf.DUMMYFUNCTION("""COMPUTED_VALUE"""),3.0)</f>
        <v>3</v>
      </c>
      <c r="B57" s="172" t="str">
        <f>IFERROR(__xludf.DUMMYFUNCTION("""COMPUTED_VALUE"""),"HOU")</f>
        <v>HOU</v>
      </c>
      <c r="C57" s="23" t="str">
        <f>IFERROR(__xludf.DUMMYFUNCTION("""COMPUTED_VALUE"""),"")</f>
        <v/>
      </c>
      <c r="D57" s="176" t="b">
        <f>IFERROR(__xludf.DUMMYFUNCTION("""COMPUTED_VALUE"""),FALSE)</f>
        <v>0</v>
      </c>
      <c r="E57" s="172"/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f>IFERROR(__xludf.DUMMYFUNCTION("""COMPUTED_VALUE"""),5.0)</f>
        <v>5</v>
      </c>
      <c r="B59" s="172" t="str">
        <f>IFERROR(__xludf.DUMMYFUNCTION("""COMPUTED_VALUE"""),"CIN")</f>
        <v>CIN</v>
      </c>
      <c r="C59" s="23" t="str">
        <f>IFERROR(__xludf.DUMMYFUNCTION("""COMPUTED_VALUE"""),"")</f>
        <v/>
      </c>
      <c r="D59" s="176" t="b">
        <f>IFERROR(__xludf.DUMMYFUNCTION("""COMPUTED_VALUE"""),FALSE)</f>
        <v>0</v>
      </c>
      <c r="E59" s="172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f>IFERROR(__xludf.DUMMYFUNCTION("""COMPUTED_VALUE"""),4.0)</f>
        <v>4</v>
      </c>
      <c r="B60" s="172" t="str">
        <f>IFERROR(__xludf.DUMMYFUNCTION("""COMPUTED_VALUE"""),"LAC")</f>
        <v>LAC</v>
      </c>
      <c r="C60" s="23" t="str">
        <f>IFERROR(__xludf.DUMMYFUNCTION("""COMPUTED_VALUE"""),"")</f>
        <v/>
      </c>
      <c r="D60" s="176" t="b">
        <f>IFERROR(__xludf.DUMMYFUNCTION("""COMPUTED_VALUE"""),TRUE)</f>
        <v>1</v>
      </c>
      <c r="E60" s="172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tr">
        <f>IFERROR(__xludf.DUMMYFUNCTION("""COMPUTED_VALUE"""),"Super Bowl LXI")</f>
        <v>Super Bowl LXI</v>
      </c>
      <c r="T61" s="175"/>
      <c r="U61" s="170" t="str">
        <f>IFERROR(__xludf.DUMMYFUNCTION("""COMPUTED_VALUE"""),"Winner")</f>
        <v>Winner</v>
      </c>
      <c r="V61" s="170" t="str">
        <f>IFERROR(__xludf.DUMMYFUNCTION("""COMPUTED_VALUE"""),"Score")</f>
        <v>Score</v>
      </c>
      <c r="W61" s="170" t="str">
        <f>IFERROR(__xludf.DUMMYFUNCTION("""COMPUTED_VALUE"""),"SB MVP")</f>
        <v>SB MVP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tr">
        <f>IFERROR(__xludf.DUMMYFUNCTION("""COMPUTED_VALUE"""),"Josh Allen")</f>
        <v>Josh Allen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f>IFERROR(__xludf.DUMMYFUNCTION("""COMPUTED_VALUE"""),1.0)</f>
        <v>1</v>
      </c>
      <c r="S63" s="172" t="str">
        <f>IFERROR(__xludf.DUMMYFUNCTION("""COMPUTED_VALUE"""),"BUF")</f>
        <v>BUF</v>
      </c>
      <c r="T63" s="23" t="str">
        <f>IFERROR(__xludf.DUMMYFUNCTION("""COMPUTED_VALUE"""),"")</f>
        <v/>
      </c>
      <c r="U63" s="176" t="b">
        <f>IFERROR(__xludf.DUMMYFUNCTION("""COMPUTED_VALUE"""),TRUE)</f>
        <v>1</v>
      </c>
      <c r="V63" s="172"/>
      <c r="W63" s="49"/>
      <c r="X63" s="49"/>
    </row>
    <row r="64">
      <c r="A64" s="175"/>
      <c r="B64" s="170" t="str">
        <f>IFERROR(__xludf.DUMMYFUNCTION("""COMPUTED_VALUE"""),"NFC Playoff Picture")</f>
        <v>NFC Playoff Picture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f>IFERROR(__xludf.DUMMYFUNCTION("""COMPUTED_VALUE"""),2.0)</f>
        <v>2</v>
      </c>
      <c r="S64" s="172" t="str">
        <f>IFERROR(__xludf.DUMMYFUNCTION("""COMPUTED_VALUE"""),"LAR")</f>
        <v>LAR</v>
      </c>
      <c r="T64" s="23" t="str">
        <f>IFERROR(__xludf.DUMMYFUNCTION("""COMPUTED_VALUE"""),"")</f>
        <v/>
      </c>
      <c r="U64" s="176" t="b">
        <f>IFERROR(__xludf.DUMMYFUNCTION("""COMPUTED_VALUE"""),FALSE)</f>
        <v>0</v>
      </c>
      <c r="V64" s="172"/>
      <c r="W64" s="49"/>
      <c r="X64" s="49"/>
    </row>
    <row r="65">
      <c r="A65" s="171">
        <f>IFERROR(__xludf.DUMMYFUNCTION("""COMPUTED_VALUE"""),1.0)</f>
        <v>1</v>
      </c>
      <c r="B65" s="172" t="str">
        <f>IFERROR(__xludf.DUMMYFUNCTION("""COMPUTED_VALUE"""),"PHI")</f>
        <v>PHI</v>
      </c>
      <c r="C65" s="23" t="str">
        <f>IFERROR(__xludf.DUMMYFUNCTION("""COMPUTED_VALUE"""),"")</f>
        <v/>
      </c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f>IFERROR(__xludf.DUMMYFUNCTION("""COMPUTED_VALUE"""),2.0)</f>
        <v>2</v>
      </c>
      <c r="B66" s="172" t="str">
        <f>IFERROR(__xludf.DUMMYFUNCTION("""COMPUTED_VALUE"""),"LAR")</f>
        <v>LAR</v>
      </c>
      <c r="C66" s="23" t="str">
        <f>IFERROR(__xludf.DUMMYFUNCTION("""COMPUTED_VALUE"""),"")</f>
        <v/>
      </c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f>IFERROR(__xludf.DUMMYFUNCTION("""COMPUTED_VALUE"""),3.0)</f>
        <v>3</v>
      </c>
      <c r="B67" s="172" t="str">
        <f>IFERROR(__xludf.DUMMYFUNCTION("""COMPUTED_VALUE"""),"GB")</f>
        <v>GB</v>
      </c>
      <c r="C67" s="23" t="str">
        <f>IFERROR(__xludf.DUMMYFUNCTION("""COMPUTED_VALUE"""),"")</f>
        <v/>
      </c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f>IFERROR(__xludf.DUMMYFUNCTION("""COMPUTED_VALUE"""),4.0)</f>
        <v>4</v>
      </c>
      <c r="B68" s="172" t="str">
        <f>IFERROR(__xludf.DUMMYFUNCTION("""COMPUTED_VALUE"""),"TB")</f>
        <v>TB</v>
      </c>
      <c r="C68" s="23" t="str">
        <f>IFERROR(__xludf.DUMMYFUNCTION("""COMPUTED_VALUE"""),"")</f>
        <v/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f>IFERROR(__xludf.DUMMYFUNCTION("""COMPUTED_VALUE"""),5.0)</f>
        <v>5</v>
      </c>
      <c r="B69" s="172" t="str">
        <f>IFERROR(__xludf.DUMMYFUNCTION("""COMPUTED_VALUE"""),"SEA")</f>
        <v>SEA</v>
      </c>
      <c r="C69" s="23" t="str">
        <f>IFERROR(__xludf.DUMMYFUNCTION("""COMPUTED_VALUE"""),"")</f>
        <v/>
      </c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f>IFERROR(__xludf.DUMMYFUNCTION("""COMPUTED_VALUE"""),6.0)</f>
        <v>6</v>
      </c>
      <c r="B70" s="172" t="str">
        <f>IFERROR(__xludf.DUMMYFUNCTION("""COMPUTED_VALUE"""),"DET")</f>
        <v>DET</v>
      </c>
      <c r="C70" s="23" t="str">
        <f>IFERROR(__xludf.DUMMYFUNCTION("""COMPUTED_VALUE"""),"")</f>
        <v/>
      </c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f>IFERROR(__xludf.DUMMYFUNCTION("""COMPUTED_VALUE"""),7.0)</f>
        <v>7</v>
      </c>
      <c r="B71" s="172" t="str">
        <f>IFERROR(__xludf.DUMMYFUNCTION("""COMPUTED_VALUE"""),"SF")</f>
        <v>SF</v>
      </c>
      <c r="C71" s="23" t="str">
        <f>IFERROR(__xludf.DUMMYFUNCTION("""COMPUTED_VALUE"""),"")</f>
        <v/>
      </c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tr">
        <f>IFERROR(__xludf.DUMMYFUNCTION("""COMPUTED_VALUE"""),"NFC Wild Card")</f>
        <v>NFC Wild Card</v>
      </c>
      <c r="C74" s="175"/>
      <c r="D74" s="170" t="str">
        <f>IFERROR(__xludf.DUMMYFUNCTION("""COMPUTED_VALUE"""),"Winner")</f>
        <v>Winner</v>
      </c>
      <c r="E74" s="170" t="str">
        <f>IFERROR(__xludf.DUMMYFUNCTION("""COMPUTED_VALUE"""),"Score")</f>
        <v>Score</v>
      </c>
      <c r="F74" s="49"/>
      <c r="G74" s="175"/>
      <c r="H74" s="170" t="str">
        <f>IFERROR(__xludf.DUMMYFUNCTION("""COMPUTED_VALUE"""),"NFC Divisional Round")</f>
        <v>NFC Divisional Round</v>
      </c>
      <c r="I74" s="175"/>
      <c r="J74" s="170" t="str">
        <f>IFERROR(__xludf.DUMMYFUNCTION("""COMPUTED_VALUE"""),"Winner")</f>
        <v>Winner</v>
      </c>
      <c r="K74" s="170" t="str">
        <f>IFERROR(__xludf.DUMMYFUNCTION("""COMPUTED_VALUE"""),"Score")</f>
        <v>Score</v>
      </c>
      <c r="L74" s="49"/>
      <c r="M74" s="175"/>
      <c r="N74" s="170" t="str">
        <f>IFERROR(__xludf.DUMMYFUNCTION("""COMPUTED_VALUE"""),"NFC Championship Game")</f>
        <v>NFC Championship Game</v>
      </c>
      <c r="O74" s="175"/>
      <c r="P74" s="170" t="str">
        <f>IFERROR(__xludf.DUMMYFUNCTION("""COMPUTED_VALUE"""),"Winner")</f>
        <v>Winner</v>
      </c>
      <c r="Q74" s="170" t="str">
        <f>IFERROR(__xludf.DUMMYFUNCTION("""COMPUTED_VALUE"""),"Score")</f>
        <v>Score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tr">
        <f>IFERROR(__xludf.DUMMYFUNCTION("""COMPUTED_VALUE"""),"BYE")</f>
        <v>BYE</v>
      </c>
      <c r="B76" s="172" t="str">
        <f>IFERROR(__xludf.DUMMYFUNCTION("""COMPUTED_VALUE"""),"PHI")</f>
        <v>PHI</v>
      </c>
      <c r="C76" s="23" t="str">
        <f>IFERROR(__xludf.DUMMYFUNCTION("""COMPUTED_VALUE"""),"")</f>
        <v/>
      </c>
      <c r="D76" s="49"/>
      <c r="E76" s="49"/>
      <c r="F76" s="49"/>
      <c r="G76" s="171">
        <f>IFERROR(__xludf.DUMMYFUNCTION("""COMPUTED_VALUE"""),5.0)</f>
        <v>5</v>
      </c>
      <c r="H76" s="172" t="str">
        <f>IFERROR(__xludf.DUMMYFUNCTION("""COMPUTED_VALUE"""),"SEA")</f>
        <v>SEA</v>
      </c>
      <c r="I76" s="23" t="str">
        <f>IFERROR(__xludf.DUMMYFUNCTION("""COMPUTED_VALUE"""),"")</f>
        <v/>
      </c>
      <c r="J76" s="176" t="b">
        <f>IFERROR(__xludf.DUMMYFUNCTION("""COMPUTED_VALUE"""),TRUE)</f>
        <v>1</v>
      </c>
      <c r="K76" s="172"/>
      <c r="L76" s="49"/>
      <c r="M76" s="171">
        <f>IFERROR(__xludf.DUMMYFUNCTION("""COMPUTED_VALUE"""),5.0)</f>
        <v>5</v>
      </c>
      <c r="N76" s="172" t="str">
        <f>IFERROR(__xludf.DUMMYFUNCTION("""COMPUTED_VALUE"""),"SEA")</f>
        <v>SEA</v>
      </c>
      <c r="O76" s="23" t="str">
        <f>IFERROR(__xludf.DUMMYFUNCTION("""COMPUTED_VALUE"""),"")</f>
        <v/>
      </c>
      <c r="P76" s="176" t="b">
        <f>IFERROR(__xludf.DUMMYFUNCTION("""COMPUTED_VALUE"""),FALSE)</f>
        <v>0</v>
      </c>
      <c r="Q76" s="172"/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f>IFERROR(__xludf.DUMMYFUNCTION("""COMPUTED_VALUE"""),1.0)</f>
        <v>1</v>
      </c>
      <c r="H77" s="172" t="str">
        <f>IFERROR(__xludf.DUMMYFUNCTION("""COMPUTED_VALUE"""),"PHI")</f>
        <v>PHI</v>
      </c>
      <c r="I77" s="23" t="str">
        <f>IFERROR(__xludf.DUMMYFUNCTION("""COMPUTED_VALUE"""),"")</f>
        <v/>
      </c>
      <c r="J77" s="176" t="b">
        <f>IFERROR(__xludf.DUMMYFUNCTION("""COMPUTED_VALUE"""),FALSE)</f>
        <v>0</v>
      </c>
      <c r="K77" s="172"/>
      <c r="L77" s="49"/>
      <c r="M77" s="171">
        <f>IFERROR(__xludf.DUMMYFUNCTION("""COMPUTED_VALUE"""),2.0)</f>
        <v>2</v>
      </c>
      <c r="N77" s="172" t="str">
        <f>IFERROR(__xludf.DUMMYFUNCTION("""COMPUTED_VALUE"""),"LAR")</f>
        <v>LAR</v>
      </c>
      <c r="O77" s="23" t="str">
        <f>IFERROR(__xludf.DUMMYFUNCTION("""COMPUTED_VALUE"""),"")</f>
        <v/>
      </c>
      <c r="P77" s="176" t="b">
        <f>IFERROR(__xludf.DUMMYFUNCTION("""COMPUTED_VALUE"""),TRUE)</f>
        <v>1</v>
      </c>
      <c r="Q77" s="172"/>
      <c r="R77" s="49"/>
      <c r="S77" s="49"/>
      <c r="T77" s="49"/>
      <c r="U77" s="49"/>
      <c r="V77" s="49"/>
      <c r="W77" s="49"/>
      <c r="X77" s="49"/>
    </row>
    <row r="78">
      <c r="A78" s="171">
        <f>IFERROR(__xludf.DUMMYFUNCTION("""COMPUTED_VALUE"""),7.0)</f>
        <v>7</v>
      </c>
      <c r="B78" s="172" t="str">
        <f>IFERROR(__xludf.DUMMYFUNCTION("""COMPUTED_VALUE"""),"SF")</f>
        <v>SF</v>
      </c>
      <c r="C78" s="23" t="str">
        <f>IFERROR(__xludf.DUMMYFUNCTION("""COMPUTED_VALUE"""),"")</f>
        <v/>
      </c>
      <c r="D78" s="176" t="b">
        <f>IFERROR(__xludf.DUMMYFUNCTION("""COMPUTED_VALUE"""),FALSE)</f>
        <v>0</v>
      </c>
      <c r="E78" s="172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f>IFERROR(__xludf.DUMMYFUNCTION("""COMPUTED_VALUE"""),2.0)</f>
        <v>2</v>
      </c>
      <c r="B79" s="172" t="str">
        <f>IFERROR(__xludf.DUMMYFUNCTION("""COMPUTED_VALUE"""),"LAR")</f>
        <v>LAR</v>
      </c>
      <c r="C79" s="23" t="str">
        <f>IFERROR(__xludf.DUMMYFUNCTION("""COMPUTED_VALUE"""),"")</f>
        <v/>
      </c>
      <c r="D79" s="176" t="b">
        <f>IFERROR(__xludf.DUMMYFUNCTION("""COMPUTED_VALUE"""),TRUE)</f>
        <v>1</v>
      </c>
      <c r="E79" s="172"/>
      <c r="F79" s="49"/>
      <c r="G79" s="171">
        <f>IFERROR(__xludf.DUMMYFUNCTION("""COMPUTED_VALUE"""),3.0)</f>
        <v>3</v>
      </c>
      <c r="H79" s="172" t="str">
        <f>IFERROR(__xludf.DUMMYFUNCTION("""COMPUTED_VALUE"""),"GB")</f>
        <v>GB</v>
      </c>
      <c r="I79" s="23" t="str">
        <f>IFERROR(__xludf.DUMMYFUNCTION("""COMPUTED_VALUE"""),"")</f>
        <v/>
      </c>
      <c r="J79" s="176" t="b">
        <f>IFERROR(__xludf.DUMMYFUNCTION("""COMPUTED_VALUE"""),FALSE)</f>
        <v>0</v>
      </c>
      <c r="K79" s="172"/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f>IFERROR(__xludf.DUMMYFUNCTION("""COMPUTED_VALUE"""),2.0)</f>
        <v>2</v>
      </c>
      <c r="H80" s="172" t="str">
        <f>IFERROR(__xludf.DUMMYFUNCTION("""COMPUTED_VALUE"""),"LAR")</f>
        <v>LAR</v>
      </c>
      <c r="I80" s="23" t="str">
        <f>IFERROR(__xludf.DUMMYFUNCTION("""COMPUTED_VALUE"""),"")</f>
        <v/>
      </c>
      <c r="J80" s="176" t="b">
        <f>IFERROR(__xludf.DUMMYFUNCTION("""COMPUTED_VALUE"""),TRUE)</f>
        <v>1</v>
      </c>
      <c r="K80" s="172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f>IFERROR(__xludf.DUMMYFUNCTION("""COMPUTED_VALUE"""),6.0)</f>
        <v>6</v>
      </c>
      <c r="B81" s="172" t="str">
        <f>IFERROR(__xludf.DUMMYFUNCTION("""COMPUTED_VALUE"""),"DET")</f>
        <v>DET</v>
      </c>
      <c r="C81" s="23" t="str">
        <f>IFERROR(__xludf.DUMMYFUNCTION("""COMPUTED_VALUE"""),"")</f>
        <v/>
      </c>
      <c r="D81" s="176" t="b">
        <f>IFERROR(__xludf.DUMMYFUNCTION("""COMPUTED_VALUE"""),FALSE)</f>
        <v>0</v>
      </c>
      <c r="E81" s="172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f>IFERROR(__xludf.DUMMYFUNCTION("""COMPUTED_VALUE"""),3.0)</f>
        <v>3</v>
      </c>
      <c r="B82" s="172" t="str">
        <f>IFERROR(__xludf.DUMMYFUNCTION("""COMPUTED_VALUE"""),"GB")</f>
        <v>GB</v>
      </c>
      <c r="C82" s="23" t="str">
        <f>IFERROR(__xludf.DUMMYFUNCTION("""COMPUTED_VALUE"""),"")</f>
        <v/>
      </c>
      <c r="D82" s="176" t="b">
        <f>IFERROR(__xludf.DUMMYFUNCTION("""COMPUTED_VALUE"""),TRUE)</f>
        <v>1</v>
      </c>
      <c r="E82" s="172"/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f>IFERROR(__xludf.DUMMYFUNCTION("""COMPUTED_VALUE"""),5.0)</f>
        <v>5</v>
      </c>
      <c r="B84" s="172" t="str">
        <f>IFERROR(__xludf.DUMMYFUNCTION("""COMPUTED_VALUE"""),"SEA")</f>
        <v>SEA</v>
      </c>
      <c r="C84" s="23" t="str">
        <f>IFERROR(__xludf.DUMMYFUNCTION("""COMPUTED_VALUE"""),"")</f>
        <v/>
      </c>
      <c r="D84" s="176" t="b">
        <f>IFERROR(__xludf.DUMMYFUNCTION("""COMPUTED_VALUE"""),TRUE)</f>
        <v>1</v>
      </c>
      <c r="E84" s="172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f>IFERROR(__xludf.DUMMYFUNCTION("""COMPUTED_VALUE"""),4.0)</f>
        <v>4</v>
      </c>
      <c r="B85" s="172" t="str">
        <f>IFERROR(__xludf.DUMMYFUNCTION("""COMPUTED_VALUE"""),"TB")</f>
        <v>TB</v>
      </c>
      <c r="C85" s="23" t="str">
        <f>IFERROR(__xludf.DUMMYFUNCTION("""COMPUTED_VALUE"""),"")</f>
        <v/>
      </c>
      <c r="D85" s="176" t="b">
        <f>IFERROR(__xludf.DUMMYFUNCTION("""COMPUTED_VALUE"""),FALSE)</f>
        <v>0</v>
      </c>
      <c r="E85" s="172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/>
      <c r="B1" s="135" t="s">
        <v>457</v>
      </c>
      <c r="C1" s="135" t="s">
        <v>458</v>
      </c>
      <c r="D1" s="135" t="s">
        <v>459</v>
      </c>
      <c r="E1" s="89"/>
      <c r="F1" s="89"/>
      <c r="G1" s="135" t="s">
        <v>460</v>
      </c>
      <c r="H1" s="135" t="s">
        <v>458</v>
      </c>
      <c r="I1" s="135" t="s">
        <v>459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/>
      <c r="B2" s="137" t="s">
        <v>88</v>
      </c>
      <c r="C2" s="138" t="s">
        <v>462</v>
      </c>
      <c r="D2" s="138" t="s">
        <v>464</v>
      </c>
      <c r="E2" s="89"/>
      <c r="F2" s="90"/>
      <c r="G2" s="139" t="s">
        <v>40</v>
      </c>
      <c r="H2" s="138" t="s">
        <v>470</v>
      </c>
      <c r="I2" s="138" t="s">
        <v>466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/>
      <c r="B3" s="135" t="s">
        <v>79</v>
      </c>
      <c r="C3" s="138" t="s">
        <v>483</v>
      </c>
      <c r="D3" s="138" t="s">
        <v>466</v>
      </c>
      <c r="E3" s="89"/>
      <c r="F3" s="90"/>
      <c r="G3" s="140" t="s">
        <v>39</v>
      </c>
      <c r="H3" s="138" t="s">
        <v>468</v>
      </c>
      <c r="I3" s="138" t="s">
        <v>475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/>
      <c r="B4" s="141" t="s">
        <v>74</v>
      </c>
      <c r="C4" s="138" t="s">
        <v>465</v>
      </c>
      <c r="D4" s="138" t="s">
        <v>471</v>
      </c>
      <c r="E4" s="89"/>
      <c r="F4" s="90"/>
      <c r="G4" s="142" t="s">
        <v>24</v>
      </c>
      <c r="H4" s="138" t="s">
        <v>462</v>
      </c>
      <c r="I4" s="138" t="s">
        <v>463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/>
      <c r="B5" s="143" t="s">
        <v>50</v>
      </c>
      <c r="C5" s="138" t="s">
        <v>467</v>
      </c>
      <c r="D5" s="138" t="s">
        <v>475</v>
      </c>
      <c r="E5" s="89"/>
      <c r="F5" s="90"/>
      <c r="G5" s="144" t="s">
        <v>93</v>
      </c>
      <c r="H5" s="138" t="s">
        <v>469</v>
      </c>
      <c r="I5" s="138" t="s">
        <v>466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">
        <v>472</v>
      </c>
      <c r="C7" s="135" t="s">
        <v>458</v>
      </c>
      <c r="D7" s="135" t="s">
        <v>459</v>
      </c>
      <c r="E7" s="89"/>
      <c r="F7" s="89"/>
      <c r="G7" s="135" t="s">
        <v>473</v>
      </c>
      <c r="H7" s="135" t="s">
        <v>458</v>
      </c>
      <c r="I7" s="135" t="s">
        <v>459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/>
      <c r="B8" s="145" t="s">
        <v>23</v>
      </c>
      <c r="C8" s="138" t="s">
        <v>468</v>
      </c>
      <c r="D8" s="138" t="s">
        <v>464</v>
      </c>
      <c r="E8" s="89"/>
      <c r="F8" s="90"/>
      <c r="G8" s="146" t="s">
        <v>84</v>
      </c>
      <c r="H8" s="138" t="s">
        <v>474</v>
      </c>
      <c r="I8" s="138" t="s">
        <v>475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/>
      <c r="B9" s="147" t="s">
        <v>87</v>
      </c>
      <c r="C9" s="138" t="s">
        <v>465</v>
      </c>
      <c r="D9" s="138" t="s">
        <v>471</v>
      </c>
      <c r="E9" s="89"/>
      <c r="F9" s="90"/>
      <c r="G9" s="148" t="s">
        <v>54</v>
      </c>
      <c r="H9" s="138" t="s">
        <v>483</v>
      </c>
      <c r="I9" s="138" t="s">
        <v>463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/>
      <c r="B10" s="149" t="s">
        <v>58</v>
      </c>
      <c r="C10" s="138" t="s">
        <v>465</v>
      </c>
      <c r="D10" s="138" t="s">
        <v>463</v>
      </c>
      <c r="E10" s="89"/>
      <c r="F10" s="90"/>
      <c r="G10" s="150" t="s">
        <v>92</v>
      </c>
      <c r="H10" s="138" t="s">
        <v>480</v>
      </c>
      <c r="I10" s="138" t="s">
        <v>463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/>
      <c r="B11" s="151" t="s">
        <v>28</v>
      </c>
      <c r="C11" s="138" t="s">
        <v>483</v>
      </c>
      <c r="D11" s="138" t="s">
        <v>464</v>
      </c>
      <c r="E11" s="89"/>
      <c r="F11" s="90"/>
      <c r="G11" s="152" t="s">
        <v>85</v>
      </c>
      <c r="H11" s="138" t="s">
        <v>470</v>
      </c>
      <c r="I11" s="138" t="s">
        <v>471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">
        <v>481</v>
      </c>
      <c r="C13" s="135" t="s">
        <v>458</v>
      </c>
      <c r="D13" s="135" t="s">
        <v>459</v>
      </c>
      <c r="E13" s="89"/>
      <c r="F13" s="89"/>
      <c r="G13" s="135" t="s">
        <v>482</v>
      </c>
      <c r="H13" s="135" t="s">
        <v>458</v>
      </c>
      <c r="I13" s="135" t="s">
        <v>459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/>
      <c r="B14" s="153" t="s">
        <v>61</v>
      </c>
      <c r="C14" s="138" t="s">
        <v>465</v>
      </c>
      <c r="D14" s="138" t="s">
        <v>463</v>
      </c>
      <c r="E14" s="89"/>
      <c r="F14" s="90"/>
      <c r="G14" s="154" t="s">
        <v>27</v>
      </c>
      <c r="H14" s="138" t="s">
        <v>462</v>
      </c>
      <c r="I14" s="138" t="s">
        <v>466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/>
      <c r="B15" s="155" t="s">
        <v>34</v>
      </c>
      <c r="C15" s="138" t="s">
        <v>469</v>
      </c>
      <c r="D15" s="138" t="s">
        <v>463</v>
      </c>
      <c r="E15" s="89"/>
      <c r="F15" s="90"/>
      <c r="G15" s="156" t="s">
        <v>26</v>
      </c>
      <c r="H15" s="138" t="s">
        <v>480</v>
      </c>
      <c r="I15" s="138" t="s">
        <v>463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/>
      <c r="B16" s="157" t="s">
        <v>33</v>
      </c>
      <c r="C16" s="138" t="s">
        <v>462</v>
      </c>
      <c r="D16" s="138" t="s">
        <v>464</v>
      </c>
      <c r="E16" s="89"/>
      <c r="F16" s="90"/>
      <c r="G16" s="159" t="s">
        <v>51</v>
      </c>
      <c r="H16" s="138" t="s">
        <v>469</v>
      </c>
      <c r="I16" s="138" t="s">
        <v>466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/>
      <c r="B17" s="160" t="s">
        <v>46</v>
      </c>
      <c r="C17" s="138" t="s">
        <v>469</v>
      </c>
      <c r="D17" s="138" t="s">
        <v>466</v>
      </c>
      <c r="E17" s="89"/>
      <c r="F17" s="90"/>
      <c r="G17" s="161" t="s">
        <v>44</v>
      </c>
      <c r="H17" s="138" t="s">
        <v>468</v>
      </c>
      <c r="I17" s="138" t="s">
        <v>475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">
        <v>484</v>
      </c>
      <c r="C19" s="135" t="s">
        <v>458</v>
      </c>
      <c r="D19" s="135" t="s">
        <v>459</v>
      </c>
      <c r="E19" s="89"/>
      <c r="F19" s="89"/>
      <c r="G19" s="135" t="s">
        <v>485</v>
      </c>
      <c r="H19" s="135" t="s">
        <v>458</v>
      </c>
      <c r="I19" s="135" t="s">
        <v>459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/>
      <c r="B20" s="162" t="s">
        <v>69</v>
      </c>
      <c r="C20" s="138" t="s">
        <v>469</v>
      </c>
      <c r="D20" s="138" t="s">
        <v>463</v>
      </c>
      <c r="E20" s="89"/>
      <c r="F20" s="90"/>
      <c r="G20" s="163" t="s">
        <v>48</v>
      </c>
      <c r="H20" s="138" t="s">
        <v>465</v>
      </c>
      <c r="I20" s="138" t="s">
        <v>464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/>
      <c r="B21" s="164" t="s">
        <v>71</v>
      </c>
      <c r="C21" s="138" t="s">
        <v>483</v>
      </c>
      <c r="D21" s="138" t="s">
        <v>463</v>
      </c>
      <c r="E21" s="89"/>
      <c r="F21" s="90"/>
      <c r="G21" s="165" t="s">
        <v>126</v>
      </c>
      <c r="H21" s="138" t="s">
        <v>465</v>
      </c>
      <c r="I21" s="138" t="s">
        <v>463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/>
      <c r="B22" s="166" t="s">
        <v>76</v>
      </c>
      <c r="C22" s="138" t="s">
        <v>483</v>
      </c>
      <c r="D22" s="138" t="s">
        <v>466</v>
      </c>
      <c r="E22" s="89"/>
      <c r="F22" s="90"/>
      <c r="G22" s="167" t="s">
        <v>29</v>
      </c>
      <c r="H22" s="138" t="s">
        <v>480</v>
      </c>
      <c r="I22" s="138" t="s">
        <v>466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/>
      <c r="B23" s="168" t="s">
        <v>55</v>
      </c>
      <c r="C23" s="138" t="s">
        <v>483</v>
      </c>
      <c r="D23" s="138" t="s">
        <v>464</v>
      </c>
      <c r="E23" s="89"/>
      <c r="F23" s="90"/>
      <c r="G23" s="169" t="s">
        <v>41</v>
      </c>
      <c r="H23" s="138" t="s">
        <v>469</v>
      </c>
      <c r="I23" s="138" t="s">
        <v>463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">
        <v>489</v>
      </c>
      <c r="C25" s="89"/>
      <c r="D25" s="89"/>
      <c r="E25" s="89"/>
      <c r="F25" s="89"/>
      <c r="G25" s="170" t="s">
        <v>490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v>1.0</v>
      </c>
      <c r="B26" s="172" t="s">
        <v>50</v>
      </c>
      <c r="C26" s="67"/>
      <c r="D26" s="67"/>
      <c r="E26" s="89"/>
      <c r="F26" s="171">
        <v>1.0</v>
      </c>
      <c r="G26" s="172" t="s">
        <v>39</v>
      </c>
      <c r="H26" s="67"/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v>2.0</v>
      </c>
      <c r="B27" s="172" t="s">
        <v>23</v>
      </c>
      <c r="C27" s="67"/>
      <c r="D27" s="67"/>
      <c r="E27" s="89"/>
      <c r="F27" s="171">
        <v>2.0</v>
      </c>
      <c r="G27" s="172" t="s">
        <v>44</v>
      </c>
      <c r="H27" s="67"/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v>3.0</v>
      </c>
      <c r="B28" s="172" t="s">
        <v>33</v>
      </c>
      <c r="C28" s="67"/>
      <c r="D28" s="67"/>
      <c r="E28" s="89"/>
      <c r="F28" s="172">
        <v>3.0</v>
      </c>
      <c r="G28" s="172" t="s">
        <v>84</v>
      </c>
      <c r="H28" s="67"/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v>4.0</v>
      </c>
      <c r="B29" s="172" t="s">
        <v>55</v>
      </c>
      <c r="C29" s="67"/>
      <c r="D29" s="67"/>
      <c r="E29" s="89"/>
      <c r="F29" s="171">
        <v>4.0</v>
      </c>
      <c r="G29" s="172" t="s">
        <v>41</v>
      </c>
      <c r="H29" s="67"/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v>5.0</v>
      </c>
      <c r="B30" s="172" t="s">
        <v>88</v>
      </c>
      <c r="C30" s="67"/>
      <c r="D30" s="67"/>
      <c r="E30" s="89"/>
      <c r="F30" s="171">
        <v>5.0</v>
      </c>
      <c r="G30" s="172" t="s">
        <v>24</v>
      </c>
      <c r="H30" s="67"/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v>6.0</v>
      </c>
      <c r="B31" s="172" t="s">
        <v>71</v>
      </c>
      <c r="C31" s="67"/>
      <c r="D31" s="67"/>
      <c r="E31" s="89"/>
      <c r="F31" s="171">
        <v>6.0</v>
      </c>
      <c r="G31" s="172" t="s">
        <v>27</v>
      </c>
      <c r="H31" s="67"/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v>7.0</v>
      </c>
      <c r="B32" s="172" t="s">
        <v>28</v>
      </c>
      <c r="C32" s="67"/>
      <c r="D32" s="67"/>
      <c r="E32" s="89"/>
      <c r="F32" s="171">
        <v>7.0</v>
      </c>
      <c r="G32" s="172" t="s">
        <v>54</v>
      </c>
      <c r="H32" s="67"/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175"/>
      <c r="B35" s="170" t="s">
        <v>492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">
        <v>523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">
        <v>489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v>1.0</v>
      </c>
      <c r="B40" s="172" t="s">
        <v>50</v>
      </c>
      <c r="C40" s="23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v>2.0</v>
      </c>
      <c r="B41" s="172" t="s">
        <v>23</v>
      </c>
      <c r="C41" s="23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v>3.0</v>
      </c>
      <c r="B42" s="172" t="s">
        <v>33</v>
      </c>
      <c r="C42" s="23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v>4.0</v>
      </c>
      <c r="B43" s="172" t="s">
        <v>55</v>
      </c>
      <c r="C43" s="23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v>5.0</v>
      </c>
      <c r="B44" s="172" t="s">
        <v>88</v>
      </c>
      <c r="C44" s="23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v>6.0</v>
      </c>
      <c r="B45" s="172" t="s">
        <v>71</v>
      </c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v>7.0</v>
      </c>
      <c r="B46" s="172" t="s">
        <v>28</v>
      </c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">
        <v>495</v>
      </c>
      <c r="C49" s="175"/>
      <c r="D49" s="170" t="s">
        <v>496</v>
      </c>
      <c r="E49" s="170" t="s">
        <v>497</v>
      </c>
      <c r="F49" s="49"/>
      <c r="G49" s="175"/>
      <c r="H49" s="170" t="s">
        <v>498</v>
      </c>
      <c r="I49" s="175"/>
      <c r="J49" s="170" t="s">
        <v>496</v>
      </c>
      <c r="K49" s="170" t="s">
        <v>497</v>
      </c>
      <c r="L49" s="49"/>
      <c r="M49" s="175"/>
      <c r="N49" s="170" t="s">
        <v>499</v>
      </c>
      <c r="O49" s="175"/>
      <c r="P49" s="170" t="s">
        <v>496</v>
      </c>
      <c r="Q49" s="170" t="s">
        <v>497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">
        <v>501</v>
      </c>
      <c r="B51" s="172" t="s">
        <v>50</v>
      </c>
      <c r="C51" s="23"/>
      <c r="D51" s="49"/>
      <c r="E51" s="49"/>
      <c r="F51" s="49"/>
      <c r="G51" s="171">
        <v>5.0</v>
      </c>
      <c r="H51" s="172" t="s">
        <v>88</v>
      </c>
      <c r="I51" s="23"/>
      <c r="J51" s="176" t="b">
        <v>1</v>
      </c>
      <c r="K51" s="172">
        <v>10.0</v>
      </c>
      <c r="L51" s="49"/>
      <c r="M51" s="171">
        <v>5.0</v>
      </c>
      <c r="N51" s="172" t="s">
        <v>88</v>
      </c>
      <c r="O51" s="23"/>
      <c r="P51" s="176" t="b">
        <v>0</v>
      </c>
      <c r="Q51" s="172">
        <v>21.0</v>
      </c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v>1.0</v>
      </c>
      <c r="H52" s="172" t="s">
        <v>50</v>
      </c>
      <c r="I52" s="23"/>
      <c r="J52" s="176" t="b">
        <v>0</v>
      </c>
      <c r="K52" s="172">
        <v>7.0</v>
      </c>
      <c r="L52" s="49"/>
      <c r="M52" s="171">
        <v>2.0</v>
      </c>
      <c r="N52" s="172" t="s">
        <v>23</v>
      </c>
      <c r="O52" s="23"/>
      <c r="P52" s="176" t="b">
        <v>1</v>
      </c>
      <c r="Q52" s="172">
        <v>24.0</v>
      </c>
      <c r="R52" s="49"/>
      <c r="S52" s="49"/>
      <c r="T52" s="49"/>
      <c r="U52" s="49"/>
      <c r="V52" s="49"/>
      <c r="W52" s="49"/>
      <c r="X52" s="49"/>
    </row>
    <row r="53">
      <c r="A53" s="171">
        <v>7.0</v>
      </c>
      <c r="B53" s="172" t="s">
        <v>28</v>
      </c>
      <c r="C53" s="23"/>
      <c r="D53" s="176" t="b">
        <v>0</v>
      </c>
      <c r="E53" s="172">
        <v>17.0</v>
      </c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v>2.0</v>
      </c>
      <c r="B54" s="172" t="s">
        <v>23</v>
      </c>
      <c r="C54" s="23"/>
      <c r="D54" s="176" t="b">
        <v>1</v>
      </c>
      <c r="E54" s="172">
        <v>20.0</v>
      </c>
      <c r="F54" s="49"/>
      <c r="G54" s="171">
        <v>3.0</v>
      </c>
      <c r="H54" s="172" t="s">
        <v>33</v>
      </c>
      <c r="I54" s="23"/>
      <c r="J54" s="176" t="b">
        <v>0</v>
      </c>
      <c r="K54" s="172">
        <v>7.0</v>
      </c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v>2.0</v>
      </c>
      <c r="H55" s="172" t="s">
        <v>23</v>
      </c>
      <c r="I55" s="23"/>
      <c r="J55" s="176" t="b">
        <v>1</v>
      </c>
      <c r="K55" s="172">
        <v>10.0</v>
      </c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v>6.0</v>
      </c>
      <c r="B56" s="172" t="s">
        <v>71</v>
      </c>
      <c r="C56" s="23"/>
      <c r="D56" s="176" t="b">
        <v>0</v>
      </c>
      <c r="E56" s="172">
        <v>21.0</v>
      </c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v>3.0</v>
      </c>
      <c r="B57" s="172" t="s">
        <v>33</v>
      </c>
      <c r="C57" s="23"/>
      <c r="D57" s="176" t="b">
        <v>1</v>
      </c>
      <c r="E57" s="172">
        <v>24.0</v>
      </c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v>5.0</v>
      </c>
      <c r="B59" s="172" t="s">
        <v>88</v>
      </c>
      <c r="C59" s="23"/>
      <c r="D59" s="176" t="b">
        <v>1</v>
      </c>
      <c r="E59" s="172">
        <v>28.0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v>4.0</v>
      </c>
      <c r="B60" s="172" t="s">
        <v>55</v>
      </c>
      <c r="C60" s="23"/>
      <c r="D60" s="176" t="b">
        <v>0</v>
      </c>
      <c r="E60" s="172">
        <v>21.0</v>
      </c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">
        <v>502</v>
      </c>
      <c r="T61" s="175"/>
      <c r="U61" s="170" t="s">
        <v>496</v>
      </c>
      <c r="V61" s="170" t="s">
        <v>497</v>
      </c>
      <c r="W61" s="170" t="s">
        <v>503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">
        <v>524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v>2.0</v>
      </c>
      <c r="S63" s="172" t="s">
        <v>23</v>
      </c>
      <c r="T63" s="23"/>
      <c r="U63" s="176" t="b">
        <v>0</v>
      </c>
      <c r="V63" s="172">
        <v>7.0</v>
      </c>
      <c r="W63" s="49"/>
      <c r="X63" s="49"/>
    </row>
    <row r="64">
      <c r="A64" s="175"/>
      <c r="B64" s="170" t="s">
        <v>490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v>2.0</v>
      </c>
      <c r="S64" s="172" t="s">
        <v>44</v>
      </c>
      <c r="T64" s="23"/>
      <c r="U64" s="176" t="b">
        <v>1</v>
      </c>
      <c r="V64" s="172">
        <v>10.0</v>
      </c>
      <c r="W64" s="49"/>
      <c r="X64" s="49"/>
    </row>
    <row r="65">
      <c r="A65" s="171">
        <v>1.0</v>
      </c>
      <c r="B65" s="172" t="s">
        <v>39</v>
      </c>
      <c r="C65" s="23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v>2.0</v>
      </c>
      <c r="B66" s="172" t="s">
        <v>44</v>
      </c>
      <c r="C66" s="23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v>3.0</v>
      </c>
      <c r="B67" s="172" t="s">
        <v>84</v>
      </c>
      <c r="C67" s="23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v>4.0</v>
      </c>
      <c r="B68" s="172" t="s">
        <v>41</v>
      </c>
      <c r="C68" s="23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v>5.0</v>
      </c>
      <c r="B69" s="172" t="s">
        <v>24</v>
      </c>
      <c r="C69" s="23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v>6.0</v>
      </c>
      <c r="B70" s="172" t="s">
        <v>27</v>
      </c>
      <c r="C70" s="23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v>7.0</v>
      </c>
      <c r="B71" s="172" t="s">
        <v>54</v>
      </c>
      <c r="C71" s="23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">
        <v>505</v>
      </c>
      <c r="C74" s="175"/>
      <c r="D74" s="170" t="s">
        <v>496</v>
      </c>
      <c r="E74" s="170" t="s">
        <v>497</v>
      </c>
      <c r="F74" s="49"/>
      <c r="G74" s="175"/>
      <c r="H74" s="170" t="s">
        <v>506</v>
      </c>
      <c r="I74" s="175"/>
      <c r="J74" s="170" t="s">
        <v>496</v>
      </c>
      <c r="K74" s="170" t="s">
        <v>497</v>
      </c>
      <c r="L74" s="49"/>
      <c r="M74" s="175"/>
      <c r="N74" s="170" t="s">
        <v>507</v>
      </c>
      <c r="O74" s="175"/>
      <c r="P74" s="170" t="s">
        <v>496</v>
      </c>
      <c r="Q74" s="170" t="s">
        <v>497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">
        <v>501</v>
      </c>
      <c r="B76" s="172" t="s">
        <v>39</v>
      </c>
      <c r="C76" s="23"/>
      <c r="D76" s="49"/>
      <c r="E76" s="49"/>
      <c r="F76" s="49"/>
      <c r="G76" s="171">
        <v>4.0</v>
      </c>
      <c r="H76" s="172" t="s">
        <v>41</v>
      </c>
      <c r="I76" s="23"/>
      <c r="J76" s="176" t="b">
        <v>0</v>
      </c>
      <c r="K76" s="172">
        <v>10.0</v>
      </c>
      <c r="L76" s="49"/>
      <c r="M76" s="171">
        <v>2.0</v>
      </c>
      <c r="N76" s="172" t="s">
        <v>44</v>
      </c>
      <c r="O76" s="23"/>
      <c r="P76" s="176" t="b">
        <v>1</v>
      </c>
      <c r="Q76" s="172">
        <v>14.0</v>
      </c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v>1.0</v>
      </c>
      <c r="H77" s="172" t="s">
        <v>39</v>
      </c>
      <c r="I77" s="23"/>
      <c r="J77" s="176" t="b">
        <v>1</v>
      </c>
      <c r="K77" s="172">
        <v>14.0</v>
      </c>
      <c r="L77" s="49"/>
      <c r="M77" s="171">
        <v>1.0</v>
      </c>
      <c r="N77" s="172" t="s">
        <v>39</v>
      </c>
      <c r="O77" s="23"/>
      <c r="P77" s="176" t="b">
        <v>0</v>
      </c>
      <c r="Q77" s="172">
        <v>10.0</v>
      </c>
      <c r="R77" s="49"/>
      <c r="S77" s="49"/>
      <c r="T77" s="49"/>
      <c r="U77" s="49"/>
      <c r="V77" s="49"/>
      <c r="W77" s="49"/>
      <c r="X77" s="49"/>
    </row>
    <row r="78">
      <c r="A78" s="171">
        <v>7.0</v>
      </c>
      <c r="B78" s="172" t="s">
        <v>54</v>
      </c>
      <c r="C78" s="23"/>
      <c r="D78" s="176" t="b">
        <v>0</v>
      </c>
      <c r="E78" s="172">
        <v>24.0</v>
      </c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v>2.0</v>
      </c>
      <c r="B79" s="172" t="s">
        <v>44</v>
      </c>
      <c r="C79" s="23"/>
      <c r="D79" s="176" t="b">
        <v>1</v>
      </c>
      <c r="E79" s="172">
        <v>27.0</v>
      </c>
      <c r="F79" s="49"/>
      <c r="G79" s="171">
        <v>3.0</v>
      </c>
      <c r="H79" s="172" t="s">
        <v>84</v>
      </c>
      <c r="I79" s="23"/>
      <c r="J79" s="176" t="b">
        <v>0</v>
      </c>
      <c r="K79" s="172">
        <v>21.0</v>
      </c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v>2.0</v>
      </c>
      <c r="H80" s="172" t="s">
        <v>44</v>
      </c>
      <c r="I80" s="23"/>
      <c r="J80" s="176" t="b">
        <v>1</v>
      </c>
      <c r="K80" s="172">
        <v>28.0</v>
      </c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v>6.0</v>
      </c>
      <c r="B81" s="172" t="s">
        <v>27</v>
      </c>
      <c r="C81" s="23"/>
      <c r="D81" s="176" t="b">
        <v>0</v>
      </c>
      <c r="E81" s="172">
        <v>21.0</v>
      </c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v>3.0</v>
      </c>
      <c r="B82" s="172" t="s">
        <v>84</v>
      </c>
      <c r="C82" s="23"/>
      <c r="D82" s="176" t="b">
        <v>1</v>
      </c>
      <c r="E82" s="172">
        <v>28.0</v>
      </c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v>5.0</v>
      </c>
      <c r="B84" s="172" t="s">
        <v>24</v>
      </c>
      <c r="C84" s="23"/>
      <c r="D84" s="176" t="b">
        <v>0</v>
      </c>
      <c r="E84" s="172">
        <v>24.0</v>
      </c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v>4.0</v>
      </c>
      <c r="B85" s="172" t="s">
        <v>41</v>
      </c>
      <c r="C85" s="23"/>
      <c r="D85" s="176" t="b">
        <v>1</v>
      </c>
      <c r="E85" s="172">
        <v>27.0</v>
      </c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89" t="str">
        <f>IFERROR(__xludf.DUMMYFUNCTION("IMPORTRANGE(""https://docs.google.com/spreadsheets/d/12vKXTbU2YKLSGt_Df6lh91FP-q4Aq_l6dkkoAzmByzE/edit?gid=1462027705#gid=1462027705"",""Standings!A1:I33"")"),"")</f>
        <v/>
      </c>
      <c r="B1" s="135" t="str">
        <f>IFERROR(__xludf.DUMMYFUNCTION("""COMPUTED_VALUE"""),"AFC West")</f>
        <v>AFC West</v>
      </c>
      <c r="C1" s="135" t="str">
        <f>IFERROR(__xludf.DUMMYFUNCTION("""COMPUTED_VALUE"""),"Record")</f>
        <v>Record</v>
      </c>
      <c r="D1" s="135" t="str">
        <f>IFERROR(__xludf.DUMMYFUNCTION("""COMPUTED_VALUE"""),"Div Record")</f>
        <v>Div Record</v>
      </c>
      <c r="E1" s="89"/>
      <c r="F1" s="89"/>
      <c r="G1" s="135" t="str">
        <f>IFERROR(__xludf.DUMMYFUNCTION("""COMPUTED_VALUE"""),"NFC West")</f>
        <v>NFC West</v>
      </c>
      <c r="H1" s="135" t="str">
        <f>IFERROR(__xludf.DUMMYFUNCTION("""COMPUTED_VALUE"""),"Record")</f>
        <v>Record</v>
      </c>
      <c r="I1" s="135" t="str">
        <f>IFERROR(__xludf.DUMMYFUNCTION("""COMPUTED_VALUE"""),"Div Record")</f>
        <v>Div Record</v>
      </c>
      <c r="J1" s="158"/>
      <c r="K1" s="136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</row>
    <row r="2">
      <c r="A2" s="90" t="str">
        <f>IFERROR(__xludf.DUMMYFUNCTION("""COMPUTED_VALUE"""),"")</f>
        <v/>
      </c>
      <c r="B2" s="137" t="str">
        <f>IFERROR(__xludf.DUMMYFUNCTION("""COMPUTED_VALUE"""),"KC")</f>
        <v>KC</v>
      </c>
      <c r="C2" s="138" t="str">
        <f>IFERROR(__xludf.DUMMYFUNCTION("""COMPUTED_VALUE"""),"5 - 12")</f>
        <v>5 - 12</v>
      </c>
      <c r="D2" s="138" t="str">
        <f>IFERROR(__xludf.DUMMYFUNCTION("""COMPUTED_VALUE"""),"3 - 3")</f>
        <v>3 - 3</v>
      </c>
      <c r="E2" s="89"/>
      <c r="F2" s="90" t="str">
        <f>IFERROR(__xludf.DUMMYFUNCTION("""COMPUTED_VALUE"""),"")</f>
        <v/>
      </c>
      <c r="G2" s="139" t="str">
        <f>IFERROR(__xludf.DUMMYFUNCTION("""COMPUTED_VALUE"""),"SF")</f>
        <v>SF</v>
      </c>
      <c r="H2" s="138" t="str">
        <f>IFERROR(__xludf.DUMMYFUNCTION("""COMPUTED_VALUE"""),"7 - 10")</f>
        <v>7 - 10</v>
      </c>
      <c r="I2" s="138" t="str">
        <f>IFERROR(__xludf.DUMMYFUNCTION("""COMPUTED_VALUE"""),"2 - 4")</f>
        <v>2 - 4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90" t="str">
        <f>IFERROR(__xludf.DUMMYFUNCTION("""COMPUTED_VALUE"""),"")</f>
        <v/>
      </c>
      <c r="B3" s="135" t="str">
        <f>IFERROR(__xludf.DUMMYFUNCTION("""COMPUTED_VALUE"""),"LV")</f>
        <v>LV</v>
      </c>
      <c r="C3" s="138" t="str">
        <f>IFERROR(__xludf.DUMMYFUNCTION("""COMPUTED_VALUE"""),"7 - 10")</f>
        <v>7 - 10</v>
      </c>
      <c r="D3" s="138" t="str">
        <f>IFERROR(__xludf.DUMMYFUNCTION("""COMPUTED_VALUE"""),"3 - 3")</f>
        <v>3 - 3</v>
      </c>
      <c r="E3" s="89"/>
      <c r="F3" s="90" t="str">
        <f>IFERROR(__xludf.DUMMYFUNCTION("""COMPUTED_VALUE"""),"")</f>
        <v/>
      </c>
      <c r="G3" s="140" t="str">
        <f>IFERROR(__xludf.DUMMYFUNCTION("""COMPUTED_VALUE"""),"LAR")</f>
        <v>LAR</v>
      </c>
      <c r="H3" s="138" t="str">
        <f>IFERROR(__xludf.DUMMYFUNCTION("""COMPUTED_VALUE"""),"9 - 8")</f>
        <v>9 - 8</v>
      </c>
      <c r="I3" s="138" t="str">
        <f>IFERROR(__xludf.DUMMYFUNCTION("""COMPUTED_VALUE"""),"2 - 4")</f>
        <v>2 - 4</v>
      </c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90" t="str">
        <f>IFERROR(__xludf.DUMMYFUNCTION("""COMPUTED_VALUE"""),"")</f>
        <v/>
      </c>
      <c r="B4" s="141" t="str">
        <f>IFERROR(__xludf.DUMMYFUNCTION("""COMPUTED_VALUE"""),"DEN")</f>
        <v>DEN</v>
      </c>
      <c r="C4" s="138" t="str">
        <f>IFERROR(__xludf.DUMMYFUNCTION("""COMPUTED_VALUE"""),"3 - 14")</f>
        <v>3 - 14</v>
      </c>
      <c r="D4" s="138" t="str">
        <f>IFERROR(__xludf.DUMMYFUNCTION("""COMPUTED_VALUE"""),"2 - 4")</f>
        <v>2 - 4</v>
      </c>
      <c r="E4" s="89"/>
      <c r="F4" s="90" t="str">
        <f>IFERROR(__xludf.DUMMYFUNCTION("""COMPUTED_VALUE"""),"")</f>
        <v/>
      </c>
      <c r="G4" s="142" t="str">
        <f>IFERROR(__xludf.DUMMYFUNCTION("""COMPUTED_VALUE"""),"SEA")</f>
        <v>SEA</v>
      </c>
      <c r="H4" s="138" t="str">
        <f>IFERROR(__xludf.DUMMYFUNCTION("""COMPUTED_VALUE"""),"13 - 4")</f>
        <v>13 - 4</v>
      </c>
      <c r="I4" s="138" t="str">
        <f>IFERROR(__xludf.DUMMYFUNCTION("""COMPUTED_VALUE"""),"3 - 3")</f>
        <v>3 - 3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90" t="str">
        <f>IFERROR(__xludf.DUMMYFUNCTION("""COMPUTED_VALUE"""),"")</f>
        <v/>
      </c>
      <c r="B5" s="143" t="str">
        <f>IFERROR(__xludf.DUMMYFUNCTION("""COMPUTED_VALUE"""),"LAC")</f>
        <v>LAC</v>
      </c>
      <c r="C5" s="138" t="str">
        <f>IFERROR(__xludf.DUMMYFUNCTION("""COMPUTED_VALUE"""),"10 - 7")</f>
        <v>10 - 7</v>
      </c>
      <c r="D5" s="138" t="str">
        <f>IFERROR(__xludf.DUMMYFUNCTION("""COMPUTED_VALUE"""),"4 - 2")</f>
        <v>4 - 2</v>
      </c>
      <c r="E5" s="89"/>
      <c r="F5" s="90" t="str">
        <f>IFERROR(__xludf.DUMMYFUNCTION("""COMPUTED_VALUE"""),"")</f>
        <v/>
      </c>
      <c r="G5" s="144" t="str">
        <f>IFERROR(__xludf.DUMMYFUNCTION("""COMPUTED_VALUE"""),"AZ")</f>
        <v>AZ</v>
      </c>
      <c r="H5" s="138" t="str">
        <f>IFERROR(__xludf.DUMMYFUNCTION("""COMPUTED_VALUE"""),"11 - 6")</f>
        <v>11 - 6</v>
      </c>
      <c r="I5" s="138" t="str">
        <f>IFERROR(__xludf.DUMMYFUNCTION("""COMPUTED_VALUE"""),"5 - 1")</f>
        <v>5 - 1</v>
      </c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67"/>
      <c r="B6" s="67"/>
      <c r="C6" s="67"/>
      <c r="D6" s="67"/>
      <c r="E6" s="89"/>
      <c r="F6" s="67"/>
      <c r="G6" s="67"/>
      <c r="H6" s="67"/>
      <c r="I6" s="6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89"/>
      <c r="B7" s="135" t="str">
        <f>IFERROR(__xludf.DUMMYFUNCTION("""COMPUTED_VALUE"""),"AFC East")</f>
        <v>AFC East</v>
      </c>
      <c r="C7" s="135" t="str">
        <f>IFERROR(__xludf.DUMMYFUNCTION("""COMPUTED_VALUE"""),"Record")</f>
        <v>Record</v>
      </c>
      <c r="D7" s="135" t="str">
        <f>IFERROR(__xludf.DUMMYFUNCTION("""COMPUTED_VALUE"""),"Div Record")</f>
        <v>Div Record</v>
      </c>
      <c r="E7" s="89"/>
      <c r="F7" s="89"/>
      <c r="G7" s="135" t="str">
        <f>IFERROR(__xludf.DUMMYFUNCTION("""COMPUTED_VALUE"""),"NFC East")</f>
        <v>NFC East</v>
      </c>
      <c r="H7" s="135" t="str">
        <f>IFERROR(__xludf.DUMMYFUNCTION("""COMPUTED_VALUE"""),"Record")</f>
        <v>Record</v>
      </c>
      <c r="I7" s="135" t="str">
        <f>IFERROR(__xludf.DUMMYFUNCTION("""COMPUTED_VALUE"""),"Div Record")</f>
        <v>Div Record</v>
      </c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90" t="str">
        <f>IFERROR(__xludf.DUMMYFUNCTION("""COMPUTED_VALUE"""),"")</f>
        <v/>
      </c>
      <c r="B8" s="145" t="str">
        <f>IFERROR(__xludf.DUMMYFUNCTION("""COMPUTED_VALUE"""),"BUF")</f>
        <v>BUF</v>
      </c>
      <c r="C8" s="138" t="str">
        <f>IFERROR(__xludf.DUMMYFUNCTION("""COMPUTED_VALUE"""),"12 - 5")</f>
        <v>12 - 5</v>
      </c>
      <c r="D8" s="138" t="str">
        <f>IFERROR(__xludf.DUMMYFUNCTION("""COMPUTED_VALUE"""),"4 - 2")</f>
        <v>4 - 2</v>
      </c>
      <c r="E8" s="89"/>
      <c r="F8" s="90" t="str">
        <f>IFERROR(__xludf.DUMMYFUNCTION("""COMPUTED_VALUE"""),"")</f>
        <v/>
      </c>
      <c r="G8" s="146" t="str">
        <f>IFERROR(__xludf.DUMMYFUNCTION("""COMPUTED_VALUE"""),"DAL")</f>
        <v>DAL</v>
      </c>
      <c r="H8" s="138" t="str">
        <f>IFERROR(__xludf.DUMMYFUNCTION("""COMPUTED_VALUE"""),"9 - 8")</f>
        <v>9 - 8</v>
      </c>
      <c r="I8" s="138" t="str">
        <f>IFERROR(__xludf.DUMMYFUNCTION("""COMPUTED_VALUE"""),"2 - 4")</f>
        <v>2 - 4</v>
      </c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90" t="str">
        <f>IFERROR(__xludf.DUMMYFUNCTION("""COMPUTED_VALUE"""),"")</f>
        <v/>
      </c>
      <c r="B9" s="147" t="str">
        <f>IFERROR(__xludf.DUMMYFUNCTION("""COMPUTED_VALUE"""),"MIA")</f>
        <v>MIA</v>
      </c>
      <c r="C9" s="138" t="str">
        <f>IFERROR(__xludf.DUMMYFUNCTION("""COMPUTED_VALUE"""),"13 - 4")</f>
        <v>13 - 4</v>
      </c>
      <c r="D9" s="138" t="str">
        <f>IFERROR(__xludf.DUMMYFUNCTION("""COMPUTED_VALUE"""),"5 - 1")</f>
        <v>5 - 1</v>
      </c>
      <c r="E9" s="89"/>
      <c r="F9" s="90" t="str">
        <f>IFERROR(__xludf.DUMMYFUNCTION("""COMPUTED_VALUE"""),"")</f>
        <v/>
      </c>
      <c r="G9" s="148" t="str">
        <f>IFERROR(__xludf.DUMMYFUNCTION("""COMPUTED_VALUE"""),"PHI")</f>
        <v>PHI</v>
      </c>
      <c r="H9" s="138" t="str">
        <f>IFERROR(__xludf.DUMMYFUNCTION("""COMPUTED_VALUE"""),"12 - 5")</f>
        <v>12 - 5</v>
      </c>
      <c r="I9" s="138" t="str">
        <f>IFERROR(__xludf.DUMMYFUNCTION("""COMPUTED_VALUE"""),"5 - 1")</f>
        <v>5 - 1</v>
      </c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90" t="str">
        <f>IFERROR(__xludf.DUMMYFUNCTION("""COMPUTED_VALUE"""),"")</f>
        <v/>
      </c>
      <c r="B10" s="149" t="str">
        <f>IFERROR(__xludf.DUMMYFUNCTION("""COMPUTED_VALUE"""),"NYJ")</f>
        <v>NYJ</v>
      </c>
      <c r="C10" s="138" t="str">
        <f>IFERROR(__xludf.DUMMYFUNCTION("""COMPUTED_VALUE"""),"4 - 13")</f>
        <v>4 - 13</v>
      </c>
      <c r="D10" s="138" t="str">
        <f>IFERROR(__xludf.DUMMYFUNCTION("""COMPUTED_VALUE"""),"3 - 3")</f>
        <v>3 - 3</v>
      </c>
      <c r="E10" s="89"/>
      <c r="F10" s="90" t="str">
        <f>IFERROR(__xludf.DUMMYFUNCTION("""COMPUTED_VALUE"""),"")</f>
        <v/>
      </c>
      <c r="G10" s="150" t="str">
        <f>IFERROR(__xludf.DUMMYFUNCTION("""COMPUTED_VALUE"""),"NYG")</f>
        <v>NYG</v>
      </c>
      <c r="H10" s="138" t="str">
        <f>IFERROR(__xludf.DUMMYFUNCTION("""COMPUTED_VALUE"""),"4 - 13")</f>
        <v>4 - 13</v>
      </c>
      <c r="I10" s="138" t="str">
        <f>IFERROR(__xludf.DUMMYFUNCTION("""COMPUTED_VALUE"""),"1 - 5")</f>
        <v>1 - 5</v>
      </c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90" t="str">
        <f>IFERROR(__xludf.DUMMYFUNCTION("""COMPUTED_VALUE"""),"")</f>
        <v/>
      </c>
      <c r="B11" s="151" t="str">
        <f>IFERROR(__xludf.DUMMYFUNCTION("""COMPUTED_VALUE"""),"NE")</f>
        <v>NE</v>
      </c>
      <c r="C11" s="138" t="str">
        <f>IFERROR(__xludf.DUMMYFUNCTION("""COMPUTED_VALUE"""),"5 - 12")</f>
        <v>5 - 12</v>
      </c>
      <c r="D11" s="138" t="str">
        <f>IFERROR(__xludf.DUMMYFUNCTION("""COMPUTED_VALUE"""),"0 - 6")</f>
        <v>0 - 6</v>
      </c>
      <c r="E11" s="89"/>
      <c r="F11" s="90" t="str">
        <f>IFERROR(__xludf.DUMMYFUNCTION("""COMPUTED_VALUE"""),"")</f>
        <v/>
      </c>
      <c r="G11" s="152" t="str">
        <f>IFERROR(__xludf.DUMMYFUNCTION("""COMPUTED_VALUE"""),"WSH")</f>
        <v>WSH</v>
      </c>
      <c r="H11" s="138" t="str">
        <f>IFERROR(__xludf.DUMMYFUNCTION("""COMPUTED_VALUE"""),"8 - 9")</f>
        <v>8 - 9</v>
      </c>
      <c r="I11" s="138" t="str">
        <f>IFERROR(__xludf.DUMMYFUNCTION("""COMPUTED_VALUE"""),"4 - 2")</f>
        <v>4 - 2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</row>
    <row r="12">
      <c r="A12" s="67"/>
      <c r="B12" s="67"/>
      <c r="C12" s="67"/>
      <c r="D12" s="67"/>
      <c r="E12" s="89"/>
      <c r="F12" s="67"/>
      <c r="G12" s="67"/>
      <c r="H12" s="67"/>
      <c r="I12" s="67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89"/>
      <c r="B13" s="135" t="str">
        <f>IFERROR(__xludf.DUMMYFUNCTION("""COMPUTED_VALUE"""),"AFC North")</f>
        <v>AFC North</v>
      </c>
      <c r="C13" s="135" t="str">
        <f>IFERROR(__xludf.DUMMYFUNCTION("""COMPUTED_VALUE"""),"Record")</f>
        <v>Record</v>
      </c>
      <c r="D13" s="135" t="str">
        <f>IFERROR(__xludf.DUMMYFUNCTION("""COMPUTED_VALUE"""),"Div Record")</f>
        <v>Div Record</v>
      </c>
      <c r="E13" s="89"/>
      <c r="F13" s="89"/>
      <c r="G13" s="135" t="str">
        <f>IFERROR(__xludf.DUMMYFUNCTION("""COMPUTED_VALUE"""),"NFC North")</f>
        <v>NFC North</v>
      </c>
      <c r="H13" s="135" t="str">
        <f>IFERROR(__xludf.DUMMYFUNCTION("""COMPUTED_VALUE"""),"Record")</f>
        <v>Record</v>
      </c>
      <c r="I13" s="135" t="str">
        <f>IFERROR(__xludf.DUMMYFUNCTION("""COMPUTED_VALUE"""),"Div Record")</f>
        <v>Div Record</v>
      </c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90" t="str">
        <f>IFERROR(__xludf.DUMMYFUNCTION("""COMPUTED_VALUE"""),"")</f>
        <v/>
      </c>
      <c r="B14" s="153" t="str">
        <f>IFERROR(__xludf.DUMMYFUNCTION("""COMPUTED_VALUE"""),"BAL")</f>
        <v>BAL</v>
      </c>
      <c r="C14" s="138" t="str">
        <f>IFERROR(__xludf.DUMMYFUNCTION("""COMPUTED_VALUE"""),"9 - 8")</f>
        <v>9 - 8</v>
      </c>
      <c r="D14" s="138" t="str">
        <f>IFERROR(__xludf.DUMMYFUNCTION("""COMPUTED_VALUE"""),"2 - 4")</f>
        <v>2 - 4</v>
      </c>
      <c r="E14" s="89"/>
      <c r="F14" s="90" t="str">
        <f>IFERROR(__xludf.DUMMYFUNCTION("""COMPUTED_VALUE"""),"")</f>
        <v/>
      </c>
      <c r="G14" s="154" t="str">
        <f>IFERROR(__xludf.DUMMYFUNCTION("""COMPUTED_VALUE"""),"DET")</f>
        <v>DET</v>
      </c>
      <c r="H14" s="138" t="str">
        <f>IFERROR(__xludf.DUMMYFUNCTION("""COMPUTED_VALUE"""),"9 - 8")</f>
        <v>9 - 8</v>
      </c>
      <c r="I14" s="138" t="str">
        <f>IFERROR(__xludf.DUMMYFUNCTION("""COMPUTED_VALUE"""),"3 - 3")</f>
        <v>3 - 3</v>
      </c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</row>
    <row r="15">
      <c r="A15" s="90" t="str">
        <f>IFERROR(__xludf.DUMMYFUNCTION("""COMPUTED_VALUE"""),"")</f>
        <v/>
      </c>
      <c r="B15" s="155" t="str">
        <f>IFERROR(__xludf.DUMMYFUNCTION("""COMPUTED_VALUE"""),"CLE")</f>
        <v>CLE</v>
      </c>
      <c r="C15" s="138" t="str">
        <f>IFERROR(__xludf.DUMMYFUNCTION("""COMPUTED_VALUE"""),"6 - 11")</f>
        <v>6 - 11</v>
      </c>
      <c r="D15" s="138" t="str">
        <f>IFERROR(__xludf.DUMMYFUNCTION("""COMPUTED_VALUE"""),"2 - 4")</f>
        <v>2 - 4</v>
      </c>
      <c r="E15" s="89"/>
      <c r="F15" s="90" t="str">
        <f>IFERROR(__xludf.DUMMYFUNCTION("""COMPUTED_VALUE"""),"")</f>
        <v/>
      </c>
      <c r="G15" s="156" t="str">
        <f>IFERROR(__xludf.DUMMYFUNCTION("""COMPUTED_VALUE"""),"GB")</f>
        <v>GB</v>
      </c>
      <c r="H15" s="138" t="str">
        <f>IFERROR(__xludf.DUMMYFUNCTION("""COMPUTED_VALUE"""),"8 - 9")</f>
        <v>8 - 9</v>
      </c>
      <c r="I15" s="138" t="str">
        <f>IFERROR(__xludf.DUMMYFUNCTION("""COMPUTED_VALUE"""),"1 - 5")</f>
        <v>1 - 5</v>
      </c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</row>
    <row r="16">
      <c r="A16" s="90" t="str">
        <f>IFERROR(__xludf.DUMMYFUNCTION("""COMPUTED_VALUE"""),"")</f>
        <v/>
      </c>
      <c r="B16" s="157" t="str">
        <f>IFERROR(__xludf.DUMMYFUNCTION("""COMPUTED_VALUE"""),"PIT")</f>
        <v>PIT</v>
      </c>
      <c r="C16" s="138" t="str">
        <f>IFERROR(__xludf.DUMMYFUNCTION("""COMPUTED_VALUE"""),"9 - 8")</f>
        <v>9 - 8</v>
      </c>
      <c r="D16" s="138" t="str">
        <f>IFERROR(__xludf.DUMMYFUNCTION("""COMPUTED_VALUE"""),"3 - 3")</f>
        <v>3 - 3</v>
      </c>
      <c r="E16" s="89"/>
      <c r="F16" s="90" t="str">
        <f>IFERROR(__xludf.DUMMYFUNCTION("""COMPUTED_VALUE"""),"")</f>
        <v/>
      </c>
      <c r="G16" s="159" t="str">
        <f>IFERROR(__xludf.DUMMYFUNCTION("""COMPUTED_VALUE"""),"MIN")</f>
        <v>MIN</v>
      </c>
      <c r="H16" s="138" t="str">
        <f>IFERROR(__xludf.DUMMYFUNCTION("""COMPUTED_VALUE"""),"10 - 7")</f>
        <v>10 - 7</v>
      </c>
      <c r="I16" s="138" t="str">
        <f>IFERROR(__xludf.DUMMYFUNCTION("""COMPUTED_VALUE"""),"5 - 1")</f>
        <v>5 - 1</v>
      </c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</row>
    <row r="17">
      <c r="A17" s="90" t="str">
        <f>IFERROR(__xludf.DUMMYFUNCTION("""COMPUTED_VALUE"""),"")</f>
        <v/>
      </c>
      <c r="B17" s="160" t="str">
        <f>IFERROR(__xludf.DUMMYFUNCTION("""COMPUTED_VALUE"""),"CIN")</f>
        <v>CIN</v>
      </c>
      <c r="C17" s="138" t="str">
        <f>IFERROR(__xludf.DUMMYFUNCTION("""COMPUTED_VALUE"""),"11 - 6")</f>
        <v>11 - 6</v>
      </c>
      <c r="D17" s="138" t="str">
        <f>IFERROR(__xludf.DUMMYFUNCTION("""COMPUTED_VALUE"""),"5 - 1")</f>
        <v>5 - 1</v>
      </c>
      <c r="E17" s="89"/>
      <c r="F17" s="90" t="str">
        <f>IFERROR(__xludf.DUMMYFUNCTION("""COMPUTED_VALUE"""),"")</f>
        <v/>
      </c>
      <c r="G17" s="161" t="str">
        <f>IFERROR(__xludf.DUMMYFUNCTION("""COMPUTED_VALUE"""),"CHI")</f>
        <v>CHI</v>
      </c>
      <c r="H17" s="138" t="str">
        <f>IFERROR(__xludf.DUMMYFUNCTION("""COMPUTED_VALUE"""),"10 - 7")</f>
        <v>10 - 7</v>
      </c>
      <c r="I17" s="138" t="str">
        <f>IFERROR(__xludf.DUMMYFUNCTION("""COMPUTED_VALUE"""),"3 - 3")</f>
        <v>3 - 3</v>
      </c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</row>
    <row r="18">
      <c r="A18" s="67"/>
      <c r="B18" s="67"/>
      <c r="C18" s="67"/>
      <c r="D18" s="67"/>
      <c r="E18" s="89"/>
      <c r="F18" s="67"/>
      <c r="G18" s="67"/>
      <c r="H18" s="67"/>
      <c r="I18" s="67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</row>
    <row r="19">
      <c r="A19" s="89"/>
      <c r="B19" s="135" t="str">
        <f>IFERROR(__xludf.DUMMYFUNCTION("""COMPUTED_VALUE"""),"AFC South")</f>
        <v>AFC South</v>
      </c>
      <c r="C19" s="135" t="str">
        <f>IFERROR(__xludf.DUMMYFUNCTION("""COMPUTED_VALUE"""),"Record")</f>
        <v>Record</v>
      </c>
      <c r="D19" s="135" t="str">
        <f>IFERROR(__xludf.DUMMYFUNCTION("""COMPUTED_VALUE"""),"Div Record")</f>
        <v>Div Record</v>
      </c>
      <c r="E19" s="89"/>
      <c r="F19" s="89"/>
      <c r="G19" s="135" t="str">
        <f>IFERROR(__xludf.DUMMYFUNCTION("""COMPUTED_VALUE"""),"NFC South")</f>
        <v>NFC South</v>
      </c>
      <c r="H19" s="135" t="str">
        <f>IFERROR(__xludf.DUMMYFUNCTION("""COMPUTED_VALUE"""),"Record")</f>
        <v>Record</v>
      </c>
      <c r="I19" s="135" t="str">
        <f>IFERROR(__xludf.DUMMYFUNCTION("""COMPUTED_VALUE"""),"Div Record")</f>
        <v>Div Record</v>
      </c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</row>
    <row r="20">
      <c r="A20" s="90" t="str">
        <f>IFERROR(__xludf.DUMMYFUNCTION("""COMPUTED_VALUE"""),"")</f>
        <v/>
      </c>
      <c r="B20" s="162" t="str">
        <f>IFERROR(__xludf.DUMMYFUNCTION("""COMPUTED_VALUE"""),"HOU")</f>
        <v>HOU</v>
      </c>
      <c r="C20" s="138" t="str">
        <f>IFERROR(__xludf.DUMMYFUNCTION("""COMPUTED_VALUE"""),"10 - 7")</f>
        <v>10 - 7</v>
      </c>
      <c r="D20" s="138" t="str">
        <f>IFERROR(__xludf.DUMMYFUNCTION("""COMPUTED_VALUE"""),"5 - 1")</f>
        <v>5 - 1</v>
      </c>
      <c r="E20" s="89"/>
      <c r="F20" s="90" t="str">
        <f>IFERROR(__xludf.DUMMYFUNCTION("""COMPUTED_VALUE"""),"")</f>
        <v/>
      </c>
      <c r="G20" s="163" t="str">
        <f>IFERROR(__xludf.DUMMYFUNCTION("""COMPUTED_VALUE"""),"TB")</f>
        <v>TB</v>
      </c>
      <c r="H20" s="138" t="str">
        <f>IFERROR(__xludf.DUMMYFUNCTION("""COMPUTED_VALUE"""),"8 - 9")</f>
        <v>8 - 9</v>
      </c>
      <c r="I20" s="138" t="str">
        <f>IFERROR(__xludf.DUMMYFUNCTION("""COMPUTED_VALUE"""),"4 - 2")</f>
        <v>4 - 2</v>
      </c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</row>
    <row r="21">
      <c r="A21" s="90" t="str">
        <f>IFERROR(__xludf.DUMMYFUNCTION("""COMPUTED_VALUE"""),"")</f>
        <v/>
      </c>
      <c r="B21" s="164" t="str">
        <f>IFERROR(__xludf.DUMMYFUNCTION("""COMPUTED_VALUE"""),"JAX")</f>
        <v>JAX</v>
      </c>
      <c r="C21" s="138" t="str">
        <f>IFERROR(__xludf.DUMMYFUNCTION("""COMPUTED_VALUE"""),"9 - 8")</f>
        <v>9 - 8</v>
      </c>
      <c r="D21" s="138" t="str">
        <f>IFERROR(__xludf.DUMMYFUNCTION("""COMPUTED_VALUE"""),"3 - 3")</f>
        <v>3 - 3</v>
      </c>
      <c r="E21" s="89"/>
      <c r="F21" s="90" t="str">
        <f>IFERROR(__xludf.DUMMYFUNCTION("""COMPUTED_VALUE"""),"")</f>
        <v/>
      </c>
      <c r="G21" s="165" t="str">
        <f>IFERROR(__xludf.DUMMYFUNCTION("""COMPUTED_VALUE"""),"NO")</f>
        <v>NO</v>
      </c>
      <c r="H21" s="138" t="str">
        <f>IFERROR(__xludf.DUMMYFUNCTION("""COMPUTED_VALUE"""),"11 - 6")</f>
        <v>11 - 6</v>
      </c>
      <c r="I21" s="138" t="str">
        <f>IFERROR(__xludf.DUMMYFUNCTION("""COMPUTED_VALUE"""),"4 - 2")</f>
        <v>4 - 2</v>
      </c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</row>
    <row r="22">
      <c r="A22" s="90" t="str">
        <f>IFERROR(__xludf.DUMMYFUNCTION("""COMPUTED_VALUE"""),"")</f>
        <v/>
      </c>
      <c r="B22" s="166" t="str">
        <f>IFERROR(__xludf.DUMMYFUNCTION("""COMPUTED_VALUE"""),"IND")</f>
        <v>IND</v>
      </c>
      <c r="C22" s="138" t="str">
        <f>IFERROR(__xludf.DUMMYFUNCTION("""COMPUTED_VALUE"""),"7 - 10")</f>
        <v>7 - 10</v>
      </c>
      <c r="D22" s="138" t="str">
        <f>IFERROR(__xludf.DUMMYFUNCTION("""COMPUTED_VALUE"""),"1 - 5")</f>
        <v>1 - 5</v>
      </c>
      <c r="E22" s="89"/>
      <c r="F22" s="90" t="str">
        <f>IFERROR(__xludf.DUMMYFUNCTION("""COMPUTED_VALUE"""),"")</f>
        <v/>
      </c>
      <c r="G22" s="167" t="str">
        <f>IFERROR(__xludf.DUMMYFUNCTION("""COMPUTED_VALUE"""),"ATL")</f>
        <v>ATL</v>
      </c>
      <c r="H22" s="138" t="str">
        <f>IFERROR(__xludf.DUMMYFUNCTION("""COMPUTED_VALUE"""),"8 - 9")</f>
        <v>8 - 9</v>
      </c>
      <c r="I22" s="138" t="str">
        <f>IFERROR(__xludf.DUMMYFUNCTION("""COMPUTED_VALUE"""),"4 - 2")</f>
        <v>4 - 2</v>
      </c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</row>
    <row r="23">
      <c r="A23" s="90" t="str">
        <f>IFERROR(__xludf.DUMMYFUNCTION("""COMPUTED_VALUE"""),"")</f>
        <v/>
      </c>
      <c r="B23" s="168" t="str">
        <f>IFERROR(__xludf.DUMMYFUNCTION("""COMPUTED_VALUE"""),"TEN")</f>
        <v>TEN</v>
      </c>
      <c r="C23" s="138" t="str">
        <f>IFERROR(__xludf.DUMMYFUNCTION("""COMPUTED_VALUE"""),"9 - 8")</f>
        <v>9 - 8</v>
      </c>
      <c r="D23" s="138" t="str">
        <f>IFERROR(__xludf.DUMMYFUNCTION("""COMPUTED_VALUE"""),"3 - 3")</f>
        <v>3 - 3</v>
      </c>
      <c r="E23" s="89"/>
      <c r="F23" s="90" t="str">
        <f>IFERROR(__xludf.DUMMYFUNCTION("""COMPUTED_VALUE"""),"")</f>
        <v/>
      </c>
      <c r="G23" s="169" t="str">
        <f>IFERROR(__xludf.DUMMYFUNCTION("""COMPUTED_VALUE"""),"CAR")</f>
        <v>CAR</v>
      </c>
      <c r="H23" s="138" t="str">
        <f>IFERROR(__xludf.DUMMYFUNCTION("""COMPUTED_VALUE"""),"6 - 11")</f>
        <v>6 - 11</v>
      </c>
      <c r="I23" s="138" t="str">
        <f>IFERROR(__xludf.DUMMYFUNCTION("""COMPUTED_VALUE"""),"0 - 6")</f>
        <v>0 - 6</v>
      </c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</row>
    <row r="24">
      <c r="A24" s="89"/>
      <c r="B24" s="89"/>
      <c r="C24" s="89"/>
      <c r="D24" s="89"/>
      <c r="E24" s="89"/>
      <c r="F24" s="89"/>
      <c r="G24" s="89"/>
      <c r="H24" s="89"/>
      <c r="I24" s="89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</row>
    <row r="25">
      <c r="A25" s="89"/>
      <c r="B25" s="170" t="str">
        <f>IFERROR(__xludf.DUMMYFUNCTION("""COMPUTED_VALUE"""),"AFC Playoff Picture")</f>
        <v>AFC Playoff Picture</v>
      </c>
      <c r="C25" s="89"/>
      <c r="D25" s="89"/>
      <c r="E25" s="89"/>
      <c r="F25" s="89"/>
      <c r="G25" s="170" t="str">
        <f>IFERROR(__xludf.DUMMYFUNCTION("""COMPUTED_VALUE"""),"NFC Playoff Picture")</f>
        <v>NFC Playoff Picture</v>
      </c>
      <c r="H25" s="89"/>
      <c r="I25" s="89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</row>
    <row r="26">
      <c r="A26" s="171">
        <f>IFERROR(__xludf.DUMMYFUNCTION("""COMPUTED_VALUE"""),1.0)</f>
        <v>1</v>
      </c>
      <c r="B26" s="172" t="str">
        <f>IFERROR(__xludf.DUMMYFUNCTION("""COMPUTED_VALUE"""),"MIA")</f>
        <v>MIA</v>
      </c>
      <c r="C26" s="67" t="str">
        <f>IFERROR(__xludf.DUMMYFUNCTION("""COMPUTED_VALUE"""),"")</f>
        <v/>
      </c>
      <c r="D26" s="67"/>
      <c r="E26" s="89"/>
      <c r="F26" s="171">
        <f>IFERROR(__xludf.DUMMYFUNCTION("""COMPUTED_VALUE"""),1.0)</f>
        <v>1</v>
      </c>
      <c r="G26" s="172" t="str">
        <f>IFERROR(__xludf.DUMMYFUNCTION("""COMPUTED_VALUE"""),"SEA")</f>
        <v>SEA</v>
      </c>
      <c r="H26" s="67" t="str">
        <f>IFERROR(__xludf.DUMMYFUNCTION("""COMPUTED_VALUE"""),"")</f>
        <v/>
      </c>
      <c r="I26" s="67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</row>
    <row r="27">
      <c r="A27" s="171">
        <f>IFERROR(__xludf.DUMMYFUNCTION("""COMPUTED_VALUE"""),2.0)</f>
        <v>2</v>
      </c>
      <c r="B27" s="172" t="str">
        <f>IFERROR(__xludf.DUMMYFUNCTION("""COMPUTED_VALUE"""),"CIN")</f>
        <v>CIN</v>
      </c>
      <c r="C27" s="67" t="str">
        <f>IFERROR(__xludf.DUMMYFUNCTION("""COMPUTED_VALUE"""),"")</f>
        <v/>
      </c>
      <c r="D27" s="67"/>
      <c r="E27" s="89"/>
      <c r="F27" s="171">
        <f>IFERROR(__xludf.DUMMYFUNCTION("""COMPUTED_VALUE"""),2.0)</f>
        <v>2</v>
      </c>
      <c r="G27" s="172" t="str">
        <f>IFERROR(__xludf.DUMMYFUNCTION("""COMPUTED_VALUE"""),"PHI")</f>
        <v>PHI</v>
      </c>
      <c r="H27" s="67" t="str">
        <f>IFERROR(__xludf.DUMMYFUNCTION("""COMPUTED_VALUE"""),"")</f>
        <v/>
      </c>
      <c r="I27" s="67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</row>
    <row r="28">
      <c r="A28" s="171">
        <f>IFERROR(__xludf.DUMMYFUNCTION("""COMPUTED_VALUE"""),3.0)</f>
        <v>3</v>
      </c>
      <c r="B28" s="172" t="str">
        <f>IFERROR(__xludf.DUMMYFUNCTION("""COMPUTED_VALUE"""),"HOU")</f>
        <v>HOU</v>
      </c>
      <c r="C28" s="67" t="str">
        <f>IFERROR(__xludf.DUMMYFUNCTION("""COMPUTED_VALUE"""),"")</f>
        <v/>
      </c>
      <c r="D28" s="67"/>
      <c r="E28" s="89"/>
      <c r="F28" s="172">
        <f>IFERROR(__xludf.DUMMYFUNCTION("""COMPUTED_VALUE"""),3.0)</f>
        <v>3</v>
      </c>
      <c r="G28" s="172" t="str">
        <f>IFERROR(__xludf.DUMMYFUNCTION("""COMPUTED_VALUE"""),"NO")</f>
        <v>NO</v>
      </c>
      <c r="H28" s="67" t="str">
        <f>IFERROR(__xludf.DUMMYFUNCTION("""COMPUTED_VALUE"""),"")</f>
        <v/>
      </c>
      <c r="I28" s="67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</row>
    <row r="29">
      <c r="A29" s="171">
        <f>IFERROR(__xludf.DUMMYFUNCTION("""COMPUTED_VALUE"""),4.0)</f>
        <v>4</v>
      </c>
      <c r="B29" s="172" t="str">
        <f>IFERROR(__xludf.DUMMYFUNCTION("""COMPUTED_VALUE"""),"LAC")</f>
        <v>LAC</v>
      </c>
      <c r="C29" s="67" t="str">
        <f>IFERROR(__xludf.DUMMYFUNCTION("""COMPUTED_VALUE"""),"")</f>
        <v/>
      </c>
      <c r="D29" s="67"/>
      <c r="E29" s="89"/>
      <c r="F29" s="171">
        <f>IFERROR(__xludf.DUMMYFUNCTION("""COMPUTED_VALUE"""),4.0)</f>
        <v>4</v>
      </c>
      <c r="G29" s="172" t="str">
        <f>IFERROR(__xludf.DUMMYFUNCTION("""COMPUTED_VALUE"""),"MIN")</f>
        <v>MIN</v>
      </c>
      <c r="H29" s="67" t="str">
        <f>IFERROR(__xludf.DUMMYFUNCTION("""COMPUTED_VALUE"""),"")</f>
        <v/>
      </c>
      <c r="I29" s="67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</row>
    <row r="30">
      <c r="A30" s="171">
        <f>IFERROR(__xludf.DUMMYFUNCTION("""COMPUTED_VALUE"""),5.0)</f>
        <v>5</v>
      </c>
      <c r="B30" s="172" t="str">
        <f>IFERROR(__xludf.DUMMYFUNCTION("""COMPUTED_VALUE"""),"BUF")</f>
        <v>BUF</v>
      </c>
      <c r="C30" s="67" t="str">
        <f>IFERROR(__xludf.DUMMYFUNCTION("""COMPUTED_VALUE"""),"")</f>
        <v/>
      </c>
      <c r="D30" s="67"/>
      <c r="E30" s="89"/>
      <c r="F30" s="171">
        <f>IFERROR(__xludf.DUMMYFUNCTION("""COMPUTED_VALUE"""),5.0)</f>
        <v>5</v>
      </c>
      <c r="G30" s="172" t="str">
        <f>IFERROR(__xludf.DUMMYFUNCTION("""COMPUTED_VALUE"""),"AZ")</f>
        <v>AZ</v>
      </c>
      <c r="H30" s="67" t="str">
        <f>IFERROR(__xludf.DUMMYFUNCTION("""COMPUTED_VALUE"""),"")</f>
        <v/>
      </c>
      <c r="I30" s="67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</row>
    <row r="31">
      <c r="A31" s="171">
        <f>IFERROR(__xludf.DUMMYFUNCTION("""COMPUTED_VALUE"""),6.0)</f>
        <v>6</v>
      </c>
      <c r="B31" s="172" t="str">
        <f>IFERROR(__xludf.DUMMYFUNCTION("""COMPUTED_VALUE"""),"TEN")</f>
        <v>TEN</v>
      </c>
      <c r="C31" s="67" t="str">
        <f>IFERROR(__xludf.DUMMYFUNCTION("""COMPUTED_VALUE"""),"")</f>
        <v/>
      </c>
      <c r="D31" s="67"/>
      <c r="E31" s="89"/>
      <c r="F31" s="171">
        <f>IFERROR(__xludf.DUMMYFUNCTION("""COMPUTED_VALUE"""),6.0)</f>
        <v>6</v>
      </c>
      <c r="G31" s="172" t="str">
        <f>IFERROR(__xludf.DUMMYFUNCTION("""COMPUTED_VALUE"""),"CHI")</f>
        <v>CHI</v>
      </c>
      <c r="H31" s="67" t="str">
        <f>IFERROR(__xludf.DUMMYFUNCTION("""COMPUTED_VALUE"""),"")</f>
        <v/>
      </c>
      <c r="I31" s="67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</row>
    <row r="32">
      <c r="A32" s="172">
        <f>IFERROR(__xludf.DUMMYFUNCTION("""COMPUTED_VALUE"""),7.0)</f>
        <v>7</v>
      </c>
      <c r="B32" s="172" t="str">
        <f>IFERROR(__xludf.DUMMYFUNCTION("""COMPUTED_VALUE"""),"PIT")</f>
        <v>PIT</v>
      </c>
      <c r="C32" s="67" t="str">
        <f>IFERROR(__xludf.DUMMYFUNCTION("""COMPUTED_VALUE"""),"")</f>
        <v/>
      </c>
      <c r="D32" s="67"/>
      <c r="E32" s="89"/>
      <c r="F32" s="171">
        <f>IFERROR(__xludf.DUMMYFUNCTION("""COMPUTED_VALUE"""),7.0)</f>
        <v>7</v>
      </c>
      <c r="G32" s="172" t="str">
        <f>IFERROR(__xludf.DUMMYFUNCTION("""COMPUTED_VALUE"""),"DET")</f>
        <v>DET</v>
      </c>
      <c r="H32" s="67" t="str">
        <f>IFERROR(__xludf.DUMMYFUNCTION("""COMPUTED_VALUE"""),"")</f>
        <v/>
      </c>
      <c r="I32" s="67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</row>
    <row r="35">
      <c r="A35" s="89" t="str">
        <f>IFERROR(__xludf.DUMMYFUNCTION("IMPORTRANGE(""https://docs.google.com/spreadsheets/d/12vKXTbU2YKLSGt_Df6lh91FP-q4Aq_l6dkkoAzmByzE/edit?gid=1462027705#gid=1462027705"",""Playoffs!A1:W53"")"),"")</f>
        <v/>
      </c>
      <c r="B35" s="170" t="str">
        <f>IFERROR(__xludf.DUMMYFUNCTION("""COMPUTED_VALUE"""),"Regular Season MVP")</f>
        <v>Regular Season MVP</v>
      </c>
      <c r="C35" s="175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>
      <c r="A36" s="49"/>
      <c r="B36" s="173" t="str">
        <f>IFERROR(__xludf.DUMMYFUNCTION("""COMPUTED_VALUE"""),"Jalen Hurts")</f>
        <v>Jalen Hurts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>
      <c r="A39" s="175"/>
      <c r="B39" s="170" t="str">
        <f>IFERROR(__xludf.DUMMYFUNCTION("""COMPUTED_VALUE"""),"AFC Playoff Picture")</f>
        <v>AFC Playoff Picture</v>
      </c>
      <c r="C39" s="17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>
      <c r="A40" s="171">
        <f>IFERROR(__xludf.DUMMYFUNCTION("""COMPUTED_VALUE"""),1.0)</f>
        <v>1</v>
      </c>
      <c r="B40" s="172" t="str">
        <f>IFERROR(__xludf.DUMMYFUNCTION("""COMPUTED_VALUE"""),"MIA")</f>
        <v>MIA</v>
      </c>
      <c r="C40" s="23" t="str">
        <f>IFERROR(__xludf.DUMMYFUNCTION("""COMPUTED_VALUE"""),"")</f>
        <v/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>
      <c r="A41" s="171">
        <f>IFERROR(__xludf.DUMMYFUNCTION("""COMPUTED_VALUE"""),2.0)</f>
        <v>2</v>
      </c>
      <c r="B41" s="172" t="str">
        <f>IFERROR(__xludf.DUMMYFUNCTION("""COMPUTED_VALUE"""),"CIN")</f>
        <v>CIN</v>
      </c>
      <c r="C41" s="23" t="str">
        <f>IFERROR(__xludf.DUMMYFUNCTION("""COMPUTED_VALUE"""),"")</f>
        <v/>
      </c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>
      <c r="A42" s="171">
        <f>IFERROR(__xludf.DUMMYFUNCTION("""COMPUTED_VALUE"""),3.0)</f>
        <v>3</v>
      </c>
      <c r="B42" s="172" t="str">
        <f>IFERROR(__xludf.DUMMYFUNCTION("""COMPUTED_VALUE"""),"HOU")</f>
        <v>HOU</v>
      </c>
      <c r="C42" s="23" t="str">
        <f>IFERROR(__xludf.DUMMYFUNCTION("""COMPUTED_VALUE"""),"")</f>
        <v/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>
      <c r="A43" s="171">
        <f>IFERROR(__xludf.DUMMYFUNCTION("""COMPUTED_VALUE"""),4.0)</f>
        <v>4</v>
      </c>
      <c r="B43" s="172" t="str">
        <f>IFERROR(__xludf.DUMMYFUNCTION("""COMPUTED_VALUE"""),"LAC")</f>
        <v>LAC</v>
      </c>
      <c r="C43" s="23" t="str">
        <f>IFERROR(__xludf.DUMMYFUNCTION("""COMPUTED_VALUE"""),"")</f>
        <v/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>
      <c r="A44" s="171">
        <f>IFERROR(__xludf.DUMMYFUNCTION("""COMPUTED_VALUE"""),5.0)</f>
        <v>5</v>
      </c>
      <c r="B44" s="172" t="str">
        <f>IFERROR(__xludf.DUMMYFUNCTION("""COMPUTED_VALUE"""),"BUF")</f>
        <v>BUF</v>
      </c>
      <c r="C44" s="23" t="str">
        <f>IFERROR(__xludf.DUMMYFUNCTION("""COMPUTED_VALUE"""),"")</f>
        <v/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>
      <c r="A45" s="171">
        <f>IFERROR(__xludf.DUMMYFUNCTION("""COMPUTED_VALUE"""),6.0)</f>
        <v>6</v>
      </c>
      <c r="B45" s="172" t="str">
        <f>IFERROR(__xludf.DUMMYFUNCTION("""COMPUTED_VALUE"""),"TEN")</f>
        <v>TEN</v>
      </c>
      <c r="C45" s="23" t="str">
        <f>IFERROR(__xludf.DUMMYFUNCTION("""COMPUTED_VALUE"""),"")</f>
        <v/>
      </c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>
      <c r="A46" s="171">
        <f>IFERROR(__xludf.DUMMYFUNCTION("""COMPUTED_VALUE"""),7.0)</f>
        <v>7</v>
      </c>
      <c r="B46" s="172" t="str">
        <f>IFERROR(__xludf.DUMMYFUNCTION("""COMPUTED_VALUE"""),"PIT")</f>
        <v>PIT</v>
      </c>
      <c r="C46" s="23" t="str">
        <f>IFERROR(__xludf.DUMMYFUNCTION("""COMPUTED_VALUE"""),"")</f>
        <v/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>
      <c r="A47" s="175"/>
      <c r="B47" s="175"/>
      <c r="C47" s="175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>
      <c r="A49" s="175"/>
      <c r="B49" s="170" t="str">
        <f>IFERROR(__xludf.DUMMYFUNCTION("""COMPUTED_VALUE"""),"AFC Wild Card")</f>
        <v>AFC Wild Card</v>
      </c>
      <c r="C49" s="175"/>
      <c r="D49" s="170" t="str">
        <f>IFERROR(__xludf.DUMMYFUNCTION("""COMPUTED_VALUE"""),"Winner")</f>
        <v>Winner</v>
      </c>
      <c r="E49" s="170" t="str">
        <f>IFERROR(__xludf.DUMMYFUNCTION("""COMPUTED_VALUE"""),"Score")</f>
        <v>Score</v>
      </c>
      <c r="F49" s="49"/>
      <c r="G49" s="175"/>
      <c r="H49" s="170" t="str">
        <f>IFERROR(__xludf.DUMMYFUNCTION("""COMPUTED_VALUE"""),"AFC Divisional Round")</f>
        <v>AFC Divisional Round</v>
      </c>
      <c r="I49" s="175"/>
      <c r="J49" s="170" t="str">
        <f>IFERROR(__xludf.DUMMYFUNCTION("""COMPUTED_VALUE"""),"Winner")</f>
        <v>Winner</v>
      </c>
      <c r="K49" s="170" t="str">
        <f>IFERROR(__xludf.DUMMYFUNCTION("""COMPUTED_VALUE"""),"Score")</f>
        <v>Score</v>
      </c>
      <c r="L49" s="49"/>
      <c r="M49" s="175"/>
      <c r="N49" s="170" t="str">
        <f>IFERROR(__xludf.DUMMYFUNCTION("""COMPUTED_VALUE"""),"AFC Championship Game")</f>
        <v>AFC Championship Game</v>
      </c>
      <c r="O49" s="175"/>
      <c r="P49" s="170" t="str">
        <f>IFERROR(__xludf.DUMMYFUNCTION("""COMPUTED_VALUE"""),"Winner")</f>
        <v>Winner</v>
      </c>
      <c r="Q49" s="170" t="str">
        <f>IFERROR(__xludf.DUMMYFUNCTION("""COMPUTED_VALUE"""),"Score")</f>
        <v>Score</v>
      </c>
      <c r="R49" s="49"/>
      <c r="S49" s="49"/>
      <c r="T49" s="49"/>
      <c r="U49" s="49"/>
      <c r="V49" s="49"/>
      <c r="W49" s="49"/>
      <c r="X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>
      <c r="A51" s="171" t="str">
        <f>IFERROR(__xludf.DUMMYFUNCTION("""COMPUTED_VALUE"""),"BYE")</f>
        <v>BYE</v>
      </c>
      <c r="B51" s="172" t="str">
        <f>IFERROR(__xludf.DUMMYFUNCTION("""COMPUTED_VALUE"""),"MIA")</f>
        <v>MIA</v>
      </c>
      <c r="C51" s="23" t="str">
        <f>IFERROR(__xludf.DUMMYFUNCTION("""COMPUTED_VALUE"""),"")</f>
        <v/>
      </c>
      <c r="D51" s="49"/>
      <c r="E51" s="49"/>
      <c r="F51" s="49"/>
      <c r="G51" s="171">
        <f>IFERROR(__xludf.DUMMYFUNCTION("""COMPUTED_VALUE"""),4.0)</f>
        <v>4</v>
      </c>
      <c r="H51" s="172" t="str">
        <f>IFERROR(__xludf.DUMMYFUNCTION("""COMPUTED_VALUE"""),"LAC")</f>
        <v>LAC</v>
      </c>
      <c r="I51" s="23" t="str">
        <f>IFERROR(__xludf.DUMMYFUNCTION("""COMPUTED_VALUE"""),"")</f>
        <v/>
      </c>
      <c r="J51" s="176" t="b">
        <f>IFERROR(__xludf.DUMMYFUNCTION("""COMPUTED_VALUE"""),TRUE)</f>
        <v>1</v>
      </c>
      <c r="K51" s="172"/>
      <c r="L51" s="49"/>
      <c r="M51" s="171">
        <f>IFERROR(__xludf.DUMMYFUNCTION("""COMPUTED_VALUE"""),4.0)</f>
        <v>4</v>
      </c>
      <c r="N51" s="172" t="str">
        <f>IFERROR(__xludf.DUMMYFUNCTION("""COMPUTED_VALUE"""),"LAC")</f>
        <v>LAC</v>
      </c>
      <c r="O51" s="23" t="str">
        <f>IFERROR(__xludf.DUMMYFUNCTION("""COMPUTED_VALUE"""),"")</f>
        <v/>
      </c>
      <c r="P51" s="176" t="b">
        <f>IFERROR(__xludf.DUMMYFUNCTION("""COMPUTED_VALUE"""),TRUE)</f>
        <v>1</v>
      </c>
      <c r="Q51" s="172"/>
      <c r="R51" s="49"/>
      <c r="S51" s="49"/>
      <c r="T51" s="49"/>
      <c r="U51" s="49"/>
      <c r="V51" s="49"/>
      <c r="W51" s="49"/>
      <c r="X51" s="49"/>
    </row>
    <row r="52">
      <c r="A52" s="49"/>
      <c r="B52" s="49"/>
      <c r="C52" s="49"/>
      <c r="D52" s="49"/>
      <c r="E52" s="49"/>
      <c r="F52" s="49"/>
      <c r="G52" s="171">
        <f>IFERROR(__xludf.DUMMYFUNCTION("""COMPUTED_VALUE"""),1.0)</f>
        <v>1</v>
      </c>
      <c r="H52" s="172" t="str">
        <f>IFERROR(__xludf.DUMMYFUNCTION("""COMPUTED_VALUE"""),"MIA")</f>
        <v>MIA</v>
      </c>
      <c r="I52" s="23" t="str">
        <f>IFERROR(__xludf.DUMMYFUNCTION("""COMPUTED_VALUE"""),"")</f>
        <v/>
      </c>
      <c r="J52" s="176" t="b">
        <f>IFERROR(__xludf.DUMMYFUNCTION("""COMPUTED_VALUE"""),FALSE)</f>
        <v>0</v>
      </c>
      <c r="K52" s="172"/>
      <c r="L52" s="49"/>
      <c r="M52" s="171">
        <f>IFERROR(__xludf.DUMMYFUNCTION("""COMPUTED_VALUE"""),3.0)</f>
        <v>3</v>
      </c>
      <c r="N52" s="172" t="str">
        <f>IFERROR(__xludf.DUMMYFUNCTION("""COMPUTED_VALUE"""),"HOU")</f>
        <v>HOU</v>
      </c>
      <c r="O52" s="23" t="str">
        <f>IFERROR(__xludf.DUMMYFUNCTION("""COMPUTED_VALUE"""),"")</f>
        <v/>
      </c>
      <c r="P52" s="176" t="b">
        <f>IFERROR(__xludf.DUMMYFUNCTION("""COMPUTED_VALUE"""),FALSE)</f>
        <v>0</v>
      </c>
      <c r="Q52" s="172"/>
      <c r="R52" s="49"/>
      <c r="S52" s="49"/>
      <c r="T52" s="49"/>
      <c r="U52" s="49"/>
      <c r="V52" s="49"/>
      <c r="W52" s="49"/>
      <c r="X52" s="49"/>
    </row>
    <row r="53">
      <c r="A53" s="171">
        <f>IFERROR(__xludf.DUMMYFUNCTION("""COMPUTED_VALUE"""),7.0)</f>
        <v>7</v>
      </c>
      <c r="B53" s="172" t="str">
        <f>IFERROR(__xludf.DUMMYFUNCTION("""COMPUTED_VALUE"""),"PIT")</f>
        <v>PIT</v>
      </c>
      <c r="C53" s="23" t="str">
        <f>IFERROR(__xludf.DUMMYFUNCTION("""COMPUTED_VALUE"""),"")</f>
        <v/>
      </c>
      <c r="D53" s="176" t="b">
        <f>IFERROR(__xludf.DUMMYFUNCTION("""COMPUTED_VALUE"""),FALSE)</f>
        <v>0</v>
      </c>
      <c r="E53" s="172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>
      <c r="A54" s="171">
        <f>IFERROR(__xludf.DUMMYFUNCTION("""COMPUTED_VALUE"""),2.0)</f>
        <v>2</v>
      </c>
      <c r="B54" s="172" t="str">
        <f>IFERROR(__xludf.DUMMYFUNCTION("""COMPUTED_VALUE"""),"CIN")</f>
        <v>CIN</v>
      </c>
      <c r="C54" s="23" t="str">
        <f>IFERROR(__xludf.DUMMYFUNCTION("""COMPUTED_VALUE"""),"")</f>
        <v/>
      </c>
      <c r="D54" s="176" t="b">
        <f>IFERROR(__xludf.DUMMYFUNCTION("""COMPUTED_VALUE"""),TRUE)</f>
        <v>1</v>
      </c>
      <c r="E54" s="172"/>
      <c r="F54" s="49"/>
      <c r="G54" s="171">
        <f>IFERROR(__xludf.DUMMYFUNCTION("""COMPUTED_VALUE"""),3.0)</f>
        <v>3</v>
      </c>
      <c r="H54" s="172" t="str">
        <f>IFERROR(__xludf.DUMMYFUNCTION("""COMPUTED_VALUE"""),"HOU")</f>
        <v>HOU</v>
      </c>
      <c r="I54" s="23" t="str">
        <f>IFERROR(__xludf.DUMMYFUNCTION("""COMPUTED_VALUE"""),"")</f>
        <v/>
      </c>
      <c r="J54" s="176" t="b">
        <f>IFERROR(__xludf.DUMMYFUNCTION("""COMPUTED_VALUE"""),TRUE)</f>
        <v>1</v>
      </c>
      <c r="K54" s="172"/>
      <c r="L54" s="49"/>
      <c r="M54" s="175"/>
      <c r="N54" s="175"/>
      <c r="O54" s="175"/>
      <c r="P54" s="175"/>
      <c r="Q54" s="175"/>
      <c r="R54" s="49"/>
      <c r="S54" s="49"/>
      <c r="T54" s="49"/>
      <c r="U54" s="49"/>
      <c r="V54" s="49"/>
      <c r="W54" s="49"/>
      <c r="X54" s="49"/>
    </row>
    <row r="55">
      <c r="A55" s="49"/>
      <c r="B55" s="49"/>
      <c r="C55" s="49"/>
      <c r="D55" s="49"/>
      <c r="E55" s="49"/>
      <c r="F55" s="49"/>
      <c r="G55" s="171">
        <f>IFERROR(__xludf.DUMMYFUNCTION("""COMPUTED_VALUE"""),2.0)</f>
        <v>2</v>
      </c>
      <c r="H55" s="172" t="str">
        <f>IFERROR(__xludf.DUMMYFUNCTION("""COMPUTED_VALUE"""),"CIN")</f>
        <v>CIN</v>
      </c>
      <c r="I55" s="23" t="str">
        <f>IFERROR(__xludf.DUMMYFUNCTION("""COMPUTED_VALUE"""),"")</f>
        <v/>
      </c>
      <c r="J55" s="176" t="b">
        <f>IFERROR(__xludf.DUMMYFUNCTION("""COMPUTED_VALUE"""),FALSE)</f>
        <v>0</v>
      </c>
      <c r="K55" s="172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>
      <c r="A56" s="171">
        <f>IFERROR(__xludf.DUMMYFUNCTION("""COMPUTED_VALUE"""),6.0)</f>
        <v>6</v>
      </c>
      <c r="B56" s="172" t="str">
        <f>IFERROR(__xludf.DUMMYFUNCTION("""COMPUTED_VALUE"""),"TEN")</f>
        <v>TEN</v>
      </c>
      <c r="C56" s="23" t="str">
        <f>IFERROR(__xludf.DUMMYFUNCTION("""COMPUTED_VALUE"""),"")</f>
        <v/>
      </c>
      <c r="D56" s="176" t="b">
        <f>IFERROR(__xludf.DUMMYFUNCTION("""COMPUTED_VALUE"""),FALSE)</f>
        <v>0</v>
      </c>
      <c r="E56" s="172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>
      <c r="A57" s="171">
        <f>IFERROR(__xludf.DUMMYFUNCTION("""COMPUTED_VALUE"""),3.0)</f>
        <v>3</v>
      </c>
      <c r="B57" s="172" t="str">
        <f>IFERROR(__xludf.DUMMYFUNCTION("""COMPUTED_VALUE"""),"HOU")</f>
        <v>HOU</v>
      </c>
      <c r="C57" s="23" t="str">
        <f>IFERROR(__xludf.DUMMYFUNCTION("""COMPUTED_VALUE"""),"")</f>
        <v/>
      </c>
      <c r="D57" s="176" t="b">
        <f>IFERROR(__xludf.DUMMYFUNCTION("""COMPUTED_VALUE"""),TRUE)</f>
        <v>1</v>
      </c>
      <c r="E57" s="172"/>
      <c r="F57" s="49"/>
      <c r="G57" s="175"/>
      <c r="H57" s="175"/>
      <c r="I57" s="175"/>
      <c r="J57" s="175"/>
      <c r="K57" s="175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>
      <c r="A59" s="171">
        <f>IFERROR(__xludf.DUMMYFUNCTION("""COMPUTED_VALUE"""),5.0)</f>
        <v>5</v>
      </c>
      <c r="B59" s="172" t="str">
        <f>IFERROR(__xludf.DUMMYFUNCTION("""COMPUTED_VALUE"""),"BUF")</f>
        <v>BUF</v>
      </c>
      <c r="C59" s="23" t="str">
        <f>IFERROR(__xludf.DUMMYFUNCTION("""COMPUTED_VALUE"""),"")</f>
        <v/>
      </c>
      <c r="D59" s="176" t="b">
        <f>IFERROR(__xludf.DUMMYFUNCTION("""COMPUTED_VALUE"""),FALSE)</f>
        <v>0</v>
      </c>
      <c r="E59" s="172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>
      <c r="A60" s="171">
        <f>IFERROR(__xludf.DUMMYFUNCTION("""COMPUTED_VALUE"""),4.0)</f>
        <v>4</v>
      </c>
      <c r="B60" s="172" t="str">
        <f>IFERROR(__xludf.DUMMYFUNCTION("""COMPUTED_VALUE"""),"LAC")</f>
        <v>LAC</v>
      </c>
      <c r="C60" s="23" t="str">
        <f>IFERROR(__xludf.DUMMYFUNCTION("""COMPUTED_VALUE"""),"")</f>
        <v/>
      </c>
      <c r="D60" s="176" t="b">
        <f>IFERROR(__xludf.DUMMYFUNCTION("""COMPUTED_VALUE"""),TRUE)</f>
        <v>1</v>
      </c>
      <c r="E60" s="172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175"/>
      <c r="S61" s="170" t="str">
        <f>IFERROR(__xludf.DUMMYFUNCTION("""COMPUTED_VALUE"""),"Super Bowl LXI")</f>
        <v>Super Bowl LXI</v>
      </c>
      <c r="T61" s="175"/>
      <c r="U61" s="170" t="str">
        <f>IFERROR(__xludf.DUMMYFUNCTION("""COMPUTED_VALUE"""),"Winner")</f>
        <v>Winner</v>
      </c>
      <c r="V61" s="170" t="str">
        <f>IFERROR(__xludf.DUMMYFUNCTION("""COMPUTED_VALUE"""),"Score")</f>
        <v>Score</v>
      </c>
      <c r="W61" s="170" t="str">
        <f>IFERROR(__xludf.DUMMYFUNCTION("""COMPUTED_VALUE"""),"SB MVP")</f>
        <v>SB MVP</v>
      </c>
      <c r="X61" s="49"/>
    </row>
    <row r="62">
      <c r="A62" s="175"/>
      <c r="B62" s="175"/>
      <c r="C62" s="175"/>
      <c r="D62" s="175"/>
      <c r="E62" s="175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173" t="str">
        <f>IFERROR(__xludf.DUMMYFUNCTION("""COMPUTED_VALUE"""),"Justin Herbert")</f>
        <v>Justin Herbert</v>
      </c>
      <c r="X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71">
        <f>IFERROR(__xludf.DUMMYFUNCTION("""COMPUTED_VALUE"""),4.0)</f>
        <v>4</v>
      </c>
      <c r="S63" s="172" t="str">
        <f>IFERROR(__xludf.DUMMYFUNCTION("""COMPUTED_VALUE"""),"LAC")</f>
        <v>LAC</v>
      </c>
      <c r="T63" s="23" t="str">
        <f>IFERROR(__xludf.DUMMYFUNCTION("""COMPUTED_VALUE"""),"")</f>
        <v/>
      </c>
      <c r="U63" s="176" t="b">
        <f>IFERROR(__xludf.DUMMYFUNCTION("""COMPUTED_VALUE"""),TRUE)</f>
        <v>1</v>
      </c>
      <c r="V63" s="172"/>
      <c r="W63" s="49"/>
      <c r="X63" s="49"/>
    </row>
    <row r="64">
      <c r="A64" s="175"/>
      <c r="B64" s="170" t="str">
        <f>IFERROR(__xludf.DUMMYFUNCTION("""COMPUTED_VALUE"""),"NFC Playoff Picture")</f>
        <v>NFC Playoff Picture</v>
      </c>
      <c r="C64" s="175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71">
        <f>IFERROR(__xludf.DUMMYFUNCTION("""COMPUTED_VALUE"""),7.0)</f>
        <v>7</v>
      </c>
      <c r="S64" s="172" t="str">
        <f>IFERROR(__xludf.DUMMYFUNCTION("""COMPUTED_VALUE"""),"DET")</f>
        <v>DET</v>
      </c>
      <c r="T64" s="23" t="str">
        <f>IFERROR(__xludf.DUMMYFUNCTION("""COMPUTED_VALUE"""),"")</f>
        <v/>
      </c>
      <c r="U64" s="176" t="b">
        <f>IFERROR(__xludf.DUMMYFUNCTION("""COMPUTED_VALUE"""),FALSE)</f>
        <v>0</v>
      </c>
      <c r="V64" s="172"/>
      <c r="W64" s="49"/>
      <c r="X64" s="49"/>
    </row>
    <row r="65">
      <c r="A65" s="171">
        <f>IFERROR(__xludf.DUMMYFUNCTION("""COMPUTED_VALUE"""),1.0)</f>
        <v>1</v>
      </c>
      <c r="B65" s="172" t="str">
        <f>IFERROR(__xludf.DUMMYFUNCTION("""COMPUTED_VALUE"""),"SEA")</f>
        <v>SEA</v>
      </c>
      <c r="C65" s="23" t="str">
        <f>IFERROR(__xludf.DUMMYFUNCTION("""COMPUTED_VALUE"""),"")</f>
        <v/>
      </c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>
      <c r="A66" s="171">
        <f>IFERROR(__xludf.DUMMYFUNCTION("""COMPUTED_VALUE"""),2.0)</f>
        <v>2</v>
      </c>
      <c r="B66" s="172" t="str">
        <f>IFERROR(__xludf.DUMMYFUNCTION("""COMPUTED_VALUE"""),"PHI")</f>
        <v>PHI</v>
      </c>
      <c r="C66" s="23" t="str">
        <f>IFERROR(__xludf.DUMMYFUNCTION("""COMPUTED_VALUE"""),"")</f>
        <v/>
      </c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75"/>
      <c r="S66" s="175"/>
      <c r="T66" s="175"/>
      <c r="U66" s="175"/>
      <c r="V66" s="175"/>
      <c r="W66" s="175"/>
      <c r="X66" s="49"/>
    </row>
    <row r="67">
      <c r="A67" s="171">
        <f>IFERROR(__xludf.DUMMYFUNCTION("""COMPUTED_VALUE"""),3.0)</f>
        <v>3</v>
      </c>
      <c r="B67" s="172" t="str">
        <f>IFERROR(__xludf.DUMMYFUNCTION("""COMPUTED_VALUE"""),"NO")</f>
        <v>NO</v>
      </c>
      <c r="C67" s="23" t="str">
        <f>IFERROR(__xludf.DUMMYFUNCTION("""COMPUTED_VALUE"""),"")</f>
        <v/>
      </c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>
      <c r="A68" s="171">
        <f>IFERROR(__xludf.DUMMYFUNCTION("""COMPUTED_VALUE"""),4.0)</f>
        <v>4</v>
      </c>
      <c r="B68" s="172" t="str">
        <f>IFERROR(__xludf.DUMMYFUNCTION("""COMPUTED_VALUE"""),"MIN")</f>
        <v>MIN</v>
      </c>
      <c r="C68" s="23" t="str">
        <f>IFERROR(__xludf.DUMMYFUNCTION("""COMPUTED_VALUE"""),"")</f>
        <v/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>
      <c r="A69" s="171">
        <f>IFERROR(__xludf.DUMMYFUNCTION("""COMPUTED_VALUE"""),5.0)</f>
        <v>5</v>
      </c>
      <c r="B69" s="172" t="str">
        <f>IFERROR(__xludf.DUMMYFUNCTION("""COMPUTED_VALUE"""),"AZ")</f>
        <v>AZ</v>
      </c>
      <c r="C69" s="23" t="str">
        <f>IFERROR(__xludf.DUMMYFUNCTION("""COMPUTED_VALUE"""),"")</f>
        <v/>
      </c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>
      <c r="A70" s="171">
        <f>IFERROR(__xludf.DUMMYFUNCTION("""COMPUTED_VALUE"""),6.0)</f>
        <v>6</v>
      </c>
      <c r="B70" s="172" t="str">
        <f>IFERROR(__xludf.DUMMYFUNCTION("""COMPUTED_VALUE"""),"CHI")</f>
        <v>CHI</v>
      </c>
      <c r="C70" s="23" t="str">
        <f>IFERROR(__xludf.DUMMYFUNCTION("""COMPUTED_VALUE"""),"")</f>
        <v/>
      </c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>
      <c r="A71" s="171">
        <f>IFERROR(__xludf.DUMMYFUNCTION("""COMPUTED_VALUE"""),7.0)</f>
        <v>7</v>
      </c>
      <c r="B71" s="172" t="str">
        <f>IFERROR(__xludf.DUMMYFUNCTION("""COMPUTED_VALUE"""),"DET")</f>
        <v>DET</v>
      </c>
      <c r="C71" s="23" t="str">
        <f>IFERROR(__xludf.DUMMYFUNCTION("""COMPUTED_VALUE"""),"")</f>
        <v/>
      </c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>
      <c r="A72" s="175"/>
      <c r="B72" s="175"/>
      <c r="C72" s="175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>
      <c r="A74" s="175"/>
      <c r="B74" s="170" t="str">
        <f>IFERROR(__xludf.DUMMYFUNCTION("""COMPUTED_VALUE"""),"NFC Wild Card")</f>
        <v>NFC Wild Card</v>
      </c>
      <c r="C74" s="175"/>
      <c r="D74" s="170" t="str">
        <f>IFERROR(__xludf.DUMMYFUNCTION("""COMPUTED_VALUE"""),"Winner")</f>
        <v>Winner</v>
      </c>
      <c r="E74" s="170" t="str">
        <f>IFERROR(__xludf.DUMMYFUNCTION("""COMPUTED_VALUE"""),"Score")</f>
        <v>Score</v>
      </c>
      <c r="F74" s="49"/>
      <c r="G74" s="175"/>
      <c r="H74" s="170" t="str">
        <f>IFERROR(__xludf.DUMMYFUNCTION("""COMPUTED_VALUE"""),"NFC Divisional Round")</f>
        <v>NFC Divisional Round</v>
      </c>
      <c r="I74" s="175"/>
      <c r="J74" s="170" t="str">
        <f>IFERROR(__xludf.DUMMYFUNCTION("""COMPUTED_VALUE"""),"Winner")</f>
        <v>Winner</v>
      </c>
      <c r="K74" s="170" t="str">
        <f>IFERROR(__xludf.DUMMYFUNCTION("""COMPUTED_VALUE"""),"Score")</f>
        <v>Score</v>
      </c>
      <c r="L74" s="49"/>
      <c r="M74" s="175"/>
      <c r="N74" s="170" t="str">
        <f>IFERROR(__xludf.DUMMYFUNCTION("""COMPUTED_VALUE"""),"NFC Championship Game")</f>
        <v>NFC Championship Game</v>
      </c>
      <c r="O74" s="175"/>
      <c r="P74" s="170" t="str">
        <f>IFERROR(__xludf.DUMMYFUNCTION("""COMPUTED_VALUE"""),"Winner")</f>
        <v>Winner</v>
      </c>
      <c r="Q74" s="170" t="str">
        <f>IFERROR(__xludf.DUMMYFUNCTION("""COMPUTED_VALUE"""),"Score")</f>
        <v>Score</v>
      </c>
      <c r="R74" s="49"/>
      <c r="S74" s="49"/>
      <c r="T74" s="49"/>
      <c r="U74" s="49"/>
      <c r="V74" s="49"/>
      <c r="W74" s="49"/>
      <c r="X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>
      <c r="A76" s="171" t="str">
        <f>IFERROR(__xludf.DUMMYFUNCTION("""COMPUTED_VALUE"""),"BYE")</f>
        <v>BYE</v>
      </c>
      <c r="B76" s="172" t="str">
        <f>IFERROR(__xludf.DUMMYFUNCTION("""COMPUTED_VALUE"""),"SEA")</f>
        <v>SEA</v>
      </c>
      <c r="C76" s="23" t="str">
        <f>IFERROR(__xludf.DUMMYFUNCTION("""COMPUTED_VALUE"""),"")</f>
        <v/>
      </c>
      <c r="D76" s="49"/>
      <c r="E76" s="49"/>
      <c r="F76" s="49"/>
      <c r="G76" s="171">
        <f>IFERROR(__xludf.DUMMYFUNCTION("""COMPUTED_VALUE"""),7.0)</f>
        <v>7</v>
      </c>
      <c r="H76" s="172" t="str">
        <f>IFERROR(__xludf.DUMMYFUNCTION("""COMPUTED_VALUE"""),"DET")</f>
        <v>DET</v>
      </c>
      <c r="I76" s="23" t="str">
        <f>IFERROR(__xludf.DUMMYFUNCTION("""COMPUTED_VALUE"""),"")</f>
        <v/>
      </c>
      <c r="J76" s="176" t="b">
        <f>IFERROR(__xludf.DUMMYFUNCTION("""COMPUTED_VALUE"""),TRUE)</f>
        <v>1</v>
      </c>
      <c r="K76" s="172"/>
      <c r="L76" s="49"/>
      <c r="M76" s="171">
        <f>IFERROR(__xludf.DUMMYFUNCTION("""COMPUTED_VALUE"""),7.0)</f>
        <v>7</v>
      </c>
      <c r="N76" s="172" t="str">
        <f>IFERROR(__xludf.DUMMYFUNCTION("""COMPUTED_VALUE"""),"DET")</f>
        <v>DET</v>
      </c>
      <c r="O76" s="23" t="str">
        <f>IFERROR(__xludf.DUMMYFUNCTION("""COMPUTED_VALUE"""),"")</f>
        <v/>
      </c>
      <c r="P76" s="176" t="b">
        <f>IFERROR(__xludf.DUMMYFUNCTION("""COMPUTED_VALUE"""),TRUE)</f>
        <v>1</v>
      </c>
      <c r="Q76" s="172"/>
      <c r="R76" s="49"/>
      <c r="S76" s="49"/>
      <c r="T76" s="49"/>
      <c r="U76" s="49"/>
      <c r="V76" s="49"/>
      <c r="W76" s="49"/>
      <c r="X76" s="49"/>
    </row>
    <row r="77">
      <c r="A77" s="49"/>
      <c r="B77" s="49"/>
      <c r="C77" s="49"/>
      <c r="D77" s="49"/>
      <c r="E77" s="49"/>
      <c r="F77" s="49"/>
      <c r="G77" s="171">
        <f>IFERROR(__xludf.DUMMYFUNCTION("""COMPUTED_VALUE"""),1.0)</f>
        <v>1</v>
      </c>
      <c r="H77" s="172" t="str">
        <f>IFERROR(__xludf.DUMMYFUNCTION("""COMPUTED_VALUE"""),"SEA")</f>
        <v>SEA</v>
      </c>
      <c r="I77" s="23" t="str">
        <f>IFERROR(__xludf.DUMMYFUNCTION("""COMPUTED_VALUE"""),"")</f>
        <v/>
      </c>
      <c r="J77" s="176" t="b">
        <f>IFERROR(__xludf.DUMMYFUNCTION("""COMPUTED_VALUE"""),FALSE)</f>
        <v>0</v>
      </c>
      <c r="K77" s="172"/>
      <c r="L77" s="49"/>
      <c r="M77" s="171">
        <f>IFERROR(__xludf.DUMMYFUNCTION("""COMPUTED_VALUE"""),6.0)</f>
        <v>6</v>
      </c>
      <c r="N77" s="172" t="str">
        <f>IFERROR(__xludf.DUMMYFUNCTION("""COMPUTED_VALUE"""),"CHI")</f>
        <v>CHI</v>
      </c>
      <c r="O77" s="23" t="str">
        <f>IFERROR(__xludf.DUMMYFUNCTION("""COMPUTED_VALUE"""),"")</f>
        <v/>
      </c>
      <c r="P77" s="176" t="b">
        <f>IFERROR(__xludf.DUMMYFUNCTION("""COMPUTED_VALUE"""),FALSE)</f>
        <v>0</v>
      </c>
      <c r="Q77" s="172"/>
      <c r="R77" s="49"/>
      <c r="S77" s="49"/>
      <c r="T77" s="49"/>
      <c r="U77" s="49"/>
      <c r="V77" s="49"/>
      <c r="W77" s="49"/>
      <c r="X77" s="49"/>
    </row>
    <row r="78">
      <c r="A78" s="171">
        <f>IFERROR(__xludf.DUMMYFUNCTION("""COMPUTED_VALUE"""),7.0)</f>
        <v>7</v>
      </c>
      <c r="B78" s="172" t="str">
        <f>IFERROR(__xludf.DUMMYFUNCTION("""COMPUTED_VALUE"""),"DET")</f>
        <v>DET</v>
      </c>
      <c r="C78" s="23" t="str">
        <f>IFERROR(__xludf.DUMMYFUNCTION("""COMPUTED_VALUE"""),"")</f>
        <v/>
      </c>
      <c r="D78" s="176" t="b">
        <f>IFERROR(__xludf.DUMMYFUNCTION("""COMPUTED_VALUE"""),TRUE)</f>
        <v>1</v>
      </c>
      <c r="E78" s="172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>
      <c r="A79" s="171">
        <f>IFERROR(__xludf.DUMMYFUNCTION("""COMPUTED_VALUE"""),2.0)</f>
        <v>2</v>
      </c>
      <c r="B79" s="172" t="str">
        <f>IFERROR(__xludf.DUMMYFUNCTION("""COMPUTED_VALUE"""),"PHI")</f>
        <v>PHI</v>
      </c>
      <c r="C79" s="23" t="str">
        <f>IFERROR(__xludf.DUMMYFUNCTION("""COMPUTED_VALUE"""),"")</f>
        <v/>
      </c>
      <c r="D79" s="176" t="b">
        <f>IFERROR(__xludf.DUMMYFUNCTION("""COMPUTED_VALUE"""),FALSE)</f>
        <v>0</v>
      </c>
      <c r="E79" s="172"/>
      <c r="F79" s="49"/>
      <c r="G79" s="171">
        <f>IFERROR(__xludf.DUMMYFUNCTION("""COMPUTED_VALUE"""),6.0)</f>
        <v>6</v>
      </c>
      <c r="H79" s="172" t="str">
        <f>IFERROR(__xludf.DUMMYFUNCTION("""COMPUTED_VALUE"""),"CHI")</f>
        <v>CHI</v>
      </c>
      <c r="I79" s="23" t="str">
        <f>IFERROR(__xludf.DUMMYFUNCTION("""COMPUTED_VALUE"""),"")</f>
        <v/>
      </c>
      <c r="J79" s="176" t="b">
        <f>IFERROR(__xludf.DUMMYFUNCTION("""COMPUTED_VALUE"""),TRUE)</f>
        <v>1</v>
      </c>
      <c r="K79" s="172"/>
      <c r="L79" s="49"/>
      <c r="M79" s="175"/>
      <c r="N79" s="175"/>
      <c r="O79" s="175"/>
      <c r="P79" s="175"/>
      <c r="Q79" s="175"/>
      <c r="R79" s="49"/>
      <c r="S79" s="49"/>
      <c r="T79" s="49"/>
      <c r="U79" s="49"/>
      <c r="V79" s="49"/>
      <c r="W79" s="49"/>
      <c r="X79" s="49"/>
    </row>
    <row r="80">
      <c r="A80" s="49"/>
      <c r="B80" s="49"/>
      <c r="C80" s="49"/>
      <c r="D80" s="49"/>
      <c r="E80" s="49"/>
      <c r="F80" s="49"/>
      <c r="G80" s="171">
        <f>IFERROR(__xludf.DUMMYFUNCTION("""COMPUTED_VALUE"""),5.0)</f>
        <v>5</v>
      </c>
      <c r="H80" s="172" t="str">
        <f>IFERROR(__xludf.DUMMYFUNCTION("""COMPUTED_VALUE"""),"AZ")</f>
        <v>AZ</v>
      </c>
      <c r="I80" s="23" t="str">
        <f>IFERROR(__xludf.DUMMYFUNCTION("""COMPUTED_VALUE"""),"")</f>
        <v/>
      </c>
      <c r="J80" s="176" t="b">
        <f>IFERROR(__xludf.DUMMYFUNCTION("""COMPUTED_VALUE"""),FALSE)</f>
        <v>0</v>
      </c>
      <c r="K80" s="172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>
      <c r="A81" s="171">
        <f>IFERROR(__xludf.DUMMYFUNCTION("""COMPUTED_VALUE"""),6.0)</f>
        <v>6</v>
      </c>
      <c r="B81" s="172" t="str">
        <f>IFERROR(__xludf.DUMMYFUNCTION("""COMPUTED_VALUE"""),"CHI")</f>
        <v>CHI</v>
      </c>
      <c r="C81" s="23" t="str">
        <f>IFERROR(__xludf.DUMMYFUNCTION("""COMPUTED_VALUE"""),"")</f>
        <v/>
      </c>
      <c r="D81" s="176" t="b">
        <f>IFERROR(__xludf.DUMMYFUNCTION("""COMPUTED_VALUE"""),TRUE)</f>
        <v>1</v>
      </c>
      <c r="E81" s="172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>
      <c r="A82" s="171">
        <f>IFERROR(__xludf.DUMMYFUNCTION("""COMPUTED_VALUE"""),3.0)</f>
        <v>3</v>
      </c>
      <c r="B82" s="172" t="str">
        <f>IFERROR(__xludf.DUMMYFUNCTION("""COMPUTED_VALUE"""),"NO")</f>
        <v>NO</v>
      </c>
      <c r="C82" s="23" t="str">
        <f>IFERROR(__xludf.DUMMYFUNCTION("""COMPUTED_VALUE"""),"")</f>
        <v/>
      </c>
      <c r="D82" s="176" t="b">
        <f>IFERROR(__xludf.DUMMYFUNCTION("""COMPUTED_VALUE"""),FALSE)</f>
        <v>0</v>
      </c>
      <c r="E82" s="172"/>
      <c r="F82" s="49"/>
      <c r="G82" s="175"/>
      <c r="H82" s="175"/>
      <c r="I82" s="175"/>
      <c r="J82" s="175"/>
      <c r="K82" s="175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>
      <c r="A84" s="171">
        <f>IFERROR(__xludf.DUMMYFUNCTION("""COMPUTED_VALUE"""),5.0)</f>
        <v>5</v>
      </c>
      <c r="B84" s="172" t="str">
        <f>IFERROR(__xludf.DUMMYFUNCTION("""COMPUTED_VALUE"""),"AZ")</f>
        <v>AZ</v>
      </c>
      <c r="C84" s="23" t="str">
        <f>IFERROR(__xludf.DUMMYFUNCTION("""COMPUTED_VALUE"""),"")</f>
        <v/>
      </c>
      <c r="D84" s="176" t="b">
        <f>IFERROR(__xludf.DUMMYFUNCTION("""COMPUTED_VALUE"""),TRUE)</f>
        <v>1</v>
      </c>
      <c r="E84" s="172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>
      <c r="A85" s="171">
        <f>IFERROR(__xludf.DUMMYFUNCTION("""COMPUTED_VALUE"""),4.0)</f>
        <v>4</v>
      </c>
      <c r="B85" s="172" t="str">
        <f>IFERROR(__xludf.DUMMYFUNCTION("""COMPUTED_VALUE"""),"MIN")</f>
        <v>MIN</v>
      </c>
      <c r="C85" s="23" t="str">
        <f>IFERROR(__xludf.DUMMYFUNCTION("""COMPUTED_VALUE"""),"")</f>
        <v/>
      </c>
      <c r="D85" s="176" t="b">
        <f>IFERROR(__xludf.DUMMYFUNCTION("""COMPUTED_VALUE"""),FALSE)</f>
        <v>0</v>
      </c>
      <c r="E85" s="172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>
      <c r="A87" s="175"/>
      <c r="B87" s="175"/>
      <c r="C87" s="175"/>
      <c r="D87" s="175"/>
      <c r="E87" s="175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7.88"/>
  </cols>
  <sheetData>
    <row r="1">
      <c r="A1" s="178" t="s">
        <v>525</v>
      </c>
    </row>
    <row r="2">
      <c r="A2" s="179" t="s">
        <v>526</v>
      </c>
    </row>
    <row r="3">
      <c r="A3" s="180" t="s">
        <v>527</v>
      </c>
    </row>
    <row r="4">
      <c r="A4" s="180" t="s">
        <v>528</v>
      </c>
    </row>
    <row r="5">
      <c r="A5" s="179" t="s">
        <v>529</v>
      </c>
    </row>
    <row r="6">
      <c r="A6" s="181" t="s">
        <v>530</v>
      </c>
    </row>
    <row r="7">
      <c r="A7" s="182" t="s">
        <v>531</v>
      </c>
    </row>
    <row r="8">
      <c r="A8" s="183" t="s">
        <v>532</v>
      </c>
    </row>
    <row r="9">
      <c r="A9" s="181" t="s">
        <v>533</v>
      </c>
    </row>
    <row r="10">
      <c r="A10" s="49"/>
    </row>
    <row r="11">
      <c r="A11" s="178" t="s">
        <v>534</v>
      </c>
    </row>
    <row r="12">
      <c r="A12" s="182" t="s">
        <v>535</v>
      </c>
    </row>
    <row r="13">
      <c r="A13" s="181" t="s">
        <v>536</v>
      </c>
    </row>
    <row r="14">
      <c r="A14" s="181" t="s">
        <v>537</v>
      </c>
    </row>
    <row r="15">
      <c r="A15" s="49"/>
    </row>
    <row r="16">
      <c r="A16" s="178" t="s">
        <v>538</v>
      </c>
    </row>
    <row r="17">
      <c r="A17" s="182" t="s">
        <v>539</v>
      </c>
    </row>
    <row r="18">
      <c r="A18" s="182" t="s">
        <v>540</v>
      </c>
    </row>
    <row r="19">
      <c r="A19" s="181" t="s">
        <v>541</v>
      </c>
    </row>
    <row r="20">
      <c r="A20" s="181" t="s">
        <v>542</v>
      </c>
    </row>
    <row r="21">
      <c r="A21" s="181" t="s">
        <v>543</v>
      </c>
    </row>
    <row r="22">
      <c r="A22" s="181" t="s">
        <v>544</v>
      </c>
    </row>
    <row r="23">
      <c r="A23" s="181" t="s">
        <v>545</v>
      </c>
    </row>
    <row r="24">
      <c r="A24" s="181" t="s">
        <v>546</v>
      </c>
    </row>
    <row r="25">
      <c r="A25" s="181" t="s">
        <v>547</v>
      </c>
    </row>
    <row r="26">
      <c r="A26" s="49"/>
    </row>
    <row r="27">
      <c r="A27" s="178" t="s">
        <v>548</v>
      </c>
    </row>
    <row r="28">
      <c r="A28" s="184" t="s">
        <v>549</v>
      </c>
    </row>
    <row r="29">
      <c r="A29" s="180" t="s">
        <v>550</v>
      </c>
    </row>
    <row r="30">
      <c r="A30" s="185"/>
    </row>
    <row r="31">
      <c r="A31" s="181" t="s">
        <v>551</v>
      </c>
    </row>
    <row r="32">
      <c r="A32" s="185"/>
    </row>
    <row r="33">
      <c r="A33" s="181" t="s">
        <v>552</v>
      </c>
    </row>
    <row r="34">
      <c r="A34" s="181" t="s">
        <v>553</v>
      </c>
    </row>
    <row r="35">
      <c r="A35" s="181" t="s">
        <v>554</v>
      </c>
    </row>
    <row r="36">
      <c r="A36" s="181" t="s">
        <v>555</v>
      </c>
    </row>
    <row r="37">
      <c r="A37" s="185"/>
    </row>
    <row r="38">
      <c r="A38" s="181" t="s">
        <v>556</v>
      </c>
    </row>
    <row r="39">
      <c r="A39" s="185"/>
    </row>
    <row r="40">
      <c r="A40" s="181" t="s">
        <v>557</v>
      </c>
    </row>
    <row r="41">
      <c r="A41" s="181" t="s">
        <v>558</v>
      </c>
    </row>
    <row r="42">
      <c r="A42" s="185"/>
    </row>
    <row r="43">
      <c r="A43" s="185"/>
    </row>
    <row r="44">
      <c r="A44" s="49"/>
    </row>
    <row r="45">
      <c r="A45" s="178" t="s">
        <v>559</v>
      </c>
    </row>
    <row r="46">
      <c r="A46" s="181" t="s">
        <v>560</v>
      </c>
    </row>
    <row r="47">
      <c r="A47" s="181" t="s">
        <v>561</v>
      </c>
    </row>
    <row r="48">
      <c r="A48" s="181" t="s">
        <v>562</v>
      </c>
    </row>
    <row r="49">
      <c r="A49" s="181" t="s">
        <v>563</v>
      </c>
    </row>
    <row r="50">
      <c r="A50" s="181" t="s">
        <v>564</v>
      </c>
    </row>
    <row r="51">
      <c r="A51" s="181" t="s">
        <v>565</v>
      </c>
    </row>
    <row r="52">
      <c r="A52" s="181" t="s">
        <v>566</v>
      </c>
    </row>
    <row r="53">
      <c r="A53" s="179" t="s">
        <v>567</v>
      </c>
    </row>
    <row r="54">
      <c r="A54" s="181" t="s">
        <v>568</v>
      </c>
    </row>
    <row r="55">
      <c r="A55" s="181" t="s">
        <v>569</v>
      </c>
    </row>
    <row r="56">
      <c r="A56" s="181" t="s">
        <v>570</v>
      </c>
    </row>
    <row r="57">
      <c r="A57" s="181" t="s">
        <v>571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2" max="2" width="59.13"/>
  </cols>
  <sheetData>
    <row r="1">
      <c r="A1" s="186" t="s">
        <v>572</v>
      </c>
      <c r="B1" s="187" t="s">
        <v>573</v>
      </c>
    </row>
    <row r="2">
      <c r="A2" s="188" t="s">
        <v>574</v>
      </c>
      <c r="B2" s="187" t="s">
        <v>575</v>
      </c>
    </row>
    <row r="3">
      <c r="A3" s="189" t="s">
        <v>576</v>
      </c>
      <c r="B3" s="187" t="s">
        <v>577</v>
      </c>
    </row>
    <row r="4">
      <c r="A4" s="190" t="s">
        <v>578</v>
      </c>
      <c r="B4" s="187" t="s">
        <v>579</v>
      </c>
    </row>
  </sheetData>
  <drawing r:id="rId1"/>
</worksheet>
</file>