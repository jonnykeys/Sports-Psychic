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38.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168.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14.xml"/>
  <Override ContentType="application/vnd.openxmlformats-officedocument.spreadsheetml.table+xml" PartName="/xl/tables/table161.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370.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77.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61.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53.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153.xml"/>
  <Override ContentType="application/vnd.openxmlformats-officedocument.spreadsheetml.table+xml" PartName="/xl/tables/table411.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29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78.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46.xml"/>
  <Override ContentType="application/vnd.openxmlformats-officedocument.spreadsheetml.table+xml" PartName="/xl/tables/table353.xml"/>
  <Override ContentType="application/vnd.openxmlformats-officedocument.spreadsheetml.table+xml" PartName="/xl/tables/table94.xml"/>
  <Override ContentType="application/vnd.openxmlformats-officedocument.spreadsheetml.table+xml" PartName="/xl/tables/table403.xml"/>
  <Override ContentType="application/vnd.openxmlformats-officedocument.spreadsheetml.table+xml" PartName="/xl/tables/table256.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30.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13.xml"/>
  <Override ContentType="application/vnd.openxmlformats-officedocument.spreadsheetml.table+xml" PartName="/xl/tables/table99.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67.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4.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372.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364.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409.xml"/>
  <Override ContentType="application/vnd.openxmlformats-officedocument.spreadsheetml.table+xml" PartName="/xl/tables/table35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402.xml"/>
  <Override ContentType="application/vnd.openxmlformats-officedocument.spreadsheetml.table+xml" PartName="/xl/tables/table2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379.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279.xml"/>
  <Override ContentType="application/vnd.openxmlformats-officedocument.spreadsheetml.table+xml" PartName="/xl/tables/table236.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44.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72.xml"/>
  <Override ContentType="application/vnd.openxmlformats-officedocument.spreadsheetml.table+xml" PartName="/xl/tables/table392.xml"/>
  <Override ContentType="application/vnd.openxmlformats-officedocument.spreadsheetml.table+xml" PartName="/xl/tables/table221.xml"/>
  <Override ContentType="application/vnd.openxmlformats-officedocument.spreadsheetml.table+xml" PartName="/xl/tables/table388.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58.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401.xml"/>
  <Override ContentType="application/vnd.openxmlformats-officedocument.spreadsheetml.table+xml" PartName="/xl/tables/table215.xml"/>
  <Override ContentType="application/vnd.openxmlformats-officedocument.spreadsheetml.table+xml" PartName="/xl/tables/table416.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322.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116.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393.xml"/>
  <Override ContentType="application/vnd.openxmlformats-officedocument.spreadsheetml.table+xml" PartName="/xl/tables/table359.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65.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59.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222.xml"/>
  <Override ContentType="application/vnd.openxmlformats-officedocument.spreadsheetml.table+xml" PartName="/xl/tables/table265.xml"/>
  <Override ContentType="application/vnd.openxmlformats-officedocument.spreadsheetml.table+xml" PartName="/xl/tables/table137.xml"/>
  <Override ContentType="application/vnd.openxmlformats-officedocument.spreadsheetml.table+xml" PartName="/xl/tables/table303.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389.xml"/>
  <Override ContentType="application/vnd.openxmlformats-officedocument.spreadsheetml.table+xml" PartName="/xl/tables/table400.xml"/>
  <Override ContentType="application/vnd.openxmlformats-officedocument.spreadsheetml.table+xml" PartName="/xl/tables/table50.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8.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390.xml"/>
  <Override ContentType="application/vnd.openxmlformats-officedocument.spreadsheetml.table+xml" PartName="/xl/tables/table102.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415.xml"/>
  <Override ContentType="application/vnd.openxmlformats-officedocument.spreadsheetml.table+xml" PartName="/xl/tables/table65.xml"/>
  <Override ContentType="application/vnd.openxmlformats-officedocument.spreadsheetml.table+xml" PartName="/xl/tables/table34.xml"/>
  <Override ContentType="application/vnd.openxmlformats-officedocument.spreadsheetml.table+xml" PartName="/xl/tables/table397.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230.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18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62.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407.xml"/>
  <Override ContentType="application/vnd.openxmlformats-officedocument.spreadsheetml.table+xml" PartName="/xl/tables/table2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381.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373.xml"/>
  <Override ContentType="application/vnd.openxmlformats-officedocument.spreadsheetml.table+xml" PartName="/xl/tables/table319.xml"/>
  <Override ContentType="application/vnd.openxmlformats-officedocument.spreadsheetml.table+xml" PartName="/xl/tables/table396.xml"/>
  <Override ContentType="application/vnd.openxmlformats-officedocument.spreadsheetml.table+xml" PartName="/xl/tables/table35.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213.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51.xml"/>
  <Override ContentType="application/vnd.openxmlformats-officedocument.spreadsheetml.table+xml" PartName="/xl/tables/table189.xml"/>
  <Override ContentType="application/vnd.openxmlformats-officedocument.spreadsheetml.table+xml" PartName="/xl/tables/table325.xml"/>
  <Override ContentType="application/vnd.openxmlformats-officedocument.spreadsheetml.table+xml" PartName="/xl/tables/table342.xml"/>
  <Override ContentType="application/vnd.openxmlformats-officedocument.spreadsheetml.table+xml" PartName="/xl/tables/table173.xml"/>
  <Override ContentType="application/vnd.openxmlformats-officedocument.spreadsheetml.table+xml" PartName="/xl/tables/table156.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414.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408.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229.xml"/>
  <Override ContentType="application/vnd.openxmlformats-officedocument.spreadsheetml.table+xml" PartName="/xl/tables/table374.xml"/>
  <Override ContentType="application/vnd.openxmlformats-officedocument.spreadsheetml.table+xml" PartName="/xl/tables/table190.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32.xml"/>
  <Override ContentType="application/vnd.openxmlformats-officedocument.spreadsheetml.table+xml" PartName="/xl/tables/table283.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232.xml"/>
  <Override ContentType="application/vnd.openxmlformats-officedocument.spreadsheetml.table+xml" PartName="/xl/tables/table399.xml"/>
  <Override ContentType="application/vnd.openxmlformats-officedocument.spreadsheetml.table+xml" PartName="/xl/tables/table410.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356.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384.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405.xml"/>
  <Override ContentType="application/vnd.openxmlformats-officedocument.spreadsheetml.table+xml" PartName="/xl/tables/table112.xml"/>
  <Override ContentType="application/vnd.openxmlformats-officedocument.spreadsheetml.table+xml" PartName="/xl/tables/table341.xml"/>
  <Override ContentType="application/vnd.openxmlformats-officedocument.spreadsheetml.table+xml" PartName="/xl/tables/table155.xml"/>
  <Override ContentType="application/vnd.openxmlformats-officedocument.spreadsheetml.table+xml" PartName="/xl/tables/table413.xml"/>
  <Override ContentType="application/vnd.openxmlformats-officedocument.spreadsheetml.table+xml" PartName="/xl/tables/table80.xml"/>
  <Override ContentType="application/vnd.openxmlformats-officedocument.spreadsheetml.table+xml" PartName="/xl/tables/table19.xml"/>
  <Override ContentType="application/vnd.openxmlformats-officedocument.spreadsheetml.table+xml" PartName="/xl/tables/table27.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55.xml"/>
  <Override ContentType="application/vnd.openxmlformats-officedocument.spreadsheetml.table+xml" PartName="/xl/tables/table328.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76.xml"/>
  <Override ContentType="application/vnd.openxmlformats-officedocument.spreadsheetml.table+xml" PartName="/xl/tables/table398.xml"/>
  <Override ContentType="application/vnd.openxmlformats-officedocument.spreadsheetml.table+xml" PartName="/xl/tables/table160.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48.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383.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349.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406.xml"/>
  <Override ContentType="application/vnd.openxmlformats-officedocument.spreadsheetml.table+xml" PartName="/xl/tables/table182.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327.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361.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111.xml"/>
  <Override ContentType="application/vnd.openxmlformats-officedocument.spreadsheetml.table+xml" PartName="/xl/tables/table205.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60.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amp; Scoring" sheetId="1" r:id="rId5"/>
    <sheet state="visible" name="Standings" sheetId="2" r:id="rId6"/>
    <sheet state="visible" name="More Stats" sheetId="3" r:id="rId7"/>
    <sheet state="visible" name="Week 1" sheetId="4" r:id="rId8"/>
    <sheet state="visible" name="Week 2" sheetId="5" r:id="rId9"/>
    <sheet state="visible" name="Week 3" sheetId="6" r:id="rId10"/>
    <sheet state="visible" name="Week 4" sheetId="7" r:id="rId11"/>
    <sheet state="visible" name="Week 5" sheetId="8" r:id="rId12"/>
    <sheet state="visible" name="Week 6" sheetId="9" r:id="rId13"/>
    <sheet state="visible" name="Week 7" sheetId="10" r:id="rId14"/>
    <sheet state="visible" name="Week 8" sheetId="11" r:id="rId15"/>
    <sheet state="visible" name="Week 9" sheetId="12" r:id="rId16"/>
    <sheet state="visible" name="Week 10" sheetId="13" r:id="rId17"/>
    <sheet state="visible" name="Week 11" sheetId="14" r:id="rId18"/>
    <sheet state="visible" name="Week 12" sheetId="15" r:id="rId19"/>
    <sheet state="visible" name="Week 13" sheetId="16" r:id="rId20"/>
    <sheet state="visible" name="Week 14" sheetId="17" r:id="rId21"/>
    <sheet state="visible" name="Week 15" sheetId="18" r:id="rId22"/>
    <sheet state="visible" name="Week 16" sheetId="19" r:id="rId23"/>
    <sheet state="visible" name="Week 17" sheetId="20" r:id="rId24"/>
    <sheet state="visible" name="Week 18" sheetId="21" r:id="rId25"/>
    <sheet state="hidden" name="Standings Counter" sheetId="22" r:id="rId26"/>
    <sheet state="hidden" name="Div Record Counter" sheetId="23" r:id="rId27"/>
    <sheet state="hidden" name="Conference Counter" sheetId="24" r:id="rId28"/>
    <sheet state="hidden" name="PFPA Counter" sheetId="25" r:id="rId29"/>
    <sheet state="hidden" name="Home Counter" sheetId="26" r:id="rId30"/>
    <sheet state="hidden" name="Away Counter" sheetId="27" r:id="rId31"/>
    <sheet state="hidden" name="AFC West Counter" sheetId="28" r:id="rId32"/>
    <sheet state="hidden" name="AFC East Counter" sheetId="29" r:id="rId33"/>
    <sheet state="hidden" name="AFC North Counter" sheetId="30" r:id="rId34"/>
    <sheet state="hidden" name="AFC South Counter" sheetId="31" r:id="rId35"/>
    <sheet state="hidden" name="NFC West Counter" sheetId="32" r:id="rId36"/>
    <sheet state="hidden" name="NFC East Counter" sheetId="33" r:id="rId37"/>
    <sheet state="hidden" name="NFC North Counter" sheetId="34" r:id="rId38"/>
    <sheet state="hidden" name="NFC South Counter" sheetId="35" r:id="rId39"/>
    <sheet state="hidden" name="Playoffs Calc" sheetId="36" r:id="rId40"/>
    <sheet state="visible" name="Playoffs" sheetId="37" r:id="rId41"/>
  </sheets>
  <definedNames>
    <definedName hidden="1" localSheetId="21" name="_xlnm._FilterDatabase">'Standings Counter'!$A$1:$BM$20</definedName>
  </definedNames>
  <calcPr/>
</workbook>
</file>

<file path=xl/sharedStrings.xml><?xml version="1.0" encoding="utf-8"?>
<sst xmlns="http://schemas.openxmlformats.org/spreadsheetml/2006/main" count="5296" uniqueCount="757">
  <si>
    <t>INTRO</t>
  </si>
  <si>
    <t>🔗 Quick Links: 📜 Rules</t>
  </si>
  <si>
    <t>AFC West</t>
  </si>
  <si>
    <t>We are back again with our third season! To everyone returning, welcome back. To the newcomers, glad to have you join us!</t>
  </si>
  <si>
    <t>Wins</t>
  </si>
  <si>
    <t>Losses</t>
  </si>
  <si>
    <t>Read the point system below carefully, and best of luck this season!</t>
  </si>
  <si>
    <t>Win %</t>
  </si>
  <si>
    <t>PREDICTIONS AND WAGERS ARE DUE NO LATER THAN SEPTEMBER 7TH @ 5PM CENTRAL!</t>
  </si>
  <si>
    <t>Home</t>
  </si>
  <si>
    <t>Record</t>
  </si>
  <si>
    <t>Away</t>
  </si>
  <si>
    <t>Div Record</t>
  </si>
  <si>
    <t>Division</t>
  </si>
  <si>
    <t>🏆 Standings</t>
  </si>
  <si>
    <t>Conference</t>
  </si>
  <si>
    <t>APP UPDATES &amp; NEW FEATURES</t>
  </si>
  <si>
    <t>PF</t>
  </si>
  <si>
    <t>PA</t>
  </si>
  <si>
    <t>NFC West</t>
  </si>
  <si>
    <t>🏈 Playoffs</t>
  </si>
  <si>
    <t>DIFF</t>
  </si>
  <si>
    <r>
      <rPr>
        <rFont val="Google Sans"/>
        <color theme="1"/>
        <sz val="11.0"/>
      </rPr>
      <t xml:space="preserve">• </t>
    </r>
    <r>
      <rPr>
        <rFont val="Google Sans"/>
        <b/>
        <color theme="1"/>
        <sz val="11.0"/>
      </rPr>
      <t>Quick Links</t>
    </r>
    <r>
      <rPr>
        <rFont val="Google Sans"/>
        <color theme="1"/>
        <sz val="11.0"/>
      </rPr>
      <t>: Easily navigate between weeks using the new Quick Links.</t>
    </r>
  </si>
  <si>
    <t>PPG</t>
  </si>
  <si>
    <t>AFC East</t>
  </si>
  <si>
    <r>
      <rPr>
        <rFont val="Google Sans"/>
        <color theme="1"/>
        <sz val="11.0"/>
      </rPr>
      <t xml:space="preserve">• </t>
    </r>
    <r>
      <rPr>
        <rFont val="Google Sans"/>
        <b/>
        <color theme="1"/>
        <sz val="11.0"/>
      </rPr>
      <t>Live Standings Panel:</t>
    </r>
    <r>
      <rPr>
        <rFont val="Google Sans"/>
        <color theme="1"/>
        <sz val="11.0"/>
      </rPr>
      <t xml:space="preserve"> You will now be able to see the Standings on the right side on Weeks tabs</t>
    </r>
  </si>
  <si>
    <t>AFC North</t>
  </si>
  <si>
    <r>
      <rPr>
        <rFont val="Google Sans"/>
        <color theme="1"/>
        <sz val="11.0"/>
      </rPr>
      <t xml:space="preserve">• </t>
    </r>
    <r>
      <rPr>
        <rFont val="Google Sans"/>
        <b/>
        <color theme="1"/>
        <sz val="11.0"/>
      </rPr>
      <t>Randomizer:</t>
    </r>
    <r>
      <rPr>
        <rFont val="Google Sans"/>
        <color theme="1"/>
        <sz val="11.0"/>
      </rPr>
      <t xml:space="preserve"> The Randomizer located in H1 cell of Weeks tabs will now allow you multiple randomize options to fill out picks faster, or give yourself some new ideas!</t>
    </r>
  </si>
  <si>
    <t>📊 More Stats</t>
  </si>
  <si>
    <t>AFC South</t>
  </si>
  <si>
    <r>
      <rPr>
        <rFont val="Google Sans"/>
        <color theme="1"/>
        <sz val="11.0"/>
      </rPr>
      <t xml:space="preserve">• </t>
    </r>
    <r>
      <rPr>
        <rFont val="Google Sans"/>
        <b/>
        <color theme="1"/>
        <sz val="11.0"/>
      </rPr>
      <t>Clearing in Bulk:</t>
    </r>
    <r>
      <rPr>
        <rFont val="Google Sans"/>
        <color theme="1"/>
        <sz val="11.0"/>
      </rPr>
      <t xml:space="preserve"> You will also have multiple Clear options under the Randomizer dropdown.</t>
    </r>
  </si>
  <si>
    <t>NFC East</t>
  </si>
  <si>
    <t>FILLING OUT PREDICTIONS (REGULAR SEASON)</t>
  </si>
  <si>
    <t>NFC North</t>
  </si>
  <si>
    <t>All you need to do for predictions is go through Weeks 1-18 and fill in:</t>
  </si>
  <si>
    <t>NFC South</t>
  </si>
  <si>
    <t>Winning Team</t>
  </si>
  <si>
    <t>Away Score</t>
  </si>
  <si>
    <t>Home Score</t>
  </si>
  <si>
    <r>
      <rPr>
        <rFont val="Google Sans"/>
        <color theme="1"/>
        <sz val="11.0"/>
      </rPr>
      <t xml:space="preserve">Check box for 3x multiplier. </t>
    </r>
    <r>
      <rPr>
        <rFont val="Google Sans"/>
        <b/>
        <color theme="1"/>
        <sz val="11.0"/>
      </rPr>
      <t>ONLY FOR ONE GAME PER WEEK</t>
    </r>
  </si>
  <si>
    <t>KC</t>
  </si>
  <si>
    <t>FILLING OUT PREDICTIONS (PLAYOFFS)</t>
  </si>
  <si>
    <t>Your playoff picture will update in real time. You can see this on both the Standings tab and Playoffs tab</t>
  </si>
  <si>
    <r>
      <rPr>
        <rFont val="Google Sans"/>
        <color theme="1"/>
        <sz val="11.0"/>
      </rPr>
      <t xml:space="preserve">Once your regular season predictions are </t>
    </r>
    <r>
      <rPr>
        <rFont val="Google Sans"/>
        <b/>
        <color theme="1"/>
        <sz val="11.0"/>
      </rPr>
      <t xml:space="preserve">100% complete </t>
    </r>
    <r>
      <rPr>
        <rFont val="Google Sans"/>
        <color theme="1"/>
        <sz val="11.0"/>
      </rPr>
      <t>(scores and all, this may effect tie breakers!), you may fill out your Playoffs tab</t>
    </r>
  </si>
  <si>
    <t>To do this, you will select a check box next to the team you pick to win. This will automatically push them to the next round of the playoffs (don't forget to fill out scores)</t>
  </si>
  <si>
    <t>If you check the box on both teams in a playoff round, it will default to no winner until you select only one check box</t>
  </si>
  <si>
    <t>Complete this process through to the Super Bowl and remember to pick your Super Bowl MVP!</t>
  </si>
  <si>
    <t>REGULAR SEASON POINTS</t>
  </si>
  <si>
    <t>For every game, ALL players will receive 10 points if they pick the correct winning team</t>
  </si>
  <si>
    <t>10 points will be given for each of the 272 games in the regular season</t>
  </si>
  <si>
    <t>Scores will act as your tie-breaker for each game</t>
  </si>
  <si>
    <t>Picking the exact score of a game will grant you 50 points</t>
  </si>
  <si>
    <t>Only 1 player will be given 10 points for each game, except in cases where two players have the exact same score prediction AND win the point for that game</t>
  </si>
  <si>
    <t>In the case above, both players would receive 5, or 25 if both predict exact score</t>
  </si>
  <si>
    <t>You will see a column with check boxes in each week. You may select ONE game per week that will grant you 3x the points if you win that game</t>
  </si>
  <si>
    <t>This means you will receive 30 points on a standard win, 15 points on games you split with other players, and yes… 150 POINTS if you guess exact score!</t>
  </si>
  <si>
    <t>END OF REGULAR SEASON POINTS</t>
  </si>
  <si>
    <t>When the season concludes, you will be rewarded 10 points for every team who's record you guessed correctly</t>
  </si>
  <si>
    <t>You will also receive 10 points for every divisional record you guess correctly</t>
  </si>
  <si>
    <t>You will receive 50 points if you correctly predict Regular Season MVP</t>
  </si>
  <si>
    <t>➡️</t>
  </si>
  <si>
    <t>PLAYOFF POINTS</t>
  </si>
  <si>
    <t>You will receive 10 points for each playoff team you pick correctly</t>
  </si>
  <si>
    <t>You will receive 30 points for every team who falls in the exact playoff seed you predicted</t>
  </si>
  <si>
    <t>If you manage to have a playoff game matchup in your bracket prediction, you will have the ability to get points for that game same as the regular season.</t>
  </si>
  <si>
    <t>BOTH of the teams in that matchup must be predicted or you will not be eligible for points</t>
  </si>
  <si>
    <t>You will receive 30 points for predicting a Super Bowl appearing team (total of 60 points if you guess both teams)</t>
  </si>
  <si>
    <t>50 points will be rewarded for predicting the Super Bowl winner</t>
  </si>
  <si>
    <t xml:space="preserve">100 points will be rewarded if you predict the Super Bowl winner and the correct score, even if the losing team does not match your prediction </t>
  </si>
  <si>
    <t>250 points will be rewarded if you guess both Super Bowl teams AND the exact score</t>
  </si>
  <si>
    <t>50 points will be rewarded for predicting Super Bowl MVP</t>
  </si>
  <si>
    <t>WAGERS AND WINNINGS</t>
  </si>
  <si>
    <t>This season we will be doing $30 wagers! Venmo: @jonnycolbert</t>
  </si>
  <si>
    <t>We have 10 players locked in right now, for a total of $360 in potential winnings</t>
  </si>
  <si>
    <t>Winnings will be dispersed as follows:</t>
  </si>
  <si>
    <t>1st Place - $150</t>
  </si>
  <si>
    <t>2nd Place - $75</t>
  </si>
  <si>
    <t>3rd Place - $35</t>
  </si>
  <si>
    <t>^Includes Playoffs^</t>
  </si>
  <si>
    <t>Regular Season Winner (leading in points at end of Week 18, MVP pick not included) - $50</t>
  </si>
  <si>
    <t>Best Win/Loss Record - $50</t>
  </si>
  <si>
    <t>(Your win/loss record will be recorded throughout the season regardless of whether you won the point for the game or not)</t>
  </si>
  <si>
    <t>Randomizer</t>
  </si>
  <si>
    <t>CONTESTANTS</t>
  </si>
  <si>
    <t>⬅️</t>
  </si>
  <si>
    <t>SF</t>
  </si>
  <si>
    <t>Jon Colbert</t>
  </si>
  <si>
    <t>Alisha Klezmer</t>
  </si>
  <si>
    <t>Carson Colbert</t>
  </si>
  <si>
    <t>Nok (Big John)</t>
  </si>
  <si>
    <t>Matt Marengo</t>
  </si>
  <si>
    <t>Caleb Correll</t>
  </si>
  <si>
    <t>Ross Benavides</t>
  </si>
  <si>
    <t>Dustin Dishman - Defending Champ</t>
  </si>
  <si>
    <t>Ethan Good</t>
  </si>
  <si>
    <t>Brett Klezmer</t>
  </si>
  <si>
    <t>Matt Wells</t>
  </si>
  <si>
    <t>Rob Klezmer</t>
  </si>
  <si>
    <t>Date &amp; Time (CT)</t>
  </si>
  <si>
    <t>Week 1 Matchup</t>
  </si>
  <si>
    <t>3x Multiplier</t>
  </si>
  <si>
    <t>Quick Links</t>
  </si>
  <si>
    <t>AFC Team</t>
  </si>
  <si>
    <t>AFC Record</t>
  </si>
  <si>
    <t>NFC Team</t>
  </si>
  <si>
    <t>NFC Record</t>
  </si>
  <si>
    <t>Wed 9/9 @ 7:20pm</t>
  </si>
  <si>
    <t>NE @ SEA</t>
  </si>
  <si>
    <t>LV</t>
  </si>
  <si>
    <t>SEA</t>
  </si>
  <si>
    <t>LAR</t>
  </si>
  <si>
    <t>DEN</t>
  </si>
  <si>
    <t>LAC</t>
  </si>
  <si>
    <t>Week 2 Matchup</t>
  </si>
  <si>
    <t xml:space="preserve">Thu 9/17 @ 7:15pm (TNF) </t>
  </si>
  <si>
    <t>DET @ BUF</t>
  </si>
  <si>
    <t>BUF</t>
  </si>
  <si>
    <t>AZ</t>
  </si>
  <si>
    <t>DAL</t>
  </si>
  <si>
    <t>Week 2</t>
  </si>
  <si>
    <t>MIA</t>
  </si>
  <si>
    <t>PHI</t>
  </si>
  <si>
    <t>10 - 7</t>
  </si>
  <si>
    <t>Week 1</t>
  </si>
  <si>
    <t>NYJ</t>
  </si>
  <si>
    <t>NYG</t>
  </si>
  <si>
    <t>NE</t>
  </si>
  <si>
    <t>Thu 9/10 @ 7:35pm (INTL)</t>
  </si>
  <si>
    <t>SF @ LAR</t>
  </si>
  <si>
    <t>WSH</t>
  </si>
  <si>
    <t>Week 3</t>
  </si>
  <si>
    <t>BAL</t>
  </si>
  <si>
    <t>7 - 10</t>
  </si>
  <si>
    <t>13 - 4</t>
  </si>
  <si>
    <t>Sun 9/13 @ 12:00pm</t>
  </si>
  <si>
    <t>TB @ CIN</t>
  </si>
  <si>
    <t>CIN</t>
  </si>
  <si>
    <t>Sun 9/20 @ 12:00pm</t>
  </si>
  <si>
    <t>DET</t>
  </si>
  <si>
    <t>CAR @ ATL</t>
  </si>
  <si>
    <t>ATL</t>
  </si>
  <si>
    <t>Week 4</t>
  </si>
  <si>
    <t>12 - 5</t>
  </si>
  <si>
    <t>NO @ DET</t>
  </si>
  <si>
    <t>CLE</t>
  </si>
  <si>
    <t>Week 5</t>
  </si>
  <si>
    <t>GB</t>
  </si>
  <si>
    <t>8 - 9</t>
  </si>
  <si>
    <t>5 - 12</t>
  </si>
  <si>
    <t>MIN @ CHI</t>
  </si>
  <si>
    <t>NYJ @ TEN</t>
  </si>
  <si>
    <t>TEN</t>
  </si>
  <si>
    <t>CHI</t>
  </si>
  <si>
    <t>PIT</t>
  </si>
  <si>
    <t>MIN</t>
  </si>
  <si>
    <t>PHI @ TEN</t>
  </si>
  <si>
    <t>Week 6</t>
  </si>
  <si>
    <t>11 - 6</t>
  </si>
  <si>
    <t>BAL @ IND</t>
  </si>
  <si>
    <t>Week 7</t>
  </si>
  <si>
    <t>PIT @ NE</t>
  </si>
  <si>
    <t>3 - 14</t>
  </si>
  <si>
    <t>ATL @ PIT</t>
  </si>
  <si>
    <t>HOU</t>
  </si>
  <si>
    <t>Week 8</t>
  </si>
  <si>
    <t>4 - 13</t>
  </si>
  <si>
    <t>GB @ NYJ</t>
  </si>
  <si>
    <t>CHI @ CAR</t>
  </si>
  <si>
    <t>TB</t>
  </si>
  <si>
    <t>CLE @ TB</t>
  </si>
  <si>
    <t>Week 9</t>
  </si>
  <si>
    <t>6 - 11</t>
  </si>
  <si>
    <t>CLE @ JAX</t>
  </si>
  <si>
    <t>JAX</t>
  </si>
  <si>
    <t>NO</t>
  </si>
  <si>
    <t>Week 10</t>
  </si>
  <si>
    <t>BUF @ HOU</t>
  </si>
  <si>
    <t>NO @ BAL</t>
  </si>
  <si>
    <t>IND</t>
  </si>
  <si>
    <t>Week 11</t>
  </si>
  <si>
    <t>9 - 8</t>
  </si>
  <si>
    <t>Sun 9/13 @ 3:25pm</t>
  </si>
  <si>
    <t>MIA @ LV</t>
  </si>
  <si>
    <t>CIN @ HOU</t>
  </si>
  <si>
    <t>CAR</t>
  </si>
  <si>
    <t>Week 12</t>
  </si>
  <si>
    <t>GB @ MIN</t>
  </si>
  <si>
    <t>Sun 9/20 @ 3:05pm</t>
  </si>
  <si>
    <t>JAX @ DEN</t>
  </si>
  <si>
    <t>AFC Playoff Picture</t>
  </si>
  <si>
    <t>NFC Playoff Picture</t>
  </si>
  <si>
    <t>Week 13</t>
  </si>
  <si>
    <t>WSH @ PHI</t>
  </si>
  <si>
    <t>LV @ LAC</t>
  </si>
  <si>
    <t>Week 14</t>
  </si>
  <si>
    <t>AZ @ LAC</t>
  </si>
  <si>
    <t>Sun 9/20 @ 3:25pm</t>
  </si>
  <si>
    <t>WSH @ DAL</t>
  </si>
  <si>
    <t>Week 15</t>
  </si>
  <si>
    <t>Sun 9/13 @ 7:20pm (SNF)</t>
  </si>
  <si>
    <t>DAL @ NYG</t>
  </si>
  <si>
    <t>SEA @ AZ</t>
  </si>
  <si>
    <t>Week 16</t>
  </si>
  <si>
    <t>Mon 9/14 @ 7:15pm (MNF)</t>
  </si>
  <si>
    <t>DEN @ KC</t>
  </si>
  <si>
    <t>MIA @ SF</t>
  </si>
  <si>
    <t>Week 17</t>
  </si>
  <si>
    <t>Week 18</t>
  </si>
  <si>
    <t>Sun 9/20 @ 7:20pm (SNF)</t>
  </si>
  <si>
    <t>IND @ KC</t>
  </si>
  <si>
    <t>Mon 9/21 @ 7:15pm (MNF)</t>
  </si>
  <si>
    <t>NYG @ LAR</t>
  </si>
  <si>
    <t>Week 3 Matchup</t>
  </si>
  <si>
    <t>Week 4 Matchup</t>
  </si>
  <si>
    <t>Thu 9/24 @ 7:15pm (TNF)</t>
  </si>
  <si>
    <t>ATL @ GB</t>
  </si>
  <si>
    <t>Thu 10/1 @ 7:15pm (TNF)</t>
  </si>
  <si>
    <t>PIT @ CLE</t>
  </si>
  <si>
    <t>Week 5 Matchup</t>
  </si>
  <si>
    <t>Thu 10/8 @ 7:15pm (TNF)</t>
  </si>
  <si>
    <t>TB @ DAL</t>
  </si>
  <si>
    <t>Sun 10/4 @ 8:30am (INTL)</t>
  </si>
  <si>
    <t>IND @ WSH</t>
  </si>
  <si>
    <t>Sun 9/27 @ 12:00pm</t>
  </si>
  <si>
    <t>LAC @ BUF</t>
  </si>
  <si>
    <t>Sun 10/11 @ 8:30am (INTL)</t>
  </si>
  <si>
    <t>PHI @ JAX</t>
  </si>
  <si>
    <t>Sun 10/4 @ 12:00pm</t>
  </si>
  <si>
    <t>NE @ BUF</t>
  </si>
  <si>
    <t>CAR @ CLE</t>
  </si>
  <si>
    <t>LAR @ PHI</t>
  </si>
  <si>
    <t>Sun 10/11 @ 12:00pm</t>
  </si>
  <si>
    <t>LV @ NE</t>
  </si>
  <si>
    <t>NYJ @ DET</t>
  </si>
  <si>
    <t>NYJ @ CHI</t>
  </si>
  <si>
    <t>CIN @ MIA</t>
  </si>
  <si>
    <t>HOU @ IND</t>
  </si>
  <si>
    <t>JAX @ CIN</t>
  </si>
  <si>
    <t>MIN @ NO</t>
  </si>
  <si>
    <t>KC @ MIA</t>
  </si>
  <si>
    <t>GB @ TB</t>
  </si>
  <si>
    <t>HOU @ TEN</t>
  </si>
  <si>
    <t>TEN @ NYG</t>
  </si>
  <si>
    <t>DAL @ HOU</t>
  </si>
  <si>
    <t>IND @ PIT</t>
  </si>
  <si>
    <t>CIN @ PIT</t>
  </si>
  <si>
    <t>TEN @ BAL</t>
  </si>
  <si>
    <t>CLE @ NYJ</t>
  </si>
  <si>
    <t>SEA @ WSH</t>
  </si>
  <si>
    <t>AZ @ NYG</t>
  </si>
  <si>
    <t>NYG @ WSH</t>
  </si>
  <si>
    <t>Sun 10/4 @ 3:05pm</t>
  </si>
  <si>
    <t>MIA @ MIN</t>
  </si>
  <si>
    <t>NE @ JAX</t>
  </si>
  <si>
    <t>Sun 10/11 @ 3:05pm</t>
  </si>
  <si>
    <t>DEN @ LAC</t>
  </si>
  <si>
    <t>Sun 10/4 @ 3:25pm</t>
  </si>
  <si>
    <t>LAC @ SEA</t>
  </si>
  <si>
    <t>Sun 10/11 @ 3:25pm</t>
  </si>
  <si>
    <t>SF @ SEA</t>
  </si>
  <si>
    <t>Sun 9/27 @ 3:05pm</t>
  </si>
  <si>
    <t>AZ @ SF</t>
  </si>
  <si>
    <t>DEN @ SF</t>
  </si>
  <si>
    <t>CHI @ GB</t>
  </si>
  <si>
    <t>MIN @ TB</t>
  </si>
  <si>
    <t>KC @ LV</t>
  </si>
  <si>
    <t>DET @ AZ</t>
  </si>
  <si>
    <t>Sun 9/27 @ 3:25pm (INTL)</t>
  </si>
  <si>
    <t>BAL @ DAL</t>
  </si>
  <si>
    <t>Sun 10/4 @ 7:20pm (SNF)</t>
  </si>
  <si>
    <t>DET @ CAR</t>
  </si>
  <si>
    <t>Sun 10/11 @ 7:20pm (SNF)</t>
  </si>
  <si>
    <t>BAL @ ATL</t>
  </si>
  <si>
    <t>Sun 9/27 @ 3:25pm</t>
  </si>
  <si>
    <t>LV @ NO</t>
  </si>
  <si>
    <t>Mon 10/5 @ 7:15pm (MNF)</t>
  </si>
  <si>
    <t>ATL @ NO</t>
  </si>
  <si>
    <t>Sun 9/27 @ 7:20pm (SNF)</t>
  </si>
  <si>
    <t>LAR @ DEN</t>
  </si>
  <si>
    <t>Mon 10/12 @ 7:15pm (MNF)</t>
  </si>
  <si>
    <t>BUF @ LAR</t>
  </si>
  <si>
    <t>Mon 9/28 @ 7:15pm (MNF)</t>
  </si>
  <si>
    <t>PHI @ CHI</t>
  </si>
  <si>
    <t>BYE WEEK</t>
  </si>
  <si>
    <t>Week 6 Matchup</t>
  </si>
  <si>
    <t>Thu 10/15 @ 7:15pm (TNF)</t>
  </si>
  <si>
    <t>SEA @ DEN</t>
  </si>
  <si>
    <t>Week 7 Matchup</t>
  </si>
  <si>
    <t>Thu 10/22 @ 7:15pm (TNF)</t>
  </si>
  <si>
    <t>NE @ CHI</t>
  </si>
  <si>
    <t>Week 8 Matchup</t>
  </si>
  <si>
    <t>Thu 10/29 @ 7:15pm (TNF)</t>
  </si>
  <si>
    <t>CAR @ GB</t>
  </si>
  <si>
    <t>Sun 10/18 @ 8:30am (INTL)</t>
  </si>
  <si>
    <t>HOU @ JAX</t>
  </si>
  <si>
    <t>Sun 10/18 @ 12:00pm</t>
  </si>
  <si>
    <t>CHI @ ATL</t>
  </si>
  <si>
    <t>BAL @ CLE</t>
  </si>
  <si>
    <t>TEN @ IND</t>
  </si>
  <si>
    <t>NYJ @ NE</t>
  </si>
  <si>
    <t>NO @ NYG</t>
  </si>
  <si>
    <t>Sun 10/25 @ 8:30am (INTL)</t>
  </si>
  <si>
    <t>PIT @ NO</t>
  </si>
  <si>
    <t>CAR @ PHI</t>
  </si>
  <si>
    <t>PIT @ TB</t>
  </si>
  <si>
    <t>Sun 10/25 @ 12:00pm</t>
  </si>
  <si>
    <t>SF @ ATL</t>
  </si>
  <si>
    <t>Sun 10/18 @ 3:05pm</t>
  </si>
  <si>
    <t>AZ @ LAR</t>
  </si>
  <si>
    <t>Sun 10/18 @ 3:25pm</t>
  </si>
  <si>
    <t>LAC @ KC</t>
  </si>
  <si>
    <t>CIN @ BAL</t>
  </si>
  <si>
    <t>BUF @ LV</t>
  </si>
  <si>
    <t>Sun 10/18 @ 7:20pm (SNF)</t>
  </si>
  <si>
    <t>DAL @ GB</t>
  </si>
  <si>
    <t>TB @ CAR</t>
  </si>
  <si>
    <t>Mon 10/19 @ 7:15pm (MNF)</t>
  </si>
  <si>
    <t>WSH @ SF</t>
  </si>
  <si>
    <t>NYG @ HOU</t>
  </si>
  <si>
    <t>IND @ MIN</t>
  </si>
  <si>
    <t>MIA @ NYJ</t>
  </si>
  <si>
    <t>Sun 11/1 @ 12:00pm</t>
  </si>
  <si>
    <t>TEN @ CIN</t>
  </si>
  <si>
    <t>CLE @ TEN</t>
  </si>
  <si>
    <t>Sun 10/25 @ 3:05pm</t>
  </si>
  <si>
    <t>DEN @ AZ</t>
  </si>
  <si>
    <t>Sun 10/25 @ 3:25pm</t>
  </si>
  <si>
    <t>ATL @ TB</t>
  </si>
  <si>
    <t>GB @ DET</t>
  </si>
  <si>
    <t>LAR @ LV</t>
  </si>
  <si>
    <t>MIN @ DET</t>
  </si>
  <si>
    <t>Week 9 Matchup</t>
  </si>
  <si>
    <t>Thu 11/5 @ 7:15pm (TNF)</t>
  </si>
  <si>
    <t>JAX @ BAL</t>
  </si>
  <si>
    <t>Sun 10/25 @ 7:20pm (SNF)</t>
  </si>
  <si>
    <t>KC @ SEA</t>
  </si>
  <si>
    <t>BAL @ BUF</t>
  </si>
  <si>
    <t>Mon 10/26 @ 7:15pm (MNF)</t>
  </si>
  <si>
    <t>DAL @ PHI</t>
  </si>
  <si>
    <t>IND @ JAX</t>
  </si>
  <si>
    <t>CLE @ PIT</t>
  </si>
  <si>
    <t>LV @ NYJ</t>
  </si>
  <si>
    <t>AZ @ DAL</t>
  </si>
  <si>
    <t>Sun 11/1 @ 3:05pm</t>
  </si>
  <si>
    <t>LAC @ LAR</t>
  </si>
  <si>
    <t>Sun 11/8 @ 8:30am (INTL)</t>
  </si>
  <si>
    <t>CIN @ ATL</t>
  </si>
  <si>
    <t>Sun 11/1 @ 3:25pm</t>
  </si>
  <si>
    <t>Sun 11/8 @ 12:00pm</t>
  </si>
  <si>
    <t>NE @ MIA</t>
  </si>
  <si>
    <t>LAR @ WSH</t>
  </si>
  <si>
    <t>DEN @ CAR</t>
  </si>
  <si>
    <t>KC @ DEN</t>
  </si>
  <si>
    <t>Week 10 Matchup</t>
  </si>
  <si>
    <t>DET @ MIA</t>
  </si>
  <si>
    <t>Thu 11/12 @ 7:15pm (TNF)</t>
  </si>
  <si>
    <t>WSH @ NYG</t>
  </si>
  <si>
    <t>CLE @ NO</t>
  </si>
  <si>
    <t>Sun 11/1 @ 7:20pm (SNF)</t>
  </si>
  <si>
    <t>PHI @ WSH</t>
  </si>
  <si>
    <t>DAL @ IND</t>
  </si>
  <si>
    <t>Mon 11/2 @ 7:15pm (MNF)</t>
  </si>
  <si>
    <t>CHI @ SEA</t>
  </si>
  <si>
    <t>NYJ @ KC</t>
  </si>
  <si>
    <t>NYG @ PHI</t>
  </si>
  <si>
    <t>Sun 11/8 @ 3:05pm</t>
  </si>
  <si>
    <t>LV @ SF</t>
  </si>
  <si>
    <t>HOU @ LAC</t>
  </si>
  <si>
    <t>Sun 11/8 @ 3:25pm</t>
  </si>
  <si>
    <t>AZ @ SEA</t>
  </si>
  <si>
    <t>Sun 11/15 @ 8:30am (INTL)</t>
  </si>
  <si>
    <t>NE @ DET</t>
  </si>
  <si>
    <t>GB @ NE</t>
  </si>
  <si>
    <t>Sun 11/8 @ 7:20pm (SNF)</t>
  </si>
  <si>
    <t>TB @ CHI</t>
  </si>
  <si>
    <t>Sun 11/15 @ 12:00pm</t>
  </si>
  <si>
    <t>KC @ ATL</t>
  </si>
  <si>
    <t>Mon 11/9 @ 7:15pm (MNF)</t>
  </si>
  <si>
    <t>BUF @ MIN</t>
  </si>
  <si>
    <t>HOU @ CLE</t>
  </si>
  <si>
    <t>MIN @ GB</t>
  </si>
  <si>
    <t>MIA @ IND</t>
  </si>
  <si>
    <t>CAR @ NO</t>
  </si>
  <si>
    <t>BUF @ NYJ</t>
  </si>
  <si>
    <t>JAX @ TEN</t>
  </si>
  <si>
    <t>Sun 11/15 @ 3:05pm</t>
  </si>
  <si>
    <t>LAR @ AZ</t>
  </si>
  <si>
    <t>SEA @ LV</t>
  </si>
  <si>
    <t>Sun 11/15 @ 3:25pm</t>
  </si>
  <si>
    <t>SF @ DAL</t>
  </si>
  <si>
    <t>Sun 11/15 @ 7:20pm (SNF)</t>
  </si>
  <si>
    <t>PIT @ CIN</t>
  </si>
  <si>
    <t>Week 12 Matchup</t>
  </si>
  <si>
    <t>Wed 11/25 @ 7:00pm</t>
  </si>
  <si>
    <t>GB @ LAR</t>
  </si>
  <si>
    <t>Mon 11/16 @ 7:15pm (MNF)</t>
  </si>
  <si>
    <t>LAC @ BAL</t>
  </si>
  <si>
    <t>Week 11 Matchup</t>
  </si>
  <si>
    <t>Thu 11/19 @ 7:15pm (TNF)</t>
  </si>
  <si>
    <t>IND @ HOU</t>
  </si>
  <si>
    <t>Thu 11/26 @ 12:00pm</t>
  </si>
  <si>
    <t>CHI @ DET</t>
  </si>
  <si>
    <t>Thu 11/26 @ 3:30pm</t>
  </si>
  <si>
    <t>PHI @ DAL</t>
  </si>
  <si>
    <t>Week 13 Matchup</t>
  </si>
  <si>
    <t>Thu 12/3 @ 7:15pm (TNF)</t>
  </si>
  <si>
    <t>KC @ LAR</t>
  </si>
  <si>
    <t>Thu 11/26 @ 7:20pm (TNF)</t>
  </si>
  <si>
    <t>KC @ BUF</t>
  </si>
  <si>
    <t>Fri 11/27 @ 2:00pm</t>
  </si>
  <si>
    <t>DEN @ PIT</t>
  </si>
  <si>
    <t>Sun 11/29 @ 12:00pm</t>
  </si>
  <si>
    <t>NO @ CIN</t>
  </si>
  <si>
    <t>BAL @ HOU</t>
  </si>
  <si>
    <t>Sun 11/22 @ 12:00pm</t>
  </si>
  <si>
    <t>BAL @ CAR</t>
  </si>
  <si>
    <t>NYG @ IND</t>
  </si>
  <si>
    <t>LV @ CLE</t>
  </si>
  <si>
    <t>NO @ CHI</t>
  </si>
  <si>
    <t>ATL @ MIN</t>
  </si>
  <si>
    <t>Sun 12/6 @ 12:00pm</t>
  </si>
  <si>
    <t>DET @ ATL</t>
  </si>
  <si>
    <t>Week 14 Matchup</t>
  </si>
  <si>
    <t>Thu 12/10 @ 7:15pm (TNF)</t>
  </si>
  <si>
    <t>MIN @ NE</t>
  </si>
  <si>
    <t>NYJ @ MIA</t>
  </si>
  <si>
    <t>JAX @ CHI</t>
  </si>
  <si>
    <t>TB @ DET</t>
  </si>
  <si>
    <t>Sun 11/29 @ 3:05pm</t>
  </si>
  <si>
    <t>TEN @ JAX</t>
  </si>
  <si>
    <t>CIN @ CLE</t>
  </si>
  <si>
    <t>Sun 11/29 @ 3:25pm</t>
  </si>
  <si>
    <t>SEA @ SF</t>
  </si>
  <si>
    <t>MIA @ BUF</t>
  </si>
  <si>
    <t>GB @ NO</t>
  </si>
  <si>
    <t>WSH @ AZ</t>
  </si>
  <si>
    <t>SF @ NYG</t>
  </si>
  <si>
    <t>Sun 11/29 @ 7:20pm (SNF)</t>
  </si>
  <si>
    <t>NE @ LAC</t>
  </si>
  <si>
    <t>JAX @ NYG</t>
  </si>
  <si>
    <t>LAC @ TB</t>
  </si>
  <si>
    <t>Mon 11/30 @ 7:15pm (MNF)</t>
  </si>
  <si>
    <t>CAR @ TB</t>
  </si>
  <si>
    <t>WSH @ TEN</t>
  </si>
  <si>
    <t>TEN @ DAL</t>
  </si>
  <si>
    <t>Sun 12/6 @ 3:05pm</t>
  </si>
  <si>
    <t>PHI @ AZ</t>
  </si>
  <si>
    <t>AZ @ KC</t>
  </si>
  <si>
    <t>MIA @ DEN</t>
  </si>
  <si>
    <t>Sun 11/22 @ 3:05pm</t>
  </si>
  <si>
    <t>NYJ @ LAC</t>
  </si>
  <si>
    <t>Sun 12/6 @ 3:25pm</t>
  </si>
  <si>
    <t>CAR @ MIN</t>
  </si>
  <si>
    <t>Sun 12/13 @ 12:00pm</t>
  </si>
  <si>
    <t>TB @ BAL</t>
  </si>
  <si>
    <t>BUF @ NE</t>
  </si>
  <si>
    <t>Sun 11/22 @ 3:25pm</t>
  </si>
  <si>
    <t>PIT @ PHI</t>
  </si>
  <si>
    <t>NO @ CAR</t>
  </si>
  <si>
    <t>Sun 12/6 @ 7:20pm (SNF)</t>
  </si>
  <si>
    <t>HOU @ PIT</t>
  </si>
  <si>
    <t>ATL @ CLE</t>
  </si>
  <si>
    <t>LV @ DEN</t>
  </si>
  <si>
    <t>Mon 12/7 @ 7:15pm (MNF)</t>
  </si>
  <si>
    <t>DAL @ SEA</t>
  </si>
  <si>
    <t>TEN @ DET</t>
  </si>
  <si>
    <t>CHI @ MIA</t>
  </si>
  <si>
    <t>Sun 11/22 @ 7:20pm (SNF)</t>
  </si>
  <si>
    <t>MIN @ SF</t>
  </si>
  <si>
    <t>DEN @ NYJ</t>
  </si>
  <si>
    <t>IND @ PHI</t>
  </si>
  <si>
    <t>HOU @ WSH</t>
  </si>
  <si>
    <t>Mon 11/23 @ 7:15pm (MNF)</t>
  </si>
  <si>
    <t>CIN @ WSH</t>
  </si>
  <si>
    <t>Week 15 Matchup</t>
  </si>
  <si>
    <t>Thu 12/17 @ 7:15 PM (TNF)</t>
  </si>
  <si>
    <t>SF @ LAC</t>
  </si>
  <si>
    <t>Sun 12/13 @ 3:05pm</t>
  </si>
  <si>
    <t>LAC @ LV</t>
  </si>
  <si>
    <t>Sun 12/13 @ 3:25pm</t>
  </si>
  <si>
    <t>KC @ CIN</t>
  </si>
  <si>
    <t>NYG @ SEA</t>
  </si>
  <si>
    <t>LAR @ SF</t>
  </si>
  <si>
    <t>Sun 12/13 @ 7:20pm (SNF)</t>
  </si>
  <si>
    <t>BUF @ GB</t>
  </si>
  <si>
    <t>Mon 12/14 @ 7:15pm (MNF)</t>
  </si>
  <si>
    <t>PIT @ JAX</t>
  </si>
  <si>
    <t>Week 16 Matchup</t>
  </si>
  <si>
    <t>Sat 12/19 @ 4:00 PM</t>
  </si>
  <si>
    <t>SEA @ PHI</t>
  </si>
  <si>
    <t>Thu 12/24 @ 7:15 PM (TNF)</t>
  </si>
  <si>
    <t>HOU @ PHI</t>
  </si>
  <si>
    <t>Sat 12/19 @ 7:20 PM</t>
  </si>
  <si>
    <t>CHI @ BUF</t>
  </si>
  <si>
    <t>Sun 12/20 @ 12:00 PM</t>
  </si>
  <si>
    <t>CIN @ CAR</t>
  </si>
  <si>
    <t>NO @ TB</t>
  </si>
  <si>
    <t>Week 17 Matchup</t>
  </si>
  <si>
    <t>Thu 12/31 @ 7:15pm (TNF)</t>
  </si>
  <si>
    <t>BAL @ CIN</t>
  </si>
  <si>
    <t>JAX @ HOU</t>
  </si>
  <si>
    <t>IND @ TEN</t>
  </si>
  <si>
    <t>BAL @ PIT</t>
  </si>
  <si>
    <t>Week 18 Matchup</t>
  </si>
  <si>
    <t>Sun 1/10 @ TBD</t>
  </si>
  <si>
    <t>SF @ AZ</t>
  </si>
  <si>
    <t>CLE @ NYG</t>
  </si>
  <si>
    <t>ATL @ WSH</t>
  </si>
  <si>
    <t>Fri 12/25 @ 12:00 PM (XMAS)</t>
  </si>
  <si>
    <t>GB @ CHI</t>
  </si>
  <si>
    <t>Fri 12/25 @ 3:30 PM (XMAS)</t>
  </si>
  <si>
    <t>BUF @ DEN</t>
  </si>
  <si>
    <t>MIA @ GB</t>
  </si>
  <si>
    <t>Sun 12/20 @ 3:05 PM</t>
  </si>
  <si>
    <t>NYJ @ AZ</t>
  </si>
  <si>
    <t>Fri 12/25 @ 7:15 PM (XMAS)</t>
  </si>
  <si>
    <t>LAR @ SEA</t>
  </si>
  <si>
    <t>Sun 12/20 @ 3:25 PM</t>
  </si>
  <si>
    <t>DAL @ LAR</t>
  </si>
  <si>
    <t>Sun 12/27 @ 12:00 PM</t>
  </si>
  <si>
    <t>TB @ ATL</t>
  </si>
  <si>
    <t>DEN @ LV</t>
  </si>
  <si>
    <t>Sun 1/3 @ 12:00pm</t>
  </si>
  <si>
    <t>SEA @ CAR</t>
  </si>
  <si>
    <t>CIN @ IND</t>
  </si>
  <si>
    <t>Sun 12/20 @ 7:20 PM (SNF)</t>
  </si>
  <si>
    <t>DET @ MIN</t>
  </si>
  <si>
    <t>WSH @ MIN</t>
  </si>
  <si>
    <t>NO @ ATL</t>
  </si>
  <si>
    <t>Mon 12/21 @ 7:15 PM (MNF)</t>
  </si>
  <si>
    <t>NE @ KC</t>
  </si>
  <si>
    <t>CAR @ PIT</t>
  </si>
  <si>
    <t>BUF @ MIA</t>
  </si>
  <si>
    <t>LAC @ MIA</t>
  </si>
  <si>
    <t>IND @ CLE</t>
  </si>
  <si>
    <t>AZ @ NO</t>
  </si>
  <si>
    <t>ATL @ CAR</t>
  </si>
  <si>
    <t>NE @ NYJ</t>
  </si>
  <si>
    <t>PIT @ TEN</t>
  </si>
  <si>
    <t>CLE @ BAL</t>
  </si>
  <si>
    <t>MIN @ NYJ</t>
  </si>
  <si>
    <t>PIT @ BAL</t>
  </si>
  <si>
    <t>Sun 12/27 @ 3:05 PM</t>
  </si>
  <si>
    <t>TEN @ LV</t>
  </si>
  <si>
    <t>NYG @ DAL</t>
  </si>
  <si>
    <t>Sun 12/27 @ 3:25 PM</t>
  </si>
  <si>
    <t>SF @ KC</t>
  </si>
  <si>
    <t>NYJ @ BUF</t>
  </si>
  <si>
    <t>Sun 1/3 @ 3:05pm</t>
  </si>
  <si>
    <t>LV @ AZ</t>
  </si>
  <si>
    <t>Sun 12/27 @ 7:20 PM (SNF)</t>
  </si>
  <si>
    <t>JAX @ DAL</t>
  </si>
  <si>
    <t>Sun 1/3 @ 3:25pm</t>
  </si>
  <si>
    <t>DET @ CHI</t>
  </si>
  <si>
    <t>CHI @ MIN</t>
  </si>
  <si>
    <t>Mon 12/28 @ 7:15 PM (MNF)</t>
  </si>
  <si>
    <t>NYG @ DET</t>
  </si>
  <si>
    <t>Sun 1/3 @ 7:20pm (SNF)</t>
  </si>
  <si>
    <t>PHI @ SF</t>
  </si>
  <si>
    <t>CLE @ CIN</t>
  </si>
  <si>
    <t>Mon 1/4 @ 7:15pm (MNF)</t>
  </si>
  <si>
    <t>HOU @ GB</t>
  </si>
  <si>
    <t>KC Wins</t>
  </si>
  <si>
    <t>KC Losses</t>
  </si>
  <si>
    <t>LV Wins</t>
  </si>
  <si>
    <t>LV Losses</t>
  </si>
  <si>
    <t>DEN Wins</t>
  </si>
  <si>
    <t>DEN Losses</t>
  </si>
  <si>
    <t>LAC Wins</t>
  </si>
  <si>
    <t>LAC Losses</t>
  </si>
  <si>
    <t>DAL @ WSH</t>
  </si>
  <si>
    <t>BUF Wins</t>
  </si>
  <si>
    <t>BUF Losses</t>
  </si>
  <si>
    <t>MIA Wins</t>
  </si>
  <si>
    <t>DEN @ NE</t>
  </si>
  <si>
    <t>MIA Losses</t>
  </si>
  <si>
    <t>NYJ Wins</t>
  </si>
  <si>
    <t>NYJ Losses</t>
  </si>
  <si>
    <t>NE Wins</t>
  </si>
  <si>
    <t>NE Losses</t>
  </si>
  <si>
    <t>BAL Wins</t>
  </si>
  <si>
    <t>BAL Losses</t>
  </si>
  <si>
    <t>CLE Wins</t>
  </si>
  <si>
    <t>CLE Losses</t>
  </si>
  <si>
    <t>PIT Wins</t>
  </si>
  <si>
    <t>PIT Losses</t>
  </si>
  <si>
    <t>CIN Wins</t>
  </si>
  <si>
    <t>CIN Losses</t>
  </si>
  <si>
    <t>HOU Wins</t>
  </si>
  <si>
    <t>HOU Losses</t>
  </si>
  <si>
    <t>JAX Wins</t>
  </si>
  <si>
    <t>JAX Losses</t>
  </si>
  <si>
    <t>IND Wins</t>
  </si>
  <si>
    <t>Date/Time TBD</t>
  </si>
  <si>
    <t>KC @ LAC</t>
  </si>
  <si>
    <t>IND Losses</t>
  </si>
  <si>
    <t>TEN Wins</t>
  </si>
  <si>
    <t>TEN Losses</t>
  </si>
  <si>
    <t>SF Wins</t>
  </si>
  <si>
    <t>LAC @ DEN</t>
  </si>
  <si>
    <t>SF Losses</t>
  </si>
  <si>
    <t>LAR Wins</t>
  </si>
  <si>
    <t>LAR Losses</t>
  </si>
  <si>
    <t>SEA Wins</t>
  </si>
  <si>
    <t>SEA Losses</t>
  </si>
  <si>
    <t>AZ Wins</t>
  </si>
  <si>
    <t>AZ Losses</t>
  </si>
  <si>
    <t>DAL Wins</t>
  </si>
  <si>
    <t>DAL Losses</t>
  </si>
  <si>
    <t>PHI Wins</t>
  </si>
  <si>
    <t>PHI Losses</t>
  </si>
  <si>
    <t>NYG Wins</t>
  </si>
  <si>
    <t>NYG Losses</t>
  </si>
  <si>
    <t>WSH Wins</t>
  </si>
  <si>
    <t>WSH Losses</t>
  </si>
  <si>
    <t>LAR @ TB</t>
  </si>
  <si>
    <t>DET Wins</t>
  </si>
  <si>
    <t>DET Losses</t>
  </si>
  <si>
    <t>GB Wins</t>
  </si>
  <si>
    <t>GB Losses</t>
  </si>
  <si>
    <t>MIN Wins</t>
  </si>
  <si>
    <t>MIN Losses</t>
  </si>
  <si>
    <t>CHI Wins</t>
  </si>
  <si>
    <t>CHI Losses</t>
  </si>
  <si>
    <t>TB Wins</t>
  </si>
  <si>
    <t>TB Losses</t>
  </si>
  <si>
    <t>DET @ GB</t>
  </si>
  <si>
    <t>NO Wins</t>
  </si>
  <si>
    <t>NO Losses</t>
  </si>
  <si>
    <t>ATL Wins</t>
  </si>
  <si>
    <t>ATL Losses</t>
  </si>
  <si>
    <t>CAR Wins</t>
  </si>
  <si>
    <t>CAR Losses</t>
  </si>
  <si>
    <t>WSH @ JAX</t>
  </si>
  <si>
    <t>TEN @ HOU</t>
  </si>
  <si>
    <t>JAX @ IND</t>
  </si>
  <si>
    <t>LV @ KC</t>
  </si>
  <si>
    <t>SEA @ LAR</t>
  </si>
  <si>
    <t>MIA @ NE</t>
  </si>
  <si>
    <t>TB @ NO</t>
  </si>
  <si>
    <t>PHI @ NYG</t>
  </si>
  <si>
    <t>KC PF</t>
  </si>
  <si>
    <t>KC PA</t>
  </si>
  <si>
    <t>LV PF</t>
  </si>
  <si>
    <t>LV PA</t>
  </si>
  <si>
    <t>DEN PF</t>
  </si>
  <si>
    <t>DEN PA</t>
  </si>
  <si>
    <t>LAC PF</t>
  </si>
  <si>
    <t>LAC PA</t>
  </si>
  <si>
    <t>BUF PF</t>
  </si>
  <si>
    <t>BUF PA</t>
  </si>
  <si>
    <t>MIA PF</t>
  </si>
  <si>
    <t>MIA PA</t>
  </si>
  <si>
    <t>NYJ PF</t>
  </si>
  <si>
    <t>NYJ PA</t>
  </si>
  <si>
    <t>NE PF</t>
  </si>
  <si>
    <t>NE PA</t>
  </si>
  <si>
    <t>BAL PF</t>
  </si>
  <si>
    <t>BAL PA</t>
  </si>
  <si>
    <t>CLE PF</t>
  </si>
  <si>
    <t>CLE PA</t>
  </si>
  <si>
    <t>PIT PF</t>
  </si>
  <si>
    <t>PIT PA</t>
  </si>
  <si>
    <t>CIN PF</t>
  </si>
  <si>
    <t>CIN PA</t>
  </si>
  <si>
    <t>HOU PF</t>
  </si>
  <si>
    <t>HOU PA</t>
  </si>
  <si>
    <t>JAX PF</t>
  </si>
  <si>
    <t>JAX PA</t>
  </si>
  <si>
    <t>IND PF</t>
  </si>
  <si>
    <t>IND PA</t>
  </si>
  <si>
    <t>TEN PF</t>
  </si>
  <si>
    <t>TEN PA</t>
  </si>
  <si>
    <t>SF PF</t>
  </si>
  <si>
    <t>SF PA</t>
  </si>
  <si>
    <t>LAR PF</t>
  </si>
  <si>
    <t>LAR PA</t>
  </si>
  <si>
    <t>SEA PF</t>
  </si>
  <si>
    <t>SEA PA</t>
  </si>
  <si>
    <t>AZ PF</t>
  </si>
  <si>
    <t>AZ PA</t>
  </si>
  <si>
    <t>DAL PF</t>
  </si>
  <si>
    <t>DAL PA</t>
  </si>
  <si>
    <t>PHI PF</t>
  </si>
  <si>
    <t>PHI PA</t>
  </si>
  <si>
    <t>NYG PF</t>
  </si>
  <si>
    <t>NYG PA</t>
  </si>
  <si>
    <t>WSH PF</t>
  </si>
  <si>
    <t>WSH PA</t>
  </si>
  <si>
    <t>DET PF</t>
  </si>
  <si>
    <t>DET PA</t>
  </si>
  <si>
    <t>GB PF</t>
  </si>
  <si>
    <t>GB PA</t>
  </si>
  <si>
    <t>MIN PF</t>
  </si>
  <si>
    <t>MIN PA</t>
  </si>
  <si>
    <t>CHI PF</t>
  </si>
  <si>
    <t>CHI PA</t>
  </si>
  <si>
    <t>TB PF</t>
  </si>
  <si>
    <t>TB PA</t>
  </si>
  <si>
    <t>NO PF</t>
  </si>
  <si>
    <t>NO PA</t>
  </si>
  <si>
    <t>ATL PF</t>
  </si>
  <si>
    <t>ATL PA</t>
  </si>
  <si>
    <t>CAR PF</t>
  </si>
  <si>
    <t>CAR PA</t>
  </si>
  <si>
    <t>Totals</t>
  </si>
  <si>
    <t/>
  </si>
  <si>
    <t>Team</t>
  </si>
  <si>
    <t>Div Wins</t>
  </si>
  <si>
    <t>Best Ovr Rec</t>
  </si>
  <si>
    <t>Div Winner</t>
  </si>
  <si>
    <t>Regular Season MVP</t>
  </si>
  <si>
    <t>Matthew Stafford</t>
  </si>
  <si>
    <t>AFC Wild Card</t>
  </si>
  <si>
    <t>Winner</t>
  </si>
  <si>
    <t>Score</t>
  </si>
  <si>
    <t>AFC Divisional Round</t>
  </si>
  <si>
    <t>AFC Championship Game</t>
  </si>
  <si>
    <t>BYE</t>
  </si>
  <si>
    <t>Super Bowl LXI</t>
  </si>
  <si>
    <t>SB MVP</t>
  </si>
  <si>
    <t>NFC Wild Card</t>
  </si>
  <si>
    <t>NFC Divisional Round</t>
  </si>
  <si>
    <t>NFC Championship Game</t>
  </si>
  <si>
    <t>TIES WITHIN DIVISION</t>
  </si>
  <si>
    <t>Two Clubs</t>
  </si>
  <si>
    <t>AFC Div Winners</t>
  </si>
  <si>
    <t>Conf %</t>
  </si>
  <si>
    <t>Wild Cards</t>
  </si>
  <si>
    <t>AFC Seeding</t>
  </si>
  <si>
    <t>Head-to-head (best won-lost-tied percentage in games between the clubs).</t>
  </si>
  <si>
    <t>Best won-lost-tied percentage in games played within the division.</t>
  </si>
  <si>
    <t>Best won-lost-tied percentage in common games.</t>
  </si>
  <si>
    <t>Best won-lost-tied percentage in games played within the conference.</t>
  </si>
  <si>
    <t>Strength of victory in all games.</t>
  </si>
  <si>
    <t>Strength of schedule in all games</t>
  </si>
  <si>
    <t>Best combined ranking among conference teams in points scored and points allowed in all games.</t>
  </si>
  <si>
    <t>Best combined ranking among all teams in points scored and points allowed in all games.</t>
  </si>
  <si>
    <t>Best net points in common games.</t>
  </si>
  <si>
    <t>Best net points in all games.</t>
  </si>
  <si>
    <t>Three or More Clubs</t>
  </si>
  <si>
    <t>NFC Div Winners</t>
  </si>
  <si>
    <t>NFC Seeding</t>
  </si>
  <si>
    <t>(Note: If two clubs remain tied after one-or-more clubs are eliminated during any step, tiebreaker restarts at Step 1 of two-club format. If three clubs remain tied after a fourth club is eliminated during any step, tiebreaker restarts at Step 1 of three-club format.)</t>
  </si>
  <si>
    <t>Head-to-head (best won-lost-tied percentage in games among the clubs).</t>
  </si>
  <si>
    <t>Strength of schedule in all games.</t>
  </si>
  <si>
    <t>To Break A Tie For The Wild-Card Team</t>
  </si>
  <si>
    <t>If it is necessary to break ties to determine the three Wild-Card clubs from each conference, the following steps will be taken.</t>
  </si>
  <si>
    <t>If the tied clubs are from the same division, apply division tiebreaker.</t>
  </si>
  <si>
    <t>If the tied clubs are from different divisions, apply the following steps.</t>
  </si>
  <si>
    <t>Head-to-head, if applicable.</t>
  </si>
  <si>
    <t>Best won-lost-tied percentage in common games, minimum of four.</t>
  </si>
  <si>
    <t>Best net points in conference games.</t>
  </si>
  <si>
    <t>(Note: If two clubs remain tied after one-or-more clubs are eliminated during any step, tiebreaker restarts at Step 1 of two-club format. If three clubs remain tied after a fourth club is eliminated during any step, tiebreaker restarts at Step 2 of three-club format.)</t>
  </si>
  <si>
    <t>Apply division tiebreaker to eliminate all but the highest ranked club in each division prior to proceeding to step 2. The original seeding within a division upon application of the division tiebreaker remains the same for all subsequent applications of the procedure that are necessary to identify the two Wild-Card participants.</t>
  </si>
  <si>
    <t>Head-to-head sweep. (Applicable only if one club has defeated each of the others or if one club has lost to each of the others.)</t>
  </si>
  <si>
    <t>When the first Wild Card team has been identified, the procedure is repeated to name the second and third Wild Card (i.e., eliminate all but the highest-ranked club in each division prior to proceeding to Step 2). In situations in which three teams from the same division are involved in the procedure, the original seeding of the teams remains the same for subsequent applications of the tiebreaker if the top-ranked team in that division qualifies for a Wild Card berth.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</si>
</sst>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
    <numFmt numFmtId="166" formatCode="0.0"/>
  </numFmts>
  <fonts count="29">
    <font>
      <sz val="10.0"/>
      <color rgb="FF000000"/>
      <name val="Arial"/>
      <scheme val="minor"/>
    </font>
    <font>
      <b/>
      <color rgb="FFFFFFFF"/>
      <name val="Arial"/>
      <scheme val="minor"/>
    </font>
    <font>
      <b/>
      <sz val="14.0"/>
      <color rgb="FFFFFFFF"/>
      <name val="Google Sans"/>
    </font>
    <font>
      <b/>
      <sz val="11.0"/>
      <color theme="1"/>
      <name val="Google Sans"/>
    </font>
    <font>
      <b/>
      <u/>
      <sz val="14.0"/>
      <color rgb="FF0000FF"/>
    </font>
    <font>
      <color theme="1"/>
      <name val="Arial"/>
      <scheme val="minor"/>
    </font>
    <font>
      <b/>
      <u/>
      <sz val="14.0"/>
      <color rgb="FF0000FF"/>
    </font>
    <font>
      <sz val="11.0"/>
      <color theme="1"/>
      <name val="Google Sans"/>
    </font>
    <font>
      <b/>
      <u/>
      <sz val="14.0"/>
      <color rgb="FF0000FF"/>
      <name val="Arial"/>
      <scheme val="minor"/>
    </font>
    <font>
      <color theme="1"/>
      <name val="Arial"/>
    </font>
    <font>
      <b/>
      <color theme="1"/>
      <name val="Arial"/>
      <scheme val="minor"/>
    </font>
    <font>
      <b/>
      <sz val="14.0"/>
      <color rgb="FFFFFFFF"/>
      <name val="Arial"/>
      <scheme val="minor"/>
    </font>
    <font>
      <sz val="14.0"/>
      <color theme="1"/>
      <name val="Arial"/>
      <scheme val="minor"/>
    </font>
    <font>
      <u/>
      <sz val="14.0"/>
      <color rgb="FF0000FF"/>
    </font>
    <font>
      <sz val="14.0"/>
      <color rgb="FF000000"/>
      <name val="Arial"/>
      <scheme val="minor"/>
    </font>
    <font>
      <u/>
      <sz val="14.0"/>
      <color rgb="FF1155CC"/>
    </font>
    <font>
      <sz val="14.0"/>
      <color rgb="FF1155CC"/>
      <name val="Arial"/>
      <scheme val="minor"/>
    </font>
    <font>
      <b/>
      <sz val="14.0"/>
      <color theme="1"/>
      <name val="Arial"/>
      <scheme val="minor"/>
    </font>
    <font>
      <u/>
      <sz val="14.0"/>
      <color rgb="FF0000FF"/>
    </font>
    <font>
      <u/>
      <sz val="14.0"/>
      <color rgb="FF0000FF"/>
    </font>
    <font>
      <u/>
      <sz val="14.0"/>
      <color rgb="FF0000FF"/>
    </font>
    <font>
      <b/>
      <color theme="1"/>
      <name val="Arial"/>
    </font>
    <font>
      <b/>
      <color rgb="FFFFFFFF"/>
      <name val="Arial"/>
    </font>
    <font>
      <b/>
      <sz val="10.0"/>
      <color rgb="FFFFFFFF"/>
      <name val="Arial"/>
      <scheme val="minor"/>
    </font>
    <font>
      <sz val="10.0"/>
      <color theme="1"/>
      <name val="Arial"/>
      <scheme val="minor"/>
    </font>
    <font>
      <b/>
      <sz val="10.0"/>
      <color theme="1"/>
      <name val="Arial"/>
      <scheme val="minor"/>
    </font>
    <font>
      <b/>
      <sz val="10.0"/>
      <color rgb="FF555555"/>
      <name val="All-ProSans"/>
    </font>
    <font>
      <sz val="10.0"/>
      <color rgb="FF555555"/>
      <name val="All-ProSans"/>
    </font>
    <font>
      <b/>
      <sz val="10.0"/>
      <color rgb="FF000000"/>
      <name val="All-ProSans"/>
    </font>
  </fonts>
  <fills count="67">
    <fill>
      <patternFill patternType="none"/>
    </fill>
    <fill>
      <patternFill patternType="lightGray"/>
    </fill>
    <fill>
      <patternFill patternType="solid">
        <fgColor rgb="FF000000"/>
        <bgColor rgb="FF000000"/>
      </patternFill>
    </fill>
    <fill>
      <patternFill patternType="solid">
        <fgColor rgb="FF3E5F90"/>
        <bgColor rgb="FF3E5F90"/>
      </patternFill>
    </fill>
    <fill>
      <patternFill patternType="solid">
        <fgColor rgb="FFEFEFEF"/>
        <bgColor rgb="FFEFEFEF"/>
      </patternFill>
    </fill>
    <fill>
      <patternFill patternType="solid">
        <fgColor rgb="FFFFFFFF"/>
        <bgColor rgb="FFFFFFFF"/>
      </patternFill>
    </fill>
    <fill>
      <patternFill patternType="solid">
        <fgColor rgb="FFFFD966"/>
        <bgColor rgb="FFFFD966"/>
      </patternFill>
    </fill>
    <fill>
      <patternFill patternType="solid">
        <fgColor rgb="FFE31837"/>
        <bgColor rgb="FFE31837"/>
      </patternFill>
    </fill>
    <fill>
      <patternFill patternType="solid">
        <fgColor rgb="FFFFF2CC"/>
        <bgColor rgb="FFFFF2CC"/>
      </patternFill>
    </fill>
    <fill>
      <patternFill patternType="solid">
        <fgColor rgb="FFA50000"/>
        <bgColor rgb="FFA50000"/>
      </patternFill>
    </fill>
    <fill>
      <patternFill patternType="solid">
        <fgColor rgb="FFD9D9D9"/>
        <bgColor rgb="FFD9D9D9"/>
      </patternFill>
    </fill>
    <fill>
      <patternFill patternType="solid">
        <fgColor rgb="FF203990"/>
        <bgColor rgb="FF203990"/>
      </patternFill>
    </fill>
    <fill>
      <patternFill patternType="solid">
        <fgColor rgb="FFEB4C16"/>
        <bgColor rgb="FFEB4C16"/>
      </patternFill>
    </fill>
    <fill>
      <patternFill patternType="solid">
        <fgColor rgb="FFF3F3F3"/>
        <bgColor rgb="FFF3F3F3"/>
      </patternFill>
    </fill>
    <fill>
      <patternFill patternType="solid">
        <fgColor rgb="FF00BF00"/>
        <bgColor rgb="FF00BF00"/>
      </patternFill>
    </fill>
    <fill>
      <patternFill patternType="solid">
        <fgColor rgb="FF007CC0"/>
        <bgColor rgb="FF007CC0"/>
      </patternFill>
    </fill>
    <fill>
      <patternFill patternType="solid">
        <fgColor rgb="FFAF053A"/>
        <bgColor rgb="FFAF053A"/>
      </patternFill>
    </fill>
    <fill>
      <patternFill patternType="solid">
        <fgColor rgb="FF194787"/>
        <bgColor rgb="FF194787"/>
      </patternFill>
    </fill>
    <fill>
      <patternFill patternType="solid">
        <fgColor rgb="FF002244"/>
        <bgColor rgb="FF002244"/>
      </patternFill>
    </fill>
    <fill>
      <patternFill patternType="solid">
        <fgColor rgb="FF019098"/>
        <bgColor rgb="FF019098"/>
      </patternFill>
    </fill>
    <fill>
      <patternFill patternType="solid">
        <fgColor rgb="FF004A53"/>
        <bgColor rgb="FF004A53"/>
      </patternFill>
    </fill>
    <fill>
      <patternFill patternType="solid">
        <fgColor rgb="FF115740"/>
        <bgColor rgb="FF115740"/>
      </patternFill>
    </fill>
    <fill>
      <patternFill patternType="solid">
        <fgColor rgb="FF031C65"/>
        <bgColor rgb="FF031C65"/>
      </patternFill>
    </fill>
    <fill>
      <patternFill patternType="solid">
        <fgColor rgb="FF001C42"/>
        <bgColor rgb="FF001C42"/>
      </patternFill>
    </fill>
    <fill>
      <patternFill patternType="solid">
        <fgColor rgb="FFFFE599"/>
        <bgColor rgb="FFFFE599"/>
      </patternFill>
    </fill>
    <fill>
      <patternFill patternType="solid">
        <fgColor rgb="FF5A0C0C"/>
        <bgColor rgb="FF5A0C0C"/>
      </patternFill>
    </fill>
    <fill>
      <patternFill patternType="solid">
        <fgColor rgb="FF221076"/>
        <bgColor rgb="FF221076"/>
      </patternFill>
    </fill>
    <fill>
      <patternFill patternType="solid">
        <fgColor rgb="FF0176B8"/>
        <bgColor rgb="FF0176B8"/>
      </patternFill>
    </fill>
    <fill>
      <patternFill patternType="solid">
        <fgColor rgb="FFFF3C03"/>
        <bgColor rgb="FFFF3C03"/>
      </patternFill>
    </fill>
    <fill>
      <patternFill patternType="solid">
        <fgColor rgb="FF1A342D"/>
        <bgColor rgb="FF1A342D"/>
      </patternFill>
    </fill>
    <fill>
      <patternFill patternType="solid">
        <fgColor rgb="FFEFAF18"/>
        <bgColor rgb="FFEFAF18"/>
      </patternFill>
    </fill>
    <fill>
      <patternFill patternType="solid">
        <fgColor rgb="FF602788"/>
        <bgColor rgb="FF602788"/>
      </patternFill>
    </fill>
    <fill>
      <patternFill patternType="solid">
        <fgColor rgb="FFF34D13"/>
        <bgColor rgb="FFF34D13"/>
      </patternFill>
    </fill>
    <fill>
      <patternFill patternType="solid">
        <fgColor rgb="FFE73F00"/>
        <bgColor rgb="FFE73F00"/>
      </patternFill>
    </fill>
    <fill>
      <patternFill patternType="solid">
        <fgColor rgb="FFA2182E"/>
        <bgColor rgb="FFA2182E"/>
      </patternFill>
    </fill>
    <fill>
      <patternFill patternType="solid">
        <fgColor rgb="FFD50A0A"/>
        <bgColor rgb="FFD50A0A"/>
      </patternFill>
    </fill>
    <fill>
      <patternFill patternType="solid">
        <fgColor rgb="FF006879"/>
        <bgColor rgb="FF006879"/>
      </patternFill>
    </fill>
    <fill>
      <patternFill patternType="solid">
        <fgColor rgb="FFD4BD8E"/>
        <bgColor rgb="FFD4BD8E"/>
      </patternFill>
    </fill>
    <fill>
      <patternFill patternType="solid">
        <fgColor rgb="FF040181"/>
        <bgColor rgb="FF040181"/>
      </patternFill>
    </fill>
    <fill>
      <patternFill patternType="solid">
        <fgColor rgb="FFA71930"/>
        <bgColor rgb="FFA71930"/>
      </patternFill>
    </fill>
    <fill>
      <patternFill patternType="solid">
        <fgColor rgb="FF4B92DB"/>
        <bgColor rgb="FF4B92DB"/>
      </patternFill>
    </fill>
    <fill>
      <patternFill patternType="solid">
        <fgColor rgb="FF0099D8"/>
        <bgColor rgb="FF0099D8"/>
      </patternFill>
    </fill>
    <fill>
      <patternFill patternType="solid">
        <fgColor rgb="FFFB4F14"/>
        <bgColor rgb="FFFB4F14"/>
      </patternFill>
    </fill>
    <fill>
      <patternFill patternType="solid">
        <fgColor rgb="FF0081C9"/>
        <bgColor rgb="FF0081C9"/>
      </patternFill>
    </fill>
    <fill>
      <patternFill patternType="solid">
        <fgColor rgb="FF00308E"/>
        <bgColor rgb="FF00308E"/>
      </patternFill>
    </fill>
    <fill>
      <patternFill patternType="solid">
        <fgColor rgb="FF008F99"/>
        <bgColor rgb="FF008F99"/>
      </patternFill>
    </fill>
    <fill>
      <patternFill patternType="solid">
        <fgColor rgb="FF00563C"/>
        <bgColor rgb="FF00563C"/>
      </patternFill>
    </fill>
    <fill>
      <patternFill patternType="solid">
        <fgColor rgb="FF002245"/>
        <bgColor rgb="FF002245"/>
      </patternFill>
    </fill>
    <fill>
      <patternFill patternType="solid">
        <fgColor rgb="FF27328C"/>
        <bgColor rgb="FF27328C"/>
      </patternFill>
    </fill>
    <fill>
      <patternFill patternType="solid">
        <fgColor rgb="FFFD6100"/>
        <bgColor rgb="FFFD6100"/>
      </patternFill>
    </fill>
    <fill>
      <patternFill patternType="solid">
        <fgColor rgb="FFFDC935"/>
        <bgColor rgb="FFFDC935"/>
      </patternFill>
    </fill>
    <fill>
      <patternFill patternType="solid">
        <fgColor rgb="FFFB4E0C"/>
        <bgColor rgb="FFFB4E0C"/>
      </patternFill>
    </fill>
    <fill>
      <patternFill patternType="solid">
        <fgColor rgb="FFA51933"/>
        <bgColor rgb="FFA51933"/>
      </patternFill>
    </fill>
    <fill>
      <patternFill patternType="solid">
        <fgColor rgb="FF017491"/>
        <bgColor rgb="FF017491"/>
      </patternFill>
    </fill>
    <fill>
      <patternFill patternType="solid">
        <fgColor rgb="FF003689"/>
        <bgColor rgb="FF003689"/>
      </patternFill>
    </fill>
    <fill>
      <patternFill patternType="solid">
        <fgColor rgb="FF0093DE"/>
        <bgColor rgb="FF0093DE"/>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
      <patternFill patternType="solid">
        <fgColor rgb="FFFFFF00"/>
        <bgColor rgb="FFFFFF00"/>
      </patternFill>
    </fill>
    <fill>
      <patternFill patternType="solid">
        <fgColor rgb="FF6FA8DC"/>
        <bgColor rgb="FF6FA8DC"/>
      </patternFill>
    </fill>
    <fill>
      <patternFill patternType="solid">
        <fgColor rgb="FFB6D7A8"/>
        <bgColor rgb="FFB6D7A8"/>
      </patternFill>
    </fill>
    <fill>
      <patternFill patternType="solid">
        <fgColor rgb="FF6D9EEB"/>
        <bgColor rgb="FF6D9EEB"/>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shrinkToFit="0" vertical="bottom" wrapText="1"/>
    </xf>
    <xf borderId="1" fillId="2" fontId="1" numFmtId="0" xfId="0" applyAlignment="1" applyBorder="1" applyFill="1" applyFont="1">
      <alignment horizontal="center" readingOrder="0"/>
    </xf>
    <xf borderId="0" fillId="4" fontId="3" numFmtId="0" xfId="0" applyAlignment="1" applyFill="1" applyFont="1">
      <alignment shrinkToFit="0" vertical="bottom" wrapText="1"/>
    </xf>
    <xf borderId="0" fillId="4" fontId="3" numFmtId="0" xfId="0" applyAlignment="1" applyFill="1" applyFont="1">
      <alignment shrinkToFit="0" vertical="bottom" wrapText="1"/>
    </xf>
    <xf borderId="2" fillId="5" fontId="4" numFmtId="0" xfId="0" applyAlignment="1" applyBorder="1" applyFill="1" applyFont="1">
      <alignment horizontal="center" readingOrder="0"/>
    </xf>
    <xf borderId="0" fillId="6" fontId="3" numFmtId="0" xfId="0" applyAlignment="1" applyFill="1" applyFont="1">
      <alignment shrinkToFit="0" vertical="bottom" wrapText="1"/>
    </xf>
    <xf borderId="0" fillId="2" fontId="5" numFmtId="0" xfId="0" applyFill="1" applyFont="1"/>
    <xf borderId="0" fillId="3" fontId="2" numFmtId="0" xfId="0" applyAlignment="1" applyFill="1" applyFont="1">
      <alignment horizontal="center" shrinkToFit="0" vertical="bottom" wrapText="1"/>
    </xf>
    <xf borderId="0" fillId="2" fontId="1" numFmtId="164" xfId="0" applyAlignment="1" applyFill="1" applyFont="1" applyNumberFormat="1">
      <alignment horizontal="center" readingOrder="0"/>
    </xf>
    <xf borderId="2" fillId="5" fontId="6" numFmtId="0" xfId="0" applyAlignment="1" applyBorder="1" applyFill="1" applyFont="1">
      <alignment horizontal="center" readingOrder="0" vertical="bottom"/>
    </xf>
    <xf borderId="0" fillId="6" fontId="7" numFmtId="0" xfId="0" applyAlignment="1" applyFill="1" applyFont="1">
      <alignment shrinkToFit="0" vertical="bottom" wrapText="1"/>
    </xf>
    <xf borderId="3" fillId="5" fontId="8" numFmtId="0" xfId="0" applyAlignment="1" applyBorder="1" applyFill="1" applyFont="1">
      <alignment horizontal="center" readingOrder="0" vertical="bottom"/>
    </xf>
    <xf borderId="0" fillId="0" fontId="9" numFmtId="0" xfId="0" applyAlignment="1" applyFont="1">
      <alignment vertical="bottom"/>
    </xf>
    <xf borderId="0" fillId="4" fontId="7" numFmtId="0" xfId="0" applyAlignment="1" applyFill="1" applyFont="1">
      <alignment shrinkToFit="0" vertical="bottom" wrapText="1"/>
    </xf>
    <xf borderId="0" fillId="4" fontId="5" numFmtId="0" xfId="0" applyAlignment="1" applyFill="1" applyFont="1">
      <alignment horizontal="center" readingOrder="0"/>
    </xf>
    <xf borderId="0" fillId="0" fontId="9" numFmtId="0" xfId="0" applyAlignment="1" applyFont="1">
      <alignment vertical="bottom"/>
    </xf>
    <xf borderId="1" fillId="7" fontId="1" numFmtId="0" xfId="0" applyAlignment="1" applyBorder="1" applyFill="1" applyFont="1">
      <alignment horizontal="center" readingOrder="0"/>
    </xf>
    <xf borderId="0" fillId="4" fontId="7" numFmtId="0" xfId="0" applyAlignment="1" applyFill="1" applyFont="1">
      <alignment shrinkToFit="0" vertical="bottom" wrapText="1"/>
    </xf>
    <xf borderId="0" fillId="4" fontId="10" numFmtId="0" xfId="0" applyAlignment="1" applyFill="1" applyFont="1">
      <alignment horizontal="center" readingOrder="0"/>
    </xf>
    <xf borderId="3" fillId="0" fontId="10" numFmtId="0" xfId="0" applyAlignment="1" applyBorder="1" applyFont="1">
      <alignment horizontal="right" readingOrder="0"/>
    </xf>
    <xf borderId="1" fillId="0" fontId="10" numFmtId="0" xfId="0" applyAlignment="1" applyBorder="1" applyFont="1">
      <alignment horizontal="center"/>
    </xf>
    <xf borderId="0" fillId="8" fontId="10" numFmtId="0" xfId="0" applyAlignment="1" applyFill="1" applyFont="1">
      <alignment horizontal="center" readingOrder="0"/>
    </xf>
    <xf borderId="0" fillId="4" fontId="9" numFmtId="0" xfId="0" applyAlignment="1" applyFill="1" applyFont="1">
      <alignment vertical="bottom"/>
    </xf>
    <xf borderId="0" fillId="4" fontId="1" numFmtId="0" xfId="0" applyAlignment="1" applyFill="1" applyFont="1">
      <alignment horizontal="center" readingOrder="0"/>
    </xf>
    <xf borderId="1" fillId="9" fontId="1" numFmtId="0" xfId="0" applyAlignment="1" applyBorder="1" applyFill="1" applyFont="1">
      <alignment horizontal="center" readingOrder="0"/>
    </xf>
    <xf borderId="0" fillId="0" fontId="10" numFmtId="0" xfId="0" applyAlignment="1" applyFont="1">
      <alignment horizontal="center"/>
    </xf>
    <xf borderId="0" fillId="5" fontId="10" numFmtId="0" xfId="0" applyAlignment="1" applyFill="1" applyFont="1">
      <alignment horizontal="right" readingOrder="0"/>
    </xf>
    <xf borderId="0" fillId="2" fontId="11" numFmtId="0" xfId="0" applyAlignment="1" applyFill="1" applyFont="1">
      <alignment horizontal="center" readingOrder="0"/>
    </xf>
    <xf borderId="0" fillId="2" fontId="11" numFmtId="0" xfId="0" applyAlignment="1" applyFill="1" applyFont="1">
      <alignment horizontal="center" readingOrder="0" vertical="bottom"/>
    </xf>
    <xf borderId="0" fillId="4" fontId="10" numFmtId="0" xfId="0" applyAlignment="1" applyFill="1" applyFont="1">
      <alignment horizontal="center"/>
    </xf>
    <xf borderId="0" fillId="10" fontId="12" numFmtId="0" xfId="0" applyAlignment="1" applyFill="1" applyFont="1">
      <alignment horizontal="center" readingOrder="0"/>
    </xf>
    <xf borderId="0" fillId="0" fontId="12" numFmtId="0" xfId="0" applyAlignment="1" applyFont="1">
      <alignment horizontal="center" readingOrder="0"/>
    </xf>
    <xf borderId="1" fillId="11" fontId="1" numFmtId="0" xfId="0" applyAlignment="1" applyBorder="1" applyFill="1" applyFont="1">
      <alignment horizontal="center" readingOrder="0"/>
    </xf>
    <xf borderId="0" fillId="0" fontId="10" numFmtId="165" xfId="0" applyAlignment="1" applyFont="1" applyNumberFormat="1">
      <alignment horizontal="center"/>
    </xf>
    <xf borderId="0" fillId="2" fontId="10" numFmtId="0" xfId="0" applyAlignment="1" applyFill="1" applyFont="1">
      <alignment horizontal="center"/>
    </xf>
    <xf borderId="1" fillId="12" fontId="1" numFmtId="0" xfId="0" applyAlignment="1" applyBorder="1" applyFill="1" applyFont="1">
      <alignment horizontal="center" readingOrder="0"/>
    </xf>
    <xf borderId="0" fillId="13" fontId="10" numFmtId="0" xfId="0" applyAlignment="1" applyFill="1" applyFont="1">
      <alignment horizontal="center"/>
    </xf>
    <xf borderId="1" fillId="14" fontId="1" numFmtId="0" xfId="0" applyAlignment="1" applyBorder="1" applyFill="1" applyFont="1">
      <alignment horizontal="center" readingOrder="0"/>
    </xf>
    <xf borderId="0" fillId="0" fontId="10" numFmtId="0" xfId="0" applyAlignment="1" applyFont="1">
      <alignment horizontal="center" readingOrder="0"/>
    </xf>
    <xf borderId="0" fillId="0" fontId="10" numFmtId="164" xfId="0" applyAlignment="1" applyFont="1" applyNumberFormat="1">
      <alignment horizontal="center"/>
    </xf>
    <xf borderId="1" fillId="15" fontId="1" numFmtId="0" xfId="0" applyAlignment="1" applyBorder="1" applyFill="1" applyFont="1">
      <alignment horizontal="center" readingOrder="0"/>
    </xf>
    <xf borderId="0" fillId="4" fontId="10" numFmtId="166" xfId="0" applyAlignment="1" applyFill="1" applyFont="1" applyNumberFormat="1">
      <alignment horizontal="center" vertical="bottom"/>
    </xf>
    <xf borderId="1" fillId="16" fontId="1" numFmtId="0" xfId="0" applyAlignment="1" applyBorder="1" applyFill="1" applyFont="1">
      <alignment horizontal="center" readingOrder="0"/>
    </xf>
    <xf borderId="0" fillId="0" fontId="5" numFmtId="0" xfId="0" applyAlignment="1" applyFont="1">
      <alignment horizontal="center"/>
    </xf>
    <xf borderId="1" fillId="17" fontId="1" numFmtId="0" xfId="0" applyAlignment="1" applyBorder="1" applyFill="1" applyFont="1">
      <alignment horizontal="center" readingOrder="0"/>
    </xf>
    <xf borderId="1" fillId="18" fontId="1" numFmtId="0" xfId="0" applyAlignment="1" applyBorder="1" applyFill="1" applyFont="1">
      <alignment horizontal="center" readingOrder="0"/>
    </xf>
    <xf borderId="0" fillId="0" fontId="13" numFmtId="0" xfId="0" applyAlignment="1" applyFont="1">
      <alignment horizontal="center" readingOrder="0"/>
    </xf>
    <xf borderId="1" fillId="19" fontId="1" numFmtId="0" xfId="0" applyAlignment="1" applyBorder="1" applyFill="1" applyFont="1">
      <alignment horizontal="center" readingOrder="0"/>
    </xf>
    <xf borderId="1" fillId="20" fontId="1" numFmtId="0" xfId="0" applyAlignment="1" applyBorder="1" applyFill="1" applyFont="1">
      <alignment horizontal="center" readingOrder="0"/>
    </xf>
    <xf borderId="4" fillId="0" fontId="12" numFmtId="0" xfId="0" applyAlignment="1" applyBorder="1" applyFont="1">
      <alignment horizontal="center" readingOrder="0"/>
    </xf>
    <xf borderId="5" fillId="0" fontId="12" numFmtId="0" xfId="0" applyAlignment="1" applyBorder="1" applyFont="1">
      <alignment horizontal="center" readingOrder="0"/>
    </xf>
    <xf borderId="1" fillId="21" fontId="1" numFmtId="0" xfId="0" applyAlignment="1" applyBorder="1" applyFill="1" applyFont="1">
      <alignment horizontal="center" readingOrder="0"/>
    </xf>
    <xf borderId="1" fillId="22" fontId="1" numFmtId="0" xfId="0" applyAlignment="1" applyBorder="1" applyFill="1" applyFont="1">
      <alignment horizontal="center" readingOrder="0"/>
    </xf>
    <xf borderId="1" fillId="23" fontId="1" numFmtId="0" xfId="0" applyAlignment="1" applyBorder="1" applyFill="1" applyFont="1">
      <alignment horizontal="center" readingOrder="0"/>
    </xf>
    <xf borderId="0" fillId="24" fontId="12" numFmtId="0" xfId="0" applyAlignment="1" applyFill="1" applyFont="1">
      <alignment horizontal="center" readingOrder="0"/>
    </xf>
    <xf borderId="1" fillId="25" fontId="1" numFmtId="0" xfId="0" applyAlignment="1" applyBorder="1" applyFill="1" applyFont="1">
      <alignment horizontal="center" readingOrder="0"/>
    </xf>
    <xf borderId="1" fillId="26" fontId="1" numFmtId="0" xfId="0" applyAlignment="1" applyBorder="1" applyFill="1" applyFont="1">
      <alignment horizontal="center" readingOrder="0"/>
    </xf>
    <xf borderId="6" fillId="0" fontId="12" numFmtId="0" xfId="0" applyAlignment="1" applyBorder="1" applyFont="1">
      <alignment horizontal="center" readingOrder="0"/>
    </xf>
    <xf borderId="7" fillId="0" fontId="12" numFmtId="0" xfId="0" applyAlignment="1" applyBorder="1" applyFont="1">
      <alignment horizontal="center" readingOrder="0"/>
    </xf>
    <xf borderId="1" fillId="27" fontId="1" numFmtId="0" xfId="0" applyAlignment="1" applyBorder="1" applyFill="1" applyFont="1">
      <alignment horizontal="center" readingOrder="0"/>
    </xf>
    <xf borderId="1" fillId="28" fontId="1" numFmtId="0" xfId="0" applyAlignment="1" applyBorder="1" applyFill="1" applyFont="1">
      <alignment horizontal="center" readingOrder="0"/>
    </xf>
    <xf borderId="1" fillId="29" fontId="1" numFmtId="0" xfId="0" applyAlignment="1" applyBorder="1" applyFill="1" applyFont="1">
      <alignment horizontal="center" readingOrder="0"/>
    </xf>
    <xf borderId="8" fillId="0" fontId="12" numFmtId="0" xfId="0" applyAlignment="1" applyBorder="1" applyFont="1">
      <alignment horizontal="center" readingOrder="0"/>
    </xf>
    <xf borderId="9" fillId="0" fontId="12" numFmtId="0" xfId="0" applyAlignment="1" applyBorder="1" applyFont="1">
      <alignment horizontal="center" readingOrder="0"/>
    </xf>
    <xf borderId="1" fillId="30" fontId="1" numFmtId="0" xfId="0" applyAlignment="1" applyBorder="1" applyFill="1" applyFont="1">
      <alignment horizontal="center" readingOrder="0"/>
    </xf>
    <xf borderId="1" fillId="31" fontId="1" numFmtId="0" xfId="0" applyAlignment="1" applyBorder="1" applyFill="1" applyFont="1">
      <alignment horizontal="center" readingOrder="0"/>
    </xf>
    <xf borderId="1" fillId="32" fontId="1" numFmtId="0" xfId="0" applyAlignment="1" applyBorder="1" applyFill="1" applyFont="1">
      <alignment horizontal="center" readingOrder="0"/>
    </xf>
    <xf borderId="1" fillId="33" fontId="1" numFmtId="0" xfId="0" applyAlignment="1" applyBorder="1" applyFill="1" applyFont="1">
      <alignment horizontal="center" readingOrder="0"/>
    </xf>
    <xf borderId="1" fillId="34" fontId="1" numFmtId="0" xfId="0" applyAlignment="1" applyBorder="1" applyFill="1" applyFont="1">
      <alignment horizontal="center" readingOrder="0"/>
    </xf>
    <xf borderId="1" fillId="35" fontId="1" numFmtId="0" xfId="0" applyAlignment="1" applyBorder="1" applyFill="1" applyFont="1">
      <alignment horizontal="center" readingOrder="0"/>
    </xf>
    <xf borderId="1" fillId="36" fontId="1" numFmtId="0" xfId="0" applyAlignment="1" applyBorder="1" applyFill="1" applyFont="1">
      <alignment horizontal="center" readingOrder="0"/>
    </xf>
    <xf borderId="1" fillId="37" fontId="1" numFmtId="0" xfId="0" applyAlignment="1" applyBorder="1" applyFill="1" applyFont="1">
      <alignment horizontal="center" readingOrder="0"/>
    </xf>
    <xf borderId="1" fillId="38" fontId="1" numFmtId="0" xfId="0" applyAlignment="1" applyBorder="1" applyFill="1" applyFont="1">
      <alignment horizontal="center" readingOrder="0"/>
    </xf>
    <xf borderId="0" fillId="0" fontId="12" numFmtId="0" xfId="0" applyAlignment="1" applyFont="1">
      <alignment horizontal="center" readingOrder="0"/>
    </xf>
    <xf borderId="0" fillId="2" fontId="1" numFmtId="0" xfId="0" applyAlignment="1" applyFill="1" applyFont="1">
      <alignment horizontal="center"/>
    </xf>
    <xf borderId="0" fillId="2" fontId="1" numFmtId="164" xfId="0" applyAlignment="1" applyFill="1" applyFont="1" applyNumberFormat="1">
      <alignment horizontal="center"/>
    </xf>
    <xf borderId="1" fillId="39" fontId="1" numFmtId="0" xfId="0" applyAlignment="1" applyBorder="1" applyFill="1" applyFont="1">
      <alignment horizontal="center" readingOrder="0"/>
    </xf>
    <xf borderId="1" fillId="40" fontId="1" numFmtId="0" xfId="0" applyAlignment="1" applyBorder="1" applyFill="1" applyFont="1">
      <alignment horizontal="center" readingOrder="0"/>
    </xf>
    <xf borderId="1" fillId="41" fontId="1" numFmtId="0" xfId="0" applyAlignment="1" applyBorder="1" applyFill="1" applyFont="1">
      <alignment horizontal="center" readingOrder="0"/>
    </xf>
    <xf borderId="0" fillId="2" fontId="5" numFmtId="0" xfId="0" applyAlignment="1" applyFill="1" applyFont="1">
      <alignment horizontal="center" readingOrder="0"/>
    </xf>
    <xf borderId="0" fillId="2" fontId="10" numFmtId="0" xfId="0" applyAlignment="1" applyFill="1" applyFont="1">
      <alignment horizontal="center" readingOrder="0"/>
    </xf>
    <xf borderId="0" fillId="2" fontId="1" numFmtId="0" xfId="0" applyFill="1" applyFont="1"/>
    <xf borderId="3" fillId="0" fontId="12" numFmtId="0" xfId="0" applyAlignment="1" applyBorder="1" applyFont="1">
      <alignment horizontal="center" readingOrder="0"/>
    </xf>
    <xf borderId="0" fillId="10" fontId="14" numFmtId="0" xfId="0" applyAlignment="1" applyFill="1" applyFont="1">
      <alignment horizontal="center" readingOrder="0"/>
    </xf>
    <xf borderId="0" fillId="5" fontId="14" numFmtId="0" xfId="0" applyAlignment="1" applyFill="1" applyFont="1">
      <alignment horizontal="center" readingOrder="0"/>
    </xf>
    <xf borderId="0" fillId="5" fontId="14" numFmtId="0" xfId="0" applyAlignment="1" applyFill="1" applyFont="1">
      <alignment horizontal="center" readingOrder="0"/>
    </xf>
    <xf borderId="0" fillId="5" fontId="15" numFmtId="0" xfId="0" applyAlignment="1" applyFill="1" applyFont="1">
      <alignment horizontal="center"/>
    </xf>
    <xf borderId="0" fillId="5" fontId="16" numFmtId="0" xfId="0" applyAlignment="1" applyFill="1" applyFont="1">
      <alignment horizontal="center"/>
    </xf>
    <xf borderId="6" fillId="5" fontId="16" numFmtId="0" xfId="0" applyAlignment="1" applyBorder="1" applyFill="1" applyFont="1">
      <alignment horizontal="center"/>
    </xf>
    <xf borderId="7" fillId="5" fontId="14" numFmtId="0" xfId="0" applyAlignment="1" applyBorder="1" applyFill="1" applyFont="1">
      <alignment horizontal="center"/>
    </xf>
    <xf borderId="6" fillId="5" fontId="14" numFmtId="0" xfId="0" applyAlignment="1" applyBorder="1" applyFill="1" applyFont="1">
      <alignment horizontal="center"/>
    </xf>
    <xf borderId="0" fillId="2" fontId="17" numFmtId="0" xfId="0" applyAlignment="1" applyFill="1" applyFont="1">
      <alignment horizontal="center" readingOrder="0"/>
    </xf>
    <xf borderId="0" fillId="2" fontId="12" numFmtId="0" xfId="0" applyAlignment="1" applyFill="1" applyFont="1">
      <alignment horizontal="center" readingOrder="0"/>
    </xf>
    <xf borderId="0" fillId="2" fontId="12" numFmtId="0" xfId="0" applyAlignment="1" applyFill="1" applyFont="1">
      <alignment horizontal="center"/>
    </xf>
    <xf borderId="0" fillId="0" fontId="18" numFmtId="0" xfId="0" applyAlignment="1" applyFont="1">
      <alignment horizontal="center"/>
    </xf>
    <xf borderId="0" fillId="0" fontId="12" numFmtId="0" xfId="0" applyAlignment="1" applyFont="1">
      <alignment horizontal="center"/>
    </xf>
    <xf borderId="8" fillId="0" fontId="12" numFmtId="0" xfId="0" applyAlignment="1" applyBorder="1" applyFont="1">
      <alignment horizontal="center"/>
    </xf>
    <xf borderId="9" fillId="0" fontId="12" numFmtId="0" xfId="0" applyAlignment="1" applyBorder="1" applyFont="1">
      <alignment horizontal="center"/>
    </xf>
    <xf borderId="0" fillId="10" fontId="17" numFmtId="0" xfId="0" applyAlignment="1" applyFill="1" applyFont="1">
      <alignment horizontal="center" readingOrder="0"/>
    </xf>
    <xf borderId="0" fillId="10" fontId="12" numFmtId="0" xfId="0" applyAlignment="1" applyFill="1" applyFont="1">
      <alignment horizontal="center"/>
    </xf>
    <xf borderId="6" fillId="0" fontId="12" numFmtId="0" xfId="0" applyAlignment="1" applyBorder="1" applyFont="1">
      <alignment horizontal="center"/>
    </xf>
    <xf borderId="7" fillId="0" fontId="12" numFmtId="0" xfId="0" applyAlignment="1" applyBorder="1" applyFont="1">
      <alignment horizontal="center"/>
    </xf>
    <xf borderId="0" fillId="10" fontId="12" numFmtId="0" xfId="0" applyAlignment="1" applyFill="1" applyFont="1">
      <alignment horizontal="center" readingOrder="0"/>
    </xf>
    <xf borderId="0" fillId="5" fontId="12" numFmtId="0" xfId="0" applyAlignment="1" applyFill="1" applyFont="1">
      <alignment horizontal="center" readingOrder="0"/>
    </xf>
    <xf borderId="0" fillId="24" fontId="12" numFmtId="0" xfId="0" applyAlignment="1" applyFill="1" applyFont="1">
      <alignment horizontal="center" readingOrder="0"/>
    </xf>
    <xf borderId="0" fillId="5" fontId="12" numFmtId="0" xfId="0" applyAlignment="1" applyFill="1" applyFont="1">
      <alignment horizontal="center" readingOrder="0"/>
    </xf>
    <xf borderId="0" fillId="5" fontId="12" numFmtId="0" xfId="0" applyAlignment="1" applyFill="1" applyFont="1">
      <alignment horizontal="center" readingOrder="0"/>
    </xf>
    <xf borderId="0" fillId="5" fontId="19" numFmtId="0" xfId="0" applyAlignment="1" applyFill="1" applyFont="1">
      <alignment horizontal="center"/>
    </xf>
    <xf borderId="0" fillId="5" fontId="12" numFmtId="0" xfId="0" applyAlignment="1" applyFill="1" applyFont="1">
      <alignment horizontal="center"/>
    </xf>
    <xf borderId="6" fillId="5" fontId="12" numFmtId="0" xfId="0" applyAlignment="1" applyBorder="1" applyFill="1" applyFont="1">
      <alignment horizontal="center"/>
    </xf>
    <xf borderId="7" fillId="5" fontId="12" numFmtId="0" xfId="0" applyAlignment="1" applyBorder="1" applyFill="1" applyFont="1">
      <alignment horizontal="center"/>
    </xf>
    <xf borderId="0" fillId="0" fontId="20" numFmtId="0" xfId="0" applyAlignment="1" applyFont="1">
      <alignment horizontal="center" readingOrder="0"/>
    </xf>
    <xf borderId="6" fillId="0" fontId="12" numFmtId="0" xfId="0" applyAlignment="1" applyBorder="1" applyFont="1">
      <alignment horizontal="center" readingOrder="0"/>
    </xf>
    <xf borderId="7" fillId="0" fontId="12" numFmtId="0" xfId="0" applyAlignment="1" applyBorder="1" applyFont="1">
      <alignment horizontal="center" readingOrder="0"/>
    </xf>
    <xf borderId="0" fillId="7" fontId="1" numFmtId="0" xfId="0" applyAlignment="1" applyFill="1" applyFont="1">
      <alignment horizontal="center" readingOrder="0"/>
    </xf>
    <xf borderId="0" fillId="42" fontId="1" numFmtId="0" xfId="0" applyAlignment="1" applyFill="1" applyFont="1">
      <alignment horizontal="center" readingOrder="0"/>
    </xf>
    <xf borderId="0" fillId="43" fontId="1" numFmtId="0" xfId="0" applyAlignment="1" applyFill="1" applyFont="1">
      <alignment horizontal="center" readingOrder="0"/>
    </xf>
    <xf borderId="0" fillId="44" fontId="1" numFmtId="0" xfId="0" applyAlignment="1" applyFill="1" applyFont="1">
      <alignment horizontal="center" readingOrder="0"/>
    </xf>
    <xf borderId="0" fillId="45" fontId="1" numFmtId="0" xfId="0" applyAlignment="1" applyFill="1" applyFont="1">
      <alignment horizontal="center" readingOrder="0"/>
    </xf>
    <xf borderId="0" fillId="46" fontId="1" numFmtId="0" xfId="0" applyAlignment="1" applyFill="1" applyFont="1">
      <alignment horizontal="center" readingOrder="0"/>
    </xf>
    <xf borderId="0" fillId="47" fontId="1" numFmtId="0" xfId="0" applyAlignment="1" applyFill="1" applyFont="1">
      <alignment horizontal="center" readingOrder="0"/>
    </xf>
    <xf borderId="0" fillId="48" fontId="1" numFmtId="0" xfId="0" applyAlignment="1" applyFill="1" applyFont="1">
      <alignment horizontal="center" readingOrder="0"/>
    </xf>
    <xf borderId="0" fillId="49" fontId="1" numFmtId="0" xfId="0" applyAlignment="1" applyFill="1" applyFont="1">
      <alignment horizontal="center" readingOrder="0"/>
    </xf>
    <xf borderId="0" fillId="50" fontId="1" numFmtId="0" xfId="0" applyAlignment="1" applyFill="1" applyFont="1">
      <alignment horizontal="center" readingOrder="0"/>
    </xf>
    <xf borderId="0" fillId="51" fontId="1" numFmtId="0" xfId="0" applyAlignment="1" applyFill="1" applyFont="1">
      <alignment horizontal="center" readingOrder="0"/>
    </xf>
    <xf borderId="0" fillId="52" fontId="1" numFmtId="0" xfId="0" applyAlignment="1" applyFill="1" applyFont="1">
      <alignment horizontal="center" readingOrder="0"/>
    </xf>
    <xf borderId="0" fillId="53" fontId="1" numFmtId="0" xfId="0" applyAlignment="1" applyFill="1" applyFont="1">
      <alignment horizontal="center" readingOrder="0"/>
    </xf>
    <xf borderId="0" fillId="54" fontId="1" numFmtId="0" xfId="0" applyAlignment="1" applyFill="1" applyFont="1">
      <alignment horizontal="center" readingOrder="0"/>
    </xf>
    <xf borderId="0" fillId="55" fontId="1" numFmtId="0" xfId="0" applyAlignment="1" applyFill="1" applyFont="1">
      <alignment horizontal="center" readingOrder="0"/>
    </xf>
    <xf borderId="0" fillId="9" fontId="1" numFmtId="0" xfId="0" applyAlignment="1" applyFill="1" applyFont="1">
      <alignment horizontal="center" readingOrder="0"/>
    </xf>
    <xf borderId="0" fillId="11" fontId="1" numFmtId="0" xfId="0" applyAlignment="1" applyFill="1" applyFont="1">
      <alignment horizontal="center" readingOrder="0"/>
    </xf>
    <xf borderId="0" fillId="14" fontId="1" numFmtId="0" xfId="0" applyAlignment="1" applyFill="1" applyFont="1">
      <alignment horizontal="center" readingOrder="0"/>
    </xf>
    <xf borderId="0" fillId="16" fontId="1" numFmtId="0" xfId="0" applyAlignment="1" applyFill="1" applyFont="1">
      <alignment horizontal="center" readingOrder="0"/>
    </xf>
    <xf borderId="0" fillId="18" fontId="1" numFmtId="0" xfId="0" applyAlignment="1" applyFill="1" applyFont="1">
      <alignment horizontal="center" readingOrder="0"/>
    </xf>
    <xf borderId="0" fillId="20" fontId="1" numFmtId="0" xfId="0" applyAlignment="1" applyFill="1" applyFont="1">
      <alignment horizontal="center" readingOrder="0"/>
    </xf>
    <xf borderId="0" fillId="22" fontId="1" numFmtId="0" xfId="0" applyAlignment="1" applyFill="1" applyFont="1">
      <alignment horizontal="center" readingOrder="0"/>
    </xf>
    <xf borderId="0" fillId="25" fontId="1" numFmtId="0" xfId="0" applyAlignment="1" applyFill="1" applyFont="1">
      <alignment horizontal="center" readingOrder="0"/>
    </xf>
    <xf borderId="0" fillId="27" fontId="1" numFmtId="0" xfId="0" applyAlignment="1" applyFill="1" applyFont="1">
      <alignment horizontal="center" readingOrder="0"/>
    </xf>
    <xf borderId="0" fillId="29" fontId="1" numFmtId="0" xfId="0" applyAlignment="1" applyFill="1" applyFont="1">
      <alignment horizontal="center" readingOrder="0"/>
    </xf>
    <xf borderId="0" fillId="31" fontId="1" numFmtId="0" xfId="0" applyAlignment="1" applyFill="1" applyFont="1">
      <alignment horizontal="center" readingOrder="0"/>
    </xf>
    <xf borderId="0" fillId="33" fontId="1" numFmtId="0" xfId="0" applyAlignment="1" applyFill="1" applyFont="1">
      <alignment horizontal="center" readingOrder="0"/>
    </xf>
    <xf borderId="0" fillId="35" fontId="1" numFmtId="0" xfId="0" applyAlignment="1" applyFill="1" applyFont="1">
      <alignment horizontal="center" readingOrder="0"/>
    </xf>
    <xf borderId="0" fillId="37" fontId="1" numFmtId="0" xfId="0" applyAlignment="1" applyFill="1" applyFont="1">
      <alignment horizontal="center" readingOrder="0"/>
    </xf>
    <xf borderId="0" fillId="39" fontId="1" numFmtId="0" xfId="0" applyAlignment="1" applyFill="1" applyFont="1">
      <alignment horizontal="center" readingOrder="0"/>
    </xf>
    <xf borderId="0" fillId="41" fontId="1" numFmtId="0" xfId="0" applyAlignment="1" applyFill="1" applyFont="1">
      <alignment horizontal="center" readingOrder="0"/>
    </xf>
    <xf borderId="0" fillId="10" fontId="10" numFmtId="0" xfId="0" applyAlignment="1" applyFill="1" applyFont="1">
      <alignment horizontal="center" readingOrder="0"/>
    </xf>
    <xf borderId="0" fillId="56" fontId="5" numFmtId="0" xfId="0" applyAlignment="1" applyFill="1" applyFont="1">
      <alignment horizontal="center"/>
    </xf>
    <xf borderId="0" fillId="10" fontId="5" numFmtId="0" xfId="0" applyAlignment="1" applyFill="1" applyFont="1">
      <alignment horizontal="center"/>
    </xf>
    <xf borderId="0" fillId="57" fontId="5" numFmtId="0" xfId="0" applyAlignment="1" applyFill="1" applyFont="1">
      <alignment horizontal="center"/>
    </xf>
    <xf borderId="0" fillId="58" fontId="5" numFmtId="0" xfId="0" applyAlignment="1" applyFill="1" applyFont="1">
      <alignment horizontal="center"/>
    </xf>
    <xf borderId="0" fillId="59" fontId="5" numFmtId="0" xfId="0" applyAlignment="1" applyFill="1" applyFont="1">
      <alignment horizontal="center"/>
    </xf>
    <xf borderId="0" fillId="60" fontId="5" numFmtId="0" xfId="0" applyAlignment="1" applyFill="1" applyFont="1">
      <alignment horizontal="center"/>
    </xf>
    <xf borderId="0" fillId="2" fontId="9" numFmtId="0" xfId="0" applyAlignment="1" applyFill="1" applyFont="1">
      <alignment vertical="bottom"/>
    </xf>
    <xf borderId="0" fillId="0" fontId="1" numFmtId="0" xfId="0" applyAlignment="1" applyFont="1">
      <alignment horizontal="center" readingOrder="0"/>
    </xf>
    <xf borderId="0" fillId="61" fontId="5" numFmtId="0" xfId="0" applyAlignment="1" applyFill="1" applyFont="1">
      <alignment horizontal="center"/>
    </xf>
    <xf borderId="0" fillId="10" fontId="21" numFmtId="0" xfId="0" applyAlignment="1" applyFill="1" applyFont="1">
      <alignment horizontal="center" vertical="bottom"/>
    </xf>
    <xf borderId="0" fillId="0" fontId="5" numFmtId="0" xfId="0" applyAlignment="1" applyFont="1">
      <alignment horizontal="center"/>
    </xf>
    <xf borderId="0" fillId="8" fontId="5" numFmtId="0" xfId="0" applyAlignment="1" applyFill="1" applyFont="1">
      <alignment horizontal="center"/>
    </xf>
    <xf borderId="0" fillId="2" fontId="5" numFmtId="0" xfId="0" applyAlignment="1" applyFill="1" applyFont="1">
      <alignment horizontal="center"/>
    </xf>
    <xf borderId="0" fillId="7" fontId="22" numFmtId="0" xfId="0" applyAlignment="1" applyFill="1" applyFont="1">
      <alignment horizontal="center" vertical="bottom"/>
    </xf>
    <xf borderId="0" fillId="2" fontId="22" numFmtId="0" xfId="0" applyAlignment="1" applyFill="1" applyFont="1">
      <alignment horizontal="center" vertical="bottom"/>
    </xf>
    <xf borderId="0" fillId="42" fontId="22" numFmtId="0" xfId="0" applyAlignment="1" applyFill="1" applyFont="1">
      <alignment horizontal="center" vertical="bottom"/>
    </xf>
    <xf borderId="0" fillId="43" fontId="22" numFmtId="0" xfId="0" applyAlignment="1" applyFill="1" applyFont="1">
      <alignment horizontal="center" vertical="bottom"/>
    </xf>
    <xf borderId="0" fillId="44" fontId="22" numFmtId="0" xfId="0" applyAlignment="1" applyFill="1" applyFont="1">
      <alignment horizontal="center" vertical="bottom"/>
    </xf>
    <xf borderId="0" fillId="45" fontId="22" numFmtId="0" xfId="0" applyAlignment="1" applyFill="1" applyFont="1">
      <alignment horizontal="center" vertical="bottom"/>
    </xf>
    <xf borderId="0" fillId="46" fontId="22" numFmtId="0" xfId="0" applyAlignment="1" applyFill="1" applyFont="1">
      <alignment horizontal="center" vertical="bottom"/>
    </xf>
    <xf borderId="0" fillId="47" fontId="22" numFmtId="0" xfId="0" applyAlignment="1" applyFill="1" applyFont="1">
      <alignment horizontal="center" vertical="bottom"/>
    </xf>
    <xf borderId="0" fillId="48" fontId="22" numFmtId="0" xfId="0" applyAlignment="1" applyFill="1" applyFont="1">
      <alignment horizontal="center" vertical="bottom"/>
    </xf>
    <xf borderId="0" fillId="49" fontId="22" numFmtId="0" xfId="0" applyAlignment="1" applyFill="1" applyFont="1">
      <alignment horizontal="center" vertical="bottom"/>
    </xf>
    <xf borderId="0" fillId="50" fontId="22" numFmtId="0" xfId="0" applyAlignment="1" applyFill="1" applyFont="1">
      <alignment horizontal="center" vertical="bottom"/>
    </xf>
    <xf borderId="0" fillId="51" fontId="22" numFmtId="0" xfId="0" applyAlignment="1" applyFill="1" applyFont="1">
      <alignment horizontal="center" vertical="bottom"/>
    </xf>
    <xf borderId="0" fillId="52" fontId="22" numFmtId="0" xfId="0" applyAlignment="1" applyFill="1" applyFont="1">
      <alignment horizontal="center" vertical="bottom"/>
    </xf>
    <xf borderId="0" fillId="53" fontId="22" numFmtId="0" xfId="0" applyAlignment="1" applyFill="1" applyFont="1">
      <alignment horizontal="center" vertical="bottom"/>
    </xf>
    <xf borderId="0" fillId="54" fontId="22" numFmtId="0" xfId="0" applyAlignment="1" applyFill="1" applyFont="1">
      <alignment horizontal="center" vertical="bottom"/>
    </xf>
    <xf borderId="0" fillId="55" fontId="22" numFmtId="0" xfId="0" applyAlignment="1" applyFill="1" applyFont="1">
      <alignment horizontal="center" vertical="bottom"/>
    </xf>
    <xf borderId="0" fillId="9" fontId="22" numFmtId="0" xfId="0" applyAlignment="1" applyFill="1" applyFont="1">
      <alignment horizontal="center" vertical="bottom"/>
    </xf>
    <xf borderId="0" fillId="11" fontId="22" numFmtId="0" xfId="0" applyAlignment="1" applyFill="1" applyFont="1">
      <alignment horizontal="center" vertical="bottom"/>
    </xf>
    <xf borderId="0" fillId="14" fontId="22" numFmtId="0" xfId="0" applyAlignment="1" applyFill="1" applyFont="1">
      <alignment horizontal="center" vertical="bottom"/>
    </xf>
    <xf borderId="0" fillId="16" fontId="22" numFmtId="0" xfId="0" applyAlignment="1" applyFill="1" applyFont="1">
      <alignment horizontal="center" vertical="bottom"/>
    </xf>
    <xf borderId="0" fillId="18" fontId="22" numFmtId="0" xfId="0" applyAlignment="1" applyFill="1" applyFont="1">
      <alignment horizontal="center" vertical="bottom"/>
    </xf>
    <xf borderId="0" fillId="20" fontId="22" numFmtId="0" xfId="0" applyAlignment="1" applyFill="1" applyFont="1">
      <alignment horizontal="center" vertical="bottom"/>
    </xf>
    <xf borderId="0" fillId="62" fontId="5" numFmtId="0" xfId="0" applyAlignment="1" applyFill="1" applyFont="1">
      <alignment horizontal="center"/>
    </xf>
    <xf borderId="0" fillId="22" fontId="22" numFmtId="0" xfId="0" applyAlignment="1" applyFill="1" applyFont="1">
      <alignment horizontal="center" vertical="bottom"/>
    </xf>
    <xf borderId="0" fillId="25" fontId="22" numFmtId="0" xfId="0" applyAlignment="1" applyFill="1" applyFont="1">
      <alignment horizontal="center" vertical="bottom"/>
    </xf>
    <xf borderId="0" fillId="27" fontId="22" numFmtId="0" xfId="0" applyAlignment="1" applyFill="1" applyFont="1">
      <alignment horizontal="center" vertical="bottom"/>
    </xf>
    <xf borderId="0" fillId="29" fontId="22" numFmtId="0" xfId="0" applyAlignment="1" applyFill="1" applyFont="1">
      <alignment horizontal="center" vertical="bottom"/>
    </xf>
    <xf borderId="0" fillId="31" fontId="22" numFmtId="0" xfId="0" applyAlignment="1" applyFill="1" applyFont="1">
      <alignment horizontal="center" vertical="bottom"/>
    </xf>
    <xf borderId="0" fillId="33" fontId="22" numFmtId="0" xfId="0" applyAlignment="1" applyFill="1" applyFont="1">
      <alignment horizontal="center" vertical="bottom"/>
    </xf>
    <xf borderId="0" fillId="35" fontId="22" numFmtId="0" xfId="0" applyAlignment="1" applyFill="1" applyFont="1">
      <alignment horizontal="center" vertical="bottom"/>
    </xf>
    <xf borderId="0" fillId="37" fontId="22" numFmtId="0" xfId="0" applyAlignment="1" applyFill="1" applyFont="1">
      <alignment horizontal="center" vertical="bottom"/>
    </xf>
    <xf borderId="0" fillId="39" fontId="22" numFmtId="0" xfId="0" applyAlignment="1" applyFill="1" applyFont="1">
      <alignment horizontal="center" vertical="bottom"/>
    </xf>
    <xf borderId="0" fillId="41" fontId="22" numFmtId="0" xfId="0" applyAlignment="1" applyFill="1" applyFont="1">
      <alignment horizontal="center" vertical="bottom"/>
    </xf>
    <xf borderId="0" fillId="0" fontId="5" numFmtId="0" xfId="0" applyAlignment="1" applyFont="1">
      <alignment horizontal="center" readingOrder="0"/>
    </xf>
    <xf borderId="0" fillId="5" fontId="5" numFmtId="0" xfId="0" applyAlignment="1" applyFill="1" applyFont="1">
      <alignment horizontal="center"/>
    </xf>
    <xf borderId="0" fillId="7" fontId="1" numFmtId="0" xfId="0" applyAlignment="1" applyFill="1" applyFont="1">
      <alignment horizontal="center"/>
    </xf>
    <xf borderId="0" fillId="42" fontId="1" numFmtId="0" xfId="0" applyAlignment="1" applyFill="1" applyFont="1">
      <alignment horizontal="center"/>
    </xf>
    <xf borderId="0" fillId="43" fontId="1" numFmtId="0" xfId="0" applyAlignment="1" applyFill="1" applyFont="1">
      <alignment horizontal="center"/>
    </xf>
    <xf borderId="0" fillId="44" fontId="1" numFmtId="0" xfId="0" applyAlignment="1" applyFill="1" applyFont="1">
      <alignment horizontal="center"/>
    </xf>
    <xf borderId="0" fillId="45" fontId="1" numFmtId="0" xfId="0" applyAlignment="1" applyFill="1" applyFont="1">
      <alignment horizontal="center"/>
    </xf>
    <xf borderId="0" fillId="46" fontId="1" numFmtId="0" xfId="0" applyAlignment="1" applyFill="1" applyFont="1">
      <alignment horizontal="center"/>
    </xf>
    <xf borderId="0" fillId="47" fontId="1" numFmtId="0" xfId="0" applyAlignment="1" applyFill="1" applyFont="1">
      <alignment horizontal="center"/>
    </xf>
    <xf borderId="0" fillId="48" fontId="1" numFmtId="0" xfId="0" applyAlignment="1" applyFill="1" applyFont="1">
      <alignment horizontal="center"/>
    </xf>
    <xf borderId="0" fillId="49" fontId="1" numFmtId="0" xfId="0" applyAlignment="1" applyFill="1" applyFont="1">
      <alignment horizontal="center"/>
    </xf>
    <xf borderId="0" fillId="50" fontId="1" numFmtId="0" xfId="0" applyAlignment="1" applyFill="1" applyFont="1">
      <alignment horizontal="center"/>
    </xf>
    <xf borderId="0" fillId="51" fontId="1" numFmtId="0" xfId="0" applyAlignment="1" applyFill="1" applyFont="1">
      <alignment horizontal="center"/>
    </xf>
    <xf borderId="0" fillId="52" fontId="1" numFmtId="0" xfId="0" applyAlignment="1" applyFill="1" applyFont="1">
      <alignment horizontal="center"/>
    </xf>
    <xf borderId="0" fillId="53" fontId="1" numFmtId="0" xfId="0" applyAlignment="1" applyFill="1" applyFont="1">
      <alignment horizontal="center"/>
    </xf>
    <xf borderId="0" fillId="54" fontId="1" numFmtId="0" xfId="0" applyAlignment="1" applyFill="1" applyFont="1">
      <alignment horizontal="center"/>
    </xf>
    <xf borderId="0" fillId="55" fontId="1" numFmtId="0" xfId="0" applyAlignment="1" applyFill="1" applyFont="1">
      <alignment horizontal="center"/>
    </xf>
    <xf borderId="0" fillId="9" fontId="1" numFmtId="0" xfId="0" applyAlignment="1" applyFill="1" applyFont="1">
      <alignment horizontal="center"/>
    </xf>
    <xf borderId="0" fillId="11" fontId="1" numFmtId="0" xfId="0" applyAlignment="1" applyFill="1" applyFont="1">
      <alignment horizontal="center"/>
    </xf>
    <xf borderId="0" fillId="14" fontId="1" numFmtId="0" xfId="0" applyAlignment="1" applyFill="1" applyFont="1">
      <alignment horizontal="center"/>
    </xf>
    <xf borderId="0" fillId="16" fontId="1" numFmtId="0" xfId="0" applyAlignment="1" applyFill="1" applyFont="1">
      <alignment horizontal="center"/>
    </xf>
    <xf borderId="0" fillId="18" fontId="1" numFmtId="0" xfId="0" applyAlignment="1" applyFill="1" applyFont="1">
      <alignment horizontal="center"/>
    </xf>
    <xf borderId="0" fillId="20" fontId="1" numFmtId="0" xfId="0" applyAlignment="1" applyFill="1" applyFont="1">
      <alignment horizontal="center"/>
    </xf>
    <xf borderId="0" fillId="22" fontId="1" numFmtId="0" xfId="0" applyAlignment="1" applyFill="1" applyFont="1">
      <alignment horizontal="center"/>
    </xf>
    <xf borderId="0" fillId="25" fontId="1" numFmtId="0" xfId="0" applyAlignment="1" applyFill="1" applyFont="1">
      <alignment horizontal="center"/>
    </xf>
    <xf borderId="0" fillId="27" fontId="1" numFmtId="0" xfId="0" applyAlignment="1" applyFill="1" applyFont="1">
      <alignment horizontal="center"/>
    </xf>
    <xf borderId="0" fillId="29" fontId="1" numFmtId="0" xfId="0" applyAlignment="1" applyFill="1" applyFont="1">
      <alignment horizontal="center"/>
    </xf>
    <xf borderId="0" fillId="31" fontId="1" numFmtId="0" xfId="0" applyAlignment="1" applyFill="1" applyFont="1">
      <alignment horizontal="center"/>
    </xf>
    <xf borderId="0" fillId="33" fontId="1" numFmtId="0" xfId="0" applyAlignment="1" applyFill="1" applyFont="1">
      <alignment horizontal="center"/>
    </xf>
    <xf borderId="0" fillId="35" fontId="1" numFmtId="0" xfId="0" applyAlignment="1" applyFill="1" applyFont="1">
      <alignment horizontal="center"/>
    </xf>
    <xf borderId="0" fillId="37" fontId="1" numFmtId="0" xfId="0" applyAlignment="1" applyFill="1" applyFont="1">
      <alignment horizontal="center"/>
    </xf>
    <xf borderId="0" fillId="39" fontId="1" numFmtId="0" xfId="0" applyAlignment="1" applyFill="1" applyFont="1">
      <alignment horizontal="center"/>
    </xf>
    <xf borderId="0" fillId="41" fontId="1" numFmtId="0" xfId="0" applyAlignment="1" applyFill="1" applyFont="1">
      <alignment horizontal="center"/>
    </xf>
    <xf borderId="0" fillId="2" fontId="22" numFmtId="0" xfId="0" applyAlignment="1" applyFill="1" applyFont="1">
      <alignment horizontal="center" vertical="bottom"/>
    </xf>
    <xf borderId="0" fillId="0" fontId="1" numFmtId="0" xfId="0" applyAlignment="1" applyFont="1">
      <alignment horizontal="center"/>
    </xf>
    <xf borderId="0" fillId="7" fontId="22" numFmtId="0" xfId="0" applyAlignment="1" applyFill="1" applyFont="1">
      <alignment horizontal="center" vertical="bottom"/>
    </xf>
    <xf borderId="0" fillId="2" fontId="22" numFmtId="0" xfId="0" applyAlignment="1" applyFill="1" applyFont="1">
      <alignment horizontal="center" vertical="bottom"/>
    </xf>
    <xf borderId="0" fillId="42" fontId="22" numFmtId="0" xfId="0" applyAlignment="1" applyFill="1" applyFont="1">
      <alignment horizontal="center" vertical="bottom"/>
    </xf>
    <xf borderId="0" fillId="43" fontId="22" numFmtId="0" xfId="0" applyAlignment="1" applyFill="1" applyFont="1">
      <alignment horizontal="center" vertical="bottom"/>
    </xf>
    <xf borderId="0" fillId="44" fontId="22" numFmtId="0" xfId="0" applyAlignment="1" applyFill="1" applyFont="1">
      <alignment horizontal="center" vertical="bottom"/>
    </xf>
    <xf borderId="0" fillId="45" fontId="22" numFmtId="0" xfId="0" applyAlignment="1" applyFill="1" applyFont="1">
      <alignment horizontal="center" vertical="bottom"/>
    </xf>
    <xf borderId="0" fillId="46" fontId="22" numFmtId="0" xfId="0" applyAlignment="1" applyFill="1" applyFont="1">
      <alignment horizontal="center" vertical="bottom"/>
    </xf>
    <xf borderId="0" fillId="47" fontId="22" numFmtId="0" xfId="0" applyAlignment="1" applyFill="1" applyFont="1">
      <alignment horizontal="center" vertical="bottom"/>
    </xf>
    <xf borderId="0" fillId="48" fontId="22" numFmtId="0" xfId="0" applyAlignment="1" applyFill="1" applyFont="1">
      <alignment horizontal="center" vertical="bottom"/>
    </xf>
    <xf borderId="0" fillId="49" fontId="22" numFmtId="0" xfId="0" applyAlignment="1" applyFill="1" applyFont="1">
      <alignment horizontal="center" vertical="bottom"/>
    </xf>
    <xf borderId="0" fillId="50" fontId="22" numFmtId="0" xfId="0" applyAlignment="1" applyFill="1" applyFont="1">
      <alignment horizontal="center" vertical="bottom"/>
    </xf>
    <xf borderId="0" fillId="51" fontId="22" numFmtId="0" xfId="0" applyAlignment="1" applyFill="1" applyFont="1">
      <alignment horizontal="center" vertical="bottom"/>
    </xf>
    <xf borderId="0" fillId="52" fontId="22" numFmtId="0" xfId="0" applyAlignment="1" applyFill="1" applyFont="1">
      <alignment horizontal="center" vertical="bottom"/>
    </xf>
    <xf borderId="0" fillId="53" fontId="22" numFmtId="0" xfId="0" applyAlignment="1" applyFill="1" applyFont="1">
      <alignment horizontal="center" vertical="bottom"/>
    </xf>
    <xf borderId="0" fillId="54" fontId="22" numFmtId="0" xfId="0" applyAlignment="1" applyFill="1" applyFont="1">
      <alignment horizontal="center" vertical="bottom"/>
    </xf>
    <xf borderId="0" fillId="55" fontId="22" numFmtId="0" xfId="0" applyAlignment="1" applyFill="1" applyFont="1">
      <alignment horizontal="center" vertical="bottom"/>
    </xf>
    <xf borderId="0" fillId="9" fontId="22" numFmtId="0" xfId="0" applyAlignment="1" applyFill="1" applyFont="1">
      <alignment horizontal="center" vertical="bottom"/>
    </xf>
    <xf borderId="0" fillId="11" fontId="22" numFmtId="0" xfId="0" applyAlignment="1" applyFill="1" applyFont="1">
      <alignment horizontal="center" vertical="bottom"/>
    </xf>
    <xf borderId="0" fillId="14" fontId="22" numFmtId="0" xfId="0" applyAlignment="1" applyFill="1" applyFont="1">
      <alignment horizontal="center" vertical="bottom"/>
    </xf>
    <xf borderId="0" fillId="16" fontId="22" numFmtId="0" xfId="0" applyAlignment="1" applyFill="1" applyFont="1">
      <alignment horizontal="center" vertical="bottom"/>
    </xf>
    <xf borderId="0" fillId="18" fontId="22" numFmtId="0" xfId="0" applyAlignment="1" applyFill="1" applyFont="1">
      <alignment horizontal="center" vertical="bottom"/>
    </xf>
    <xf borderId="0" fillId="20" fontId="22" numFmtId="0" xfId="0" applyAlignment="1" applyFill="1" applyFont="1">
      <alignment horizontal="center" vertical="bottom"/>
    </xf>
    <xf borderId="0" fillId="22" fontId="22" numFmtId="0" xfId="0" applyAlignment="1" applyFill="1" applyFont="1">
      <alignment horizontal="center" vertical="bottom"/>
    </xf>
    <xf borderId="0" fillId="25" fontId="22" numFmtId="0" xfId="0" applyAlignment="1" applyFill="1" applyFont="1">
      <alignment horizontal="center" vertical="bottom"/>
    </xf>
    <xf borderId="0" fillId="27" fontId="22" numFmtId="0" xfId="0" applyAlignment="1" applyFill="1" applyFont="1">
      <alignment horizontal="center" vertical="bottom"/>
    </xf>
    <xf borderId="0" fillId="29" fontId="22" numFmtId="0" xfId="0" applyAlignment="1" applyFill="1" applyFont="1">
      <alignment horizontal="center" vertical="bottom"/>
    </xf>
    <xf borderId="0" fillId="31" fontId="22" numFmtId="0" xfId="0" applyAlignment="1" applyFill="1" applyFont="1">
      <alignment horizontal="center" vertical="bottom"/>
    </xf>
    <xf borderId="0" fillId="33" fontId="22" numFmtId="0" xfId="0" applyAlignment="1" applyFill="1" applyFont="1">
      <alignment horizontal="center" vertical="bottom"/>
    </xf>
    <xf borderId="0" fillId="35" fontId="22" numFmtId="0" xfId="0" applyAlignment="1" applyFill="1" applyFont="1">
      <alignment horizontal="center" vertical="bottom"/>
    </xf>
    <xf borderId="0" fillId="37" fontId="22" numFmtId="0" xfId="0" applyAlignment="1" applyFill="1" applyFont="1">
      <alignment horizontal="center" vertical="bottom"/>
    </xf>
    <xf borderId="0" fillId="39" fontId="22" numFmtId="0" xfId="0" applyAlignment="1" applyFill="1" applyFont="1">
      <alignment horizontal="center" vertical="bottom"/>
    </xf>
    <xf borderId="0" fillId="41" fontId="22" numFmtId="0" xfId="0" applyAlignment="1" applyFill="1" applyFont="1">
      <alignment horizontal="center" vertical="bottom"/>
    </xf>
    <xf borderId="0" fillId="2" fontId="1" numFmtId="10" xfId="0" applyAlignment="1" applyFill="1" applyFont="1" applyNumberFormat="1">
      <alignment horizontal="center" readingOrder="0"/>
    </xf>
    <xf borderId="0" fillId="0" fontId="1" numFmtId="10" xfId="0" applyAlignment="1" applyFont="1" applyNumberFormat="1">
      <alignment horizontal="center"/>
    </xf>
    <xf borderId="0" fillId="0" fontId="22" numFmtId="0" xfId="0" applyAlignment="1" applyFont="1">
      <alignment horizontal="center" vertical="bottom"/>
    </xf>
    <xf borderId="0" fillId="2" fontId="23" numFmtId="0" xfId="0" applyAlignment="1" applyFill="1" applyFont="1">
      <alignment horizontal="center" readingOrder="0"/>
    </xf>
    <xf borderId="0" fillId="2" fontId="23" numFmtId="0" xfId="0" applyAlignment="1" applyFill="1" applyFont="1">
      <alignment horizontal="center"/>
    </xf>
    <xf borderId="0" fillId="0" fontId="24" numFmtId="0" xfId="0" applyAlignment="1" applyFont="1">
      <alignment horizontal="center" readingOrder="0"/>
    </xf>
    <xf borderId="0" fillId="0" fontId="24" numFmtId="165" xfId="0" applyAlignment="1" applyFont="1" applyNumberFormat="1">
      <alignment horizontal="center"/>
    </xf>
    <xf borderId="0" fillId="0" fontId="24" numFmtId="0" xfId="0" applyAlignment="1" applyFont="1">
      <alignment horizontal="center"/>
    </xf>
    <xf borderId="0" fillId="0" fontId="1" numFmtId="0" xfId="0" applyFont="1"/>
    <xf borderId="0" fillId="63" fontId="10" numFmtId="0" xfId="0" applyAlignment="1" applyFill="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0" fontId="9" numFmtId="0" xfId="0" applyAlignment="1" applyFont="1">
      <alignment horizontal="center" readingOrder="0"/>
    </xf>
    <xf borderId="0" fillId="0" fontId="5" numFmtId="0" xfId="0" applyFont="1"/>
    <xf borderId="0" fillId="0" fontId="5" numFmtId="0" xfId="0" applyAlignment="1" applyFont="1">
      <alignment readingOrder="0"/>
    </xf>
    <xf borderId="0" fillId="0" fontId="24" numFmtId="0" xfId="0" applyAlignment="1" applyFont="1">
      <alignment horizontal="left" readingOrder="0"/>
    </xf>
    <xf borderId="0" fillId="64" fontId="25" numFmtId="0" xfId="0" applyAlignment="1" applyFill="1" applyFont="1">
      <alignment horizontal="center" readingOrder="0"/>
    </xf>
    <xf borderId="0" fillId="5" fontId="26" numFmtId="0" xfId="0" applyAlignment="1" applyFill="1" applyFont="1">
      <alignment readingOrder="0"/>
    </xf>
    <xf borderId="0" fillId="2" fontId="22" numFmtId="0" xfId="0" applyAlignment="1" applyFill="1" applyFont="1">
      <alignment horizontal="center" vertical="bottom"/>
    </xf>
    <xf borderId="0" fillId="65" fontId="27" numFmtId="0" xfId="0" applyAlignment="1" applyFill="1" applyFont="1">
      <alignment readingOrder="0"/>
    </xf>
    <xf borderId="0" fillId="0" fontId="24" numFmtId="10" xfId="0" applyAlignment="1" applyFont="1" applyNumberFormat="1">
      <alignment horizontal="center"/>
    </xf>
    <xf borderId="0" fillId="0" fontId="24" numFmtId="164" xfId="0" applyAlignment="1" applyFont="1" applyNumberFormat="1">
      <alignment horizontal="center"/>
    </xf>
    <xf borderId="0" fillId="65" fontId="24" numFmtId="0" xfId="0" applyAlignment="1" applyFill="1" applyFont="1">
      <alignment horizontal="center"/>
    </xf>
    <xf borderId="0" fillId="2" fontId="24" numFmtId="0" xfId="0" applyAlignment="1" applyFill="1" applyFont="1">
      <alignment horizontal="center"/>
    </xf>
    <xf borderId="0" fillId="5" fontId="27" numFmtId="0" xfId="0" applyAlignment="1" applyFill="1" applyFont="1">
      <alignment readingOrder="0"/>
    </xf>
    <xf borderId="0" fillId="24" fontId="9" numFmtId="0" xfId="0" applyAlignment="1" applyFill="1" applyFont="1">
      <alignment horizontal="center" vertical="bottom"/>
    </xf>
    <xf borderId="0" fillId="0" fontId="0" numFmtId="0" xfId="0" applyAlignment="1" applyFont="1">
      <alignment horizontal="center" readingOrder="0"/>
    </xf>
    <xf borderId="0" fillId="0" fontId="0" numFmtId="0" xfId="0" applyAlignment="1" applyFont="1">
      <alignment horizontal="center"/>
    </xf>
    <xf borderId="0" fillId="5" fontId="27" numFmtId="0" xfId="0" applyFill="1" applyFont="1"/>
    <xf borderId="0" fillId="24" fontId="24" numFmtId="0" xfId="0" applyAlignment="1" applyFill="1" applyFont="1">
      <alignment horizontal="center"/>
    </xf>
    <xf borderId="0" fillId="66" fontId="28" numFmtId="0" xfId="0" applyAlignment="1" applyFill="1" applyFont="1">
      <alignment readingOrder="0"/>
    </xf>
    <xf borderId="0" fillId="66" fontId="24" numFmtId="0" xfId="0" applyAlignment="1" applyFill="1" applyFont="1">
      <alignment horizontal="center"/>
    </xf>
  </cellXfs>
  <cellStyles count="1">
    <cellStyle xfId="0" name="Normal" builtinId="0"/>
  </cellStyles>
  <dxfs count="51">
    <dxf>
      <font/>
      <fill>
        <patternFill patternType="solid">
          <fgColor rgb="FFF3CCCC"/>
          <bgColor rgb="FFF3CCCC"/>
        </patternFill>
      </fill>
      <border/>
    </dxf>
    <dxf>
      <font/>
      <fill>
        <patternFill patternType="solid">
          <fgColor rgb="FF4CCC4C"/>
          <bgColor rgb="FF4CCC4C"/>
        </patternFill>
      </fill>
      <border/>
    </dxf>
    <dxf>
      <font>
        <color rgb="FF264F1E"/>
      </font>
      <fill>
        <patternFill patternType="solid">
          <fgColor rgb="FFD8EAD3"/>
          <bgColor rgb="FFD8EAD3"/>
        </patternFill>
      </fill>
      <border/>
    </dxf>
    <dxf>
      <font>
        <b/>
      </font>
      <fill>
        <patternFill patternType="solid">
          <fgColor rgb="FFB7E1CD"/>
          <bgColor rgb="FFB7E1CD"/>
        </patternFill>
      </fill>
      <border/>
    </dxf>
    <dxf>
      <font/>
      <fill>
        <patternFill patternType="solid">
          <fgColor rgb="FFB6E0CC"/>
          <bgColor rgb="FFB6E0CC"/>
        </patternFill>
      </fill>
      <border/>
    </dxf>
    <dxf>
      <font>
        <color rgb="FF38761D"/>
      </font>
      <fill>
        <patternFill patternType="none"/>
      </fill>
      <border/>
    </dxf>
    <dxf>
      <font>
        <color rgb="FFCC0000"/>
      </font>
      <fill>
        <patternFill patternType="none"/>
      </fill>
      <border/>
    </dxf>
    <dxf>
      <font/>
      <fill>
        <patternFill patternType="none"/>
      </fill>
      <border/>
    </dxf>
    <dxf>
      <font/>
      <fill>
        <patternFill patternType="none"/>
      </fill>
      <border/>
    </dxf>
    <dxf>
      <font/>
      <fill>
        <patternFill patternType="solid">
          <fgColor rgb="FFE31837"/>
          <bgColor rgb="FFE31837"/>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000000"/>
          <bgColor rgb="FF000000"/>
        </patternFill>
      </fill>
      <border/>
    </dxf>
    <dxf>
      <font/>
      <fill>
        <patternFill patternType="solid">
          <fgColor rgb="FFD9D9D9"/>
          <bgColor rgb="FFD9D9D9"/>
        </patternFill>
      </fill>
      <border/>
    </dxf>
    <dxf>
      <font/>
      <fill>
        <patternFill patternType="solid">
          <fgColor rgb="FFFB4F14"/>
          <bgColor rgb="FFFB4F14"/>
        </patternFill>
      </fill>
      <border/>
    </dxf>
    <dxf>
      <font/>
      <fill>
        <patternFill patternType="solid">
          <fgColor rgb="FFFCE5CD"/>
          <bgColor rgb="FFFCE5CD"/>
        </patternFill>
      </fill>
      <border/>
    </dxf>
    <dxf>
      <font/>
      <fill>
        <patternFill patternType="solid">
          <fgColor rgb="FF0081C9"/>
          <bgColor rgb="FF0081C9"/>
        </patternFill>
      </fill>
      <border/>
    </dxf>
    <dxf>
      <font/>
      <fill>
        <patternFill patternType="solid">
          <fgColor rgb="FFC9DAF8"/>
          <bgColor rgb="FFC9DAF8"/>
        </patternFill>
      </fill>
      <border/>
    </dxf>
    <dxf>
      <font/>
      <fill>
        <patternFill patternType="solid">
          <fgColor rgb="FF00308E"/>
          <bgColor rgb="FF00308E"/>
        </patternFill>
      </fill>
      <border/>
    </dxf>
    <dxf>
      <font/>
      <fill>
        <patternFill patternType="solid">
          <fgColor rgb="FF008F99"/>
          <bgColor rgb="FF008F99"/>
        </patternFill>
      </fill>
      <border/>
    </dxf>
    <dxf>
      <font/>
      <fill>
        <patternFill patternType="solid">
          <fgColor rgb="FFD0E0E3"/>
          <bgColor rgb="FFD0E0E3"/>
        </patternFill>
      </fill>
      <border/>
    </dxf>
    <dxf>
      <font/>
      <fill>
        <patternFill patternType="solid">
          <fgColor rgb="FF00563C"/>
          <bgColor rgb="FF00563C"/>
        </patternFill>
      </fill>
      <border/>
    </dxf>
    <dxf>
      <font/>
      <fill>
        <patternFill patternType="solid">
          <fgColor rgb="FFD9EAD3"/>
          <bgColor rgb="FFD9EAD3"/>
        </patternFill>
      </fill>
      <border/>
    </dxf>
    <dxf>
      <font/>
      <fill>
        <patternFill patternType="solid">
          <fgColor rgb="FF002245"/>
          <bgColor rgb="FF002245"/>
        </patternFill>
      </fill>
      <border/>
    </dxf>
    <dxf>
      <font/>
      <fill>
        <patternFill patternType="solid">
          <fgColor rgb="FF27328C"/>
          <bgColor rgb="FF27328C"/>
        </patternFill>
      </fill>
      <border/>
    </dxf>
    <dxf>
      <font/>
      <fill>
        <patternFill patternType="solid">
          <fgColor rgb="FFD9D2E9"/>
          <bgColor rgb="FFD9D2E9"/>
        </patternFill>
      </fill>
      <border/>
    </dxf>
    <dxf>
      <font/>
      <fill>
        <patternFill patternType="solid">
          <fgColor rgb="FFFD6100"/>
          <bgColor rgb="FFFD6100"/>
        </patternFill>
      </fill>
      <border/>
    </dxf>
    <dxf>
      <font/>
      <fill>
        <patternFill patternType="solid">
          <fgColor rgb="FFFDC935"/>
          <bgColor rgb="FFFDC935"/>
        </patternFill>
      </fill>
      <border/>
    </dxf>
    <dxf>
      <font/>
      <fill>
        <patternFill patternType="solid">
          <fgColor rgb="FFFFF2CC"/>
          <bgColor rgb="FFFFF2CC"/>
        </patternFill>
      </fill>
      <border/>
    </dxf>
    <dxf>
      <font/>
      <fill>
        <patternFill patternType="solid">
          <fgColor rgb="FFFB4E0C"/>
          <bgColor rgb="FFFB4E0C"/>
        </patternFill>
      </fill>
      <border/>
    </dxf>
    <dxf>
      <font/>
      <fill>
        <patternFill patternType="solid">
          <fgColor rgb="FFA51933"/>
          <bgColor rgb="FFA51933"/>
        </patternFill>
      </fill>
      <border/>
    </dxf>
    <dxf>
      <font/>
      <fill>
        <patternFill patternType="solid">
          <fgColor rgb="FF017491"/>
          <bgColor rgb="FF017491"/>
        </patternFill>
      </fill>
      <border/>
    </dxf>
    <dxf>
      <font/>
      <fill>
        <patternFill patternType="solid">
          <fgColor rgb="FF003689"/>
          <bgColor rgb="FF003689"/>
        </patternFill>
      </fill>
      <border/>
    </dxf>
    <dxf>
      <font/>
      <fill>
        <patternFill patternType="solid">
          <fgColor rgb="FF0093DE"/>
          <bgColor rgb="FF0093DE"/>
        </patternFill>
      </fill>
      <border/>
    </dxf>
    <dxf>
      <font/>
      <fill>
        <patternFill patternType="solid">
          <fgColor rgb="FFCFE2F3"/>
          <bgColor rgb="FFCFE2F3"/>
        </patternFill>
      </fill>
      <border/>
    </dxf>
    <dxf>
      <font/>
      <fill>
        <patternFill patternType="solid">
          <fgColor rgb="FFA50000"/>
          <bgColor rgb="FFA50000"/>
        </patternFill>
      </fill>
      <border/>
    </dxf>
    <dxf>
      <font/>
      <fill>
        <patternFill patternType="solid">
          <fgColor rgb="FF203990"/>
          <bgColor rgb="FF203990"/>
        </patternFill>
      </fill>
      <border/>
    </dxf>
    <dxf>
      <font/>
      <fill>
        <patternFill patternType="solid">
          <fgColor rgb="FF00BF00"/>
          <bgColor rgb="FF00BF00"/>
        </patternFill>
      </fill>
      <border/>
    </dxf>
    <dxf>
      <font/>
      <fill>
        <patternFill patternType="solid">
          <fgColor rgb="FFAF053A"/>
          <bgColor rgb="FFAF053A"/>
        </patternFill>
      </fill>
      <border/>
    </dxf>
    <dxf>
      <font/>
      <fill>
        <patternFill patternType="solid">
          <fgColor rgb="FF002244"/>
          <bgColor rgb="FF002244"/>
        </patternFill>
      </fill>
      <border/>
    </dxf>
    <dxf>
      <font/>
      <fill>
        <patternFill patternType="solid">
          <fgColor rgb="FF004A53"/>
          <bgColor rgb="FF004A53"/>
        </patternFill>
      </fill>
      <border/>
    </dxf>
    <dxf>
      <font/>
      <fill>
        <patternFill patternType="solid">
          <fgColor rgb="FF031C65"/>
          <bgColor rgb="FF031C65"/>
        </patternFill>
      </fill>
      <border/>
    </dxf>
    <dxf>
      <font/>
      <fill>
        <patternFill patternType="solid">
          <fgColor rgb="FF5A0C0C"/>
          <bgColor rgb="FF5A0C0C"/>
        </patternFill>
      </fill>
      <border/>
    </dxf>
    <dxf>
      <font/>
      <fill>
        <patternFill patternType="solid">
          <fgColor rgb="FF0176B8"/>
          <bgColor rgb="FF0176B8"/>
        </patternFill>
      </fill>
      <border/>
    </dxf>
    <dxf>
      <font/>
      <fill>
        <patternFill patternType="solid">
          <fgColor rgb="FF1A342D"/>
          <bgColor rgb="FF1A342D"/>
        </patternFill>
      </fill>
      <border/>
    </dxf>
    <dxf>
      <font/>
      <fill>
        <patternFill patternType="solid">
          <fgColor rgb="FF602788"/>
          <bgColor rgb="FF602788"/>
        </patternFill>
      </fill>
      <border/>
    </dxf>
    <dxf>
      <font/>
      <fill>
        <patternFill patternType="solid">
          <fgColor rgb="FFE73F00"/>
          <bgColor rgb="FFE73F00"/>
        </patternFill>
      </fill>
      <border/>
    </dxf>
    <dxf>
      <font/>
      <fill>
        <patternFill patternType="solid">
          <fgColor rgb="FFD50A0A"/>
          <bgColor rgb="FFD50A0A"/>
        </patternFill>
      </fill>
      <border/>
    </dxf>
    <dxf>
      <font/>
      <fill>
        <patternFill patternType="solid">
          <fgColor rgb="FFD4BD8E"/>
          <bgColor rgb="FFD4BD8E"/>
        </patternFill>
      </fill>
      <border/>
    </dxf>
    <dxf>
      <font/>
      <fill>
        <patternFill patternType="solid">
          <fgColor rgb="FFA71930"/>
          <bgColor rgb="FFA71930"/>
        </patternFill>
      </fill>
      <border/>
    </dxf>
    <dxf>
      <font/>
      <fill>
        <patternFill patternType="solid">
          <fgColor rgb="FF0099D8"/>
          <bgColor rgb="FF0099D8"/>
        </patternFill>
      </fill>
      <border/>
    </dxf>
  </dxfs>
  <tableStyles count="416">
    <tableStyle count="4" pivot="0" name="Div Record Counter-style">
      <tableStyleElement dxfId="9" type="headerRow"/>
      <tableStyleElement dxfId="10" type="firstRowStripe"/>
      <tableStyleElement dxfId="11" type="secondRowStripe"/>
      <tableStyleElement dxfId="9" type="totalRow"/>
    </tableStyle>
    <tableStyle count="4" pivot="0" name="Div Record Counter-style 2">
      <tableStyleElement dxfId="12" type="headerRow"/>
      <tableStyleElement dxfId="13" type="firstRowStripe"/>
      <tableStyleElement dxfId="11" type="secondRowStripe"/>
      <tableStyleElement dxfId="12" type="totalRow"/>
    </tableStyle>
    <tableStyle count="4" pivot="0" name="Div Record Counter-style 3">
      <tableStyleElement dxfId="14" type="headerRow"/>
      <tableStyleElement dxfId="15" type="firstRowStripe"/>
      <tableStyleElement dxfId="11" type="secondRowStripe"/>
      <tableStyleElement dxfId="14" type="totalRow"/>
    </tableStyle>
    <tableStyle count="4" pivot="0" name="Div Record Counter-style 4">
      <tableStyleElement dxfId="16" type="headerRow"/>
      <tableStyleElement dxfId="17" type="firstRowStripe"/>
      <tableStyleElement dxfId="11" type="secondRowStripe"/>
      <tableStyleElement dxfId="16" type="totalRow"/>
    </tableStyle>
    <tableStyle count="4" pivot="0" name="Div Record Counter-style 5">
      <tableStyleElement dxfId="18" type="headerRow"/>
      <tableStyleElement dxfId="17" type="firstRowStripe"/>
      <tableStyleElement dxfId="11" type="secondRowStripe"/>
      <tableStyleElement dxfId="18" type="totalRow"/>
    </tableStyle>
    <tableStyle count="4" pivot="0" name="Div Record Counter-style 6">
      <tableStyleElement dxfId="19" type="headerRow"/>
      <tableStyleElement dxfId="20" type="firstRowStripe"/>
      <tableStyleElement dxfId="11" type="secondRowStripe"/>
      <tableStyleElement dxfId="19" type="totalRow"/>
    </tableStyle>
    <tableStyle count="4" pivot="0" name="Div Record Counter-style 7">
      <tableStyleElement dxfId="21" type="headerRow"/>
      <tableStyleElement dxfId="22" type="firstRowStripe"/>
      <tableStyleElement dxfId="11" type="secondRowStripe"/>
      <tableStyleElement dxfId="21" type="totalRow"/>
    </tableStyle>
    <tableStyle count="4" pivot="0" name="Div Record Counter-style 8">
      <tableStyleElement dxfId="23" type="headerRow"/>
      <tableStyleElement dxfId="17" type="firstRowStripe"/>
      <tableStyleElement dxfId="11" type="secondRowStripe"/>
      <tableStyleElement dxfId="23" type="totalRow"/>
    </tableStyle>
    <tableStyle count="4" pivot="0" name="Div Record Counter-style 9">
      <tableStyleElement dxfId="24" type="headerRow"/>
      <tableStyleElement dxfId="25" type="firstRowStripe"/>
      <tableStyleElement dxfId="11" type="secondRowStripe"/>
      <tableStyleElement dxfId="24" type="totalRow"/>
    </tableStyle>
    <tableStyle count="4" pivot="0" name="Div Record Counter-style 10">
      <tableStyleElement dxfId="26" type="headerRow"/>
      <tableStyleElement dxfId="15" type="firstRowStripe"/>
      <tableStyleElement dxfId="11" type="secondRowStripe"/>
      <tableStyleElement dxfId="26" type="totalRow"/>
    </tableStyle>
    <tableStyle count="4" pivot="0" name="Div Record Counter-style 11">
      <tableStyleElement dxfId="27" type="headerRow"/>
      <tableStyleElement dxfId="28" type="firstRowStripe"/>
      <tableStyleElement dxfId="11" type="secondRowStripe"/>
      <tableStyleElement dxfId="27" type="totalRow"/>
    </tableStyle>
    <tableStyle count="4" pivot="0" name="Div Record Counter-style 12">
      <tableStyleElement dxfId="29" type="headerRow"/>
      <tableStyleElement dxfId="15" type="firstRowStripe"/>
      <tableStyleElement dxfId="11" type="secondRowStripe"/>
      <tableStyleElement dxfId="29" type="totalRow"/>
    </tableStyle>
    <tableStyle count="4" pivot="0" name="Div Record Counter-style 13">
      <tableStyleElement dxfId="30" type="headerRow"/>
      <tableStyleElement dxfId="10" type="firstRowStripe"/>
      <tableStyleElement dxfId="11" type="secondRowStripe"/>
      <tableStyleElement dxfId="30" type="totalRow"/>
    </tableStyle>
    <tableStyle count="4" pivot="0" name="Div Record Counter-style 14">
      <tableStyleElement dxfId="31" type="headerRow"/>
      <tableStyleElement dxfId="20" type="firstRowStripe"/>
      <tableStyleElement dxfId="11" type="secondRowStripe"/>
      <tableStyleElement dxfId="31" type="totalRow"/>
    </tableStyle>
    <tableStyle count="4" pivot="0" name="Div Record Counter-style 15">
      <tableStyleElement dxfId="32" type="headerRow"/>
      <tableStyleElement dxfId="17" type="firstRowStripe"/>
      <tableStyleElement dxfId="11" type="secondRowStripe"/>
      <tableStyleElement dxfId="32" type="totalRow"/>
    </tableStyle>
    <tableStyle count="4" pivot="0" name="Div Record Counter-style 16">
      <tableStyleElement dxfId="33" type="headerRow"/>
      <tableStyleElement dxfId="34" type="firstRowStripe"/>
      <tableStyleElement dxfId="11" type="secondRowStripe"/>
      <tableStyleElement dxfId="33" type="totalRow"/>
    </tableStyle>
    <tableStyle count="4" pivot="0" name="Div Record Counter-style 17">
      <tableStyleElement dxfId="35" type="headerRow"/>
      <tableStyleElement dxfId="10" type="firstRowStripe"/>
      <tableStyleElement dxfId="11" type="secondRowStripe"/>
      <tableStyleElement dxfId="35" type="totalRow"/>
    </tableStyle>
    <tableStyle count="4" pivot="0" name="Div Record Counter-style 18">
      <tableStyleElement dxfId="36" type="headerRow"/>
      <tableStyleElement dxfId="17" type="firstRowStripe"/>
      <tableStyleElement dxfId="11" type="secondRowStripe"/>
      <tableStyleElement dxfId="36" type="totalRow"/>
    </tableStyle>
    <tableStyle count="4" pivot="0" name="Div Record Counter-style 19">
      <tableStyleElement dxfId="37" type="headerRow"/>
      <tableStyleElement dxfId="22" type="firstRowStripe"/>
      <tableStyleElement dxfId="11" type="secondRowStripe"/>
      <tableStyleElement dxfId="37" type="totalRow"/>
    </tableStyle>
    <tableStyle count="4" pivot="0" name="Div Record Counter-style 20">
      <tableStyleElement dxfId="38" type="headerRow"/>
      <tableStyleElement dxfId="10" type="firstRowStripe"/>
      <tableStyleElement dxfId="11" type="secondRowStripe"/>
      <tableStyleElement dxfId="38" type="totalRow"/>
    </tableStyle>
    <tableStyle count="4" pivot="0" name="Div Record Counter-style 21">
      <tableStyleElement dxfId="39" type="headerRow"/>
      <tableStyleElement dxfId="17" type="firstRowStripe"/>
      <tableStyleElement dxfId="11" type="secondRowStripe"/>
      <tableStyleElement dxfId="39" type="totalRow"/>
    </tableStyle>
    <tableStyle count="4" pivot="0" name="Div Record Counter-style 22">
      <tableStyleElement dxfId="40" type="headerRow"/>
      <tableStyleElement dxfId="22" type="firstRowStripe"/>
      <tableStyleElement dxfId="11" type="secondRowStripe"/>
      <tableStyleElement dxfId="40" type="totalRow"/>
    </tableStyle>
    <tableStyle count="4" pivot="0" name="Div Record Counter-style 23">
      <tableStyleElement dxfId="41" type="headerRow"/>
      <tableStyleElement dxfId="17" type="firstRowStripe"/>
      <tableStyleElement dxfId="11" type="secondRowStripe"/>
      <tableStyleElement dxfId="41" type="totalRow"/>
    </tableStyle>
    <tableStyle count="4" pivot="0" name="Div Record Counter-style 24">
      <tableStyleElement dxfId="42" type="headerRow"/>
      <tableStyleElement dxfId="10" type="firstRowStripe"/>
      <tableStyleElement dxfId="11" type="secondRowStripe"/>
      <tableStyleElement dxfId="42" type="totalRow"/>
    </tableStyle>
    <tableStyle count="4" pivot="0" name="Div Record Counter-style 25">
      <tableStyleElement dxfId="43" type="headerRow"/>
      <tableStyleElement dxfId="34" type="firstRowStripe"/>
      <tableStyleElement dxfId="11" type="secondRowStripe"/>
      <tableStyleElement dxfId="43" type="totalRow"/>
    </tableStyle>
    <tableStyle count="4" pivot="0" name="Div Record Counter-style 26">
      <tableStyleElement dxfId="44" type="headerRow"/>
      <tableStyleElement dxfId="22" type="firstRowStripe"/>
      <tableStyleElement dxfId="11" type="secondRowStripe"/>
      <tableStyleElement dxfId="44" type="totalRow"/>
    </tableStyle>
    <tableStyle count="4" pivot="0" name="Div Record Counter-style 27">
      <tableStyleElement dxfId="45" type="headerRow"/>
      <tableStyleElement dxfId="25" type="firstRowStripe"/>
      <tableStyleElement dxfId="11" type="secondRowStripe"/>
      <tableStyleElement dxfId="45" type="totalRow"/>
    </tableStyle>
    <tableStyle count="4" pivot="0" name="Div Record Counter-style 28">
      <tableStyleElement dxfId="46" type="headerRow"/>
      <tableStyleElement dxfId="15" type="firstRowStripe"/>
      <tableStyleElement dxfId="11" type="secondRowStripe"/>
      <tableStyleElement dxfId="46" type="totalRow"/>
    </tableStyle>
    <tableStyle count="4" pivot="0" name="Div Record Counter-style 29">
      <tableStyleElement dxfId="47" type="headerRow"/>
      <tableStyleElement dxfId="10" type="firstRowStripe"/>
      <tableStyleElement dxfId="11" type="secondRowStripe"/>
      <tableStyleElement dxfId="47" type="totalRow"/>
    </tableStyle>
    <tableStyle count="4" pivot="0" name="Div Record Counter-style 30">
      <tableStyleElement dxfId="48" type="headerRow"/>
      <tableStyleElement dxfId="28" type="firstRowStripe"/>
      <tableStyleElement dxfId="11" type="secondRowStripe"/>
      <tableStyleElement dxfId="48" type="totalRow"/>
    </tableStyle>
    <tableStyle count="4" pivot="0" name="Div Record Counter-style 31">
      <tableStyleElement dxfId="49" type="headerRow"/>
      <tableStyleElement dxfId="10" type="firstRowStripe"/>
      <tableStyleElement dxfId="11" type="secondRowStripe"/>
      <tableStyleElement dxfId="49" type="totalRow"/>
    </tableStyle>
    <tableStyle count="4" pivot="0" name="Div Record Counter-style 32">
      <tableStyleElement dxfId="50" type="headerRow"/>
      <tableStyleElement dxfId="34" type="firstRowStripe"/>
      <tableStyleElement dxfId="11" type="secondRowStripe"/>
      <tableStyleElement dxfId="50" type="totalRow"/>
    </tableStyle>
    <tableStyle count="4" pivot="0" name="Conference Counter-style">
      <tableStyleElement dxfId="9" type="headerRow"/>
      <tableStyleElement dxfId="10" type="firstRowStripe"/>
      <tableStyleElement dxfId="11" type="secondRowStripe"/>
      <tableStyleElement dxfId="9" type="totalRow"/>
    </tableStyle>
    <tableStyle count="4" pivot="0" name="Conference Counter-style 2">
      <tableStyleElement dxfId="12" type="headerRow"/>
      <tableStyleElement dxfId="13" type="firstRowStripe"/>
      <tableStyleElement dxfId="11" type="secondRowStripe"/>
      <tableStyleElement dxfId="12" type="totalRow"/>
    </tableStyle>
    <tableStyle count="4" pivot="0" name="Conference Counter-style 3">
      <tableStyleElement dxfId="14" type="headerRow"/>
      <tableStyleElement dxfId="15" type="firstRowStripe"/>
      <tableStyleElement dxfId="11" type="secondRowStripe"/>
      <tableStyleElement dxfId="14" type="totalRow"/>
    </tableStyle>
    <tableStyle count="4" pivot="0" name="Conference Counter-style 4">
      <tableStyleElement dxfId="16" type="headerRow"/>
      <tableStyleElement dxfId="17" type="firstRowStripe"/>
      <tableStyleElement dxfId="11" type="secondRowStripe"/>
      <tableStyleElement dxfId="16" type="totalRow"/>
    </tableStyle>
    <tableStyle count="4" pivot="0" name="Conference Counter-style 5">
      <tableStyleElement dxfId="18" type="headerRow"/>
      <tableStyleElement dxfId="17" type="firstRowStripe"/>
      <tableStyleElement dxfId="11" type="secondRowStripe"/>
      <tableStyleElement dxfId="18" type="totalRow"/>
    </tableStyle>
    <tableStyle count="4" pivot="0" name="Conference Counter-style 6">
      <tableStyleElement dxfId="19" type="headerRow"/>
      <tableStyleElement dxfId="20" type="firstRowStripe"/>
      <tableStyleElement dxfId="11" type="secondRowStripe"/>
      <tableStyleElement dxfId="19" type="totalRow"/>
    </tableStyle>
    <tableStyle count="4" pivot="0" name="Conference Counter-style 7">
      <tableStyleElement dxfId="21" type="headerRow"/>
      <tableStyleElement dxfId="22" type="firstRowStripe"/>
      <tableStyleElement dxfId="11" type="secondRowStripe"/>
      <tableStyleElement dxfId="21" type="totalRow"/>
    </tableStyle>
    <tableStyle count="4" pivot="0" name="Conference Counter-style 8">
      <tableStyleElement dxfId="23" type="headerRow"/>
      <tableStyleElement dxfId="17" type="firstRowStripe"/>
      <tableStyleElement dxfId="11" type="secondRowStripe"/>
      <tableStyleElement dxfId="23" type="totalRow"/>
    </tableStyle>
    <tableStyle count="4" pivot="0" name="Conference Counter-style 9">
      <tableStyleElement dxfId="24" type="headerRow"/>
      <tableStyleElement dxfId="25" type="firstRowStripe"/>
      <tableStyleElement dxfId="11" type="secondRowStripe"/>
      <tableStyleElement dxfId="24" type="totalRow"/>
    </tableStyle>
    <tableStyle count="4" pivot="0" name="Conference Counter-style 10">
      <tableStyleElement dxfId="26" type="headerRow"/>
      <tableStyleElement dxfId="15" type="firstRowStripe"/>
      <tableStyleElement dxfId="11" type="secondRowStripe"/>
      <tableStyleElement dxfId="26" type="totalRow"/>
    </tableStyle>
    <tableStyle count="4" pivot="0" name="Conference Counter-style 11">
      <tableStyleElement dxfId="27" type="headerRow"/>
      <tableStyleElement dxfId="28" type="firstRowStripe"/>
      <tableStyleElement dxfId="11" type="secondRowStripe"/>
      <tableStyleElement dxfId="27" type="totalRow"/>
    </tableStyle>
    <tableStyle count="4" pivot="0" name="Conference Counter-style 12">
      <tableStyleElement dxfId="29" type="headerRow"/>
      <tableStyleElement dxfId="15" type="firstRowStripe"/>
      <tableStyleElement dxfId="11" type="secondRowStripe"/>
      <tableStyleElement dxfId="29" type="totalRow"/>
    </tableStyle>
    <tableStyle count="4" pivot="0" name="Conference Counter-style 13">
      <tableStyleElement dxfId="30" type="headerRow"/>
      <tableStyleElement dxfId="10" type="firstRowStripe"/>
      <tableStyleElement dxfId="11" type="secondRowStripe"/>
      <tableStyleElement dxfId="30" type="totalRow"/>
    </tableStyle>
    <tableStyle count="4" pivot="0" name="Conference Counter-style 14">
      <tableStyleElement dxfId="31" type="headerRow"/>
      <tableStyleElement dxfId="20" type="firstRowStripe"/>
      <tableStyleElement dxfId="11" type="secondRowStripe"/>
      <tableStyleElement dxfId="31" type="totalRow"/>
    </tableStyle>
    <tableStyle count="4" pivot="0" name="Conference Counter-style 15">
      <tableStyleElement dxfId="32" type="headerRow"/>
      <tableStyleElement dxfId="17" type="firstRowStripe"/>
      <tableStyleElement dxfId="11" type="secondRowStripe"/>
      <tableStyleElement dxfId="32" type="totalRow"/>
    </tableStyle>
    <tableStyle count="4" pivot="0" name="Conference Counter-style 16">
      <tableStyleElement dxfId="33" type="headerRow"/>
      <tableStyleElement dxfId="34" type="firstRowStripe"/>
      <tableStyleElement dxfId="11" type="secondRowStripe"/>
      <tableStyleElement dxfId="33" type="totalRow"/>
    </tableStyle>
    <tableStyle count="4" pivot="0" name="Conference Counter-style 17">
      <tableStyleElement dxfId="35" type="headerRow"/>
      <tableStyleElement dxfId="10" type="firstRowStripe"/>
      <tableStyleElement dxfId="11" type="secondRowStripe"/>
      <tableStyleElement dxfId="35" type="totalRow"/>
    </tableStyle>
    <tableStyle count="4" pivot="0" name="Conference Counter-style 18">
      <tableStyleElement dxfId="36" type="headerRow"/>
      <tableStyleElement dxfId="17" type="firstRowStripe"/>
      <tableStyleElement dxfId="11" type="secondRowStripe"/>
      <tableStyleElement dxfId="36" type="totalRow"/>
    </tableStyle>
    <tableStyle count="4" pivot="0" name="Conference Counter-style 19">
      <tableStyleElement dxfId="37" type="headerRow"/>
      <tableStyleElement dxfId="22" type="firstRowStripe"/>
      <tableStyleElement dxfId="11" type="secondRowStripe"/>
      <tableStyleElement dxfId="37" type="totalRow"/>
    </tableStyle>
    <tableStyle count="4" pivot="0" name="Conference Counter-style 20">
      <tableStyleElement dxfId="38" type="headerRow"/>
      <tableStyleElement dxfId="10" type="firstRowStripe"/>
      <tableStyleElement dxfId="11" type="secondRowStripe"/>
      <tableStyleElement dxfId="38" type="totalRow"/>
    </tableStyle>
    <tableStyle count="4" pivot="0" name="Conference Counter-style 21">
      <tableStyleElement dxfId="39" type="headerRow"/>
      <tableStyleElement dxfId="17" type="firstRowStripe"/>
      <tableStyleElement dxfId="11" type="secondRowStripe"/>
      <tableStyleElement dxfId="39" type="totalRow"/>
    </tableStyle>
    <tableStyle count="4" pivot="0" name="Conference Counter-style 22">
      <tableStyleElement dxfId="40" type="headerRow"/>
      <tableStyleElement dxfId="22" type="firstRowStripe"/>
      <tableStyleElement dxfId="11" type="secondRowStripe"/>
      <tableStyleElement dxfId="40" type="totalRow"/>
    </tableStyle>
    <tableStyle count="4" pivot="0" name="Conference Counter-style 23">
      <tableStyleElement dxfId="41" type="headerRow"/>
      <tableStyleElement dxfId="17" type="firstRowStripe"/>
      <tableStyleElement dxfId="11" type="secondRowStripe"/>
      <tableStyleElement dxfId="41" type="totalRow"/>
    </tableStyle>
    <tableStyle count="4" pivot="0" name="Conference Counter-style 24">
      <tableStyleElement dxfId="42" type="headerRow"/>
      <tableStyleElement dxfId="10" type="firstRowStripe"/>
      <tableStyleElement dxfId="11" type="secondRowStripe"/>
      <tableStyleElement dxfId="42" type="totalRow"/>
    </tableStyle>
    <tableStyle count="4" pivot="0" name="Conference Counter-style 25">
      <tableStyleElement dxfId="43" type="headerRow"/>
      <tableStyleElement dxfId="34" type="firstRowStripe"/>
      <tableStyleElement dxfId="11" type="secondRowStripe"/>
      <tableStyleElement dxfId="43" type="totalRow"/>
    </tableStyle>
    <tableStyle count="4" pivot="0" name="Conference Counter-style 26">
      <tableStyleElement dxfId="44" type="headerRow"/>
      <tableStyleElement dxfId="22" type="firstRowStripe"/>
      <tableStyleElement dxfId="11" type="secondRowStripe"/>
      <tableStyleElement dxfId="44" type="totalRow"/>
    </tableStyle>
    <tableStyle count="4" pivot="0" name="Conference Counter-style 27">
      <tableStyleElement dxfId="45" type="headerRow"/>
      <tableStyleElement dxfId="25" type="firstRowStripe"/>
      <tableStyleElement dxfId="11" type="secondRowStripe"/>
      <tableStyleElement dxfId="45" type="totalRow"/>
    </tableStyle>
    <tableStyle count="4" pivot="0" name="Conference Counter-style 28">
      <tableStyleElement dxfId="46" type="headerRow"/>
      <tableStyleElement dxfId="15" type="firstRowStripe"/>
      <tableStyleElement dxfId="11" type="secondRowStripe"/>
      <tableStyleElement dxfId="46" type="totalRow"/>
    </tableStyle>
    <tableStyle count="4" pivot="0" name="Conference Counter-style 29">
      <tableStyleElement dxfId="47" type="headerRow"/>
      <tableStyleElement dxfId="10" type="firstRowStripe"/>
      <tableStyleElement dxfId="11" type="secondRowStripe"/>
      <tableStyleElement dxfId="47" type="totalRow"/>
    </tableStyle>
    <tableStyle count="4" pivot="0" name="Conference Counter-style 30">
      <tableStyleElement dxfId="48" type="headerRow"/>
      <tableStyleElement dxfId="28" type="firstRowStripe"/>
      <tableStyleElement dxfId="11" type="secondRowStripe"/>
      <tableStyleElement dxfId="48" type="totalRow"/>
    </tableStyle>
    <tableStyle count="4" pivot="0" name="Conference Counter-style 31">
      <tableStyleElement dxfId="49" type="headerRow"/>
      <tableStyleElement dxfId="10" type="firstRowStripe"/>
      <tableStyleElement dxfId="11" type="secondRowStripe"/>
      <tableStyleElement dxfId="49" type="totalRow"/>
    </tableStyle>
    <tableStyle count="4" pivot="0" name="Conference Counter-style 32">
      <tableStyleElement dxfId="50" type="headerRow"/>
      <tableStyleElement dxfId="34" type="firstRowStripe"/>
      <tableStyleElement dxfId="11" type="secondRowStripe"/>
      <tableStyleElement dxfId="50" type="totalRow"/>
    </tableStyle>
    <tableStyle count="4" pivot="0" name="PFPA Counter-style">
      <tableStyleElement dxfId="9" type="headerRow"/>
      <tableStyleElement dxfId="10" type="firstRowStripe"/>
      <tableStyleElement dxfId="11" type="secondRowStripe"/>
      <tableStyleElement dxfId="9" type="totalRow"/>
    </tableStyle>
    <tableStyle count="4" pivot="0" name="PFPA Counter-style 2">
      <tableStyleElement dxfId="12" type="headerRow"/>
      <tableStyleElement dxfId="13" type="firstRowStripe"/>
      <tableStyleElement dxfId="11" type="secondRowStripe"/>
      <tableStyleElement dxfId="12" type="totalRow"/>
    </tableStyle>
    <tableStyle count="4" pivot="0" name="PFPA Counter-style 3">
      <tableStyleElement dxfId="14" type="headerRow"/>
      <tableStyleElement dxfId="15" type="firstRowStripe"/>
      <tableStyleElement dxfId="11" type="secondRowStripe"/>
      <tableStyleElement dxfId="14" type="totalRow"/>
    </tableStyle>
    <tableStyle count="4" pivot="0" name="PFPA Counter-style 4">
      <tableStyleElement dxfId="16" type="headerRow"/>
      <tableStyleElement dxfId="17" type="firstRowStripe"/>
      <tableStyleElement dxfId="11" type="secondRowStripe"/>
      <tableStyleElement dxfId="16" type="totalRow"/>
    </tableStyle>
    <tableStyle count="4" pivot="0" name="PFPA Counter-style 5">
      <tableStyleElement dxfId="18" type="headerRow"/>
      <tableStyleElement dxfId="17" type="firstRowStripe"/>
      <tableStyleElement dxfId="11" type="secondRowStripe"/>
      <tableStyleElement dxfId="18" type="totalRow"/>
    </tableStyle>
    <tableStyle count="4" pivot="0" name="PFPA Counter-style 6">
      <tableStyleElement dxfId="19" type="headerRow"/>
      <tableStyleElement dxfId="20" type="firstRowStripe"/>
      <tableStyleElement dxfId="11" type="secondRowStripe"/>
      <tableStyleElement dxfId="19" type="totalRow"/>
    </tableStyle>
    <tableStyle count="4" pivot="0" name="PFPA Counter-style 7">
      <tableStyleElement dxfId="21" type="headerRow"/>
      <tableStyleElement dxfId="22" type="firstRowStripe"/>
      <tableStyleElement dxfId="11" type="secondRowStripe"/>
      <tableStyleElement dxfId="21" type="totalRow"/>
    </tableStyle>
    <tableStyle count="4" pivot="0" name="PFPA Counter-style 8">
      <tableStyleElement dxfId="23" type="headerRow"/>
      <tableStyleElement dxfId="17" type="firstRowStripe"/>
      <tableStyleElement dxfId="11" type="secondRowStripe"/>
      <tableStyleElement dxfId="23" type="totalRow"/>
    </tableStyle>
    <tableStyle count="4" pivot="0" name="PFPA Counter-style 9">
      <tableStyleElement dxfId="24" type="headerRow"/>
      <tableStyleElement dxfId="25" type="firstRowStripe"/>
      <tableStyleElement dxfId="11" type="secondRowStripe"/>
      <tableStyleElement dxfId="24" type="totalRow"/>
    </tableStyle>
    <tableStyle count="4" pivot="0" name="PFPA Counter-style 10">
      <tableStyleElement dxfId="26" type="headerRow"/>
      <tableStyleElement dxfId="15" type="firstRowStripe"/>
      <tableStyleElement dxfId="11" type="secondRowStripe"/>
      <tableStyleElement dxfId="26" type="totalRow"/>
    </tableStyle>
    <tableStyle count="4" pivot="0" name="PFPA Counter-style 11">
      <tableStyleElement dxfId="27" type="headerRow"/>
      <tableStyleElement dxfId="28" type="firstRowStripe"/>
      <tableStyleElement dxfId="11" type="secondRowStripe"/>
      <tableStyleElement dxfId="27" type="totalRow"/>
    </tableStyle>
    <tableStyle count="4" pivot="0" name="PFPA Counter-style 12">
      <tableStyleElement dxfId="29" type="headerRow"/>
      <tableStyleElement dxfId="15" type="firstRowStripe"/>
      <tableStyleElement dxfId="11" type="secondRowStripe"/>
      <tableStyleElement dxfId="29" type="totalRow"/>
    </tableStyle>
    <tableStyle count="4" pivot="0" name="PFPA Counter-style 13">
      <tableStyleElement dxfId="30" type="headerRow"/>
      <tableStyleElement dxfId="10" type="firstRowStripe"/>
      <tableStyleElement dxfId="11" type="secondRowStripe"/>
      <tableStyleElement dxfId="30" type="totalRow"/>
    </tableStyle>
    <tableStyle count="4" pivot="0" name="PFPA Counter-style 14">
      <tableStyleElement dxfId="31" type="headerRow"/>
      <tableStyleElement dxfId="20" type="firstRowStripe"/>
      <tableStyleElement dxfId="11" type="secondRowStripe"/>
      <tableStyleElement dxfId="31" type="totalRow"/>
    </tableStyle>
    <tableStyle count="4" pivot="0" name="PFPA Counter-style 15">
      <tableStyleElement dxfId="32" type="headerRow"/>
      <tableStyleElement dxfId="17" type="firstRowStripe"/>
      <tableStyleElement dxfId="11" type="secondRowStripe"/>
      <tableStyleElement dxfId="32" type="totalRow"/>
    </tableStyle>
    <tableStyle count="4" pivot="0" name="PFPA Counter-style 16">
      <tableStyleElement dxfId="33" type="headerRow"/>
      <tableStyleElement dxfId="34" type="firstRowStripe"/>
      <tableStyleElement dxfId="11" type="secondRowStripe"/>
      <tableStyleElement dxfId="33" type="totalRow"/>
    </tableStyle>
    <tableStyle count="4" pivot="0" name="PFPA Counter-style 17">
      <tableStyleElement dxfId="35" type="headerRow"/>
      <tableStyleElement dxfId="10" type="firstRowStripe"/>
      <tableStyleElement dxfId="11" type="secondRowStripe"/>
      <tableStyleElement dxfId="35" type="totalRow"/>
    </tableStyle>
    <tableStyle count="4" pivot="0" name="PFPA Counter-style 18">
      <tableStyleElement dxfId="36" type="headerRow"/>
      <tableStyleElement dxfId="17" type="firstRowStripe"/>
      <tableStyleElement dxfId="11" type="secondRowStripe"/>
      <tableStyleElement dxfId="36" type="totalRow"/>
    </tableStyle>
    <tableStyle count="4" pivot="0" name="PFPA Counter-style 19">
      <tableStyleElement dxfId="37" type="headerRow"/>
      <tableStyleElement dxfId="22" type="firstRowStripe"/>
      <tableStyleElement dxfId="11" type="secondRowStripe"/>
      <tableStyleElement dxfId="37" type="totalRow"/>
    </tableStyle>
    <tableStyle count="4" pivot="0" name="PFPA Counter-style 20">
      <tableStyleElement dxfId="38" type="headerRow"/>
      <tableStyleElement dxfId="10" type="firstRowStripe"/>
      <tableStyleElement dxfId="11" type="secondRowStripe"/>
      <tableStyleElement dxfId="38" type="totalRow"/>
    </tableStyle>
    <tableStyle count="4" pivot="0" name="PFPA Counter-style 21">
      <tableStyleElement dxfId="39" type="headerRow"/>
      <tableStyleElement dxfId="17" type="firstRowStripe"/>
      <tableStyleElement dxfId="11" type="secondRowStripe"/>
      <tableStyleElement dxfId="39" type="totalRow"/>
    </tableStyle>
    <tableStyle count="4" pivot="0" name="PFPA Counter-style 22">
      <tableStyleElement dxfId="40" type="headerRow"/>
      <tableStyleElement dxfId="22" type="firstRowStripe"/>
      <tableStyleElement dxfId="11" type="secondRowStripe"/>
      <tableStyleElement dxfId="40" type="totalRow"/>
    </tableStyle>
    <tableStyle count="4" pivot="0" name="PFPA Counter-style 23">
      <tableStyleElement dxfId="41" type="headerRow"/>
      <tableStyleElement dxfId="17" type="firstRowStripe"/>
      <tableStyleElement dxfId="11" type="secondRowStripe"/>
      <tableStyleElement dxfId="41" type="totalRow"/>
    </tableStyle>
    <tableStyle count="4" pivot="0" name="PFPA Counter-style 24">
      <tableStyleElement dxfId="42" type="headerRow"/>
      <tableStyleElement dxfId="10" type="firstRowStripe"/>
      <tableStyleElement dxfId="11" type="secondRowStripe"/>
      <tableStyleElement dxfId="42" type="totalRow"/>
    </tableStyle>
    <tableStyle count="4" pivot="0" name="PFPA Counter-style 25">
      <tableStyleElement dxfId="43" type="headerRow"/>
      <tableStyleElement dxfId="34" type="firstRowStripe"/>
      <tableStyleElement dxfId="11" type="secondRowStripe"/>
      <tableStyleElement dxfId="43" type="totalRow"/>
    </tableStyle>
    <tableStyle count="4" pivot="0" name="PFPA Counter-style 26">
      <tableStyleElement dxfId="44" type="headerRow"/>
      <tableStyleElement dxfId="22" type="firstRowStripe"/>
      <tableStyleElement dxfId="11" type="secondRowStripe"/>
      <tableStyleElement dxfId="44" type="totalRow"/>
    </tableStyle>
    <tableStyle count="4" pivot="0" name="PFPA Counter-style 27">
      <tableStyleElement dxfId="45" type="headerRow"/>
      <tableStyleElement dxfId="25" type="firstRowStripe"/>
      <tableStyleElement dxfId="11" type="secondRowStripe"/>
      <tableStyleElement dxfId="45" type="totalRow"/>
    </tableStyle>
    <tableStyle count="4" pivot="0" name="PFPA Counter-style 28">
      <tableStyleElement dxfId="46" type="headerRow"/>
      <tableStyleElement dxfId="15" type="firstRowStripe"/>
      <tableStyleElement dxfId="11" type="secondRowStripe"/>
      <tableStyleElement dxfId="46" type="totalRow"/>
    </tableStyle>
    <tableStyle count="4" pivot="0" name="PFPA Counter-style 29">
      <tableStyleElement dxfId="47" type="headerRow"/>
      <tableStyleElement dxfId="10" type="firstRowStripe"/>
      <tableStyleElement dxfId="11" type="secondRowStripe"/>
      <tableStyleElement dxfId="47" type="totalRow"/>
    </tableStyle>
    <tableStyle count="4" pivot="0" name="PFPA Counter-style 30">
      <tableStyleElement dxfId="48" type="headerRow"/>
      <tableStyleElement dxfId="28" type="firstRowStripe"/>
      <tableStyleElement dxfId="11" type="secondRowStripe"/>
      <tableStyleElement dxfId="48" type="totalRow"/>
    </tableStyle>
    <tableStyle count="4" pivot="0" name="PFPA Counter-style 31">
      <tableStyleElement dxfId="49" type="headerRow"/>
      <tableStyleElement dxfId="10" type="firstRowStripe"/>
      <tableStyleElement dxfId="11" type="secondRowStripe"/>
      <tableStyleElement dxfId="49" type="totalRow"/>
    </tableStyle>
    <tableStyle count="4" pivot="0" name="PFPA Counter-style 32">
      <tableStyleElement dxfId="50" type="headerRow"/>
      <tableStyleElement dxfId="34" type="firstRowStripe"/>
      <tableStyleElement dxfId="11" type="secondRowStripe"/>
      <tableStyleElement dxfId="50" type="totalRow"/>
    </tableStyle>
    <tableStyle count="4" pivot="0" name="Home Counter-style">
      <tableStyleElement dxfId="9" type="headerRow"/>
      <tableStyleElement dxfId="10" type="firstRowStripe"/>
      <tableStyleElement dxfId="11" type="secondRowStripe"/>
      <tableStyleElement dxfId="9" type="totalRow"/>
    </tableStyle>
    <tableStyle count="4" pivot="0" name="Home Counter-style 2">
      <tableStyleElement dxfId="12" type="headerRow"/>
      <tableStyleElement dxfId="13" type="firstRowStripe"/>
      <tableStyleElement dxfId="11" type="secondRowStripe"/>
      <tableStyleElement dxfId="12" type="totalRow"/>
    </tableStyle>
    <tableStyle count="4" pivot="0" name="Home Counter-style 3">
      <tableStyleElement dxfId="14" type="headerRow"/>
      <tableStyleElement dxfId="15" type="firstRowStripe"/>
      <tableStyleElement dxfId="11" type="secondRowStripe"/>
      <tableStyleElement dxfId="14" type="totalRow"/>
    </tableStyle>
    <tableStyle count="4" pivot="0" name="Home Counter-style 4">
      <tableStyleElement dxfId="16" type="headerRow"/>
      <tableStyleElement dxfId="17" type="firstRowStripe"/>
      <tableStyleElement dxfId="11" type="secondRowStripe"/>
      <tableStyleElement dxfId="16" type="totalRow"/>
    </tableStyle>
    <tableStyle count="4" pivot="0" name="Home Counter-style 5">
      <tableStyleElement dxfId="18" type="headerRow"/>
      <tableStyleElement dxfId="17" type="firstRowStripe"/>
      <tableStyleElement dxfId="11" type="secondRowStripe"/>
      <tableStyleElement dxfId="18" type="totalRow"/>
    </tableStyle>
    <tableStyle count="4" pivot="0" name="Home Counter-style 6">
      <tableStyleElement dxfId="19" type="headerRow"/>
      <tableStyleElement dxfId="20" type="firstRowStripe"/>
      <tableStyleElement dxfId="11" type="secondRowStripe"/>
      <tableStyleElement dxfId="19" type="totalRow"/>
    </tableStyle>
    <tableStyle count="4" pivot="0" name="Home Counter-style 7">
      <tableStyleElement dxfId="21" type="headerRow"/>
      <tableStyleElement dxfId="22" type="firstRowStripe"/>
      <tableStyleElement dxfId="11" type="secondRowStripe"/>
      <tableStyleElement dxfId="21" type="totalRow"/>
    </tableStyle>
    <tableStyle count="4" pivot="0" name="Home Counter-style 8">
      <tableStyleElement dxfId="23" type="headerRow"/>
      <tableStyleElement dxfId="17" type="firstRowStripe"/>
      <tableStyleElement dxfId="11" type="secondRowStripe"/>
      <tableStyleElement dxfId="23" type="totalRow"/>
    </tableStyle>
    <tableStyle count="4" pivot="0" name="Home Counter-style 9">
      <tableStyleElement dxfId="24" type="headerRow"/>
      <tableStyleElement dxfId="25" type="firstRowStripe"/>
      <tableStyleElement dxfId="11" type="secondRowStripe"/>
      <tableStyleElement dxfId="24" type="totalRow"/>
    </tableStyle>
    <tableStyle count="4" pivot="0" name="Home Counter-style 10">
      <tableStyleElement dxfId="26" type="headerRow"/>
      <tableStyleElement dxfId="15" type="firstRowStripe"/>
      <tableStyleElement dxfId="11" type="secondRowStripe"/>
      <tableStyleElement dxfId="26" type="totalRow"/>
    </tableStyle>
    <tableStyle count="4" pivot="0" name="Home Counter-style 11">
      <tableStyleElement dxfId="27" type="headerRow"/>
      <tableStyleElement dxfId="28" type="firstRowStripe"/>
      <tableStyleElement dxfId="11" type="secondRowStripe"/>
      <tableStyleElement dxfId="27" type="totalRow"/>
    </tableStyle>
    <tableStyle count="4" pivot="0" name="Home Counter-style 12">
      <tableStyleElement dxfId="29" type="headerRow"/>
      <tableStyleElement dxfId="15" type="firstRowStripe"/>
      <tableStyleElement dxfId="11" type="secondRowStripe"/>
      <tableStyleElement dxfId="29" type="totalRow"/>
    </tableStyle>
    <tableStyle count="4" pivot="0" name="Home Counter-style 13">
      <tableStyleElement dxfId="30" type="headerRow"/>
      <tableStyleElement dxfId="10" type="firstRowStripe"/>
      <tableStyleElement dxfId="11" type="secondRowStripe"/>
      <tableStyleElement dxfId="30" type="totalRow"/>
    </tableStyle>
    <tableStyle count="4" pivot="0" name="Home Counter-style 14">
      <tableStyleElement dxfId="31" type="headerRow"/>
      <tableStyleElement dxfId="20" type="firstRowStripe"/>
      <tableStyleElement dxfId="11" type="secondRowStripe"/>
      <tableStyleElement dxfId="31" type="totalRow"/>
    </tableStyle>
    <tableStyle count="4" pivot="0" name="Home Counter-style 15">
      <tableStyleElement dxfId="32" type="headerRow"/>
      <tableStyleElement dxfId="17" type="firstRowStripe"/>
      <tableStyleElement dxfId="11" type="secondRowStripe"/>
      <tableStyleElement dxfId="32" type="totalRow"/>
    </tableStyle>
    <tableStyle count="4" pivot="0" name="Home Counter-style 16">
      <tableStyleElement dxfId="33" type="headerRow"/>
      <tableStyleElement dxfId="34" type="firstRowStripe"/>
      <tableStyleElement dxfId="11" type="secondRowStripe"/>
      <tableStyleElement dxfId="33" type="totalRow"/>
    </tableStyle>
    <tableStyle count="4" pivot="0" name="Home Counter-style 17">
      <tableStyleElement dxfId="35" type="headerRow"/>
      <tableStyleElement dxfId="10" type="firstRowStripe"/>
      <tableStyleElement dxfId="11" type="secondRowStripe"/>
      <tableStyleElement dxfId="35" type="totalRow"/>
    </tableStyle>
    <tableStyle count="4" pivot="0" name="Home Counter-style 18">
      <tableStyleElement dxfId="36" type="headerRow"/>
      <tableStyleElement dxfId="17" type="firstRowStripe"/>
      <tableStyleElement dxfId="11" type="secondRowStripe"/>
      <tableStyleElement dxfId="36" type="totalRow"/>
    </tableStyle>
    <tableStyle count="4" pivot="0" name="Home Counter-style 19">
      <tableStyleElement dxfId="37" type="headerRow"/>
      <tableStyleElement dxfId="22" type="firstRowStripe"/>
      <tableStyleElement dxfId="11" type="secondRowStripe"/>
      <tableStyleElement dxfId="37" type="totalRow"/>
    </tableStyle>
    <tableStyle count="4" pivot="0" name="Home Counter-style 20">
      <tableStyleElement dxfId="38" type="headerRow"/>
      <tableStyleElement dxfId="10" type="firstRowStripe"/>
      <tableStyleElement dxfId="11" type="secondRowStripe"/>
      <tableStyleElement dxfId="38" type="totalRow"/>
    </tableStyle>
    <tableStyle count="4" pivot="0" name="Home Counter-style 21">
      <tableStyleElement dxfId="39" type="headerRow"/>
      <tableStyleElement dxfId="17" type="firstRowStripe"/>
      <tableStyleElement dxfId="11" type="secondRowStripe"/>
      <tableStyleElement dxfId="39" type="totalRow"/>
    </tableStyle>
    <tableStyle count="4" pivot="0" name="Home Counter-style 22">
      <tableStyleElement dxfId="40" type="headerRow"/>
      <tableStyleElement dxfId="22" type="firstRowStripe"/>
      <tableStyleElement dxfId="11" type="secondRowStripe"/>
      <tableStyleElement dxfId="40" type="totalRow"/>
    </tableStyle>
    <tableStyle count="4" pivot="0" name="Home Counter-style 23">
      <tableStyleElement dxfId="41" type="headerRow"/>
      <tableStyleElement dxfId="17" type="firstRowStripe"/>
      <tableStyleElement dxfId="11" type="secondRowStripe"/>
      <tableStyleElement dxfId="41" type="totalRow"/>
    </tableStyle>
    <tableStyle count="4" pivot="0" name="Home Counter-style 24">
      <tableStyleElement dxfId="42" type="headerRow"/>
      <tableStyleElement dxfId="10" type="firstRowStripe"/>
      <tableStyleElement dxfId="11" type="secondRowStripe"/>
      <tableStyleElement dxfId="42" type="totalRow"/>
    </tableStyle>
    <tableStyle count="4" pivot="0" name="Home Counter-style 25">
      <tableStyleElement dxfId="43" type="headerRow"/>
      <tableStyleElement dxfId="34" type="firstRowStripe"/>
      <tableStyleElement dxfId="11" type="secondRowStripe"/>
      <tableStyleElement dxfId="43" type="totalRow"/>
    </tableStyle>
    <tableStyle count="4" pivot="0" name="Home Counter-style 26">
      <tableStyleElement dxfId="44" type="headerRow"/>
      <tableStyleElement dxfId="22" type="firstRowStripe"/>
      <tableStyleElement dxfId="11" type="secondRowStripe"/>
      <tableStyleElement dxfId="44" type="totalRow"/>
    </tableStyle>
    <tableStyle count="4" pivot="0" name="Home Counter-style 27">
      <tableStyleElement dxfId="45" type="headerRow"/>
      <tableStyleElement dxfId="25" type="firstRowStripe"/>
      <tableStyleElement dxfId="11" type="secondRowStripe"/>
      <tableStyleElement dxfId="45" type="totalRow"/>
    </tableStyle>
    <tableStyle count="4" pivot="0" name="Home Counter-style 28">
      <tableStyleElement dxfId="46" type="headerRow"/>
      <tableStyleElement dxfId="15" type="firstRowStripe"/>
      <tableStyleElement dxfId="11" type="secondRowStripe"/>
      <tableStyleElement dxfId="46" type="totalRow"/>
    </tableStyle>
    <tableStyle count="4" pivot="0" name="Home Counter-style 29">
      <tableStyleElement dxfId="47" type="headerRow"/>
      <tableStyleElement dxfId="10" type="firstRowStripe"/>
      <tableStyleElement dxfId="11" type="secondRowStripe"/>
      <tableStyleElement dxfId="47" type="totalRow"/>
    </tableStyle>
    <tableStyle count="4" pivot="0" name="Home Counter-style 30">
      <tableStyleElement dxfId="48" type="headerRow"/>
      <tableStyleElement dxfId="28" type="firstRowStripe"/>
      <tableStyleElement dxfId="11" type="secondRowStripe"/>
      <tableStyleElement dxfId="48" type="totalRow"/>
    </tableStyle>
    <tableStyle count="4" pivot="0" name="Home Counter-style 31">
      <tableStyleElement dxfId="49" type="headerRow"/>
      <tableStyleElement dxfId="10" type="firstRowStripe"/>
      <tableStyleElement dxfId="11" type="secondRowStripe"/>
      <tableStyleElement dxfId="49" type="totalRow"/>
    </tableStyle>
    <tableStyle count="4" pivot="0" name="Home Counter-style 32">
      <tableStyleElement dxfId="50" type="headerRow"/>
      <tableStyleElement dxfId="34" type="firstRowStripe"/>
      <tableStyleElement dxfId="11" type="secondRowStripe"/>
      <tableStyleElement dxfId="50" type="totalRow"/>
    </tableStyle>
    <tableStyle count="4" pivot="0" name="Away Counter-style">
      <tableStyleElement dxfId="9" type="headerRow"/>
      <tableStyleElement dxfId="10" type="firstRowStripe"/>
      <tableStyleElement dxfId="11" type="secondRowStripe"/>
      <tableStyleElement dxfId="9" type="totalRow"/>
    </tableStyle>
    <tableStyle count="4" pivot="0" name="Away Counter-style 2">
      <tableStyleElement dxfId="12" type="headerRow"/>
      <tableStyleElement dxfId="13" type="firstRowStripe"/>
      <tableStyleElement dxfId="11" type="secondRowStripe"/>
      <tableStyleElement dxfId="12" type="totalRow"/>
    </tableStyle>
    <tableStyle count="4" pivot="0" name="Away Counter-style 3">
      <tableStyleElement dxfId="14" type="headerRow"/>
      <tableStyleElement dxfId="15" type="firstRowStripe"/>
      <tableStyleElement dxfId="11" type="secondRowStripe"/>
      <tableStyleElement dxfId="14" type="totalRow"/>
    </tableStyle>
    <tableStyle count="4" pivot="0" name="Away Counter-style 4">
      <tableStyleElement dxfId="16" type="headerRow"/>
      <tableStyleElement dxfId="17" type="firstRowStripe"/>
      <tableStyleElement dxfId="11" type="secondRowStripe"/>
      <tableStyleElement dxfId="16" type="totalRow"/>
    </tableStyle>
    <tableStyle count="4" pivot="0" name="Away Counter-style 5">
      <tableStyleElement dxfId="18" type="headerRow"/>
      <tableStyleElement dxfId="17" type="firstRowStripe"/>
      <tableStyleElement dxfId="11" type="secondRowStripe"/>
      <tableStyleElement dxfId="18" type="totalRow"/>
    </tableStyle>
    <tableStyle count="4" pivot="0" name="Away Counter-style 6">
      <tableStyleElement dxfId="19" type="headerRow"/>
      <tableStyleElement dxfId="20" type="firstRowStripe"/>
      <tableStyleElement dxfId="11" type="secondRowStripe"/>
      <tableStyleElement dxfId="19" type="totalRow"/>
    </tableStyle>
    <tableStyle count="4" pivot="0" name="Away Counter-style 7">
      <tableStyleElement dxfId="21" type="headerRow"/>
      <tableStyleElement dxfId="22" type="firstRowStripe"/>
      <tableStyleElement dxfId="11" type="secondRowStripe"/>
      <tableStyleElement dxfId="21" type="totalRow"/>
    </tableStyle>
    <tableStyle count="4" pivot="0" name="Away Counter-style 8">
      <tableStyleElement dxfId="23" type="headerRow"/>
      <tableStyleElement dxfId="17" type="firstRowStripe"/>
      <tableStyleElement dxfId="11" type="secondRowStripe"/>
      <tableStyleElement dxfId="23" type="totalRow"/>
    </tableStyle>
    <tableStyle count="4" pivot="0" name="Away Counter-style 9">
      <tableStyleElement dxfId="24" type="headerRow"/>
      <tableStyleElement dxfId="25" type="firstRowStripe"/>
      <tableStyleElement dxfId="11" type="secondRowStripe"/>
      <tableStyleElement dxfId="24" type="totalRow"/>
    </tableStyle>
    <tableStyle count="4" pivot="0" name="Away Counter-style 10">
      <tableStyleElement dxfId="26" type="headerRow"/>
      <tableStyleElement dxfId="15" type="firstRowStripe"/>
      <tableStyleElement dxfId="11" type="secondRowStripe"/>
      <tableStyleElement dxfId="26" type="totalRow"/>
    </tableStyle>
    <tableStyle count="4" pivot="0" name="Away Counter-style 11">
      <tableStyleElement dxfId="27" type="headerRow"/>
      <tableStyleElement dxfId="28" type="firstRowStripe"/>
      <tableStyleElement dxfId="11" type="secondRowStripe"/>
      <tableStyleElement dxfId="27" type="totalRow"/>
    </tableStyle>
    <tableStyle count="4" pivot="0" name="Away Counter-style 12">
      <tableStyleElement dxfId="29" type="headerRow"/>
      <tableStyleElement dxfId="15" type="firstRowStripe"/>
      <tableStyleElement dxfId="11" type="secondRowStripe"/>
      <tableStyleElement dxfId="29" type="totalRow"/>
    </tableStyle>
    <tableStyle count="4" pivot="0" name="Away Counter-style 13">
      <tableStyleElement dxfId="30" type="headerRow"/>
      <tableStyleElement dxfId="10" type="firstRowStripe"/>
      <tableStyleElement dxfId="11" type="secondRowStripe"/>
      <tableStyleElement dxfId="30" type="totalRow"/>
    </tableStyle>
    <tableStyle count="4" pivot="0" name="Away Counter-style 14">
      <tableStyleElement dxfId="31" type="headerRow"/>
      <tableStyleElement dxfId="20" type="firstRowStripe"/>
      <tableStyleElement dxfId="11" type="secondRowStripe"/>
      <tableStyleElement dxfId="31" type="totalRow"/>
    </tableStyle>
    <tableStyle count="4" pivot="0" name="Away Counter-style 15">
      <tableStyleElement dxfId="32" type="headerRow"/>
      <tableStyleElement dxfId="17" type="firstRowStripe"/>
      <tableStyleElement dxfId="11" type="secondRowStripe"/>
      <tableStyleElement dxfId="32" type="totalRow"/>
    </tableStyle>
    <tableStyle count="4" pivot="0" name="Away Counter-style 16">
      <tableStyleElement dxfId="33" type="headerRow"/>
      <tableStyleElement dxfId="34" type="firstRowStripe"/>
      <tableStyleElement dxfId="11" type="secondRowStripe"/>
      <tableStyleElement dxfId="33" type="totalRow"/>
    </tableStyle>
    <tableStyle count="4" pivot="0" name="Away Counter-style 17">
      <tableStyleElement dxfId="35" type="headerRow"/>
      <tableStyleElement dxfId="10" type="firstRowStripe"/>
      <tableStyleElement dxfId="11" type="secondRowStripe"/>
      <tableStyleElement dxfId="35" type="totalRow"/>
    </tableStyle>
    <tableStyle count="4" pivot="0" name="Away Counter-style 18">
      <tableStyleElement dxfId="36" type="headerRow"/>
      <tableStyleElement dxfId="17" type="firstRowStripe"/>
      <tableStyleElement dxfId="11" type="secondRowStripe"/>
      <tableStyleElement dxfId="36" type="totalRow"/>
    </tableStyle>
    <tableStyle count="4" pivot="0" name="Away Counter-style 19">
      <tableStyleElement dxfId="37" type="headerRow"/>
      <tableStyleElement dxfId="22" type="firstRowStripe"/>
      <tableStyleElement dxfId="11" type="secondRowStripe"/>
      <tableStyleElement dxfId="37" type="totalRow"/>
    </tableStyle>
    <tableStyle count="4" pivot="0" name="Away Counter-style 20">
      <tableStyleElement dxfId="38" type="headerRow"/>
      <tableStyleElement dxfId="10" type="firstRowStripe"/>
      <tableStyleElement dxfId="11" type="secondRowStripe"/>
      <tableStyleElement dxfId="38" type="totalRow"/>
    </tableStyle>
    <tableStyle count="4" pivot="0" name="Away Counter-style 21">
      <tableStyleElement dxfId="39" type="headerRow"/>
      <tableStyleElement dxfId="17" type="firstRowStripe"/>
      <tableStyleElement dxfId="11" type="secondRowStripe"/>
      <tableStyleElement dxfId="39" type="totalRow"/>
    </tableStyle>
    <tableStyle count="4" pivot="0" name="Away Counter-style 22">
      <tableStyleElement dxfId="40" type="headerRow"/>
      <tableStyleElement dxfId="22" type="firstRowStripe"/>
      <tableStyleElement dxfId="11" type="secondRowStripe"/>
      <tableStyleElement dxfId="40" type="totalRow"/>
    </tableStyle>
    <tableStyle count="4" pivot="0" name="Away Counter-style 23">
      <tableStyleElement dxfId="41" type="headerRow"/>
      <tableStyleElement dxfId="17" type="firstRowStripe"/>
      <tableStyleElement dxfId="11" type="secondRowStripe"/>
      <tableStyleElement dxfId="41" type="totalRow"/>
    </tableStyle>
    <tableStyle count="4" pivot="0" name="Away Counter-style 24">
      <tableStyleElement dxfId="42" type="headerRow"/>
      <tableStyleElement dxfId="10" type="firstRowStripe"/>
      <tableStyleElement dxfId="11" type="secondRowStripe"/>
      <tableStyleElement dxfId="42" type="totalRow"/>
    </tableStyle>
    <tableStyle count="4" pivot="0" name="Away Counter-style 25">
      <tableStyleElement dxfId="43" type="headerRow"/>
      <tableStyleElement dxfId="34" type="firstRowStripe"/>
      <tableStyleElement dxfId="11" type="secondRowStripe"/>
      <tableStyleElement dxfId="43" type="totalRow"/>
    </tableStyle>
    <tableStyle count="4" pivot="0" name="Away Counter-style 26">
      <tableStyleElement dxfId="44" type="headerRow"/>
      <tableStyleElement dxfId="22" type="firstRowStripe"/>
      <tableStyleElement dxfId="11" type="secondRowStripe"/>
      <tableStyleElement dxfId="44" type="totalRow"/>
    </tableStyle>
    <tableStyle count="4" pivot="0" name="Away Counter-style 27">
      <tableStyleElement dxfId="45" type="headerRow"/>
      <tableStyleElement dxfId="25" type="firstRowStripe"/>
      <tableStyleElement dxfId="11" type="secondRowStripe"/>
      <tableStyleElement dxfId="45" type="totalRow"/>
    </tableStyle>
    <tableStyle count="4" pivot="0" name="Away Counter-style 28">
      <tableStyleElement dxfId="46" type="headerRow"/>
      <tableStyleElement dxfId="15" type="firstRowStripe"/>
      <tableStyleElement dxfId="11" type="secondRowStripe"/>
      <tableStyleElement dxfId="46" type="totalRow"/>
    </tableStyle>
    <tableStyle count="4" pivot="0" name="Away Counter-style 29">
      <tableStyleElement dxfId="47" type="headerRow"/>
      <tableStyleElement dxfId="10" type="firstRowStripe"/>
      <tableStyleElement dxfId="11" type="secondRowStripe"/>
      <tableStyleElement dxfId="47" type="totalRow"/>
    </tableStyle>
    <tableStyle count="4" pivot="0" name="Away Counter-style 30">
      <tableStyleElement dxfId="48" type="headerRow"/>
      <tableStyleElement dxfId="28" type="firstRowStripe"/>
      <tableStyleElement dxfId="11" type="secondRowStripe"/>
      <tableStyleElement dxfId="48" type="totalRow"/>
    </tableStyle>
    <tableStyle count="4" pivot="0" name="Away Counter-style 31">
      <tableStyleElement dxfId="49" type="headerRow"/>
      <tableStyleElement dxfId="10" type="firstRowStripe"/>
      <tableStyleElement dxfId="11" type="secondRowStripe"/>
      <tableStyleElement dxfId="49" type="totalRow"/>
    </tableStyle>
    <tableStyle count="4" pivot="0" name="Away Counter-style 32">
      <tableStyleElement dxfId="50" type="headerRow"/>
      <tableStyleElement dxfId="34" type="firstRowStripe"/>
      <tableStyleElement dxfId="11" type="secondRowStripe"/>
      <tableStyleElement dxfId="50" type="totalRow"/>
    </tableStyle>
    <tableStyle count="4" pivot="0" name="AFC West Counter-style">
      <tableStyleElement dxfId="9" type="headerRow"/>
      <tableStyleElement dxfId="10" type="firstRowStripe"/>
      <tableStyleElement dxfId="11" type="secondRowStripe"/>
      <tableStyleElement dxfId="9" type="totalRow"/>
    </tableStyle>
    <tableStyle count="4" pivot="0" name="AFC West Counter-style 2">
      <tableStyleElement dxfId="12" type="headerRow"/>
      <tableStyleElement dxfId="13" type="firstRowStripe"/>
      <tableStyleElement dxfId="11" type="secondRowStripe"/>
      <tableStyleElement dxfId="12" type="totalRow"/>
    </tableStyle>
    <tableStyle count="4" pivot="0" name="AFC West Counter-style 3">
      <tableStyleElement dxfId="14" type="headerRow"/>
      <tableStyleElement dxfId="15" type="firstRowStripe"/>
      <tableStyleElement dxfId="11" type="secondRowStripe"/>
      <tableStyleElement dxfId="14" type="totalRow"/>
    </tableStyle>
    <tableStyle count="4" pivot="0" name="AFC West Counter-style 4">
      <tableStyleElement dxfId="16" type="headerRow"/>
      <tableStyleElement dxfId="17" type="firstRowStripe"/>
      <tableStyleElement dxfId="11" type="secondRowStripe"/>
      <tableStyleElement dxfId="16" type="totalRow"/>
    </tableStyle>
    <tableStyle count="4" pivot="0" name="AFC West Counter-style 5">
      <tableStyleElement dxfId="18" type="headerRow"/>
      <tableStyleElement dxfId="17" type="firstRowStripe"/>
      <tableStyleElement dxfId="11" type="secondRowStripe"/>
      <tableStyleElement dxfId="18" type="totalRow"/>
    </tableStyle>
    <tableStyle count="4" pivot="0" name="AFC West Counter-style 6">
      <tableStyleElement dxfId="19" type="headerRow"/>
      <tableStyleElement dxfId="20" type="firstRowStripe"/>
      <tableStyleElement dxfId="11" type="secondRowStripe"/>
      <tableStyleElement dxfId="19" type="totalRow"/>
    </tableStyle>
    <tableStyle count="4" pivot="0" name="AFC West Counter-style 7">
      <tableStyleElement dxfId="21" type="headerRow"/>
      <tableStyleElement dxfId="22" type="firstRowStripe"/>
      <tableStyleElement dxfId="11" type="secondRowStripe"/>
      <tableStyleElement dxfId="21" type="totalRow"/>
    </tableStyle>
    <tableStyle count="4" pivot="0" name="AFC West Counter-style 8">
      <tableStyleElement dxfId="23" type="headerRow"/>
      <tableStyleElement dxfId="17" type="firstRowStripe"/>
      <tableStyleElement dxfId="11" type="secondRowStripe"/>
      <tableStyleElement dxfId="23" type="totalRow"/>
    </tableStyle>
    <tableStyle count="4" pivot="0" name="AFC West Counter-style 9">
      <tableStyleElement dxfId="24" type="headerRow"/>
      <tableStyleElement dxfId="25" type="firstRowStripe"/>
      <tableStyleElement dxfId="11" type="secondRowStripe"/>
      <tableStyleElement dxfId="24" type="totalRow"/>
    </tableStyle>
    <tableStyle count="4" pivot="0" name="AFC West Counter-style 10">
      <tableStyleElement dxfId="26" type="headerRow"/>
      <tableStyleElement dxfId="15" type="firstRowStripe"/>
      <tableStyleElement dxfId="11" type="secondRowStripe"/>
      <tableStyleElement dxfId="26" type="totalRow"/>
    </tableStyle>
    <tableStyle count="4" pivot="0" name="AFC West Counter-style 11">
      <tableStyleElement dxfId="27" type="headerRow"/>
      <tableStyleElement dxfId="28" type="firstRowStripe"/>
      <tableStyleElement dxfId="11" type="secondRowStripe"/>
      <tableStyleElement dxfId="27" type="totalRow"/>
    </tableStyle>
    <tableStyle count="4" pivot="0" name="AFC West Counter-style 12">
      <tableStyleElement dxfId="29" type="headerRow"/>
      <tableStyleElement dxfId="15" type="firstRowStripe"/>
      <tableStyleElement dxfId="11" type="secondRowStripe"/>
      <tableStyleElement dxfId="29" type="totalRow"/>
    </tableStyle>
    <tableStyle count="4" pivot="0" name="AFC West Counter-style 13">
      <tableStyleElement dxfId="30" type="headerRow"/>
      <tableStyleElement dxfId="10" type="firstRowStripe"/>
      <tableStyleElement dxfId="11" type="secondRowStripe"/>
      <tableStyleElement dxfId="30" type="totalRow"/>
    </tableStyle>
    <tableStyle count="4" pivot="0" name="AFC West Counter-style 14">
      <tableStyleElement dxfId="31" type="headerRow"/>
      <tableStyleElement dxfId="20" type="firstRowStripe"/>
      <tableStyleElement dxfId="11" type="secondRowStripe"/>
      <tableStyleElement dxfId="31" type="totalRow"/>
    </tableStyle>
    <tableStyle count="4" pivot="0" name="AFC West Counter-style 15">
      <tableStyleElement dxfId="32" type="headerRow"/>
      <tableStyleElement dxfId="17" type="firstRowStripe"/>
      <tableStyleElement dxfId="11" type="secondRowStripe"/>
      <tableStyleElement dxfId="32" type="totalRow"/>
    </tableStyle>
    <tableStyle count="4" pivot="0" name="AFC West Counter-style 16">
      <tableStyleElement dxfId="33" type="headerRow"/>
      <tableStyleElement dxfId="34" type="firstRowStripe"/>
      <tableStyleElement dxfId="11" type="secondRowStripe"/>
      <tableStyleElement dxfId="33" type="totalRow"/>
    </tableStyle>
    <tableStyle count="4" pivot="0" name="AFC West Counter-style 17">
      <tableStyleElement dxfId="35" type="headerRow"/>
      <tableStyleElement dxfId="10" type="firstRowStripe"/>
      <tableStyleElement dxfId="11" type="secondRowStripe"/>
      <tableStyleElement dxfId="35" type="totalRow"/>
    </tableStyle>
    <tableStyle count="4" pivot="0" name="AFC West Counter-style 18">
      <tableStyleElement dxfId="36" type="headerRow"/>
      <tableStyleElement dxfId="17" type="firstRowStripe"/>
      <tableStyleElement dxfId="11" type="secondRowStripe"/>
      <tableStyleElement dxfId="36" type="totalRow"/>
    </tableStyle>
    <tableStyle count="4" pivot="0" name="AFC West Counter-style 19">
      <tableStyleElement dxfId="37" type="headerRow"/>
      <tableStyleElement dxfId="22" type="firstRowStripe"/>
      <tableStyleElement dxfId="11" type="secondRowStripe"/>
      <tableStyleElement dxfId="37" type="totalRow"/>
    </tableStyle>
    <tableStyle count="4" pivot="0" name="AFC West Counter-style 20">
      <tableStyleElement dxfId="38" type="headerRow"/>
      <tableStyleElement dxfId="10" type="firstRowStripe"/>
      <tableStyleElement dxfId="11" type="secondRowStripe"/>
      <tableStyleElement dxfId="38" type="totalRow"/>
    </tableStyle>
    <tableStyle count="4" pivot="0" name="AFC West Counter-style 21">
      <tableStyleElement dxfId="39" type="headerRow"/>
      <tableStyleElement dxfId="17" type="firstRowStripe"/>
      <tableStyleElement dxfId="11" type="secondRowStripe"/>
      <tableStyleElement dxfId="39" type="totalRow"/>
    </tableStyle>
    <tableStyle count="4" pivot="0" name="AFC West Counter-style 22">
      <tableStyleElement dxfId="40" type="headerRow"/>
      <tableStyleElement dxfId="22" type="firstRowStripe"/>
      <tableStyleElement dxfId="11" type="secondRowStripe"/>
      <tableStyleElement dxfId="40" type="totalRow"/>
    </tableStyle>
    <tableStyle count="4" pivot="0" name="AFC West Counter-style 23">
      <tableStyleElement dxfId="41" type="headerRow"/>
      <tableStyleElement dxfId="17" type="firstRowStripe"/>
      <tableStyleElement dxfId="11" type="secondRowStripe"/>
      <tableStyleElement dxfId="41" type="totalRow"/>
    </tableStyle>
    <tableStyle count="4" pivot="0" name="AFC West Counter-style 24">
      <tableStyleElement dxfId="42" type="headerRow"/>
      <tableStyleElement dxfId="10" type="firstRowStripe"/>
      <tableStyleElement dxfId="11" type="secondRowStripe"/>
      <tableStyleElement dxfId="42" type="totalRow"/>
    </tableStyle>
    <tableStyle count="4" pivot="0" name="AFC West Counter-style 25">
      <tableStyleElement dxfId="43" type="headerRow"/>
      <tableStyleElement dxfId="34" type="firstRowStripe"/>
      <tableStyleElement dxfId="11" type="secondRowStripe"/>
      <tableStyleElement dxfId="43" type="totalRow"/>
    </tableStyle>
    <tableStyle count="4" pivot="0" name="AFC West Counter-style 26">
      <tableStyleElement dxfId="44" type="headerRow"/>
      <tableStyleElement dxfId="22" type="firstRowStripe"/>
      <tableStyleElement dxfId="11" type="secondRowStripe"/>
      <tableStyleElement dxfId="44" type="totalRow"/>
    </tableStyle>
    <tableStyle count="4" pivot="0" name="AFC West Counter-style 27">
      <tableStyleElement dxfId="45" type="headerRow"/>
      <tableStyleElement dxfId="25" type="firstRowStripe"/>
      <tableStyleElement dxfId="11" type="secondRowStripe"/>
      <tableStyleElement dxfId="45" type="totalRow"/>
    </tableStyle>
    <tableStyle count="4" pivot="0" name="AFC West Counter-style 28">
      <tableStyleElement dxfId="46" type="headerRow"/>
      <tableStyleElement dxfId="15" type="firstRowStripe"/>
      <tableStyleElement dxfId="11" type="secondRowStripe"/>
      <tableStyleElement dxfId="46" type="totalRow"/>
    </tableStyle>
    <tableStyle count="4" pivot="0" name="AFC West Counter-style 29">
      <tableStyleElement dxfId="47" type="headerRow"/>
      <tableStyleElement dxfId="10" type="firstRowStripe"/>
      <tableStyleElement dxfId="11" type="secondRowStripe"/>
      <tableStyleElement dxfId="47" type="totalRow"/>
    </tableStyle>
    <tableStyle count="4" pivot="0" name="AFC West Counter-style 30">
      <tableStyleElement dxfId="48" type="headerRow"/>
      <tableStyleElement dxfId="28" type="firstRowStripe"/>
      <tableStyleElement dxfId="11" type="secondRowStripe"/>
      <tableStyleElement dxfId="48" type="totalRow"/>
    </tableStyle>
    <tableStyle count="4" pivot="0" name="AFC West Counter-style 31">
      <tableStyleElement dxfId="49" type="headerRow"/>
      <tableStyleElement dxfId="10" type="firstRowStripe"/>
      <tableStyleElement dxfId="11" type="secondRowStripe"/>
      <tableStyleElement dxfId="49" type="totalRow"/>
    </tableStyle>
    <tableStyle count="4" pivot="0" name="AFC West Counter-style 32">
      <tableStyleElement dxfId="50" type="headerRow"/>
      <tableStyleElement dxfId="34" type="firstRowStripe"/>
      <tableStyleElement dxfId="11" type="secondRowStripe"/>
      <tableStyleElement dxfId="50" type="totalRow"/>
    </tableStyle>
    <tableStyle count="4" pivot="0" name="AFC East Counter-style">
      <tableStyleElement dxfId="9" type="headerRow"/>
      <tableStyleElement dxfId="10" type="firstRowStripe"/>
      <tableStyleElement dxfId="11" type="secondRowStripe"/>
      <tableStyleElement dxfId="9" type="totalRow"/>
    </tableStyle>
    <tableStyle count="4" pivot="0" name="AFC East Counter-style 2">
      <tableStyleElement dxfId="12" type="headerRow"/>
      <tableStyleElement dxfId="13" type="firstRowStripe"/>
      <tableStyleElement dxfId="11" type="secondRowStripe"/>
      <tableStyleElement dxfId="12" type="totalRow"/>
    </tableStyle>
    <tableStyle count="4" pivot="0" name="AFC East Counter-style 3">
      <tableStyleElement dxfId="14" type="headerRow"/>
      <tableStyleElement dxfId="15" type="firstRowStripe"/>
      <tableStyleElement dxfId="11" type="secondRowStripe"/>
      <tableStyleElement dxfId="14" type="totalRow"/>
    </tableStyle>
    <tableStyle count="4" pivot="0" name="AFC East Counter-style 4">
      <tableStyleElement dxfId="16" type="headerRow"/>
      <tableStyleElement dxfId="17" type="firstRowStripe"/>
      <tableStyleElement dxfId="11" type="secondRowStripe"/>
      <tableStyleElement dxfId="16" type="totalRow"/>
    </tableStyle>
    <tableStyle count="4" pivot="0" name="AFC East Counter-style 5">
      <tableStyleElement dxfId="18" type="headerRow"/>
      <tableStyleElement dxfId="17" type="firstRowStripe"/>
      <tableStyleElement dxfId="11" type="secondRowStripe"/>
      <tableStyleElement dxfId="18" type="totalRow"/>
    </tableStyle>
    <tableStyle count="4" pivot="0" name="AFC East Counter-style 6">
      <tableStyleElement dxfId="19" type="headerRow"/>
      <tableStyleElement dxfId="20" type="firstRowStripe"/>
      <tableStyleElement dxfId="11" type="secondRowStripe"/>
      <tableStyleElement dxfId="19" type="totalRow"/>
    </tableStyle>
    <tableStyle count="4" pivot="0" name="AFC East Counter-style 7">
      <tableStyleElement dxfId="21" type="headerRow"/>
      <tableStyleElement dxfId="22" type="firstRowStripe"/>
      <tableStyleElement dxfId="11" type="secondRowStripe"/>
      <tableStyleElement dxfId="21" type="totalRow"/>
    </tableStyle>
    <tableStyle count="4" pivot="0" name="AFC East Counter-style 8">
      <tableStyleElement dxfId="23" type="headerRow"/>
      <tableStyleElement dxfId="17" type="firstRowStripe"/>
      <tableStyleElement dxfId="11" type="secondRowStripe"/>
      <tableStyleElement dxfId="23" type="totalRow"/>
    </tableStyle>
    <tableStyle count="4" pivot="0" name="AFC East Counter-style 9">
      <tableStyleElement dxfId="24" type="headerRow"/>
      <tableStyleElement dxfId="25" type="firstRowStripe"/>
      <tableStyleElement dxfId="11" type="secondRowStripe"/>
      <tableStyleElement dxfId="24" type="totalRow"/>
    </tableStyle>
    <tableStyle count="4" pivot="0" name="AFC East Counter-style 10">
      <tableStyleElement dxfId="26" type="headerRow"/>
      <tableStyleElement dxfId="15" type="firstRowStripe"/>
      <tableStyleElement dxfId="11" type="secondRowStripe"/>
      <tableStyleElement dxfId="26" type="totalRow"/>
    </tableStyle>
    <tableStyle count="4" pivot="0" name="AFC East Counter-style 11">
      <tableStyleElement dxfId="27" type="headerRow"/>
      <tableStyleElement dxfId="28" type="firstRowStripe"/>
      <tableStyleElement dxfId="11" type="secondRowStripe"/>
      <tableStyleElement dxfId="27" type="totalRow"/>
    </tableStyle>
    <tableStyle count="4" pivot="0" name="AFC East Counter-style 12">
      <tableStyleElement dxfId="29" type="headerRow"/>
      <tableStyleElement dxfId="15" type="firstRowStripe"/>
      <tableStyleElement dxfId="11" type="secondRowStripe"/>
      <tableStyleElement dxfId="29" type="totalRow"/>
    </tableStyle>
    <tableStyle count="4" pivot="0" name="AFC East Counter-style 13">
      <tableStyleElement dxfId="30" type="headerRow"/>
      <tableStyleElement dxfId="10" type="firstRowStripe"/>
      <tableStyleElement dxfId="11" type="secondRowStripe"/>
      <tableStyleElement dxfId="30" type="totalRow"/>
    </tableStyle>
    <tableStyle count="4" pivot="0" name="AFC East Counter-style 14">
      <tableStyleElement dxfId="31" type="headerRow"/>
      <tableStyleElement dxfId="20" type="firstRowStripe"/>
      <tableStyleElement dxfId="11" type="secondRowStripe"/>
      <tableStyleElement dxfId="31" type="totalRow"/>
    </tableStyle>
    <tableStyle count="4" pivot="0" name="AFC East Counter-style 15">
      <tableStyleElement dxfId="32" type="headerRow"/>
      <tableStyleElement dxfId="17" type="firstRowStripe"/>
      <tableStyleElement dxfId="11" type="secondRowStripe"/>
      <tableStyleElement dxfId="32" type="totalRow"/>
    </tableStyle>
    <tableStyle count="4" pivot="0" name="AFC East Counter-style 16">
      <tableStyleElement dxfId="33" type="headerRow"/>
      <tableStyleElement dxfId="34" type="firstRowStripe"/>
      <tableStyleElement dxfId="11" type="secondRowStripe"/>
      <tableStyleElement dxfId="33" type="totalRow"/>
    </tableStyle>
    <tableStyle count="4" pivot="0" name="AFC East Counter-style 17">
      <tableStyleElement dxfId="35" type="headerRow"/>
      <tableStyleElement dxfId="10" type="firstRowStripe"/>
      <tableStyleElement dxfId="11" type="secondRowStripe"/>
      <tableStyleElement dxfId="35" type="totalRow"/>
    </tableStyle>
    <tableStyle count="4" pivot="0" name="AFC East Counter-style 18">
      <tableStyleElement dxfId="36" type="headerRow"/>
      <tableStyleElement dxfId="17" type="firstRowStripe"/>
      <tableStyleElement dxfId="11" type="secondRowStripe"/>
      <tableStyleElement dxfId="36" type="totalRow"/>
    </tableStyle>
    <tableStyle count="4" pivot="0" name="AFC East Counter-style 19">
      <tableStyleElement dxfId="37" type="headerRow"/>
      <tableStyleElement dxfId="22" type="firstRowStripe"/>
      <tableStyleElement dxfId="11" type="secondRowStripe"/>
      <tableStyleElement dxfId="37" type="totalRow"/>
    </tableStyle>
    <tableStyle count="4" pivot="0" name="AFC East Counter-style 20">
      <tableStyleElement dxfId="38" type="headerRow"/>
      <tableStyleElement dxfId="10" type="firstRowStripe"/>
      <tableStyleElement dxfId="11" type="secondRowStripe"/>
      <tableStyleElement dxfId="38" type="totalRow"/>
    </tableStyle>
    <tableStyle count="4" pivot="0" name="AFC East Counter-style 21">
      <tableStyleElement dxfId="39" type="headerRow"/>
      <tableStyleElement dxfId="17" type="firstRowStripe"/>
      <tableStyleElement dxfId="11" type="secondRowStripe"/>
      <tableStyleElement dxfId="39" type="totalRow"/>
    </tableStyle>
    <tableStyle count="4" pivot="0" name="AFC East Counter-style 22">
      <tableStyleElement dxfId="40" type="headerRow"/>
      <tableStyleElement dxfId="22" type="firstRowStripe"/>
      <tableStyleElement dxfId="11" type="secondRowStripe"/>
      <tableStyleElement dxfId="40" type="totalRow"/>
    </tableStyle>
    <tableStyle count="4" pivot="0" name="AFC East Counter-style 23">
      <tableStyleElement dxfId="41" type="headerRow"/>
      <tableStyleElement dxfId="17" type="firstRowStripe"/>
      <tableStyleElement dxfId="11" type="secondRowStripe"/>
      <tableStyleElement dxfId="41" type="totalRow"/>
    </tableStyle>
    <tableStyle count="4" pivot="0" name="AFC East Counter-style 24">
      <tableStyleElement dxfId="42" type="headerRow"/>
      <tableStyleElement dxfId="10" type="firstRowStripe"/>
      <tableStyleElement dxfId="11" type="secondRowStripe"/>
      <tableStyleElement dxfId="42" type="totalRow"/>
    </tableStyle>
    <tableStyle count="4" pivot="0" name="AFC East Counter-style 25">
      <tableStyleElement dxfId="43" type="headerRow"/>
      <tableStyleElement dxfId="34" type="firstRowStripe"/>
      <tableStyleElement dxfId="11" type="secondRowStripe"/>
      <tableStyleElement dxfId="43" type="totalRow"/>
    </tableStyle>
    <tableStyle count="4" pivot="0" name="AFC East Counter-style 26">
      <tableStyleElement dxfId="44" type="headerRow"/>
      <tableStyleElement dxfId="22" type="firstRowStripe"/>
      <tableStyleElement dxfId="11" type="secondRowStripe"/>
      <tableStyleElement dxfId="44" type="totalRow"/>
    </tableStyle>
    <tableStyle count="4" pivot="0" name="AFC East Counter-style 27">
      <tableStyleElement dxfId="45" type="headerRow"/>
      <tableStyleElement dxfId="25" type="firstRowStripe"/>
      <tableStyleElement dxfId="11" type="secondRowStripe"/>
      <tableStyleElement dxfId="45" type="totalRow"/>
    </tableStyle>
    <tableStyle count="4" pivot="0" name="AFC East Counter-style 28">
      <tableStyleElement dxfId="46" type="headerRow"/>
      <tableStyleElement dxfId="15" type="firstRowStripe"/>
      <tableStyleElement dxfId="11" type="secondRowStripe"/>
      <tableStyleElement dxfId="46" type="totalRow"/>
    </tableStyle>
    <tableStyle count="4" pivot="0" name="AFC East Counter-style 29">
      <tableStyleElement dxfId="47" type="headerRow"/>
      <tableStyleElement dxfId="10" type="firstRowStripe"/>
      <tableStyleElement dxfId="11" type="secondRowStripe"/>
      <tableStyleElement dxfId="47" type="totalRow"/>
    </tableStyle>
    <tableStyle count="4" pivot="0" name="AFC East Counter-style 30">
      <tableStyleElement dxfId="48" type="headerRow"/>
      <tableStyleElement dxfId="28" type="firstRowStripe"/>
      <tableStyleElement dxfId="11" type="secondRowStripe"/>
      <tableStyleElement dxfId="48" type="totalRow"/>
    </tableStyle>
    <tableStyle count="4" pivot="0" name="AFC East Counter-style 31">
      <tableStyleElement dxfId="49" type="headerRow"/>
      <tableStyleElement dxfId="10" type="firstRowStripe"/>
      <tableStyleElement dxfId="11" type="secondRowStripe"/>
      <tableStyleElement dxfId="49" type="totalRow"/>
    </tableStyle>
    <tableStyle count="4" pivot="0" name="AFC East Counter-style 32">
      <tableStyleElement dxfId="50" type="headerRow"/>
      <tableStyleElement dxfId="34" type="firstRowStripe"/>
      <tableStyleElement dxfId="11" type="secondRowStripe"/>
      <tableStyleElement dxfId="50" type="totalRow"/>
    </tableStyle>
    <tableStyle count="4" pivot="0" name="AFC North Counter-style">
      <tableStyleElement dxfId="9" type="headerRow"/>
      <tableStyleElement dxfId="10" type="firstRowStripe"/>
      <tableStyleElement dxfId="11" type="secondRowStripe"/>
      <tableStyleElement dxfId="9" type="totalRow"/>
    </tableStyle>
    <tableStyle count="4" pivot="0" name="AFC North Counter-style 2">
      <tableStyleElement dxfId="12" type="headerRow"/>
      <tableStyleElement dxfId="13" type="firstRowStripe"/>
      <tableStyleElement dxfId="11" type="secondRowStripe"/>
      <tableStyleElement dxfId="12" type="totalRow"/>
    </tableStyle>
    <tableStyle count="4" pivot="0" name="AFC North Counter-style 3">
      <tableStyleElement dxfId="14" type="headerRow"/>
      <tableStyleElement dxfId="15" type="firstRowStripe"/>
      <tableStyleElement dxfId="11" type="secondRowStripe"/>
      <tableStyleElement dxfId="14" type="totalRow"/>
    </tableStyle>
    <tableStyle count="4" pivot="0" name="AFC North Counter-style 4">
      <tableStyleElement dxfId="16" type="headerRow"/>
      <tableStyleElement dxfId="17" type="firstRowStripe"/>
      <tableStyleElement dxfId="11" type="secondRowStripe"/>
      <tableStyleElement dxfId="16" type="totalRow"/>
    </tableStyle>
    <tableStyle count="4" pivot="0" name="AFC North Counter-style 5">
      <tableStyleElement dxfId="18" type="headerRow"/>
      <tableStyleElement dxfId="17" type="firstRowStripe"/>
      <tableStyleElement dxfId="11" type="secondRowStripe"/>
      <tableStyleElement dxfId="18" type="totalRow"/>
    </tableStyle>
    <tableStyle count="4" pivot="0" name="AFC North Counter-style 6">
      <tableStyleElement dxfId="19" type="headerRow"/>
      <tableStyleElement dxfId="20" type="firstRowStripe"/>
      <tableStyleElement dxfId="11" type="secondRowStripe"/>
      <tableStyleElement dxfId="19" type="totalRow"/>
    </tableStyle>
    <tableStyle count="4" pivot="0" name="AFC North Counter-style 7">
      <tableStyleElement dxfId="21" type="headerRow"/>
      <tableStyleElement dxfId="22" type="firstRowStripe"/>
      <tableStyleElement dxfId="11" type="secondRowStripe"/>
      <tableStyleElement dxfId="21" type="totalRow"/>
    </tableStyle>
    <tableStyle count="4" pivot="0" name="AFC North Counter-style 8">
      <tableStyleElement dxfId="23" type="headerRow"/>
      <tableStyleElement dxfId="17" type="firstRowStripe"/>
      <tableStyleElement dxfId="11" type="secondRowStripe"/>
      <tableStyleElement dxfId="23" type="totalRow"/>
    </tableStyle>
    <tableStyle count="4" pivot="0" name="AFC North Counter-style 9">
      <tableStyleElement dxfId="24" type="headerRow"/>
      <tableStyleElement dxfId="25" type="firstRowStripe"/>
      <tableStyleElement dxfId="11" type="secondRowStripe"/>
      <tableStyleElement dxfId="24" type="totalRow"/>
    </tableStyle>
    <tableStyle count="4" pivot="0" name="AFC North Counter-style 10">
      <tableStyleElement dxfId="26" type="headerRow"/>
      <tableStyleElement dxfId="15" type="firstRowStripe"/>
      <tableStyleElement dxfId="11" type="secondRowStripe"/>
      <tableStyleElement dxfId="26" type="totalRow"/>
    </tableStyle>
    <tableStyle count="4" pivot="0" name="AFC North Counter-style 11">
      <tableStyleElement dxfId="27" type="headerRow"/>
      <tableStyleElement dxfId="28" type="firstRowStripe"/>
      <tableStyleElement dxfId="11" type="secondRowStripe"/>
      <tableStyleElement dxfId="27" type="totalRow"/>
    </tableStyle>
    <tableStyle count="4" pivot="0" name="AFC North Counter-style 12">
      <tableStyleElement dxfId="29" type="headerRow"/>
      <tableStyleElement dxfId="15" type="firstRowStripe"/>
      <tableStyleElement dxfId="11" type="secondRowStripe"/>
      <tableStyleElement dxfId="29" type="totalRow"/>
    </tableStyle>
    <tableStyle count="4" pivot="0" name="AFC North Counter-style 13">
      <tableStyleElement dxfId="30" type="headerRow"/>
      <tableStyleElement dxfId="10" type="firstRowStripe"/>
      <tableStyleElement dxfId="11" type="secondRowStripe"/>
      <tableStyleElement dxfId="30" type="totalRow"/>
    </tableStyle>
    <tableStyle count="4" pivot="0" name="AFC North Counter-style 14">
      <tableStyleElement dxfId="31" type="headerRow"/>
      <tableStyleElement dxfId="20" type="firstRowStripe"/>
      <tableStyleElement dxfId="11" type="secondRowStripe"/>
      <tableStyleElement dxfId="31" type="totalRow"/>
    </tableStyle>
    <tableStyle count="4" pivot="0" name="AFC North Counter-style 15">
      <tableStyleElement dxfId="32" type="headerRow"/>
      <tableStyleElement dxfId="17" type="firstRowStripe"/>
      <tableStyleElement dxfId="11" type="secondRowStripe"/>
      <tableStyleElement dxfId="32" type="totalRow"/>
    </tableStyle>
    <tableStyle count="4" pivot="0" name="AFC North Counter-style 16">
      <tableStyleElement dxfId="33" type="headerRow"/>
      <tableStyleElement dxfId="34" type="firstRowStripe"/>
      <tableStyleElement dxfId="11" type="secondRowStripe"/>
      <tableStyleElement dxfId="33" type="totalRow"/>
    </tableStyle>
    <tableStyle count="4" pivot="0" name="AFC North Counter-style 17">
      <tableStyleElement dxfId="35" type="headerRow"/>
      <tableStyleElement dxfId="10" type="firstRowStripe"/>
      <tableStyleElement dxfId="11" type="secondRowStripe"/>
      <tableStyleElement dxfId="35" type="totalRow"/>
    </tableStyle>
    <tableStyle count="4" pivot="0" name="AFC North Counter-style 18">
      <tableStyleElement dxfId="36" type="headerRow"/>
      <tableStyleElement dxfId="17" type="firstRowStripe"/>
      <tableStyleElement dxfId="11" type="secondRowStripe"/>
      <tableStyleElement dxfId="36" type="totalRow"/>
    </tableStyle>
    <tableStyle count="4" pivot="0" name="AFC North Counter-style 19">
      <tableStyleElement dxfId="37" type="headerRow"/>
      <tableStyleElement dxfId="22" type="firstRowStripe"/>
      <tableStyleElement dxfId="11" type="secondRowStripe"/>
      <tableStyleElement dxfId="37" type="totalRow"/>
    </tableStyle>
    <tableStyle count="4" pivot="0" name="AFC North Counter-style 20">
      <tableStyleElement dxfId="38" type="headerRow"/>
      <tableStyleElement dxfId="10" type="firstRowStripe"/>
      <tableStyleElement dxfId="11" type="secondRowStripe"/>
      <tableStyleElement dxfId="38" type="totalRow"/>
    </tableStyle>
    <tableStyle count="4" pivot="0" name="AFC North Counter-style 21">
      <tableStyleElement dxfId="39" type="headerRow"/>
      <tableStyleElement dxfId="17" type="firstRowStripe"/>
      <tableStyleElement dxfId="11" type="secondRowStripe"/>
      <tableStyleElement dxfId="39" type="totalRow"/>
    </tableStyle>
    <tableStyle count="4" pivot="0" name="AFC North Counter-style 22">
      <tableStyleElement dxfId="40" type="headerRow"/>
      <tableStyleElement dxfId="22" type="firstRowStripe"/>
      <tableStyleElement dxfId="11" type="secondRowStripe"/>
      <tableStyleElement dxfId="40" type="totalRow"/>
    </tableStyle>
    <tableStyle count="4" pivot="0" name="AFC North Counter-style 23">
      <tableStyleElement dxfId="41" type="headerRow"/>
      <tableStyleElement dxfId="17" type="firstRowStripe"/>
      <tableStyleElement dxfId="11" type="secondRowStripe"/>
      <tableStyleElement dxfId="41" type="totalRow"/>
    </tableStyle>
    <tableStyle count="4" pivot="0" name="AFC North Counter-style 24">
      <tableStyleElement dxfId="42" type="headerRow"/>
      <tableStyleElement dxfId="10" type="firstRowStripe"/>
      <tableStyleElement dxfId="11" type="secondRowStripe"/>
      <tableStyleElement dxfId="42" type="totalRow"/>
    </tableStyle>
    <tableStyle count="4" pivot="0" name="AFC North Counter-style 25">
      <tableStyleElement dxfId="43" type="headerRow"/>
      <tableStyleElement dxfId="34" type="firstRowStripe"/>
      <tableStyleElement dxfId="11" type="secondRowStripe"/>
      <tableStyleElement dxfId="43" type="totalRow"/>
    </tableStyle>
    <tableStyle count="4" pivot="0" name="AFC North Counter-style 26">
      <tableStyleElement dxfId="44" type="headerRow"/>
      <tableStyleElement dxfId="22" type="firstRowStripe"/>
      <tableStyleElement dxfId="11" type="secondRowStripe"/>
      <tableStyleElement dxfId="44" type="totalRow"/>
    </tableStyle>
    <tableStyle count="4" pivot="0" name="AFC North Counter-style 27">
      <tableStyleElement dxfId="45" type="headerRow"/>
      <tableStyleElement dxfId="25" type="firstRowStripe"/>
      <tableStyleElement dxfId="11" type="secondRowStripe"/>
      <tableStyleElement dxfId="45" type="totalRow"/>
    </tableStyle>
    <tableStyle count="4" pivot="0" name="AFC North Counter-style 28">
      <tableStyleElement dxfId="46" type="headerRow"/>
      <tableStyleElement dxfId="15" type="firstRowStripe"/>
      <tableStyleElement dxfId="11" type="secondRowStripe"/>
      <tableStyleElement dxfId="46" type="totalRow"/>
    </tableStyle>
    <tableStyle count="4" pivot="0" name="AFC North Counter-style 29">
      <tableStyleElement dxfId="47" type="headerRow"/>
      <tableStyleElement dxfId="10" type="firstRowStripe"/>
      <tableStyleElement dxfId="11" type="secondRowStripe"/>
      <tableStyleElement dxfId="47" type="totalRow"/>
    </tableStyle>
    <tableStyle count="4" pivot="0" name="AFC North Counter-style 30">
      <tableStyleElement dxfId="48" type="headerRow"/>
      <tableStyleElement dxfId="28" type="firstRowStripe"/>
      <tableStyleElement dxfId="11" type="secondRowStripe"/>
      <tableStyleElement dxfId="48" type="totalRow"/>
    </tableStyle>
    <tableStyle count="4" pivot="0" name="AFC North Counter-style 31">
      <tableStyleElement dxfId="49" type="headerRow"/>
      <tableStyleElement dxfId="10" type="firstRowStripe"/>
      <tableStyleElement dxfId="11" type="secondRowStripe"/>
      <tableStyleElement dxfId="49" type="totalRow"/>
    </tableStyle>
    <tableStyle count="4" pivot="0" name="AFC North Counter-style 32">
      <tableStyleElement dxfId="50" type="headerRow"/>
      <tableStyleElement dxfId="34" type="firstRowStripe"/>
      <tableStyleElement dxfId="11" type="secondRowStripe"/>
      <tableStyleElement dxfId="50" type="totalRow"/>
    </tableStyle>
    <tableStyle count="4" pivot="0" name="AFC South Counter-style">
      <tableStyleElement dxfId="9" type="headerRow"/>
      <tableStyleElement dxfId="10" type="firstRowStripe"/>
      <tableStyleElement dxfId="11" type="secondRowStripe"/>
      <tableStyleElement dxfId="9" type="totalRow"/>
    </tableStyle>
    <tableStyle count="4" pivot="0" name="AFC South Counter-style 2">
      <tableStyleElement dxfId="12" type="headerRow"/>
      <tableStyleElement dxfId="13" type="firstRowStripe"/>
      <tableStyleElement dxfId="11" type="secondRowStripe"/>
      <tableStyleElement dxfId="12" type="totalRow"/>
    </tableStyle>
    <tableStyle count="4" pivot="0" name="AFC South Counter-style 3">
      <tableStyleElement dxfId="14" type="headerRow"/>
      <tableStyleElement dxfId="15" type="firstRowStripe"/>
      <tableStyleElement dxfId="11" type="secondRowStripe"/>
      <tableStyleElement dxfId="14" type="totalRow"/>
    </tableStyle>
    <tableStyle count="4" pivot="0" name="NFC West Counter-style">
      <tableStyleElement dxfId="9" type="headerRow"/>
      <tableStyleElement dxfId="10" type="firstRowStripe"/>
      <tableStyleElement dxfId="11" type="secondRowStripe"/>
      <tableStyleElement dxfId="9" type="totalRow"/>
    </tableStyle>
    <tableStyle count="4" pivot="0" name="AFC South Counter-style 4">
      <tableStyleElement dxfId="16" type="headerRow"/>
      <tableStyleElement dxfId="17" type="firstRowStripe"/>
      <tableStyleElement dxfId="11" type="secondRowStripe"/>
      <tableStyleElement dxfId="16" type="totalRow"/>
    </tableStyle>
    <tableStyle count="4" pivot="0" name="AFC South Counter-style 5">
      <tableStyleElement dxfId="18" type="headerRow"/>
      <tableStyleElement dxfId="17" type="firstRowStripe"/>
      <tableStyleElement dxfId="11" type="secondRowStripe"/>
      <tableStyleElement dxfId="18" type="totalRow"/>
    </tableStyle>
    <tableStyle count="4" pivot="0" name="NFC West Counter-style 2">
      <tableStyleElement dxfId="12" type="headerRow"/>
      <tableStyleElement dxfId="13" type="firstRowStripe"/>
      <tableStyleElement dxfId="11" type="secondRowStripe"/>
      <tableStyleElement dxfId="12" type="totalRow"/>
    </tableStyle>
    <tableStyle count="4" pivot="0" name="AFC South Counter-style 6">
      <tableStyleElement dxfId="19" type="headerRow"/>
      <tableStyleElement dxfId="20" type="firstRowStripe"/>
      <tableStyleElement dxfId="11" type="secondRowStripe"/>
      <tableStyleElement dxfId="19" type="totalRow"/>
    </tableStyle>
    <tableStyle count="4" pivot="0" name="NFC West Counter-style 3">
      <tableStyleElement dxfId="14" type="headerRow"/>
      <tableStyleElement dxfId="15" type="firstRowStripe"/>
      <tableStyleElement dxfId="11" type="secondRowStripe"/>
      <tableStyleElement dxfId="14" type="totalRow"/>
    </tableStyle>
    <tableStyle count="4" pivot="0" name="AFC South Counter-style 7">
      <tableStyleElement dxfId="21" type="headerRow"/>
      <tableStyleElement dxfId="22" type="firstRowStripe"/>
      <tableStyleElement dxfId="11" type="secondRowStripe"/>
      <tableStyleElement dxfId="21" type="totalRow"/>
    </tableStyle>
    <tableStyle count="4" pivot="0" name="NFC West Counter-style 4">
      <tableStyleElement dxfId="16" type="headerRow"/>
      <tableStyleElement dxfId="17" type="firstRowStripe"/>
      <tableStyleElement dxfId="11" type="secondRowStripe"/>
      <tableStyleElement dxfId="16" type="totalRow"/>
    </tableStyle>
    <tableStyle count="4" pivot="0" name="AFC South Counter-style 8">
      <tableStyleElement dxfId="23" type="headerRow"/>
      <tableStyleElement dxfId="17" type="firstRowStripe"/>
      <tableStyleElement dxfId="11" type="secondRowStripe"/>
      <tableStyleElement dxfId="23" type="totalRow"/>
    </tableStyle>
    <tableStyle count="4" pivot="0" name="NFC West Counter-style 5">
      <tableStyleElement dxfId="18" type="headerRow"/>
      <tableStyleElement dxfId="17" type="firstRowStripe"/>
      <tableStyleElement dxfId="11" type="secondRowStripe"/>
      <tableStyleElement dxfId="18" type="totalRow"/>
    </tableStyle>
    <tableStyle count="4" pivot="0" name="AFC South Counter-style 9">
      <tableStyleElement dxfId="24" type="headerRow"/>
      <tableStyleElement dxfId="25" type="firstRowStripe"/>
      <tableStyleElement dxfId="11" type="secondRowStripe"/>
      <tableStyleElement dxfId="24" type="totalRow"/>
    </tableStyle>
    <tableStyle count="4" pivot="0" name="AFC South Counter-style 10">
      <tableStyleElement dxfId="26" type="headerRow"/>
      <tableStyleElement dxfId="15" type="firstRowStripe"/>
      <tableStyleElement dxfId="11" type="secondRowStripe"/>
      <tableStyleElement dxfId="26" type="totalRow"/>
    </tableStyle>
    <tableStyle count="4" pivot="0" name="NFC West Counter-style 6">
      <tableStyleElement dxfId="19" type="headerRow"/>
      <tableStyleElement dxfId="20" type="firstRowStripe"/>
      <tableStyleElement dxfId="11" type="secondRowStripe"/>
      <tableStyleElement dxfId="19" type="totalRow"/>
    </tableStyle>
    <tableStyle count="4" pivot="0" name="AFC South Counter-style 11">
      <tableStyleElement dxfId="27" type="headerRow"/>
      <tableStyleElement dxfId="28" type="firstRowStripe"/>
      <tableStyleElement dxfId="11" type="secondRowStripe"/>
      <tableStyleElement dxfId="27" type="totalRow"/>
    </tableStyle>
    <tableStyle count="4" pivot="0" name="NFC West Counter-style 7">
      <tableStyleElement dxfId="21" type="headerRow"/>
      <tableStyleElement dxfId="22" type="firstRowStripe"/>
      <tableStyleElement dxfId="11" type="secondRowStripe"/>
      <tableStyleElement dxfId="21" type="totalRow"/>
    </tableStyle>
    <tableStyle count="4" pivot="0" name="AFC South Counter-style 12">
      <tableStyleElement dxfId="29" type="headerRow"/>
      <tableStyleElement dxfId="15" type="firstRowStripe"/>
      <tableStyleElement dxfId="11" type="secondRowStripe"/>
      <tableStyleElement dxfId="29" type="totalRow"/>
    </tableStyle>
    <tableStyle count="4" pivot="0" name="NFC West Counter-style 8">
      <tableStyleElement dxfId="23" type="headerRow"/>
      <tableStyleElement dxfId="17" type="firstRowStripe"/>
      <tableStyleElement dxfId="11" type="secondRowStripe"/>
      <tableStyleElement dxfId="23" type="totalRow"/>
    </tableStyle>
    <tableStyle count="4" pivot="0" name="AFC South Counter-style 13">
      <tableStyleElement dxfId="30" type="headerRow"/>
      <tableStyleElement dxfId="10" type="firstRowStripe"/>
      <tableStyleElement dxfId="11" type="secondRowStripe"/>
      <tableStyleElement dxfId="30" type="totalRow"/>
    </tableStyle>
    <tableStyle count="4" pivot="0" name="NFC West Counter-style 9">
      <tableStyleElement dxfId="24" type="headerRow"/>
      <tableStyleElement dxfId="25" type="firstRowStripe"/>
      <tableStyleElement dxfId="11" type="secondRowStripe"/>
      <tableStyleElement dxfId="24" type="totalRow"/>
    </tableStyle>
    <tableStyle count="4" pivot="0" name="AFC South Counter-style 14">
      <tableStyleElement dxfId="31" type="headerRow"/>
      <tableStyleElement dxfId="20" type="firstRowStripe"/>
      <tableStyleElement dxfId="11" type="secondRowStripe"/>
      <tableStyleElement dxfId="31" type="totalRow"/>
    </tableStyle>
    <tableStyle count="4" pivot="0" name="NFC West Counter-style 10">
      <tableStyleElement dxfId="26" type="headerRow"/>
      <tableStyleElement dxfId="15" type="firstRowStripe"/>
      <tableStyleElement dxfId="11" type="secondRowStripe"/>
      <tableStyleElement dxfId="26" type="totalRow"/>
    </tableStyle>
    <tableStyle count="4" pivot="0" name="AFC South Counter-style 15">
      <tableStyleElement dxfId="32" type="headerRow"/>
      <tableStyleElement dxfId="17" type="firstRowStripe"/>
      <tableStyleElement dxfId="11" type="secondRowStripe"/>
      <tableStyleElement dxfId="32" type="totalRow"/>
    </tableStyle>
    <tableStyle count="4" pivot="0" name="NFC West Counter-style 11">
      <tableStyleElement dxfId="27" type="headerRow"/>
      <tableStyleElement dxfId="28" type="firstRowStripe"/>
      <tableStyleElement dxfId="11" type="secondRowStripe"/>
      <tableStyleElement dxfId="27" type="totalRow"/>
    </tableStyle>
    <tableStyle count="4" pivot="0" name="AFC South Counter-style 16">
      <tableStyleElement dxfId="33" type="headerRow"/>
      <tableStyleElement dxfId="34" type="firstRowStripe"/>
      <tableStyleElement dxfId="11" type="secondRowStripe"/>
      <tableStyleElement dxfId="33" type="totalRow"/>
    </tableStyle>
    <tableStyle count="4" pivot="0" name="NFC West Counter-style 12">
      <tableStyleElement dxfId="29" type="headerRow"/>
      <tableStyleElement dxfId="15" type="firstRowStripe"/>
      <tableStyleElement dxfId="11" type="secondRowStripe"/>
      <tableStyleElement dxfId="29" type="totalRow"/>
    </tableStyle>
    <tableStyle count="4" pivot="0" name="AFC South Counter-style 17">
      <tableStyleElement dxfId="35" type="headerRow"/>
      <tableStyleElement dxfId="10" type="firstRowStripe"/>
      <tableStyleElement dxfId="11" type="secondRowStripe"/>
      <tableStyleElement dxfId="35" type="totalRow"/>
    </tableStyle>
    <tableStyle count="4" pivot="0" name="NFC West Counter-style 13">
      <tableStyleElement dxfId="30" type="headerRow"/>
      <tableStyleElement dxfId="10" type="firstRowStripe"/>
      <tableStyleElement dxfId="11" type="secondRowStripe"/>
      <tableStyleElement dxfId="30" type="totalRow"/>
    </tableStyle>
    <tableStyle count="4" pivot="0" name="AFC South Counter-style 18">
      <tableStyleElement dxfId="36" type="headerRow"/>
      <tableStyleElement dxfId="17" type="firstRowStripe"/>
      <tableStyleElement dxfId="11" type="secondRowStripe"/>
      <tableStyleElement dxfId="36" type="totalRow"/>
    </tableStyle>
    <tableStyle count="4" pivot="0" name="NFC West Counter-style 14">
      <tableStyleElement dxfId="31" type="headerRow"/>
      <tableStyleElement dxfId="20" type="firstRowStripe"/>
      <tableStyleElement dxfId="11" type="secondRowStripe"/>
      <tableStyleElement dxfId="31" type="totalRow"/>
    </tableStyle>
    <tableStyle count="4" pivot="0" name="AFC South Counter-style 19">
      <tableStyleElement dxfId="37" type="headerRow"/>
      <tableStyleElement dxfId="22" type="firstRowStripe"/>
      <tableStyleElement dxfId="11" type="secondRowStripe"/>
      <tableStyleElement dxfId="37" type="totalRow"/>
    </tableStyle>
    <tableStyle count="4" pivot="0" name="NFC West Counter-style 15">
      <tableStyleElement dxfId="32" type="headerRow"/>
      <tableStyleElement dxfId="17" type="firstRowStripe"/>
      <tableStyleElement dxfId="11" type="secondRowStripe"/>
      <tableStyleElement dxfId="32" type="totalRow"/>
    </tableStyle>
    <tableStyle count="4" pivot="0" name="AFC South Counter-style 20">
      <tableStyleElement dxfId="38" type="headerRow"/>
      <tableStyleElement dxfId="10" type="firstRowStripe"/>
      <tableStyleElement dxfId="11" type="secondRowStripe"/>
      <tableStyleElement dxfId="38" type="totalRow"/>
    </tableStyle>
    <tableStyle count="4" pivot="0" name="NFC West Counter-style 16">
      <tableStyleElement dxfId="33" type="headerRow"/>
      <tableStyleElement dxfId="34" type="firstRowStripe"/>
      <tableStyleElement dxfId="11" type="secondRowStripe"/>
      <tableStyleElement dxfId="33" type="totalRow"/>
    </tableStyle>
    <tableStyle count="4" pivot="0" name="AFC South Counter-style 21">
      <tableStyleElement dxfId="39" type="headerRow"/>
      <tableStyleElement dxfId="17" type="firstRowStripe"/>
      <tableStyleElement dxfId="11" type="secondRowStripe"/>
      <tableStyleElement dxfId="39" type="totalRow"/>
    </tableStyle>
    <tableStyle count="4" pivot="0" name="NFC West Counter-style 17">
      <tableStyleElement dxfId="35" type="headerRow"/>
      <tableStyleElement dxfId="10" type="firstRowStripe"/>
      <tableStyleElement dxfId="11" type="secondRowStripe"/>
      <tableStyleElement dxfId="35" type="totalRow"/>
    </tableStyle>
    <tableStyle count="4" pivot="0" name="AFC South Counter-style 22">
      <tableStyleElement dxfId="40" type="headerRow"/>
      <tableStyleElement dxfId="22" type="firstRowStripe"/>
      <tableStyleElement dxfId="11" type="secondRowStripe"/>
      <tableStyleElement dxfId="40" type="totalRow"/>
    </tableStyle>
    <tableStyle count="4" pivot="0" name="NFC West Counter-style 18">
      <tableStyleElement dxfId="36" type="headerRow"/>
      <tableStyleElement dxfId="17" type="firstRowStripe"/>
      <tableStyleElement dxfId="11" type="secondRowStripe"/>
      <tableStyleElement dxfId="36" type="totalRow"/>
    </tableStyle>
    <tableStyle count="4" pivot="0" name="AFC South Counter-style 23">
      <tableStyleElement dxfId="41" type="headerRow"/>
      <tableStyleElement dxfId="17" type="firstRowStripe"/>
      <tableStyleElement dxfId="11" type="secondRowStripe"/>
      <tableStyleElement dxfId="41" type="totalRow"/>
    </tableStyle>
    <tableStyle count="4" pivot="0" name="AFC South Counter-style 24">
      <tableStyleElement dxfId="42" type="headerRow"/>
      <tableStyleElement dxfId="10" type="firstRowStripe"/>
      <tableStyleElement dxfId="11" type="secondRowStripe"/>
      <tableStyleElement dxfId="42" type="totalRow"/>
    </tableStyle>
    <tableStyle count="4" pivot="0" name="NFC West Counter-style 19">
      <tableStyleElement dxfId="37" type="headerRow"/>
      <tableStyleElement dxfId="22" type="firstRowStripe"/>
      <tableStyleElement dxfId="11" type="secondRowStripe"/>
      <tableStyleElement dxfId="37" type="totalRow"/>
    </tableStyle>
    <tableStyle count="4" pivot="0" name="AFC South Counter-style 25">
      <tableStyleElement dxfId="43" type="headerRow"/>
      <tableStyleElement dxfId="34" type="firstRowStripe"/>
      <tableStyleElement dxfId="11" type="secondRowStripe"/>
      <tableStyleElement dxfId="43" type="totalRow"/>
    </tableStyle>
    <tableStyle count="4" pivot="0" name="NFC West Counter-style 20">
      <tableStyleElement dxfId="38" type="headerRow"/>
      <tableStyleElement dxfId="10" type="firstRowStripe"/>
      <tableStyleElement dxfId="11" type="secondRowStripe"/>
      <tableStyleElement dxfId="38" type="totalRow"/>
    </tableStyle>
    <tableStyle count="4" pivot="0" name="AFC South Counter-style 26">
      <tableStyleElement dxfId="44" type="headerRow"/>
      <tableStyleElement dxfId="22" type="firstRowStripe"/>
      <tableStyleElement dxfId="11" type="secondRowStripe"/>
      <tableStyleElement dxfId="44" type="totalRow"/>
    </tableStyle>
    <tableStyle count="4" pivot="0" name="NFC West Counter-style 21">
      <tableStyleElement dxfId="39" type="headerRow"/>
      <tableStyleElement dxfId="17" type="firstRowStripe"/>
      <tableStyleElement dxfId="11" type="secondRowStripe"/>
      <tableStyleElement dxfId="39" type="totalRow"/>
    </tableStyle>
    <tableStyle count="4" pivot="0" name="AFC South Counter-style 27">
      <tableStyleElement dxfId="45" type="headerRow"/>
      <tableStyleElement dxfId="25" type="firstRowStripe"/>
      <tableStyleElement dxfId="11" type="secondRowStripe"/>
      <tableStyleElement dxfId="45" type="totalRow"/>
    </tableStyle>
    <tableStyle count="4" pivot="0" name="NFC West Counter-style 22">
      <tableStyleElement dxfId="40" type="headerRow"/>
      <tableStyleElement dxfId="22" type="firstRowStripe"/>
      <tableStyleElement dxfId="11" type="secondRowStripe"/>
      <tableStyleElement dxfId="40" type="totalRow"/>
    </tableStyle>
    <tableStyle count="4" pivot="0" name="AFC South Counter-style 28">
      <tableStyleElement dxfId="46" type="headerRow"/>
      <tableStyleElement dxfId="15" type="firstRowStripe"/>
      <tableStyleElement dxfId="11" type="secondRowStripe"/>
      <tableStyleElement dxfId="46" type="totalRow"/>
    </tableStyle>
    <tableStyle count="4" pivot="0" name="NFC West Counter-style 23">
      <tableStyleElement dxfId="41" type="headerRow"/>
      <tableStyleElement dxfId="17" type="firstRowStripe"/>
      <tableStyleElement dxfId="11" type="secondRowStripe"/>
      <tableStyleElement dxfId="41" type="totalRow"/>
    </tableStyle>
    <tableStyle count="4" pivot="0" name="AFC South Counter-style 29">
      <tableStyleElement dxfId="47" type="headerRow"/>
      <tableStyleElement dxfId="10" type="firstRowStripe"/>
      <tableStyleElement dxfId="11" type="secondRowStripe"/>
      <tableStyleElement dxfId="47" type="totalRow"/>
    </tableStyle>
    <tableStyle count="4" pivot="0" name="NFC West Counter-style 24">
      <tableStyleElement dxfId="42" type="headerRow"/>
      <tableStyleElement dxfId="10" type="firstRowStripe"/>
      <tableStyleElement dxfId="11" type="secondRowStripe"/>
      <tableStyleElement dxfId="42" type="totalRow"/>
    </tableStyle>
    <tableStyle count="4" pivot="0" name="AFC South Counter-style 30">
      <tableStyleElement dxfId="48" type="headerRow"/>
      <tableStyleElement dxfId="28" type="firstRowStripe"/>
      <tableStyleElement dxfId="11" type="secondRowStripe"/>
      <tableStyleElement dxfId="48" type="totalRow"/>
    </tableStyle>
    <tableStyle count="4" pivot="0" name="NFC West Counter-style 25">
      <tableStyleElement dxfId="43" type="headerRow"/>
      <tableStyleElement dxfId="34" type="firstRowStripe"/>
      <tableStyleElement dxfId="11" type="secondRowStripe"/>
      <tableStyleElement dxfId="43" type="totalRow"/>
    </tableStyle>
    <tableStyle count="4" pivot="0" name="AFC South Counter-style 31">
      <tableStyleElement dxfId="49" type="headerRow"/>
      <tableStyleElement dxfId="10" type="firstRowStripe"/>
      <tableStyleElement dxfId="11" type="secondRowStripe"/>
      <tableStyleElement dxfId="49" type="totalRow"/>
    </tableStyle>
    <tableStyle count="4" pivot="0" name="NFC West Counter-style 26">
      <tableStyleElement dxfId="44" type="headerRow"/>
      <tableStyleElement dxfId="22" type="firstRowStripe"/>
      <tableStyleElement dxfId="11" type="secondRowStripe"/>
      <tableStyleElement dxfId="44" type="totalRow"/>
    </tableStyle>
    <tableStyle count="4" pivot="0" name="AFC South Counter-style 32">
      <tableStyleElement dxfId="50" type="headerRow"/>
      <tableStyleElement dxfId="34" type="firstRowStripe"/>
      <tableStyleElement dxfId="11" type="secondRowStripe"/>
      <tableStyleElement dxfId="50" type="totalRow"/>
    </tableStyle>
    <tableStyle count="4" pivot="0" name="NFC West Counter-style 27">
      <tableStyleElement dxfId="45" type="headerRow"/>
      <tableStyleElement dxfId="25" type="firstRowStripe"/>
      <tableStyleElement dxfId="11" type="secondRowStripe"/>
      <tableStyleElement dxfId="45" type="totalRow"/>
    </tableStyle>
    <tableStyle count="4" pivot="0" name="NFC West Counter-style 28">
      <tableStyleElement dxfId="46" type="headerRow"/>
      <tableStyleElement dxfId="15" type="firstRowStripe"/>
      <tableStyleElement dxfId="11" type="secondRowStripe"/>
      <tableStyleElement dxfId="46" type="totalRow"/>
    </tableStyle>
    <tableStyle count="4" pivot="0" name="NFC West Counter-style 29">
      <tableStyleElement dxfId="47" type="headerRow"/>
      <tableStyleElement dxfId="10" type="firstRowStripe"/>
      <tableStyleElement dxfId="11" type="secondRowStripe"/>
      <tableStyleElement dxfId="47" type="totalRow"/>
    </tableStyle>
    <tableStyle count="4" pivot="0" name="NFC West Counter-style 30">
      <tableStyleElement dxfId="48" type="headerRow"/>
      <tableStyleElement dxfId="28" type="firstRowStripe"/>
      <tableStyleElement dxfId="11" type="secondRowStripe"/>
      <tableStyleElement dxfId="48" type="totalRow"/>
    </tableStyle>
    <tableStyle count="4" pivot="0" name="NFC West Counter-style 31">
      <tableStyleElement dxfId="49" type="headerRow"/>
      <tableStyleElement dxfId="10" type="firstRowStripe"/>
      <tableStyleElement dxfId="11" type="secondRowStripe"/>
      <tableStyleElement dxfId="49" type="totalRow"/>
    </tableStyle>
    <tableStyle count="4" pivot="0" name="NFC West Counter-style 32">
      <tableStyleElement dxfId="50" type="headerRow"/>
      <tableStyleElement dxfId="34" type="firstRowStripe"/>
      <tableStyleElement dxfId="11" type="secondRowStripe"/>
      <tableStyleElement dxfId="50" type="totalRow"/>
    </tableStyle>
    <tableStyle count="4" pivot="0" name="NFC East Counter-style">
      <tableStyleElement dxfId="9" type="headerRow"/>
      <tableStyleElement dxfId="10" type="firstRowStripe"/>
      <tableStyleElement dxfId="11" type="secondRowStripe"/>
      <tableStyleElement dxfId="9" type="totalRow"/>
    </tableStyle>
    <tableStyle count="4" pivot="0" name="NFC East Counter-style 2">
      <tableStyleElement dxfId="12" type="headerRow"/>
      <tableStyleElement dxfId="13" type="firstRowStripe"/>
      <tableStyleElement dxfId="11" type="secondRowStripe"/>
      <tableStyleElement dxfId="12" type="totalRow"/>
    </tableStyle>
    <tableStyle count="4" pivot="0" name="NFC East Counter-style 3">
      <tableStyleElement dxfId="14" type="headerRow"/>
      <tableStyleElement dxfId="15" type="firstRowStripe"/>
      <tableStyleElement dxfId="11" type="secondRowStripe"/>
      <tableStyleElement dxfId="14" type="totalRow"/>
    </tableStyle>
    <tableStyle count="4" pivot="0" name="NFC East Counter-style 4">
      <tableStyleElement dxfId="16" type="headerRow"/>
      <tableStyleElement dxfId="17" type="firstRowStripe"/>
      <tableStyleElement dxfId="11" type="secondRowStripe"/>
      <tableStyleElement dxfId="16" type="totalRow"/>
    </tableStyle>
    <tableStyle count="4" pivot="0" name="NFC East Counter-style 5">
      <tableStyleElement dxfId="18" type="headerRow"/>
      <tableStyleElement dxfId="17" type="firstRowStripe"/>
      <tableStyleElement dxfId="11" type="secondRowStripe"/>
      <tableStyleElement dxfId="18" type="totalRow"/>
    </tableStyle>
    <tableStyle count="4" pivot="0" name="NFC East Counter-style 6">
      <tableStyleElement dxfId="19" type="headerRow"/>
      <tableStyleElement dxfId="20" type="firstRowStripe"/>
      <tableStyleElement dxfId="11" type="secondRowStripe"/>
      <tableStyleElement dxfId="19" type="totalRow"/>
    </tableStyle>
    <tableStyle count="4" pivot="0" name="NFC East Counter-style 7">
      <tableStyleElement dxfId="21" type="headerRow"/>
      <tableStyleElement dxfId="22" type="firstRowStripe"/>
      <tableStyleElement dxfId="11" type="secondRowStripe"/>
      <tableStyleElement dxfId="21" type="totalRow"/>
    </tableStyle>
    <tableStyle count="4" pivot="0" name="NFC East Counter-style 8">
      <tableStyleElement dxfId="23" type="headerRow"/>
      <tableStyleElement dxfId="17" type="firstRowStripe"/>
      <tableStyleElement dxfId="11" type="secondRowStripe"/>
      <tableStyleElement dxfId="23" type="totalRow"/>
    </tableStyle>
    <tableStyle count="4" pivot="0" name="NFC East Counter-style 9">
      <tableStyleElement dxfId="24" type="headerRow"/>
      <tableStyleElement dxfId="25" type="firstRowStripe"/>
      <tableStyleElement dxfId="11" type="secondRowStripe"/>
      <tableStyleElement dxfId="24" type="totalRow"/>
    </tableStyle>
    <tableStyle count="4" pivot="0" name="NFC East Counter-style 10">
      <tableStyleElement dxfId="26" type="headerRow"/>
      <tableStyleElement dxfId="15" type="firstRowStripe"/>
      <tableStyleElement dxfId="11" type="secondRowStripe"/>
      <tableStyleElement dxfId="26" type="totalRow"/>
    </tableStyle>
    <tableStyle count="4" pivot="0" name="NFC East Counter-style 11">
      <tableStyleElement dxfId="27" type="headerRow"/>
      <tableStyleElement dxfId="28" type="firstRowStripe"/>
      <tableStyleElement dxfId="11" type="secondRowStripe"/>
      <tableStyleElement dxfId="27" type="totalRow"/>
    </tableStyle>
    <tableStyle count="4" pivot="0" name="NFC East Counter-style 12">
      <tableStyleElement dxfId="29" type="headerRow"/>
      <tableStyleElement dxfId="15" type="firstRowStripe"/>
      <tableStyleElement dxfId="11" type="secondRowStripe"/>
      <tableStyleElement dxfId="29" type="totalRow"/>
    </tableStyle>
    <tableStyle count="4" pivot="0" name="NFC East Counter-style 13">
      <tableStyleElement dxfId="30" type="headerRow"/>
      <tableStyleElement dxfId="10" type="firstRowStripe"/>
      <tableStyleElement dxfId="11" type="secondRowStripe"/>
      <tableStyleElement dxfId="30" type="totalRow"/>
    </tableStyle>
    <tableStyle count="4" pivot="0" name="NFC East Counter-style 14">
      <tableStyleElement dxfId="31" type="headerRow"/>
      <tableStyleElement dxfId="20" type="firstRowStripe"/>
      <tableStyleElement dxfId="11" type="secondRowStripe"/>
      <tableStyleElement dxfId="31" type="totalRow"/>
    </tableStyle>
    <tableStyle count="4" pivot="0" name="NFC East Counter-style 15">
      <tableStyleElement dxfId="32" type="headerRow"/>
      <tableStyleElement dxfId="17" type="firstRowStripe"/>
      <tableStyleElement dxfId="11" type="secondRowStripe"/>
      <tableStyleElement dxfId="32" type="totalRow"/>
    </tableStyle>
    <tableStyle count="4" pivot="0" name="NFC East Counter-style 16">
      <tableStyleElement dxfId="33" type="headerRow"/>
      <tableStyleElement dxfId="34" type="firstRowStripe"/>
      <tableStyleElement dxfId="11" type="secondRowStripe"/>
      <tableStyleElement dxfId="33" type="totalRow"/>
    </tableStyle>
    <tableStyle count="4" pivot="0" name="NFC East Counter-style 17">
      <tableStyleElement dxfId="35" type="headerRow"/>
      <tableStyleElement dxfId="10" type="firstRowStripe"/>
      <tableStyleElement dxfId="11" type="secondRowStripe"/>
      <tableStyleElement dxfId="35" type="totalRow"/>
    </tableStyle>
    <tableStyle count="4" pivot="0" name="NFC East Counter-style 18">
      <tableStyleElement dxfId="36" type="headerRow"/>
      <tableStyleElement dxfId="17" type="firstRowStripe"/>
      <tableStyleElement dxfId="11" type="secondRowStripe"/>
      <tableStyleElement dxfId="36" type="totalRow"/>
    </tableStyle>
    <tableStyle count="4" pivot="0" name="NFC East Counter-style 19">
      <tableStyleElement dxfId="37" type="headerRow"/>
      <tableStyleElement dxfId="22" type="firstRowStripe"/>
      <tableStyleElement dxfId="11" type="secondRowStripe"/>
      <tableStyleElement dxfId="37" type="totalRow"/>
    </tableStyle>
    <tableStyle count="4" pivot="0" name="NFC East Counter-style 20">
      <tableStyleElement dxfId="38" type="headerRow"/>
      <tableStyleElement dxfId="10" type="firstRowStripe"/>
      <tableStyleElement dxfId="11" type="secondRowStripe"/>
      <tableStyleElement dxfId="38" type="totalRow"/>
    </tableStyle>
    <tableStyle count="4" pivot="0" name="NFC East Counter-style 21">
      <tableStyleElement dxfId="39" type="headerRow"/>
      <tableStyleElement dxfId="17" type="firstRowStripe"/>
      <tableStyleElement dxfId="11" type="secondRowStripe"/>
      <tableStyleElement dxfId="39" type="totalRow"/>
    </tableStyle>
    <tableStyle count="4" pivot="0" name="NFC East Counter-style 22">
      <tableStyleElement dxfId="40" type="headerRow"/>
      <tableStyleElement dxfId="22" type="firstRowStripe"/>
      <tableStyleElement dxfId="11" type="secondRowStripe"/>
      <tableStyleElement dxfId="40" type="totalRow"/>
    </tableStyle>
    <tableStyle count="4" pivot="0" name="NFC East Counter-style 23">
      <tableStyleElement dxfId="41" type="headerRow"/>
      <tableStyleElement dxfId="17" type="firstRowStripe"/>
      <tableStyleElement dxfId="11" type="secondRowStripe"/>
      <tableStyleElement dxfId="41" type="totalRow"/>
    </tableStyle>
    <tableStyle count="4" pivot="0" name="NFC East Counter-style 24">
      <tableStyleElement dxfId="42" type="headerRow"/>
      <tableStyleElement dxfId="10" type="firstRowStripe"/>
      <tableStyleElement dxfId="11" type="secondRowStripe"/>
      <tableStyleElement dxfId="42" type="totalRow"/>
    </tableStyle>
    <tableStyle count="4" pivot="0" name="NFC East Counter-style 25">
      <tableStyleElement dxfId="43" type="headerRow"/>
      <tableStyleElement dxfId="34" type="firstRowStripe"/>
      <tableStyleElement dxfId="11" type="secondRowStripe"/>
      <tableStyleElement dxfId="43" type="totalRow"/>
    </tableStyle>
    <tableStyle count="4" pivot="0" name="NFC East Counter-style 26">
      <tableStyleElement dxfId="44" type="headerRow"/>
      <tableStyleElement dxfId="22" type="firstRowStripe"/>
      <tableStyleElement dxfId="11" type="secondRowStripe"/>
      <tableStyleElement dxfId="44" type="totalRow"/>
    </tableStyle>
    <tableStyle count="4" pivot="0" name="NFC East Counter-style 27">
      <tableStyleElement dxfId="45" type="headerRow"/>
      <tableStyleElement dxfId="25" type="firstRowStripe"/>
      <tableStyleElement dxfId="11" type="secondRowStripe"/>
      <tableStyleElement dxfId="45" type="totalRow"/>
    </tableStyle>
    <tableStyle count="4" pivot="0" name="NFC East Counter-style 28">
      <tableStyleElement dxfId="46" type="headerRow"/>
      <tableStyleElement dxfId="15" type="firstRowStripe"/>
      <tableStyleElement dxfId="11" type="secondRowStripe"/>
      <tableStyleElement dxfId="46" type="totalRow"/>
    </tableStyle>
    <tableStyle count="4" pivot="0" name="NFC East Counter-style 29">
      <tableStyleElement dxfId="47" type="headerRow"/>
      <tableStyleElement dxfId="10" type="firstRowStripe"/>
      <tableStyleElement dxfId="11" type="secondRowStripe"/>
      <tableStyleElement dxfId="47" type="totalRow"/>
    </tableStyle>
    <tableStyle count="4" pivot="0" name="NFC East Counter-style 30">
      <tableStyleElement dxfId="48" type="headerRow"/>
      <tableStyleElement dxfId="28" type="firstRowStripe"/>
      <tableStyleElement dxfId="11" type="secondRowStripe"/>
      <tableStyleElement dxfId="48" type="totalRow"/>
    </tableStyle>
    <tableStyle count="4" pivot="0" name="NFC North Counter-style">
      <tableStyleElement dxfId="9" type="headerRow"/>
      <tableStyleElement dxfId="10" type="firstRowStripe"/>
      <tableStyleElement dxfId="11" type="secondRowStripe"/>
      <tableStyleElement dxfId="9" type="totalRow"/>
    </tableStyle>
    <tableStyle count="4" pivot="0" name="NFC East Counter-style 31">
      <tableStyleElement dxfId="49" type="headerRow"/>
      <tableStyleElement dxfId="10" type="firstRowStripe"/>
      <tableStyleElement dxfId="11" type="secondRowStripe"/>
      <tableStyleElement dxfId="49" type="totalRow"/>
    </tableStyle>
    <tableStyle count="4" pivot="0" name="NFC East Counter-style 32">
      <tableStyleElement dxfId="50" type="headerRow"/>
      <tableStyleElement dxfId="34" type="firstRowStripe"/>
      <tableStyleElement dxfId="11" type="secondRowStripe"/>
      <tableStyleElement dxfId="50" type="totalRow"/>
    </tableStyle>
    <tableStyle count="4" pivot="0" name="NFC North Counter-style 2">
      <tableStyleElement dxfId="12" type="headerRow"/>
      <tableStyleElement dxfId="13" type="firstRowStripe"/>
      <tableStyleElement dxfId="11" type="secondRowStripe"/>
      <tableStyleElement dxfId="12" type="totalRow"/>
    </tableStyle>
    <tableStyle count="4" pivot="0" name="NFC North Counter-style 3">
      <tableStyleElement dxfId="14" type="headerRow"/>
      <tableStyleElement dxfId="15" type="firstRowStripe"/>
      <tableStyleElement dxfId="11" type="secondRowStripe"/>
      <tableStyleElement dxfId="14" type="totalRow"/>
    </tableStyle>
    <tableStyle count="4" pivot="0" name="NFC North Counter-style 4">
      <tableStyleElement dxfId="16" type="headerRow"/>
      <tableStyleElement dxfId="17" type="firstRowStripe"/>
      <tableStyleElement dxfId="11" type="secondRowStripe"/>
      <tableStyleElement dxfId="16" type="totalRow"/>
    </tableStyle>
    <tableStyle count="4" pivot="0" name="NFC North Counter-style 5">
      <tableStyleElement dxfId="18" type="headerRow"/>
      <tableStyleElement dxfId="17" type="firstRowStripe"/>
      <tableStyleElement dxfId="11" type="secondRowStripe"/>
      <tableStyleElement dxfId="18" type="totalRow"/>
    </tableStyle>
    <tableStyle count="4" pivot="0" name="NFC North Counter-style 6">
      <tableStyleElement dxfId="19" type="headerRow"/>
      <tableStyleElement dxfId="20" type="firstRowStripe"/>
      <tableStyleElement dxfId="11" type="secondRowStripe"/>
      <tableStyleElement dxfId="19" type="totalRow"/>
    </tableStyle>
    <tableStyle count="4" pivot="0" name="NFC North Counter-style 7">
      <tableStyleElement dxfId="21" type="headerRow"/>
      <tableStyleElement dxfId="22" type="firstRowStripe"/>
      <tableStyleElement dxfId="11" type="secondRowStripe"/>
      <tableStyleElement dxfId="21" type="totalRow"/>
    </tableStyle>
    <tableStyle count="4" pivot="0" name="NFC North Counter-style 8">
      <tableStyleElement dxfId="23" type="headerRow"/>
      <tableStyleElement dxfId="17" type="firstRowStripe"/>
      <tableStyleElement dxfId="11" type="secondRowStripe"/>
      <tableStyleElement dxfId="23" type="totalRow"/>
    </tableStyle>
    <tableStyle count="4" pivot="0" name="NFC North Counter-style 9">
      <tableStyleElement dxfId="24" type="headerRow"/>
      <tableStyleElement dxfId="25" type="firstRowStripe"/>
      <tableStyleElement dxfId="11" type="secondRowStripe"/>
      <tableStyleElement dxfId="24" type="totalRow"/>
    </tableStyle>
    <tableStyle count="4" pivot="0" name="NFC North Counter-style 10">
      <tableStyleElement dxfId="26" type="headerRow"/>
      <tableStyleElement dxfId="15" type="firstRowStripe"/>
      <tableStyleElement dxfId="11" type="secondRowStripe"/>
      <tableStyleElement dxfId="26" type="totalRow"/>
    </tableStyle>
    <tableStyle count="4" pivot="0" name="NFC North Counter-style 11">
      <tableStyleElement dxfId="27" type="headerRow"/>
      <tableStyleElement dxfId="28" type="firstRowStripe"/>
      <tableStyleElement dxfId="11" type="secondRowStripe"/>
      <tableStyleElement dxfId="27" type="totalRow"/>
    </tableStyle>
    <tableStyle count="4" pivot="0" name="NFC North Counter-style 12">
      <tableStyleElement dxfId="29" type="headerRow"/>
      <tableStyleElement dxfId="15" type="firstRowStripe"/>
      <tableStyleElement dxfId="11" type="secondRowStripe"/>
      <tableStyleElement dxfId="29" type="totalRow"/>
    </tableStyle>
    <tableStyle count="4" pivot="0" name="NFC North Counter-style 13">
      <tableStyleElement dxfId="30" type="headerRow"/>
      <tableStyleElement dxfId="10" type="firstRowStripe"/>
      <tableStyleElement dxfId="11" type="secondRowStripe"/>
      <tableStyleElement dxfId="30" type="totalRow"/>
    </tableStyle>
    <tableStyle count="4" pivot="0" name="NFC North Counter-style 14">
      <tableStyleElement dxfId="31" type="headerRow"/>
      <tableStyleElement dxfId="20" type="firstRowStripe"/>
      <tableStyleElement dxfId="11" type="secondRowStripe"/>
      <tableStyleElement dxfId="31" type="totalRow"/>
    </tableStyle>
    <tableStyle count="4" pivot="0" name="NFC North Counter-style 15">
      <tableStyleElement dxfId="32" type="headerRow"/>
      <tableStyleElement dxfId="17" type="firstRowStripe"/>
      <tableStyleElement dxfId="11" type="secondRowStripe"/>
      <tableStyleElement dxfId="32" type="totalRow"/>
    </tableStyle>
    <tableStyle count="4" pivot="0" name="NFC North Counter-style 16">
      <tableStyleElement dxfId="33" type="headerRow"/>
      <tableStyleElement dxfId="34" type="firstRowStripe"/>
      <tableStyleElement dxfId="11" type="secondRowStripe"/>
      <tableStyleElement dxfId="33" type="totalRow"/>
    </tableStyle>
    <tableStyle count="4" pivot="0" name="NFC North Counter-style 17">
      <tableStyleElement dxfId="35" type="headerRow"/>
      <tableStyleElement dxfId="10" type="firstRowStripe"/>
      <tableStyleElement dxfId="11" type="secondRowStripe"/>
      <tableStyleElement dxfId="35" type="totalRow"/>
    </tableStyle>
    <tableStyle count="4" pivot="0" name="NFC North Counter-style 18">
      <tableStyleElement dxfId="36" type="headerRow"/>
      <tableStyleElement dxfId="17" type="firstRowStripe"/>
      <tableStyleElement dxfId="11" type="secondRowStripe"/>
      <tableStyleElement dxfId="36" type="totalRow"/>
    </tableStyle>
    <tableStyle count="4" pivot="0" name="NFC North Counter-style 19">
      <tableStyleElement dxfId="37" type="headerRow"/>
      <tableStyleElement dxfId="22" type="firstRowStripe"/>
      <tableStyleElement dxfId="11" type="secondRowStripe"/>
      <tableStyleElement dxfId="37" type="totalRow"/>
    </tableStyle>
    <tableStyle count="4" pivot="0" name="NFC North Counter-style 20">
      <tableStyleElement dxfId="38" type="headerRow"/>
      <tableStyleElement dxfId="10" type="firstRowStripe"/>
      <tableStyleElement dxfId="11" type="secondRowStripe"/>
      <tableStyleElement dxfId="38" type="totalRow"/>
    </tableStyle>
    <tableStyle count="4" pivot="0" name="NFC North Counter-style 21">
      <tableStyleElement dxfId="39" type="headerRow"/>
      <tableStyleElement dxfId="17" type="firstRowStripe"/>
      <tableStyleElement dxfId="11" type="secondRowStripe"/>
      <tableStyleElement dxfId="39" type="totalRow"/>
    </tableStyle>
    <tableStyle count="4" pivot="0" name="NFC North Counter-style 22">
      <tableStyleElement dxfId="40" type="headerRow"/>
      <tableStyleElement dxfId="22" type="firstRowStripe"/>
      <tableStyleElement dxfId="11" type="secondRowStripe"/>
      <tableStyleElement dxfId="40" type="totalRow"/>
    </tableStyle>
    <tableStyle count="4" pivot="0" name="NFC North Counter-style 23">
      <tableStyleElement dxfId="41" type="headerRow"/>
      <tableStyleElement dxfId="17" type="firstRowStripe"/>
      <tableStyleElement dxfId="11" type="secondRowStripe"/>
      <tableStyleElement dxfId="41" type="totalRow"/>
    </tableStyle>
    <tableStyle count="4" pivot="0" name="NFC North Counter-style 24">
      <tableStyleElement dxfId="42" type="headerRow"/>
      <tableStyleElement dxfId="10" type="firstRowStripe"/>
      <tableStyleElement dxfId="11" type="secondRowStripe"/>
      <tableStyleElement dxfId="42" type="totalRow"/>
    </tableStyle>
    <tableStyle count="4" pivot="0" name="NFC North Counter-style 25">
      <tableStyleElement dxfId="43" type="headerRow"/>
      <tableStyleElement dxfId="34" type="firstRowStripe"/>
      <tableStyleElement dxfId="11" type="secondRowStripe"/>
      <tableStyleElement dxfId="43" type="totalRow"/>
    </tableStyle>
    <tableStyle count="4" pivot="0" name="NFC North Counter-style 26">
      <tableStyleElement dxfId="44" type="headerRow"/>
      <tableStyleElement dxfId="22" type="firstRowStripe"/>
      <tableStyleElement dxfId="11" type="secondRowStripe"/>
      <tableStyleElement dxfId="44" type="totalRow"/>
    </tableStyle>
    <tableStyle count="4" pivot="0" name="NFC North Counter-style 27">
      <tableStyleElement dxfId="45" type="headerRow"/>
      <tableStyleElement dxfId="25" type="firstRowStripe"/>
      <tableStyleElement dxfId="11" type="secondRowStripe"/>
      <tableStyleElement dxfId="45" type="totalRow"/>
    </tableStyle>
    <tableStyle count="4" pivot="0" name="NFC North Counter-style 28">
      <tableStyleElement dxfId="46" type="headerRow"/>
      <tableStyleElement dxfId="15" type="firstRowStripe"/>
      <tableStyleElement dxfId="11" type="secondRowStripe"/>
      <tableStyleElement dxfId="46" type="totalRow"/>
    </tableStyle>
    <tableStyle count="4" pivot="0" name="NFC North Counter-style 29">
      <tableStyleElement dxfId="47" type="headerRow"/>
      <tableStyleElement dxfId="10" type="firstRowStripe"/>
      <tableStyleElement dxfId="11" type="secondRowStripe"/>
      <tableStyleElement dxfId="47" type="totalRow"/>
    </tableStyle>
    <tableStyle count="4" pivot="0" name="NFC North Counter-style 30">
      <tableStyleElement dxfId="48" type="headerRow"/>
      <tableStyleElement dxfId="28" type="firstRowStripe"/>
      <tableStyleElement dxfId="11" type="secondRowStripe"/>
      <tableStyleElement dxfId="48" type="totalRow"/>
    </tableStyle>
    <tableStyle count="4" pivot="0" name="NFC North Counter-style 31">
      <tableStyleElement dxfId="49" type="headerRow"/>
      <tableStyleElement dxfId="10" type="firstRowStripe"/>
      <tableStyleElement dxfId="11" type="secondRowStripe"/>
      <tableStyleElement dxfId="49" type="totalRow"/>
    </tableStyle>
    <tableStyle count="4" pivot="0" name="NFC North Counter-style 32">
      <tableStyleElement dxfId="50" type="headerRow"/>
      <tableStyleElement dxfId="34" type="firstRowStripe"/>
      <tableStyleElement dxfId="11" type="secondRowStripe"/>
      <tableStyleElement dxfId="50" type="totalRow"/>
    </tableStyle>
    <tableStyle count="4" pivot="0" name="NFC South Counter-style">
      <tableStyleElement dxfId="9" type="headerRow"/>
      <tableStyleElement dxfId="10" type="firstRowStripe"/>
      <tableStyleElement dxfId="11" type="secondRowStripe"/>
      <tableStyleElement dxfId="9" type="totalRow"/>
    </tableStyle>
    <tableStyle count="4" pivot="0" name="NFC South Counter-style 2">
      <tableStyleElement dxfId="12" type="headerRow"/>
      <tableStyleElement dxfId="13" type="firstRowStripe"/>
      <tableStyleElement dxfId="11" type="secondRowStripe"/>
      <tableStyleElement dxfId="12" type="totalRow"/>
    </tableStyle>
    <tableStyle count="4" pivot="0" name="NFC South Counter-style 3">
      <tableStyleElement dxfId="14" type="headerRow"/>
      <tableStyleElement dxfId="15" type="firstRowStripe"/>
      <tableStyleElement dxfId="11" type="secondRowStripe"/>
      <tableStyleElement dxfId="14" type="totalRow"/>
    </tableStyle>
    <tableStyle count="4" pivot="0" name="NFC South Counter-style 4">
      <tableStyleElement dxfId="16" type="headerRow"/>
      <tableStyleElement dxfId="17" type="firstRowStripe"/>
      <tableStyleElement dxfId="11" type="secondRowStripe"/>
      <tableStyleElement dxfId="16" type="totalRow"/>
    </tableStyle>
    <tableStyle count="4" pivot="0" name="NFC South Counter-style 5">
      <tableStyleElement dxfId="18" type="headerRow"/>
      <tableStyleElement dxfId="17" type="firstRowStripe"/>
      <tableStyleElement dxfId="11" type="secondRowStripe"/>
      <tableStyleElement dxfId="18" type="totalRow"/>
    </tableStyle>
    <tableStyle count="4" pivot="0" name="NFC South Counter-style 6">
      <tableStyleElement dxfId="19" type="headerRow"/>
      <tableStyleElement dxfId="20" type="firstRowStripe"/>
      <tableStyleElement dxfId="11" type="secondRowStripe"/>
      <tableStyleElement dxfId="19" type="totalRow"/>
    </tableStyle>
    <tableStyle count="4" pivot="0" name="NFC South Counter-style 7">
      <tableStyleElement dxfId="21" type="headerRow"/>
      <tableStyleElement dxfId="22" type="firstRowStripe"/>
      <tableStyleElement dxfId="11" type="secondRowStripe"/>
      <tableStyleElement dxfId="21" type="totalRow"/>
    </tableStyle>
    <tableStyle count="4" pivot="0" name="NFC South Counter-style 8">
      <tableStyleElement dxfId="23" type="headerRow"/>
      <tableStyleElement dxfId="17" type="firstRowStripe"/>
      <tableStyleElement dxfId="11" type="secondRowStripe"/>
      <tableStyleElement dxfId="23" type="totalRow"/>
    </tableStyle>
    <tableStyle count="4" pivot="0" name="NFC South Counter-style 9">
      <tableStyleElement dxfId="24" type="headerRow"/>
      <tableStyleElement dxfId="25" type="firstRowStripe"/>
      <tableStyleElement dxfId="11" type="secondRowStripe"/>
      <tableStyleElement dxfId="24" type="totalRow"/>
    </tableStyle>
    <tableStyle count="4" pivot="0" name="NFC South Counter-style 10">
      <tableStyleElement dxfId="26" type="headerRow"/>
      <tableStyleElement dxfId="15" type="firstRowStripe"/>
      <tableStyleElement dxfId="11" type="secondRowStripe"/>
      <tableStyleElement dxfId="26" type="totalRow"/>
    </tableStyle>
    <tableStyle count="4" pivot="0" name="NFC South Counter-style 11">
      <tableStyleElement dxfId="27" type="headerRow"/>
      <tableStyleElement dxfId="28" type="firstRowStripe"/>
      <tableStyleElement dxfId="11" type="secondRowStripe"/>
      <tableStyleElement dxfId="27" type="totalRow"/>
    </tableStyle>
    <tableStyle count="4" pivot="0" name="NFC South Counter-style 12">
      <tableStyleElement dxfId="29" type="headerRow"/>
      <tableStyleElement dxfId="15" type="firstRowStripe"/>
      <tableStyleElement dxfId="11" type="secondRowStripe"/>
      <tableStyleElement dxfId="29" type="totalRow"/>
    </tableStyle>
    <tableStyle count="4" pivot="0" name="NFC South Counter-style 13">
      <tableStyleElement dxfId="30" type="headerRow"/>
      <tableStyleElement dxfId="10" type="firstRowStripe"/>
      <tableStyleElement dxfId="11" type="secondRowStripe"/>
      <tableStyleElement dxfId="30" type="totalRow"/>
    </tableStyle>
    <tableStyle count="4" pivot="0" name="NFC South Counter-style 14">
      <tableStyleElement dxfId="31" type="headerRow"/>
      <tableStyleElement dxfId="20" type="firstRowStripe"/>
      <tableStyleElement dxfId="11" type="secondRowStripe"/>
      <tableStyleElement dxfId="31" type="totalRow"/>
    </tableStyle>
    <tableStyle count="4" pivot="0" name="NFC South Counter-style 15">
      <tableStyleElement dxfId="32" type="headerRow"/>
      <tableStyleElement dxfId="17" type="firstRowStripe"/>
      <tableStyleElement dxfId="11" type="secondRowStripe"/>
      <tableStyleElement dxfId="32" type="totalRow"/>
    </tableStyle>
    <tableStyle count="4" pivot="0" name="NFC South Counter-style 16">
      <tableStyleElement dxfId="33" type="headerRow"/>
      <tableStyleElement dxfId="34" type="firstRowStripe"/>
      <tableStyleElement dxfId="11" type="secondRowStripe"/>
      <tableStyleElement dxfId="33" type="totalRow"/>
    </tableStyle>
    <tableStyle count="4" pivot="0" name="NFC South Counter-style 17">
      <tableStyleElement dxfId="35" type="headerRow"/>
      <tableStyleElement dxfId="10" type="firstRowStripe"/>
      <tableStyleElement dxfId="11" type="secondRowStripe"/>
      <tableStyleElement dxfId="35" type="totalRow"/>
    </tableStyle>
    <tableStyle count="4" pivot="0" name="NFC South Counter-style 18">
      <tableStyleElement dxfId="36" type="headerRow"/>
      <tableStyleElement dxfId="17" type="firstRowStripe"/>
      <tableStyleElement dxfId="11" type="secondRowStripe"/>
      <tableStyleElement dxfId="36" type="totalRow"/>
    </tableStyle>
    <tableStyle count="4" pivot="0" name="NFC South Counter-style 19">
      <tableStyleElement dxfId="37" type="headerRow"/>
      <tableStyleElement dxfId="22" type="firstRowStripe"/>
      <tableStyleElement dxfId="11" type="secondRowStripe"/>
      <tableStyleElement dxfId="37" type="totalRow"/>
    </tableStyle>
    <tableStyle count="4" pivot="0" name="NFC South Counter-style 20">
      <tableStyleElement dxfId="38" type="headerRow"/>
      <tableStyleElement dxfId="10" type="firstRowStripe"/>
      <tableStyleElement dxfId="11" type="secondRowStripe"/>
      <tableStyleElement dxfId="38" type="totalRow"/>
    </tableStyle>
    <tableStyle count="4" pivot="0" name="NFC South Counter-style 21">
      <tableStyleElement dxfId="39" type="headerRow"/>
      <tableStyleElement dxfId="17" type="firstRowStripe"/>
      <tableStyleElement dxfId="11" type="secondRowStripe"/>
      <tableStyleElement dxfId="39" type="totalRow"/>
    </tableStyle>
    <tableStyle count="4" pivot="0" name="NFC South Counter-style 22">
      <tableStyleElement dxfId="40" type="headerRow"/>
      <tableStyleElement dxfId="22" type="firstRowStripe"/>
      <tableStyleElement dxfId="11" type="secondRowStripe"/>
      <tableStyleElement dxfId="40" type="totalRow"/>
    </tableStyle>
    <tableStyle count="4" pivot="0" name="NFC South Counter-style 23">
      <tableStyleElement dxfId="41" type="headerRow"/>
      <tableStyleElement dxfId="17" type="firstRowStripe"/>
      <tableStyleElement dxfId="11" type="secondRowStripe"/>
      <tableStyleElement dxfId="41" type="totalRow"/>
    </tableStyle>
    <tableStyle count="4" pivot="0" name="NFC South Counter-style 24">
      <tableStyleElement dxfId="42" type="headerRow"/>
      <tableStyleElement dxfId="10" type="firstRowStripe"/>
      <tableStyleElement dxfId="11" type="secondRowStripe"/>
      <tableStyleElement dxfId="42" type="totalRow"/>
    </tableStyle>
    <tableStyle count="4" pivot="0" name="NFC South Counter-style 25">
      <tableStyleElement dxfId="43" type="headerRow"/>
      <tableStyleElement dxfId="34" type="firstRowStripe"/>
      <tableStyleElement dxfId="11" type="secondRowStripe"/>
      <tableStyleElement dxfId="43" type="totalRow"/>
    </tableStyle>
    <tableStyle count="4" pivot="0" name="NFC South Counter-style 26">
      <tableStyleElement dxfId="44" type="headerRow"/>
      <tableStyleElement dxfId="22" type="firstRowStripe"/>
      <tableStyleElement dxfId="11" type="secondRowStripe"/>
      <tableStyleElement dxfId="44" type="totalRow"/>
    </tableStyle>
    <tableStyle count="4" pivot="0" name="NFC South Counter-style 27">
      <tableStyleElement dxfId="45" type="headerRow"/>
      <tableStyleElement dxfId="25" type="firstRowStripe"/>
      <tableStyleElement dxfId="11" type="secondRowStripe"/>
      <tableStyleElement dxfId="45" type="totalRow"/>
    </tableStyle>
    <tableStyle count="4" pivot="0" name="NFC South Counter-style 28">
      <tableStyleElement dxfId="46" type="headerRow"/>
      <tableStyleElement dxfId="15" type="firstRowStripe"/>
      <tableStyleElement dxfId="11" type="secondRowStripe"/>
      <tableStyleElement dxfId="46" type="totalRow"/>
    </tableStyle>
    <tableStyle count="4" pivot="0" name="NFC South Counter-style 29">
      <tableStyleElement dxfId="47" type="headerRow"/>
      <tableStyleElement dxfId="10" type="firstRowStripe"/>
      <tableStyleElement dxfId="11" type="secondRowStripe"/>
      <tableStyleElement dxfId="47" type="totalRow"/>
    </tableStyle>
    <tableStyle count="4" pivot="0" name="NFC South Counter-style 30">
      <tableStyleElement dxfId="48" type="headerRow"/>
      <tableStyleElement dxfId="28" type="firstRowStripe"/>
      <tableStyleElement dxfId="11" type="secondRowStripe"/>
      <tableStyleElement dxfId="48" type="totalRow"/>
    </tableStyle>
    <tableStyle count="4" pivot="0" name="NFC South Counter-style 31">
      <tableStyleElement dxfId="49" type="headerRow"/>
      <tableStyleElement dxfId="10" type="firstRowStripe"/>
      <tableStyleElement dxfId="11" type="secondRowStripe"/>
      <tableStyleElement dxfId="49" type="totalRow"/>
    </tableStyle>
    <tableStyle count="4" pivot="0" name="NFC South Counter-style 32">
      <tableStyleElement dxfId="50" type="headerRow"/>
      <tableStyleElement dxfId="34" type="firstRowStripe"/>
      <tableStyleElement dxfId="11" type="secondRowStripe"/>
      <tableStyleElement dxfId="50" type="totalRow"/>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B1:C20" displayName="Table_1" name="Table_1" id="1">
  <tableColumns count="2">
    <tableColumn totalsRowFunction="custom" name="KC Wins" id="1"/>
    <tableColumn totalsRowFunction="custom" name="KC Losses" id="2"/>
  </tableColumns>
  <tableStyleInfo name="Div Record Counter-style" showColumnStripes="0" showFirstColumn="1" showLastColumn="1" showRowStripes="1"/>
</table>
</file>

<file path=xl/tables/table2.xml><?xml version="1.0" encoding="utf-8"?>
<table xmlns="http://schemas.openxmlformats.org/spreadsheetml/2006/main" totalsRowCount="1" ref="D1:E20" displayName="Table_2" name="Table_2" id="2">
  <tableColumns count="2">
    <tableColumn totalsRowFunction="custom" name="LV Wins" id="1"/>
    <tableColumn totalsRowFunction="custom" name="LV Losses" id="2"/>
  </tableColumns>
  <tableStyleInfo name="Div Record Counter-style 2" showColumnStripes="0" showFirstColumn="1" showLastColumn="1" showRowStripes="1"/>
</table>
</file>

<file path=xl/tables/table3.xml><?xml version="1.0" encoding="utf-8"?>
<table xmlns="http://schemas.openxmlformats.org/spreadsheetml/2006/main" totalsRowCount="1" ref="F1:G20" displayName="Table_3" name="Table_3" id="3">
  <tableColumns count="2">
    <tableColumn totalsRowFunction="custom" name="DEN Wins" id="1"/>
    <tableColumn totalsRowFunction="custom" name="DEN Losses" id="2"/>
  </tableColumns>
  <tableStyleInfo name="Div Record Counter-style 3" showColumnStripes="0" showFirstColumn="1" showLastColumn="1" showRowStripes="1"/>
</table>
</file>

<file path=xl/tables/table4.xml><?xml version="1.0" encoding="utf-8"?>
<table xmlns="http://schemas.openxmlformats.org/spreadsheetml/2006/main" totalsRowCount="1" ref="H1:I20" displayName="Table_4" name="Table_4" id="4">
  <tableColumns count="2">
    <tableColumn totalsRowFunction="custom" name="LAC Wins" id="1"/>
    <tableColumn totalsRowFunction="custom" name="LAC Losses" id="2"/>
  </tableColumns>
  <tableStyleInfo name="Div Record Counter-style 4" showColumnStripes="0" showFirstColumn="1" showLastColumn="1" showRowStripes="1"/>
</table>
</file>

<file path=xl/tables/table5.xml><?xml version="1.0" encoding="utf-8"?>
<table xmlns="http://schemas.openxmlformats.org/spreadsheetml/2006/main" totalsRowCount="1" ref="J1:K20" displayName="Table_5" name="Table_5" id="5">
  <tableColumns count="2">
    <tableColumn totalsRowFunction="custom" name="BUF Wins" id="1"/>
    <tableColumn totalsRowFunction="custom" name="BUF Losses" id="2"/>
  </tableColumns>
  <tableStyleInfo name="Div Record Counter-style 5" showColumnStripes="0" showFirstColumn="1" showLastColumn="1" showRowStripes="1"/>
</table>
</file>

<file path=xl/tables/table6.xml><?xml version="1.0" encoding="utf-8"?>
<table xmlns="http://schemas.openxmlformats.org/spreadsheetml/2006/main" totalsRowCount="1" ref="L1:M20" displayName="Table_6" name="Table_6" id="6">
  <tableColumns count="2">
    <tableColumn totalsRowFunction="custom" name="MIA Wins" id="1"/>
    <tableColumn totalsRowFunction="custom" name="MIA Losses" id="2"/>
  </tableColumns>
  <tableStyleInfo name="Div Record Counter-style 6" showColumnStripes="0" showFirstColumn="1" showLastColumn="1" showRowStripes="1"/>
</table>
</file>

<file path=xl/tables/table7.xml><?xml version="1.0" encoding="utf-8"?>
<table xmlns="http://schemas.openxmlformats.org/spreadsheetml/2006/main" totalsRowCount="1" ref="N1:O20" displayName="Table_7" name="Table_7" id="7">
  <tableColumns count="2">
    <tableColumn totalsRowFunction="custom" name="NYJ Wins" id="1"/>
    <tableColumn totalsRowFunction="custom" name="NYJ Losses" id="2"/>
  </tableColumns>
  <tableStyleInfo name="Div Record Counter-style 7" showColumnStripes="0" showFirstColumn="1" showLastColumn="1" showRowStripes="1"/>
</table>
</file>

<file path=xl/tables/table8.xml><?xml version="1.0" encoding="utf-8"?>
<table xmlns="http://schemas.openxmlformats.org/spreadsheetml/2006/main" totalsRowCount="1" ref="P1:Q20" displayName="Table_8" name="Table_8" id="8">
  <tableColumns count="2">
    <tableColumn totalsRowFunction="custom" name="NE Wins" id="1"/>
    <tableColumn totalsRowFunction="custom" name="NE Losses" id="2"/>
  </tableColumns>
  <tableStyleInfo name="Div Record Counter-style 8" showColumnStripes="0" showFirstColumn="1" showLastColumn="1" showRowStripes="1"/>
</table>
</file>

<file path=xl/tables/table9.xml><?xml version="1.0" encoding="utf-8"?>
<table xmlns="http://schemas.openxmlformats.org/spreadsheetml/2006/main" totalsRowCount="1" ref="R1:S20" displayName="Table_9" name="Table_9" id="9">
  <tableColumns count="2">
    <tableColumn totalsRowFunction="custom" name="BAL Wins" id="1"/>
    <tableColumn totalsRowFunction="custom" name="BAL Losses" id="2"/>
  </tableColumns>
  <tableStyleInfo name="Div Record Counter-style 9" showColumnStripes="0" showFirstColumn="1" showLastColumn="1" showRowStripes="1"/>
</table>
</file>

<file path=xl/tables/table10.xml><?xml version="1.0" encoding="utf-8"?>
<table xmlns="http://schemas.openxmlformats.org/spreadsheetml/2006/main" totalsRowCount="1" ref="T1:U20" displayName="Table_10" name="Table_10" id="10">
  <tableColumns count="2">
    <tableColumn totalsRowFunction="custom" name="CLE Wins" id="1"/>
    <tableColumn totalsRowFunction="custom" name="CLE Losses" id="2"/>
  </tableColumns>
  <tableStyleInfo name="Div Record Counter-style 10" showColumnStripes="0" showFirstColumn="1" showLastColumn="1" showRowStripes="1"/>
</table>
</file>

<file path=xl/tables/table11.xml><?xml version="1.0" encoding="utf-8"?>
<table xmlns="http://schemas.openxmlformats.org/spreadsheetml/2006/main" totalsRowCount="1" ref="V1:W20" displayName="Table_11" name="Table_11" id="11">
  <tableColumns count="2">
    <tableColumn totalsRowFunction="custom" name="PIT Wins" id="1"/>
    <tableColumn totalsRowFunction="custom" name="PIT Losses" id="2"/>
  </tableColumns>
  <tableStyleInfo name="Div Record Counter-style 11" showColumnStripes="0" showFirstColumn="1" showLastColumn="1" showRowStripes="1"/>
</table>
</file>

<file path=xl/tables/table12.xml><?xml version="1.0" encoding="utf-8"?>
<table xmlns="http://schemas.openxmlformats.org/spreadsheetml/2006/main" totalsRowCount="1" ref="X1:Y20" displayName="Table_12" name="Table_12" id="12">
  <tableColumns count="2">
    <tableColumn totalsRowFunction="custom" name="CIN Wins" id="1"/>
    <tableColumn totalsRowFunction="custom" name="CIN Losses" id="2"/>
  </tableColumns>
  <tableStyleInfo name="Div Record Counter-style 12" showColumnStripes="0" showFirstColumn="1" showLastColumn="1" showRowStripes="1"/>
</table>
</file>

<file path=xl/tables/table13.xml><?xml version="1.0" encoding="utf-8"?>
<table xmlns="http://schemas.openxmlformats.org/spreadsheetml/2006/main" totalsRowCount="1" ref="Z1:AA20" displayName="Table_13" name="Table_13" id="13">
  <tableColumns count="2">
    <tableColumn totalsRowFunction="custom" name="HOU Wins" id="1"/>
    <tableColumn totalsRowFunction="custom" name="HOU Losses" id="2"/>
  </tableColumns>
  <tableStyleInfo name="Div Record Counter-style 13" showColumnStripes="0" showFirstColumn="1" showLastColumn="1" showRowStripes="1"/>
</table>
</file>

<file path=xl/tables/table14.xml><?xml version="1.0" encoding="utf-8"?>
<table xmlns="http://schemas.openxmlformats.org/spreadsheetml/2006/main" totalsRowCount="1" ref="AB1:AC20" displayName="Table_14" name="Table_14" id="14">
  <tableColumns count="2">
    <tableColumn totalsRowFunction="custom" name="JAX Wins" id="1"/>
    <tableColumn totalsRowFunction="custom" name="JAX Losses" id="2"/>
  </tableColumns>
  <tableStyleInfo name="Div Record Counter-style 14" showColumnStripes="0" showFirstColumn="1" showLastColumn="1" showRowStripes="1"/>
</table>
</file>

<file path=xl/tables/table15.xml><?xml version="1.0" encoding="utf-8"?>
<table xmlns="http://schemas.openxmlformats.org/spreadsheetml/2006/main" totalsRowCount="1" ref="AD1:AE20" displayName="Table_15" name="Table_15" id="15">
  <tableColumns count="2">
    <tableColumn totalsRowFunction="custom" name="IND Wins" id="1"/>
    <tableColumn totalsRowFunction="custom" name="IND Losses" id="2"/>
  </tableColumns>
  <tableStyleInfo name="Div Record Counter-style 15" showColumnStripes="0" showFirstColumn="1" showLastColumn="1" showRowStripes="1"/>
</table>
</file>

<file path=xl/tables/table16.xml><?xml version="1.0" encoding="utf-8"?>
<table xmlns="http://schemas.openxmlformats.org/spreadsheetml/2006/main" totalsRowCount="1" ref="AF1:AG20" displayName="Table_16" name="Table_16" id="16">
  <tableColumns count="2">
    <tableColumn totalsRowFunction="custom" name="TEN Wins" id="1"/>
    <tableColumn totalsRowFunction="custom" name="TEN Losses" id="2"/>
  </tableColumns>
  <tableStyleInfo name="Div Record Counter-style 16" showColumnStripes="0" showFirstColumn="1" showLastColumn="1" showRowStripes="1"/>
</table>
</file>

<file path=xl/tables/table17.xml><?xml version="1.0" encoding="utf-8"?>
<table xmlns="http://schemas.openxmlformats.org/spreadsheetml/2006/main" totalsRowCount="1" ref="AH1:AI20" displayName="Table_17" name="Table_17" id="17">
  <tableColumns count="2">
    <tableColumn totalsRowFunction="custom" name="SF Wins" id="1"/>
    <tableColumn totalsRowFunction="custom" name="SF Losses" id="2"/>
  </tableColumns>
  <tableStyleInfo name="Div Record Counter-style 17" showColumnStripes="0" showFirstColumn="1" showLastColumn="1" showRowStripes="1"/>
</table>
</file>

<file path=xl/tables/table18.xml><?xml version="1.0" encoding="utf-8"?>
<table xmlns="http://schemas.openxmlformats.org/spreadsheetml/2006/main" totalsRowCount="1" ref="AJ1:AK20" displayName="Table_18" name="Table_18" id="18">
  <tableColumns count="2">
    <tableColumn totalsRowFunction="custom" name="LAR Wins" id="1"/>
    <tableColumn totalsRowFunction="custom" name="LAR Losses" id="2"/>
  </tableColumns>
  <tableStyleInfo name="Div Record Counter-style 18" showColumnStripes="0" showFirstColumn="1" showLastColumn="1" showRowStripes="1"/>
</table>
</file>

<file path=xl/tables/table19.xml><?xml version="1.0" encoding="utf-8"?>
<table xmlns="http://schemas.openxmlformats.org/spreadsheetml/2006/main" totalsRowCount="1" ref="AL1:AM20" displayName="Table_19" name="Table_19" id="19">
  <tableColumns count="2">
    <tableColumn totalsRowFunction="custom" name="SEA Wins" id="1"/>
    <tableColumn totalsRowFunction="custom" name="SEA Losses" id="2"/>
  </tableColumns>
  <tableStyleInfo name="Div Record Counter-style 19" showColumnStripes="0" showFirstColumn="1" showLastColumn="1" showRowStripes="1"/>
</table>
</file>

<file path=xl/tables/table20.xml><?xml version="1.0" encoding="utf-8"?>
<table xmlns="http://schemas.openxmlformats.org/spreadsheetml/2006/main" totalsRowCount="1" ref="AN1:AO20" displayName="Table_20" name="Table_20" id="20">
  <tableColumns count="2">
    <tableColumn totalsRowFunction="custom" name="AZ Wins" id="1"/>
    <tableColumn totalsRowFunction="custom" name="AZ Losses" id="2"/>
  </tableColumns>
  <tableStyleInfo name="Div Record Counter-style 20" showColumnStripes="0" showFirstColumn="1" showLastColumn="1" showRowStripes="1"/>
</table>
</file>

<file path=xl/tables/table21.xml><?xml version="1.0" encoding="utf-8"?>
<table xmlns="http://schemas.openxmlformats.org/spreadsheetml/2006/main" totalsRowCount="1" ref="AP1:AQ20" displayName="Table_21" name="Table_21" id="21">
  <tableColumns count="2">
    <tableColumn totalsRowFunction="custom" name="DAL Wins" id="1"/>
    <tableColumn totalsRowFunction="custom" name="DAL Losses" id="2"/>
  </tableColumns>
  <tableStyleInfo name="Div Record Counter-style 21" showColumnStripes="0" showFirstColumn="1" showLastColumn="1" showRowStripes="1"/>
</table>
</file>

<file path=xl/tables/table22.xml><?xml version="1.0" encoding="utf-8"?>
<table xmlns="http://schemas.openxmlformats.org/spreadsheetml/2006/main" totalsRowCount="1" ref="AR1:AS20" displayName="Table_22" name="Table_22" id="22">
  <tableColumns count="2">
    <tableColumn totalsRowFunction="custom" name="PHI Wins" id="1"/>
    <tableColumn totalsRowFunction="custom" name="PHI Losses" id="2"/>
  </tableColumns>
  <tableStyleInfo name="Div Record Counter-style 22" showColumnStripes="0" showFirstColumn="1" showLastColumn="1" showRowStripes="1"/>
</table>
</file>

<file path=xl/tables/table23.xml><?xml version="1.0" encoding="utf-8"?>
<table xmlns="http://schemas.openxmlformats.org/spreadsheetml/2006/main" totalsRowCount="1" ref="AT1:AU20" displayName="Table_23" name="Table_23" id="23">
  <tableColumns count="2">
    <tableColumn totalsRowFunction="custom" name="NYG Wins" id="1"/>
    <tableColumn totalsRowFunction="custom" name="NYG Losses" id="2"/>
  </tableColumns>
  <tableStyleInfo name="Div Record Counter-style 23" showColumnStripes="0" showFirstColumn="1" showLastColumn="1" showRowStripes="1"/>
</table>
</file>

<file path=xl/tables/table24.xml><?xml version="1.0" encoding="utf-8"?>
<table xmlns="http://schemas.openxmlformats.org/spreadsheetml/2006/main" totalsRowCount="1" ref="AV1:AW20" displayName="Table_24" name="Table_24" id="24">
  <tableColumns count="2">
    <tableColumn totalsRowFunction="custom" name="WSH Wins" id="1"/>
    <tableColumn totalsRowFunction="custom" name="WSH Losses" id="2"/>
  </tableColumns>
  <tableStyleInfo name="Div Record Counter-style 24" showColumnStripes="0" showFirstColumn="1" showLastColumn="1" showRowStripes="1"/>
</table>
</file>

<file path=xl/tables/table25.xml><?xml version="1.0" encoding="utf-8"?>
<table xmlns="http://schemas.openxmlformats.org/spreadsheetml/2006/main" totalsRowCount="1" ref="AX1:AY20" displayName="Table_25" name="Table_25" id="25">
  <tableColumns count="2">
    <tableColumn totalsRowFunction="custom" name="DET Wins" id="1"/>
    <tableColumn totalsRowFunction="custom" name="DET Losses" id="2"/>
  </tableColumns>
  <tableStyleInfo name="Div Record Counter-style 25" showColumnStripes="0" showFirstColumn="1" showLastColumn="1" showRowStripes="1"/>
</table>
</file>

<file path=xl/tables/table26.xml><?xml version="1.0" encoding="utf-8"?>
<table xmlns="http://schemas.openxmlformats.org/spreadsheetml/2006/main" totalsRowCount="1" ref="AZ1:BA20" displayName="Table_26" name="Table_26" id="26">
  <tableColumns count="2">
    <tableColumn totalsRowFunction="custom" name="GB Wins" id="1"/>
    <tableColumn totalsRowFunction="custom" name="GB Losses" id="2"/>
  </tableColumns>
  <tableStyleInfo name="Div Record Counter-style 26" showColumnStripes="0" showFirstColumn="1" showLastColumn="1" showRowStripes="1"/>
</table>
</file>

<file path=xl/tables/table27.xml><?xml version="1.0" encoding="utf-8"?>
<table xmlns="http://schemas.openxmlformats.org/spreadsheetml/2006/main" totalsRowCount="1" ref="BB1:BC20" displayName="Table_27" name="Table_27" id="27">
  <tableColumns count="2">
    <tableColumn totalsRowFunction="custom" name="MIN Wins" id="1"/>
    <tableColumn totalsRowFunction="custom" name="MIN Losses" id="2"/>
  </tableColumns>
  <tableStyleInfo name="Div Record Counter-style 27" showColumnStripes="0" showFirstColumn="1" showLastColumn="1" showRowStripes="1"/>
</table>
</file>

<file path=xl/tables/table28.xml><?xml version="1.0" encoding="utf-8"?>
<table xmlns="http://schemas.openxmlformats.org/spreadsheetml/2006/main" totalsRowCount="1" ref="BD1:BE20" displayName="Table_28" name="Table_28" id="28">
  <tableColumns count="2">
    <tableColumn totalsRowFunction="custom" name="CHI Wins" id="1"/>
    <tableColumn totalsRowFunction="custom" name="CHI Losses" id="2"/>
  </tableColumns>
  <tableStyleInfo name="Div Record Counter-style 28" showColumnStripes="0" showFirstColumn="1" showLastColumn="1" showRowStripes="1"/>
</table>
</file>

<file path=xl/tables/table29.xml><?xml version="1.0" encoding="utf-8"?>
<table xmlns="http://schemas.openxmlformats.org/spreadsheetml/2006/main" totalsRowCount="1" ref="BF1:BG20" displayName="Table_29" name="Table_29" id="29">
  <tableColumns count="2">
    <tableColumn totalsRowFunction="custom" name="TB Wins" id="1"/>
    <tableColumn totalsRowFunction="custom" name="TB Losses" id="2"/>
  </tableColumns>
  <tableStyleInfo name="Div Record Counter-style 29" showColumnStripes="0" showFirstColumn="1" showLastColumn="1" showRowStripes="1"/>
</table>
</file>

<file path=xl/tables/table30.xml><?xml version="1.0" encoding="utf-8"?>
<table xmlns="http://schemas.openxmlformats.org/spreadsheetml/2006/main" totalsRowCount="1" ref="BH1:BI20" displayName="Table_30" name="Table_30" id="30">
  <tableColumns count="2">
    <tableColumn totalsRowFunction="custom" name="NO Wins" id="1"/>
    <tableColumn totalsRowFunction="custom" name="NO Losses" id="2"/>
  </tableColumns>
  <tableStyleInfo name="Div Record Counter-style 30" showColumnStripes="0" showFirstColumn="1" showLastColumn="1" showRowStripes="1"/>
</table>
</file>

<file path=xl/tables/table31.xml><?xml version="1.0" encoding="utf-8"?>
<table xmlns="http://schemas.openxmlformats.org/spreadsheetml/2006/main" totalsRowCount="1" ref="BJ1:BK20" displayName="Table_31" name="Table_31" id="31">
  <tableColumns count="2">
    <tableColumn totalsRowFunction="custom" name="ATL Wins" id="1"/>
    <tableColumn totalsRowFunction="custom" name="ATL Losses" id="2"/>
  </tableColumns>
  <tableStyleInfo name="Div Record Counter-style 31" showColumnStripes="0" showFirstColumn="1" showLastColumn="1" showRowStripes="1"/>
</table>
</file>

<file path=xl/tables/table32.xml><?xml version="1.0" encoding="utf-8"?>
<table xmlns="http://schemas.openxmlformats.org/spreadsheetml/2006/main" totalsRowCount="1" ref="BL1:BM20" displayName="Table_32" name="Table_32" id="32">
  <tableColumns count="2">
    <tableColumn totalsRowFunction="custom" name="CAR Wins" id="1"/>
    <tableColumn totalsRowFunction="custom" name="CAR Losses" id="2"/>
  </tableColumns>
  <tableStyleInfo name="Div Record Counter-style 32" showColumnStripes="0" showFirstColumn="1" showLastColumn="1" showRowStripes="1"/>
</table>
</file>

<file path=xl/tables/table33.xml><?xml version="1.0" encoding="utf-8"?>
<table xmlns="http://schemas.openxmlformats.org/spreadsheetml/2006/main" totalsRowCount="1" ref="B1:C21" displayName="Table_33" name="Table_33" id="33">
  <tableColumns count="2">
    <tableColumn totalsRowFunction="custom" name="KC Wins" id="1"/>
    <tableColumn name="KC Losses" id="2"/>
  </tableColumns>
  <tableStyleInfo name="Conference Counter-style" showColumnStripes="0" showFirstColumn="1" showLastColumn="1" showRowStripes="1"/>
</table>
</file>

<file path=xl/tables/table34.xml><?xml version="1.0" encoding="utf-8"?>
<table xmlns="http://schemas.openxmlformats.org/spreadsheetml/2006/main" totalsRowCount="1" ref="D1:E21" displayName="Table_34" name="Table_34" id="34">
  <tableColumns count="2">
    <tableColumn totalsRowFunction="custom" name="LV Wins" id="1"/>
    <tableColumn name="LV Losses" id="2"/>
  </tableColumns>
  <tableStyleInfo name="Conference Counter-style 2" showColumnStripes="0" showFirstColumn="1" showLastColumn="1" showRowStripes="1"/>
</table>
</file>

<file path=xl/tables/table35.xml><?xml version="1.0" encoding="utf-8"?>
<table xmlns="http://schemas.openxmlformats.org/spreadsheetml/2006/main" totalsRowCount="1" ref="F1:G21" displayName="Table_35" name="Table_35" id="35">
  <tableColumns count="2">
    <tableColumn totalsRowFunction="custom" name="DEN Wins" id="1"/>
    <tableColumn name="DEN Losses" id="2"/>
  </tableColumns>
  <tableStyleInfo name="Conference Counter-style 3" showColumnStripes="0" showFirstColumn="1" showLastColumn="1" showRowStripes="1"/>
</table>
</file>

<file path=xl/tables/table36.xml><?xml version="1.0" encoding="utf-8"?>
<table xmlns="http://schemas.openxmlformats.org/spreadsheetml/2006/main" totalsRowCount="1" ref="H1:I21" displayName="Table_36" name="Table_36" id="36">
  <tableColumns count="2">
    <tableColumn totalsRowFunction="custom" name="LAC Wins" id="1"/>
    <tableColumn name="LAC Losses" id="2"/>
  </tableColumns>
  <tableStyleInfo name="Conference Counter-style 4" showColumnStripes="0" showFirstColumn="1" showLastColumn="1" showRowStripes="1"/>
</table>
</file>

<file path=xl/tables/table37.xml><?xml version="1.0" encoding="utf-8"?>
<table xmlns="http://schemas.openxmlformats.org/spreadsheetml/2006/main" totalsRowCount="1" ref="J1:K21" displayName="Table_37" name="Table_37" id="37">
  <tableColumns count="2">
    <tableColumn totalsRowFunction="custom" name="BUF Wins" id="1"/>
    <tableColumn name="BUF Losses" id="2"/>
  </tableColumns>
  <tableStyleInfo name="Conference Counter-style 5" showColumnStripes="0" showFirstColumn="1" showLastColumn="1" showRowStripes="1"/>
</table>
</file>

<file path=xl/tables/table38.xml><?xml version="1.0" encoding="utf-8"?>
<table xmlns="http://schemas.openxmlformats.org/spreadsheetml/2006/main" totalsRowCount="1" ref="L1:M21" displayName="Table_38" name="Table_38" id="38">
  <tableColumns count="2">
    <tableColumn totalsRowFunction="custom" name="MIA Wins" id="1"/>
    <tableColumn name="MIA Losses" id="2"/>
  </tableColumns>
  <tableStyleInfo name="Conference Counter-style 6" showColumnStripes="0" showFirstColumn="1" showLastColumn="1" showRowStripes="1"/>
</table>
</file>

<file path=xl/tables/table39.xml><?xml version="1.0" encoding="utf-8"?>
<table xmlns="http://schemas.openxmlformats.org/spreadsheetml/2006/main" totalsRowCount="1" ref="N1:O21" displayName="Table_39" name="Table_39" id="39">
  <tableColumns count="2">
    <tableColumn totalsRowFunction="custom" name="NYJ Wins" id="1"/>
    <tableColumn name="NYJ Losses" id="2"/>
  </tableColumns>
  <tableStyleInfo name="Conference Counter-style 7" showColumnStripes="0" showFirstColumn="1" showLastColumn="1" showRowStripes="1"/>
</table>
</file>

<file path=xl/tables/table40.xml><?xml version="1.0" encoding="utf-8"?>
<table xmlns="http://schemas.openxmlformats.org/spreadsheetml/2006/main" totalsRowCount="1" ref="P1:Q21" displayName="Table_40" name="Table_40" id="40">
  <tableColumns count="2">
    <tableColumn totalsRowFunction="custom" name="NE Wins" id="1"/>
    <tableColumn name="NE Losses" id="2"/>
  </tableColumns>
  <tableStyleInfo name="Conference Counter-style 8" showColumnStripes="0" showFirstColumn="1" showLastColumn="1" showRowStripes="1"/>
</table>
</file>

<file path=xl/tables/table41.xml><?xml version="1.0" encoding="utf-8"?>
<table xmlns="http://schemas.openxmlformats.org/spreadsheetml/2006/main" totalsRowCount="1" ref="R1:S21" displayName="Table_41" name="Table_41" id="41">
  <tableColumns count="2">
    <tableColumn totalsRowFunction="custom" name="BAL Wins" id="1"/>
    <tableColumn name="BAL Losses" id="2"/>
  </tableColumns>
  <tableStyleInfo name="Conference Counter-style 9" showColumnStripes="0" showFirstColumn="1" showLastColumn="1" showRowStripes="1"/>
</table>
</file>

<file path=xl/tables/table42.xml><?xml version="1.0" encoding="utf-8"?>
<table xmlns="http://schemas.openxmlformats.org/spreadsheetml/2006/main" totalsRowCount="1" ref="T1:U21" displayName="Table_42" name="Table_42" id="42">
  <tableColumns count="2">
    <tableColumn totalsRowFunction="custom" name="CLE Wins" id="1"/>
    <tableColumn name="CLE Losses" id="2"/>
  </tableColumns>
  <tableStyleInfo name="Conference Counter-style 10" showColumnStripes="0" showFirstColumn="1" showLastColumn="1" showRowStripes="1"/>
</table>
</file>

<file path=xl/tables/table43.xml><?xml version="1.0" encoding="utf-8"?>
<table xmlns="http://schemas.openxmlformats.org/spreadsheetml/2006/main" totalsRowCount="1" ref="V1:W21" displayName="Table_43" name="Table_43" id="43">
  <tableColumns count="2">
    <tableColumn totalsRowFunction="custom" name="PIT Wins" id="1"/>
    <tableColumn name="PIT Losses" id="2"/>
  </tableColumns>
  <tableStyleInfo name="Conference Counter-style 11" showColumnStripes="0" showFirstColumn="1" showLastColumn="1" showRowStripes="1"/>
</table>
</file>

<file path=xl/tables/table44.xml><?xml version="1.0" encoding="utf-8"?>
<table xmlns="http://schemas.openxmlformats.org/spreadsheetml/2006/main" totalsRowCount="1" ref="X1:Y21" displayName="Table_44" name="Table_44" id="44">
  <tableColumns count="2">
    <tableColumn totalsRowFunction="custom" name="CIN Wins" id="1"/>
    <tableColumn name="CIN Losses" id="2"/>
  </tableColumns>
  <tableStyleInfo name="Conference Counter-style 12" showColumnStripes="0" showFirstColumn="1" showLastColumn="1" showRowStripes="1"/>
</table>
</file>

<file path=xl/tables/table45.xml><?xml version="1.0" encoding="utf-8"?>
<table xmlns="http://schemas.openxmlformats.org/spreadsheetml/2006/main" totalsRowCount="1" ref="Z1:AA21" displayName="Table_45" name="Table_45" id="45">
  <tableColumns count="2">
    <tableColumn totalsRowFunction="custom" name="HOU Wins" id="1"/>
    <tableColumn name="HOU Losses" id="2"/>
  </tableColumns>
  <tableStyleInfo name="Conference Counter-style 13" showColumnStripes="0" showFirstColumn="1" showLastColumn="1" showRowStripes="1"/>
</table>
</file>

<file path=xl/tables/table46.xml><?xml version="1.0" encoding="utf-8"?>
<table xmlns="http://schemas.openxmlformats.org/spreadsheetml/2006/main" totalsRowCount="1" ref="AB1:AC21" displayName="Table_46" name="Table_46" id="46">
  <tableColumns count="2">
    <tableColumn totalsRowFunction="custom" name="JAX Wins" id="1"/>
    <tableColumn name="JAX Losses" id="2"/>
  </tableColumns>
  <tableStyleInfo name="Conference Counter-style 14" showColumnStripes="0" showFirstColumn="1" showLastColumn="1" showRowStripes="1"/>
</table>
</file>

<file path=xl/tables/table47.xml><?xml version="1.0" encoding="utf-8"?>
<table xmlns="http://schemas.openxmlformats.org/spreadsheetml/2006/main" totalsRowCount="1" ref="AD1:AE21" displayName="Table_47" name="Table_47" id="47">
  <tableColumns count="2">
    <tableColumn totalsRowFunction="custom" name="IND Wins" id="1"/>
    <tableColumn name="IND Losses" id="2"/>
  </tableColumns>
  <tableStyleInfo name="Conference Counter-style 15" showColumnStripes="0" showFirstColumn="1" showLastColumn="1" showRowStripes="1"/>
</table>
</file>

<file path=xl/tables/table48.xml><?xml version="1.0" encoding="utf-8"?>
<table xmlns="http://schemas.openxmlformats.org/spreadsheetml/2006/main" totalsRowCount="1" ref="AF1:AG21" displayName="Table_48" name="Table_48" id="48">
  <tableColumns count="2">
    <tableColumn totalsRowFunction="custom" name="TEN Wins" id="1"/>
    <tableColumn name="TEN Losses" id="2"/>
  </tableColumns>
  <tableStyleInfo name="Conference Counter-style 16" showColumnStripes="0" showFirstColumn="1" showLastColumn="1" showRowStripes="1"/>
</table>
</file>

<file path=xl/tables/table49.xml><?xml version="1.0" encoding="utf-8"?>
<table xmlns="http://schemas.openxmlformats.org/spreadsheetml/2006/main" totalsRowCount="1" ref="AH1:AI21" displayName="Table_49" name="Table_49" id="49">
  <tableColumns count="2">
    <tableColumn totalsRowFunction="custom" name="SF Wins" id="1"/>
    <tableColumn name="SF Losses" id="2"/>
  </tableColumns>
  <tableStyleInfo name="Conference Counter-style 17" showColumnStripes="0" showFirstColumn="1" showLastColumn="1" showRowStripes="1"/>
</table>
</file>

<file path=xl/tables/table50.xml><?xml version="1.0" encoding="utf-8"?>
<table xmlns="http://schemas.openxmlformats.org/spreadsheetml/2006/main" totalsRowCount="1" ref="AJ1:AK21" displayName="Table_50" name="Table_50" id="50">
  <tableColumns count="2">
    <tableColumn totalsRowFunction="custom" name="LAR Wins" id="1"/>
    <tableColumn name="LAR Losses" id="2"/>
  </tableColumns>
  <tableStyleInfo name="Conference Counter-style 18" showColumnStripes="0" showFirstColumn="1" showLastColumn="1" showRowStripes="1"/>
</table>
</file>

<file path=xl/tables/table51.xml><?xml version="1.0" encoding="utf-8"?>
<table xmlns="http://schemas.openxmlformats.org/spreadsheetml/2006/main" totalsRowCount="1" ref="AL1:AM21" displayName="Table_51" name="Table_51" id="51">
  <tableColumns count="2">
    <tableColumn totalsRowFunction="custom" name="SEA Wins" id="1"/>
    <tableColumn name="SEA Losses" id="2"/>
  </tableColumns>
  <tableStyleInfo name="Conference Counter-style 19" showColumnStripes="0" showFirstColumn="1" showLastColumn="1" showRowStripes="1"/>
</table>
</file>

<file path=xl/tables/table52.xml><?xml version="1.0" encoding="utf-8"?>
<table xmlns="http://schemas.openxmlformats.org/spreadsheetml/2006/main" totalsRowCount="1" ref="AN1:AO21" displayName="Table_52" name="Table_52" id="52">
  <tableColumns count="2">
    <tableColumn totalsRowFunction="custom" name="AZ Wins" id="1"/>
    <tableColumn name="AZ Losses" id="2"/>
  </tableColumns>
  <tableStyleInfo name="Conference Counter-style 20" showColumnStripes="0" showFirstColumn="1" showLastColumn="1" showRowStripes="1"/>
</table>
</file>

<file path=xl/tables/table53.xml><?xml version="1.0" encoding="utf-8"?>
<table xmlns="http://schemas.openxmlformats.org/spreadsheetml/2006/main" totalsRowCount="1" ref="AP1:AQ21" displayName="Table_53" name="Table_53" id="53">
  <tableColumns count="2">
    <tableColumn totalsRowFunction="custom" name="DAL Wins" id="1"/>
    <tableColumn name="DAL Losses" id="2"/>
  </tableColumns>
  <tableStyleInfo name="Conference Counter-style 21" showColumnStripes="0" showFirstColumn="1" showLastColumn="1" showRowStripes="1"/>
</table>
</file>

<file path=xl/tables/table54.xml><?xml version="1.0" encoding="utf-8"?>
<table xmlns="http://schemas.openxmlformats.org/spreadsheetml/2006/main" totalsRowCount="1" ref="AR1:AS21" displayName="Table_54" name="Table_54" id="54">
  <tableColumns count="2">
    <tableColumn totalsRowFunction="custom" name="PHI Wins" id="1"/>
    <tableColumn name="PHI Losses" id="2"/>
  </tableColumns>
  <tableStyleInfo name="Conference Counter-style 22" showColumnStripes="0" showFirstColumn="1" showLastColumn="1" showRowStripes="1"/>
</table>
</file>

<file path=xl/tables/table55.xml><?xml version="1.0" encoding="utf-8"?>
<table xmlns="http://schemas.openxmlformats.org/spreadsheetml/2006/main" totalsRowCount="1" ref="AT1:AU21" displayName="Table_55" name="Table_55" id="55">
  <tableColumns count="2">
    <tableColumn totalsRowFunction="custom" name="NYG Wins" id="1"/>
    <tableColumn name="NYG Losses" id="2"/>
  </tableColumns>
  <tableStyleInfo name="Conference Counter-style 23" showColumnStripes="0" showFirstColumn="1" showLastColumn="1" showRowStripes="1"/>
</table>
</file>

<file path=xl/tables/table56.xml><?xml version="1.0" encoding="utf-8"?>
<table xmlns="http://schemas.openxmlformats.org/spreadsheetml/2006/main" totalsRowCount="1" ref="AV1:AW21" displayName="Table_56" name="Table_56" id="56">
  <tableColumns count="2">
    <tableColumn totalsRowFunction="custom" name="WSH Wins" id="1"/>
    <tableColumn name="WSH Losses" id="2"/>
  </tableColumns>
  <tableStyleInfo name="Conference Counter-style 24" showColumnStripes="0" showFirstColumn="1" showLastColumn="1" showRowStripes="1"/>
</table>
</file>

<file path=xl/tables/table57.xml><?xml version="1.0" encoding="utf-8"?>
<table xmlns="http://schemas.openxmlformats.org/spreadsheetml/2006/main" totalsRowCount="1" ref="AX1:AY21" displayName="Table_57" name="Table_57" id="57">
  <tableColumns count="2">
    <tableColumn totalsRowFunction="custom" name="DET Wins" id="1"/>
    <tableColumn name="DET Losses" id="2"/>
  </tableColumns>
  <tableStyleInfo name="Conference Counter-style 25" showColumnStripes="0" showFirstColumn="1" showLastColumn="1" showRowStripes="1"/>
</table>
</file>

<file path=xl/tables/table58.xml><?xml version="1.0" encoding="utf-8"?>
<table xmlns="http://schemas.openxmlformats.org/spreadsheetml/2006/main" totalsRowCount="1" ref="AZ1:BA21" displayName="Table_58" name="Table_58" id="58">
  <tableColumns count="2">
    <tableColumn totalsRowFunction="custom" name="GB Wins" id="1"/>
    <tableColumn name="GB Losses" id="2"/>
  </tableColumns>
  <tableStyleInfo name="Conference Counter-style 26" showColumnStripes="0" showFirstColumn="1" showLastColumn="1" showRowStripes="1"/>
</table>
</file>

<file path=xl/tables/table59.xml><?xml version="1.0" encoding="utf-8"?>
<table xmlns="http://schemas.openxmlformats.org/spreadsheetml/2006/main" totalsRowCount="1" ref="BB1:BC21" displayName="Table_59" name="Table_59" id="59">
  <tableColumns count="2">
    <tableColumn totalsRowFunction="custom" name="MIN Wins" id="1"/>
    <tableColumn name="MIN Losses" id="2"/>
  </tableColumns>
  <tableStyleInfo name="Conference Counter-style 27" showColumnStripes="0" showFirstColumn="1" showLastColumn="1" showRowStripes="1"/>
</table>
</file>

<file path=xl/tables/table60.xml><?xml version="1.0" encoding="utf-8"?>
<table xmlns="http://schemas.openxmlformats.org/spreadsheetml/2006/main" totalsRowCount="1" ref="BD1:BE21" displayName="Table_60" name="Table_60" id="60">
  <tableColumns count="2">
    <tableColumn totalsRowFunction="custom" name="CHI Wins" id="1"/>
    <tableColumn name="CHI Losses" id="2"/>
  </tableColumns>
  <tableStyleInfo name="Conference Counter-style 28" showColumnStripes="0" showFirstColumn="1" showLastColumn="1" showRowStripes="1"/>
</table>
</file>

<file path=xl/tables/table61.xml><?xml version="1.0" encoding="utf-8"?>
<table xmlns="http://schemas.openxmlformats.org/spreadsheetml/2006/main" totalsRowCount="1" ref="BF1:BG21" displayName="Table_61" name="Table_61" id="61">
  <tableColumns count="2">
    <tableColumn totalsRowFunction="custom" name="TB Wins" id="1"/>
    <tableColumn name="TB Losses" id="2"/>
  </tableColumns>
  <tableStyleInfo name="Conference Counter-style 29" showColumnStripes="0" showFirstColumn="1" showLastColumn="1" showRowStripes="1"/>
</table>
</file>

<file path=xl/tables/table62.xml><?xml version="1.0" encoding="utf-8"?>
<table xmlns="http://schemas.openxmlformats.org/spreadsheetml/2006/main" totalsRowCount="1" ref="BH1:BI21" displayName="Table_62" name="Table_62" id="62">
  <tableColumns count="2">
    <tableColumn totalsRowFunction="custom" name="NO Wins" id="1"/>
    <tableColumn name="NO Losses" id="2"/>
  </tableColumns>
  <tableStyleInfo name="Conference Counter-style 30" showColumnStripes="0" showFirstColumn="1" showLastColumn="1" showRowStripes="1"/>
</table>
</file>

<file path=xl/tables/table63.xml><?xml version="1.0" encoding="utf-8"?>
<table xmlns="http://schemas.openxmlformats.org/spreadsheetml/2006/main" totalsRowCount="1" ref="BJ1:BK21" displayName="Table_63" name="Table_63" id="63">
  <tableColumns count="2">
    <tableColumn totalsRowFunction="custom" name="ATL Wins" id="1"/>
    <tableColumn name="ATL Losses" id="2"/>
  </tableColumns>
  <tableStyleInfo name="Conference Counter-style 31" showColumnStripes="0" showFirstColumn="1" showLastColumn="1" showRowStripes="1"/>
</table>
</file>

<file path=xl/tables/table64.xml><?xml version="1.0" encoding="utf-8"?>
<table xmlns="http://schemas.openxmlformats.org/spreadsheetml/2006/main" totalsRowCount="1" ref="BL1:BM21" displayName="Table_64" name="Table_64" id="64">
  <tableColumns count="2">
    <tableColumn totalsRowFunction="custom" name="CAR Wins" id="1"/>
    <tableColumn name="CAR Losses" id="2"/>
  </tableColumns>
  <tableStyleInfo name="Conference Counter-style 32" showColumnStripes="0" showFirstColumn="1" showLastColumn="1" showRowStripes="1"/>
</table>
</file>

<file path=xl/tables/table65.xml><?xml version="1.0" encoding="utf-8"?>
<table xmlns="http://schemas.openxmlformats.org/spreadsheetml/2006/main" totalsRowCount="1" ref="B1:C20" displayName="Table_65" name="Table_65" id="65">
  <tableColumns count="2">
    <tableColumn totalsRowFunction="custom" name="KC PF" id="1"/>
    <tableColumn totalsRowFunction="custom" name="KC PA" id="2"/>
  </tableColumns>
  <tableStyleInfo name="PFPA Counter-style" showColumnStripes="0" showFirstColumn="1" showLastColumn="1" showRowStripes="1"/>
</table>
</file>

<file path=xl/tables/table66.xml><?xml version="1.0" encoding="utf-8"?>
<table xmlns="http://schemas.openxmlformats.org/spreadsheetml/2006/main" totalsRowCount="1" ref="D1:E20" displayName="Table_66" name="Table_66" id="66">
  <tableColumns count="2">
    <tableColumn totalsRowFunction="custom" name="LV PF" id="1"/>
    <tableColumn totalsRowFunction="custom" name="LV PA" id="2"/>
  </tableColumns>
  <tableStyleInfo name="PFPA Counter-style 2" showColumnStripes="0" showFirstColumn="1" showLastColumn="1" showRowStripes="1"/>
</table>
</file>

<file path=xl/tables/table67.xml><?xml version="1.0" encoding="utf-8"?>
<table xmlns="http://schemas.openxmlformats.org/spreadsheetml/2006/main" totalsRowCount="1" ref="F1:G20" displayName="Table_67" name="Table_67" id="67">
  <tableColumns count="2">
    <tableColumn totalsRowFunction="custom" name="DEN PF" id="1"/>
    <tableColumn totalsRowFunction="custom" name="DEN PA" id="2"/>
  </tableColumns>
  <tableStyleInfo name="PFPA Counter-style 3" showColumnStripes="0" showFirstColumn="1" showLastColumn="1" showRowStripes="1"/>
</table>
</file>

<file path=xl/tables/table68.xml><?xml version="1.0" encoding="utf-8"?>
<table xmlns="http://schemas.openxmlformats.org/spreadsheetml/2006/main" totalsRowCount="1" ref="H1:I20" displayName="Table_68" name="Table_68" id="68">
  <tableColumns count="2">
    <tableColumn totalsRowFunction="custom" name="LAC PF" id="1"/>
    <tableColumn totalsRowFunction="custom" name="LAC PA" id="2"/>
  </tableColumns>
  <tableStyleInfo name="PFPA Counter-style 4" showColumnStripes="0" showFirstColumn="1" showLastColumn="1" showRowStripes="1"/>
</table>
</file>

<file path=xl/tables/table69.xml><?xml version="1.0" encoding="utf-8"?>
<table xmlns="http://schemas.openxmlformats.org/spreadsheetml/2006/main" totalsRowCount="1" ref="J1:K20" displayName="Table_69" name="Table_69" id="69">
  <tableColumns count="2">
    <tableColumn totalsRowFunction="custom" name="BUF PF" id="1"/>
    <tableColumn totalsRowFunction="custom" name="BUF PA" id="2"/>
  </tableColumns>
  <tableStyleInfo name="PFPA Counter-style 5" showColumnStripes="0" showFirstColumn="1" showLastColumn="1" showRowStripes="1"/>
</table>
</file>

<file path=xl/tables/table70.xml><?xml version="1.0" encoding="utf-8"?>
<table xmlns="http://schemas.openxmlformats.org/spreadsheetml/2006/main" totalsRowCount="1" ref="L1:M20" displayName="Table_70" name="Table_70" id="70">
  <tableColumns count="2">
    <tableColumn totalsRowFunction="custom" name="MIA PF" id="1"/>
    <tableColumn totalsRowFunction="custom" name="MIA PA" id="2"/>
  </tableColumns>
  <tableStyleInfo name="PFPA Counter-style 6" showColumnStripes="0" showFirstColumn="1" showLastColumn="1" showRowStripes="1"/>
</table>
</file>

<file path=xl/tables/table71.xml><?xml version="1.0" encoding="utf-8"?>
<table xmlns="http://schemas.openxmlformats.org/spreadsheetml/2006/main" totalsRowCount="1" ref="N1:O20" displayName="Table_71" name="Table_71" id="71">
  <tableColumns count="2">
    <tableColumn totalsRowFunction="custom" name="NYJ PF" id="1"/>
    <tableColumn totalsRowFunction="custom" name="NYJ PA" id="2"/>
  </tableColumns>
  <tableStyleInfo name="PFPA Counter-style 7" showColumnStripes="0" showFirstColumn="1" showLastColumn="1" showRowStripes="1"/>
</table>
</file>

<file path=xl/tables/table72.xml><?xml version="1.0" encoding="utf-8"?>
<table xmlns="http://schemas.openxmlformats.org/spreadsheetml/2006/main" totalsRowCount="1" ref="P1:Q20" displayName="Table_72" name="Table_72" id="72">
  <tableColumns count="2">
    <tableColumn totalsRowFunction="custom" name="NE PF" id="1"/>
    <tableColumn totalsRowFunction="custom" name="NE PA" id="2"/>
  </tableColumns>
  <tableStyleInfo name="PFPA Counter-style 8" showColumnStripes="0" showFirstColumn="1" showLastColumn="1" showRowStripes="1"/>
</table>
</file>

<file path=xl/tables/table73.xml><?xml version="1.0" encoding="utf-8"?>
<table xmlns="http://schemas.openxmlformats.org/spreadsheetml/2006/main" totalsRowCount="1" ref="R1:S20" displayName="Table_73" name="Table_73" id="73">
  <tableColumns count="2">
    <tableColumn totalsRowFunction="custom" name="BAL PF" id="1"/>
    <tableColumn totalsRowFunction="custom" name="BAL PA" id="2"/>
  </tableColumns>
  <tableStyleInfo name="PFPA Counter-style 9" showColumnStripes="0" showFirstColumn="1" showLastColumn="1" showRowStripes="1"/>
</table>
</file>

<file path=xl/tables/table74.xml><?xml version="1.0" encoding="utf-8"?>
<table xmlns="http://schemas.openxmlformats.org/spreadsheetml/2006/main" totalsRowCount="1" ref="T1:U20" displayName="Table_74" name="Table_74" id="74">
  <tableColumns count="2">
    <tableColumn totalsRowFunction="custom" name="CLE PF" id="1"/>
    <tableColumn totalsRowFunction="custom" name="CLE PA" id="2"/>
  </tableColumns>
  <tableStyleInfo name="PFPA Counter-style 10" showColumnStripes="0" showFirstColumn="1" showLastColumn="1" showRowStripes="1"/>
</table>
</file>

<file path=xl/tables/table75.xml><?xml version="1.0" encoding="utf-8"?>
<table xmlns="http://schemas.openxmlformats.org/spreadsheetml/2006/main" totalsRowCount="1" ref="V1:W20" displayName="Table_75" name="Table_75" id="75">
  <tableColumns count="2">
    <tableColumn totalsRowFunction="custom" name="PIT PF" id="1"/>
    <tableColumn totalsRowFunction="custom" name="PIT PA" id="2"/>
  </tableColumns>
  <tableStyleInfo name="PFPA Counter-style 11" showColumnStripes="0" showFirstColumn="1" showLastColumn="1" showRowStripes="1"/>
</table>
</file>

<file path=xl/tables/table76.xml><?xml version="1.0" encoding="utf-8"?>
<table xmlns="http://schemas.openxmlformats.org/spreadsheetml/2006/main" totalsRowCount="1" ref="X1:Y20" displayName="Table_76" name="Table_76" id="76">
  <tableColumns count="2">
    <tableColumn totalsRowFunction="custom" name="CIN PF" id="1"/>
    <tableColumn totalsRowFunction="custom" name="CIN PA" id="2"/>
  </tableColumns>
  <tableStyleInfo name="PFPA Counter-style 12" showColumnStripes="0" showFirstColumn="1" showLastColumn="1" showRowStripes="1"/>
</table>
</file>

<file path=xl/tables/table77.xml><?xml version="1.0" encoding="utf-8"?>
<table xmlns="http://schemas.openxmlformats.org/spreadsheetml/2006/main" totalsRowCount="1" ref="Z1:AA20" displayName="Table_77" name="Table_77" id="77">
  <tableColumns count="2">
    <tableColumn totalsRowFunction="custom" name="HOU PF" id="1"/>
    <tableColumn totalsRowFunction="custom" name="HOU PA" id="2"/>
  </tableColumns>
  <tableStyleInfo name="PFPA Counter-style 13" showColumnStripes="0" showFirstColumn="1" showLastColumn="1" showRowStripes="1"/>
</table>
</file>

<file path=xl/tables/table78.xml><?xml version="1.0" encoding="utf-8"?>
<table xmlns="http://schemas.openxmlformats.org/spreadsheetml/2006/main" totalsRowCount="1" ref="AB1:AC20" displayName="Table_78" name="Table_78" id="78">
  <tableColumns count="2">
    <tableColumn totalsRowFunction="custom" name="JAX PF" id="1"/>
    <tableColumn totalsRowFunction="custom" name="JAX PA" id="2"/>
  </tableColumns>
  <tableStyleInfo name="PFPA Counter-style 14" showColumnStripes="0" showFirstColumn="1" showLastColumn="1" showRowStripes="1"/>
</table>
</file>

<file path=xl/tables/table79.xml><?xml version="1.0" encoding="utf-8"?>
<table xmlns="http://schemas.openxmlformats.org/spreadsheetml/2006/main" totalsRowCount="1" ref="AD1:AE20" displayName="Table_79" name="Table_79" id="79">
  <tableColumns count="2">
    <tableColumn totalsRowFunction="custom" name="IND PF" id="1"/>
    <tableColumn totalsRowFunction="custom" name="IND PA" id="2"/>
  </tableColumns>
  <tableStyleInfo name="PFPA Counter-style 15" showColumnStripes="0" showFirstColumn="1" showLastColumn="1" showRowStripes="1"/>
</table>
</file>

<file path=xl/tables/table80.xml><?xml version="1.0" encoding="utf-8"?>
<table xmlns="http://schemas.openxmlformats.org/spreadsheetml/2006/main" totalsRowCount="1" ref="AF1:AG20" displayName="Table_80" name="Table_80" id="80">
  <tableColumns count="2">
    <tableColumn totalsRowFunction="custom" name="TEN PF" id="1"/>
    <tableColumn totalsRowFunction="custom" name="TEN PA" id="2"/>
  </tableColumns>
  <tableStyleInfo name="PFPA Counter-style 16" showColumnStripes="0" showFirstColumn="1" showLastColumn="1" showRowStripes="1"/>
</table>
</file>

<file path=xl/tables/table81.xml><?xml version="1.0" encoding="utf-8"?>
<table xmlns="http://schemas.openxmlformats.org/spreadsheetml/2006/main" totalsRowCount="1" ref="AH1:AI20" displayName="Table_81" name="Table_81" id="81">
  <tableColumns count="2">
    <tableColumn totalsRowFunction="custom" name="SF PF" id="1"/>
    <tableColumn totalsRowFunction="custom" name="SF PA" id="2"/>
  </tableColumns>
  <tableStyleInfo name="PFPA Counter-style 17" showColumnStripes="0" showFirstColumn="1" showLastColumn="1" showRowStripes="1"/>
</table>
</file>

<file path=xl/tables/table82.xml><?xml version="1.0" encoding="utf-8"?>
<table xmlns="http://schemas.openxmlformats.org/spreadsheetml/2006/main" totalsRowCount="1" ref="AJ1:AK20" displayName="Table_82" name="Table_82" id="82">
  <tableColumns count="2">
    <tableColumn totalsRowFunction="custom" name="LAR PF" id="1"/>
    <tableColumn totalsRowFunction="custom" name="LAR PA" id="2"/>
  </tableColumns>
  <tableStyleInfo name="PFPA Counter-style 18" showColumnStripes="0" showFirstColumn="1" showLastColumn="1" showRowStripes="1"/>
</table>
</file>

<file path=xl/tables/table83.xml><?xml version="1.0" encoding="utf-8"?>
<table xmlns="http://schemas.openxmlformats.org/spreadsheetml/2006/main" totalsRowCount="1" ref="AL1:AM20" displayName="Table_83" name="Table_83" id="83">
  <tableColumns count="2">
    <tableColumn totalsRowFunction="custom" name="SEA PF" id="1"/>
    <tableColumn totalsRowFunction="custom" name="SEA PA" id="2"/>
  </tableColumns>
  <tableStyleInfo name="PFPA Counter-style 19" showColumnStripes="0" showFirstColumn="1" showLastColumn="1" showRowStripes="1"/>
</table>
</file>

<file path=xl/tables/table84.xml><?xml version="1.0" encoding="utf-8"?>
<table xmlns="http://schemas.openxmlformats.org/spreadsheetml/2006/main" totalsRowCount="1" ref="AN1:AO20" displayName="Table_84" name="Table_84" id="84">
  <tableColumns count="2">
    <tableColumn totalsRowFunction="custom" name="AZ PF" id="1"/>
    <tableColumn totalsRowFunction="custom" name="AZ PA" id="2"/>
  </tableColumns>
  <tableStyleInfo name="PFPA Counter-style 20" showColumnStripes="0" showFirstColumn="1" showLastColumn="1" showRowStripes="1"/>
</table>
</file>

<file path=xl/tables/table85.xml><?xml version="1.0" encoding="utf-8"?>
<table xmlns="http://schemas.openxmlformats.org/spreadsheetml/2006/main" totalsRowCount="1" ref="AP1:AQ20" displayName="Table_85" name="Table_85" id="85">
  <tableColumns count="2">
    <tableColumn totalsRowFunction="custom" name="DAL PF" id="1"/>
    <tableColumn totalsRowFunction="custom" name="DAL PA" id="2"/>
  </tableColumns>
  <tableStyleInfo name="PFPA Counter-style 21" showColumnStripes="0" showFirstColumn="1" showLastColumn="1" showRowStripes="1"/>
</table>
</file>

<file path=xl/tables/table86.xml><?xml version="1.0" encoding="utf-8"?>
<table xmlns="http://schemas.openxmlformats.org/spreadsheetml/2006/main" totalsRowCount="1" ref="AR1:AS20" displayName="Table_86" name="Table_86" id="86">
  <tableColumns count="2">
    <tableColumn totalsRowFunction="custom" name="PHI PF" id="1"/>
    <tableColumn totalsRowFunction="custom" name="PHI PA" id="2"/>
  </tableColumns>
  <tableStyleInfo name="PFPA Counter-style 22" showColumnStripes="0" showFirstColumn="1" showLastColumn="1" showRowStripes="1"/>
</table>
</file>

<file path=xl/tables/table87.xml><?xml version="1.0" encoding="utf-8"?>
<table xmlns="http://schemas.openxmlformats.org/spreadsheetml/2006/main" totalsRowCount="1" ref="AT1:AU20" displayName="Table_87" name="Table_87" id="87">
  <tableColumns count="2">
    <tableColumn totalsRowFunction="custom" name="NYG PF" id="1"/>
    <tableColumn totalsRowFunction="custom" name="NYG PA" id="2"/>
  </tableColumns>
  <tableStyleInfo name="PFPA Counter-style 23" showColumnStripes="0" showFirstColumn="1" showLastColumn="1" showRowStripes="1"/>
</table>
</file>

<file path=xl/tables/table88.xml><?xml version="1.0" encoding="utf-8"?>
<table xmlns="http://schemas.openxmlformats.org/spreadsheetml/2006/main" totalsRowCount="1" ref="AV1:AW20" displayName="Table_88" name="Table_88" id="88">
  <tableColumns count="2">
    <tableColumn totalsRowFunction="custom" name="WSH PF" id="1"/>
    <tableColumn totalsRowFunction="custom" name="WSH PA" id="2"/>
  </tableColumns>
  <tableStyleInfo name="PFPA Counter-style 24" showColumnStripes="0" showFirstColumn="1" showLastColumn="1" showRowStripes="1"/>
</table>
</file>

<file path=xl/tables/table89.xml><?xml version="1.0" encoding="utf-8"?>
<table xmlns="http://schemas.openxmlformats.org/spreadsheetml/2006/main" totalsRowCount="1" ref="AX1:AY20" displayName="Table_89" name="Table_89" id="89">
  <tableColumns count="2">
    <tableColumn totalsRowFunction="custom" name="DET PF" id="1"/>
    <tableColumn totalsRowFunction="custom" name="DET PA" id="2"/>
  </tableColumns>
  <tableStyleInfo name="PFPA Counter-style 25" showColumnStripes="0" showFirstColumn="1" showLastColumn="1" showRowStripes="1"/>
</table>
</file>

<file path=xl/tables/table90.xml><?xml version="1.0" encoding="utf-8"?>
<table xmlns="http://schemas.openxmlformats.org/spreadsheetml/2006/main" totalsRowCount="1" ref="AZ1:BA20" displayName="Table_90" name="Table_90" id="90">
  <tableColumns count="2">
    <tableColumn totalsRowFunction="custom" name="GB PF" id="1"/>
    <tableColumn totalsRowFunction="custom" name="GB PA" id="2"/>
  </tableColumns>
  <tableStyleInfo name="PFPA Counter-style 26" showColumnStripes="0" showFirstColumn="1" showLastColumn="1" showRowStripes="1"/>
</table>
</file>

<file path=xl/tables/table91.xml><?xml version="1.0" encoding="utf-8"?>
<table xmlns="http://schemas.openxmlformats.org/spreadsheetml/2006/main" totalsRowCount="1" ref="BB1:BC20" displayName="Table_91" name="Table_91" id="91">
  <tableColumns count="2">
    <tableColumn totalsRowFunction="custom" name="MIN PF" id="1"/>
    <tableColumn totalsRowFunction="custom" name="MIN PA" id="2"/>
  </tableColumns>
  <tableStyleInfo name="PFPA Counter-style 27" showColumnStripes="0" showFirstColumn="1" showLastColumn="1" showRowStripes="1"/>
</table>
</file>

<file path=xl/tables/table92.xml><?xml version="1.0" encoding="utf-8"?>
<table xmlns="http://schemas.openxmlformats.org/spreadsheetml/2006/main" totalsRowCount="1" ref="BD1:BE20" displayName="Table_92" name="Table_92" id="92">
  <tableColumns count="2">
    <tableColumn totalsRowFunction="custom" name="CHI PF" id="1"/>
    <tableColumn totalsRowFunction="custom" name="CHI PA" id="2"/>
  </tableColumns>
  <tableStyleInfo name="PFPA Counter-style 28" showColumnStripes="0" showFirstColumn="1" showLastColumn="1" showRowStripes="1"/>
</table>
</file>

<file path=xl/tables/table93.xml><?xml version="1.0" encoding="utf-8"?>
<table xmlns="http://schemas.openxmlformats.org/spreadsheetml/2006/main" totalsRowCount="1" ref="BF1:BG20" displayName="Table_93" name="Table_93" id="93">
  <tableColumns count="2">
    <tableColumn totalsRowFunction="custom" name="TB PF" id="1"/>
    <tableColumn totalsRowFunction="custom" name="TB PA" id="2"/>
  </tableColumns>
  <tableStyleInfo name="PFPA Counter-style 29" showColumnStripes="0" showFirstColumn="1" showLastColumn="1" showRowStripes="1"/>
</table>
</file>

<file path=xl/tables/table94.xml><?xml version="1.0" encoding="utf-8"?>
<table xmlns="http://schemas.openxmlformats.org/spreadsheetml/2006/main" totalsRowCount="1" ref="BH1:BI20" displayName="Table_94" name="Table_94" id="94">
  <tableColumns count="2">
    <tableColumn totalsRowFunction="custom" name="NO PF" id="1"/>
    <tableColumn totalsRowFunction="custom" name="NO PA" id="2"/>
  </tableColumns>
  <tableStyleInfo name="PFPA Counter-style 30" showColumnStripes="0" showFirstColumn="1" showLastColumn="1" showRowStripes="1"/>
</table>
</file>

<file path=xl/tables/table95.xml><?xml version="1.0" encoding="utf-8"?>
<table xmlns="http://schemas.openxmlformats.org/spreadsheetml/2006/main" totalsRowCount="1" ref="BJ1:BK20" displayName="Table_95" name="Table_95" id="95">
  <tableColumns count="2">
    <tableColumn totalsRowFunction="custom" name="ATL PF" id="1"/>
    <tableColumn totalsRowFunction="custom" name="ATL PA" id="2"/>
  </tableColumns>
  <tableStyleInfo name="PFPA Counter-style 31" showColumnStripes="0" showFirstColumn="1" showLastColumn="1" showRowStripes="1"/>
</table>
</file>

<file path=xl/tables/table96.xml><?xml version="1.0" encoding="utf-8"?>
<table xmlns="http://schemas.openxmlformats.org/spreadsheetml/2006/main" totalsRowCount="1" ref="BL1:BM20" displayName="Table_96" name="Table_96" id="96">
  <tableColumns count="2">
    <tableColumn totalsRowFunction="custom" name="CAR PF" id="1"/>
    <tableColumn totalsRowFunction="custom" name="CAR PA" id="2"/>
  </tableColumns>
  <tableStyleInfo name="PFPA Counter-style 32" showColumnStripes="0" showFirstColumn="1" showLastColumn="1" showRowStripes="1"/>
</table>
</file>

<file path=xl/tables/table97.xml><?xml version="1.0" encoding="utf-8"?>
<table xmlns="http://schemas.openxmlformats.org/spreadsheetml/2006/main" totalsRowCount="1" ref="B1:C20" displayName="Table_97" name="Table_97" id="97">
  <tableColumns count="2">
    <tableColumn totalsRowFunction="custom" name="KC Wins" id="1"/>
    <tableColumn totalsRowFunction="custom" name="KC Losses" id="2"/>
  </tableColumns>
  <tableStyleInfo name="Home Counter-style" showColumnStripes="0" showFirstColumn="1" showLastColumn="1" showRowStripes="1"/>
</table>
</file>

<file path=xl/tables/table98.xml><?xml version="1.0" encoding="utf-8"?>
<table xmlns="http://schemas.openxmlformats.org/spreadsheetml/2006/main" totalsRowCount="1" ref="D1:E20" displayName="Table_98" name="Table_98" id="98">
  <tableColumns count="2">
    <tableColumn totalsRowFunction="custom" name="LV Wins" id="1"/>
    <tableColumn totalsRowFunction="custom" name="LV Losses" id="2"/>
  </tableColumns>
  <tableStyleInfo name="Home Counter-style 2" showColumnStripes="0" showFirstColumn="1" showLastColumn="1" showRowStripes="1"/>
</table>
</file>

<file path=xl/tables/table99.xml><?xml version="1.0" encoding="utf-8"?>
<table xmlns="http://schemas.openxmlformats.org/spreadsheetml/2006/main" totalsRowCount="1" ref="F1:G20" displayName="Table_99" name="Table_99" id="99">
  <tableColumns count="2">
    <tableColumn totalsRowFunction="custom" name="DEN Wins" id="1"/>
    <tableColumn totalsRowFunction="custom" name="DEN Losses" id="2"/>
  </tableColumns>
  <tableStyleInfo name="Home Counter-style 3" showColumnStripes="0" showFirstColumn="1" showLastColumn="1" showRowStripes="1"/>
</table>
</file>

<file path=xl/tables/table100.xml><?xml version="1.0" encoding="utf-8"?>
<table xmlns="http://schemas.openxmlformats.org/spreadsheetml/2006/main" totalsRowCount="1" ref="H1:I20" displayName="Table_100" name="Table_100" id="100">
  <tableColumns count="2">
    <tableColumn totalsRowFunction="custom" name="LAC Wins" id="1"/>
    <tableColumn totalsRowFunction="custom" name="LAC Losses" id="2"/>
  </tableColumns>
  <tableStyleInfo name="Home Counter-style 4" showColumnStripes="0" showFirstColumn="1" showLastColumn="1" showRowStripes="1"/>
</table>
</file>

<file path=xl/tables/table101.xml><?xml version="1.0" encoding="utf-8"?>
<table xmlns="http://schemas.openxmlformats.org/spreadsheetml/2006/main" totalsRowCount="1" ref="J1:K20" displayName="Table_101" name="Table_101" id="101">
  <tableColumns count="2">
    <tableColumn totalsRowFunction="custom" name="BUF Wins" id="1"/>
    <tableColumn totalsRowFunction="custom" name="BUF Losses" id="2"/>
  </tableColumns>
  <tableStyleInfo name="Home Counter-style 5" showColumnStripes="0" showFirstColumn="1" showLastColumn="1" showRowStripes="1"/>
</table>
</file>

<file path=xl/tables/table102.xml><?xml version="1.0" encoding="utf-8"?>
<table xmlns="http://schemas.openxmlformats.org/spreadsheetml/2006/main" totalsRowCount="1" ref="L1:M20" displayName="Table_102" name="Table_102" id="102">
  <tableColumns count="2">
    <tableColumn totalsRowFunction="custom" name="MIA Wins" id="1"/>
    <tableColumn totalsRowFunction="custom" name="MIA Losses" id="2"/>
  </tableColumns>
  <tableStyleInfo name="Home Counter-style 6" showColumnStripes="0" showFirstColumn="1" showLastColumn="1" showRowStripes="1"/>
</table>
</file>

<file path=xl/tables/table103.xml><?xml version="1.0" encoding="utf-8"?>
<table xmlns="http://schemas.openxmlformats.org/spreadsheetml/2006/main" totalsRowCount="1" ref="N1:O20" displayName="Table_103" name="Table_103" id="103">
  <tableColumns count="2">
    <tableColumn totalsRowFunction="custom" name="NYJ Wins" id="1"/>
    <tableColumn totalsRowFunction="custom" name="NYJ Losses" id="2"/>
  </tableColumns>
  <tableStyleInfo name="Home Counter-style 7" showColumnStripes="0" showFirstColumn="1" showLastColumn="1" showRowStripes="1"/>
</table>
</file>

<file path=xl/tables/table104.xml><?xml version="1.0" encoding="utf-8"?>
<table xmlns="http://schemas.openxmlformats.org/spreadsheetml/2006/main" totalsRowCount="1" ref="P1:Q20" displayName="Table_104" name="Table_104" id="104">
  <tableColumns count="2">
    <tableColumn totalsRowFunction="custom" name="NE Wins" id="1"/>
    <tableColumn totalsRowFunction="custom" name="NE Losses" id="2"/>
  </tableColumns>
  <tableStyleInfo name="Home Counter-style 8" showColumnStripes="0" showFirstColumn="1" showLastColumn="1" showRowStripes="1"/>
</table>
</file>

<file path=xl/tables/table105.xml><?xml version="1.0" encoding="utf-8"?>
<table xmlns="http://schemas.openxmlformats.org/spreadsheetml/2006/main" totalsRowCount="1" ref="R1:S20" displayName="Table_105" name="Table_105" id="105">
  <tableColumns count="2">
    <tableColumn totalsRowFunction="custom" name="BAL Wins" id="1"/>
    <tableColumn totalsRowFunction="custom" name="BAL Losses" id="2"/>
  </tableColumns>
  <tableStyleInfo name="Home Counter-style 9" showColumnStripes="0" showFirstColumn="1" showLastColumn="1" showRowStripes="1"/>
</table>
</file>

<file path=xl/tables/table106.xml><?xml version="1.0" encoding="utf-8"?>
<table xmlns="http://schemas.openxmlformats.org/spreadsheetml/2006/main" totalsRowCount="1" ref="T1:U20" displayName="Table_106" name="Table_106" id="106">
  <tableColumns count="2">
    <tableColumn totalsRowFunction="custom" name="CLE Wins" id="1"/>
    <tableColumn totalsRowFunction="custom" name="CLE Losses" id="2"/>
  </tableColumns>
  <tableStyleInfo name="Home Counter-style 10" showColumnStripes="0" showFirstColumn="1" showLastColumn="1" showRowStripes="1"/>
</table>
</file>

<file path=xl/tables/table107.xml><?xml version="1.0" encoding="utf-8"?>
<table xmlns="http://schemas.openxmlformats.org/spreadsheetml/2006/main" totalsRowCount="1" ref="V1:W20" displayName="Table_107" name="Table_107" id="107">
  <tableColumns count="2">
    <tableColumn totalsRowFunction="custom" name="PIT Wins" id="1"/>
    <tableColumn totalsRowFunction="custom" name="PIT Losses" id="2"/>
  </tableColumns>
  <tableStyleInfo name="Home Counter-style 11" showColumnStripes="0" showFirstColumn="1" showLastColumn="1" showRowStripes="1"/>
</table>
</file>

<file path=xl/tables/table108.xml><?xml version="1.0" encoding="utf-8"?>
<table xmlns="http://schemas.openxmlformats.org/spreadsheetml/2006/main" totalsRowCount="1" ref="X1:Y20" displayName="Table_108" name="Table_108" id="108">
  <tableColumns count="2">
    <tableColumn totalsRowFunction="custom" name="CIN Wins" id="1"/>
    <tableColumn totalsRowFunction="custom" name="CIN Losses" id="2"/>
  </tableColumns>
  <tableStyleInfo name="Home Counter-style 12" showColumnStripes="0" showFirstColumn="1" showLastColumn="1" showRowStripes="1"/>
</table>
</file>

<file path=xl/tables/table109.xml><?xml version="1.0" encoding="utf-8"?>
<table xmlns="http://schemas.openxmlformats.org/spreadsheetml/2006/main" totalsRowCount="1" ref="Z1:AA20" displayName="Table_109" name="Table_109" id="109">
  <tableColumns count="2">
    <tableColumn totalsRowFunction="custom" name="HOU Wins" id="1"/>
    <tableColumn totalsRowFunction="custom" name="HOU Losses" id="2"/>
  </tableColumns>
  <tableStyleInfo name="Home Counter-style 13" showColumnStripes="0" showFirstColumn="1" showLastColumn="1" showRowStripes="1"/>
</table>
</file>

<file path=xl/tables/table110.xml><?xml version="1.0" encoding="utf-8"?>
<table xmlns="http://schemas.openxmlformats.org/spreadsheetml/2006/main" totalsRowCount="1" ref="AB1:AC20" displayName="Table_110" name="Table_110" id="110">
  <tableColumns count="2">
    <tableColumn totalsRowFunction="custom" name="JAX Wins" id="1"/>
    <tableColumn totalsRowFunction="custom" name="JAX Losses" id="2"/>
  </tableColumns>
  <tableStyleInfo name="Home Counter-style 14" showColumnStripes="0" showFirstColumn="1" showLastColumn="1" showRowStripes="1"/>
</table>
</file>

<file path=xl/tables/table111.xml><?xml version="1.0" encoding="utf-8"?>
<table xmlns="http://schemas.openxmlformats.org/spreadsheetml/2006/main" totalsRowCount="1" ref="AD1:AE20" displayName="Table_111" name="Table_111" id="111">
  <tableColumns count="2">
    <tableColumn totalsRowFunction="custom" name="IND Wins" id="1"/>
    <tableColumn totalsRowFunction="custom" name="IND Losses" id="2"/>
  </tableColumns>
  <tableStyleInfo name="Home Counter-style 15" showColumnStripes="0" showFirstColumn="1" showLastColumn="1" showRowStripes="1"/>
</table>
</file>

<file path=xl/tables/table112.xml><?xml version="1.0" encoding="utf-8"?>
<table xmlns="http://schemas.openxmlformats.org/spreadsheetml/2006/main" totalsRowCount="1" ref="AF1:AG20" displayName="Table_112" name="Table_112" id="112">
  <tableColumns count="2">
    <tableColumn totalsRowFunction="custom" name="TEN Wins" id="1"/>
    <tableColumn totalsRowFunction="custom" name="TEN Losses" id="2"/>
  </tableColumns>
  <tableStyleInfo name="Home Counter-style 16" showColumnStripes="0" showFirstColumn="1" showLastColumn="1" showRowStripes="1"/>
</table>
</file>

<file path=xl/tables/table113.xml><?xml version="1.0" encoding="utf-8"?>
<table xmlns="http://schemas.openxmlformats.org/spreadsheetml/2006/main" totalsRowCount="1" ref="AH1:AI20" displayName="Table_113" name="Table_113" id="113">
  <tableColumns count="2">
    <tableColumn totalsRowFunction="custom" name="SF Wins" id="1"/>
    <tableColumn totalsRowFunction="custom" name="SF Losses" id="2"/>
  </tableColumns>
  <tableStyleInfo name="Home Counter-style 17" showColumnStripes="0" showFirstColumn="1" showLastColumn="1" showRowStripes="1"/>
</table>
</file>

<file path=xl/tables/table114.xml><?xml version="1.0" encoding="utf-8"?>
<table xmlns="http://schemas.openxmlformats.org/spreadsheetml/2006/main" totalsRowCount="1" ref="AJ1:AK20" displayName="Table_114" name="Table_114" id="114">
  <tableColumns count="2">
    <tableColumn totalsRowFunction="custom" name="LAR Wins" id="1"/>
    <tableColumn totalsRowFunction="custom" name="LAR Losses" id="2"/>
  </tableColumns>
  <tableStyleInfo name="Home Counter-style 18" showColumnStripes="0" showFirstColumn="1" showLastColumn="1" showRowStripes="1"/>
</table>
</file>

<file path=xl/tables/table115.xml><?xml version="1.0" encoding="utf-8"?>
<table xmlns="http://schemas.openxmlformats.org/spreadsheetml/2006/main" totalsRowCount="1" ref="AL1:AM20" displayName="Table_115" name="Table_115" id="115">
  <tableColumns count="2">
    <tableColumn totalsRowFunction="custom" name="SEA Wins" id="1"/>
    <tableColumn totalsRowFunction="custom" name="SEA Losses" id="2"/>
  </tableColumns>
  <tableStyleInfo name="Home Counter-style 19" showColumnStripes="0" showFirstColumn="1" showLastColumn="1" showRowStripes="1"/>
</table>
</file>

<file path=xl/tables/table116.xml><?xml version="1.0" encoding="utf-8"?>
<table xmlns="http://schemas.openxmlformats.org/spreadsheetml/2006/main" totalsRowCount="1" ref="AN1:AO20" displayName="Table_116" name="Table_116" id="116">
  <tableColumns count="2">
    <tableColumn totalsRowFunction="custom" name="AZ Wins" id="1"/>
    <tableColumn totalsRowFunction="custom" name="AZ Losses" id="2"/>
  </tableColumns>
  <tableStyleInfo name="Home Counter-style 20" showColumnStripes="0" showFirstColumn="1" showLastColumn="1" showRowStripes="1"/>
</table>
</file>

<file path=xl/tables/table117.xml><?xml version="1.0" encoding="utf-8"?>
<table xmlns="http://schemas.openxmlformats.org/spreadsheetml/2006/main" totalsRowCount="1" ref="AP1:AQ20" displayName="Table_117" name="Table_117" id="117">
  <tableColumns count="2">
    <tableColumn totalsRowFunction="custom" name="DAL Wins" id="1"/>
    <tableColumn totalsRowFunction="custom" name="DAL Losses" id="2"/>
  </tableColumns>
  <tableStyleInfo name="Home Counter-style 21" showColumnStripes="0" showFirstColumn="1" showLastColumn="1" showRowStripes="1"/>
</table>
</file>

<file path=xl/tables/table118.xml><?xml version="1.0" encoding="utf-8"?>
<table xmlns="http://schemas.openxmlformats.org/spreadsheetml/2006/main" totalsRowCount="1" ref="AR1:AS20" displayName="Table_118" name="Table_118" id="118">
  <tableColumns count="2">
    <tableColumn totalsRowFunction="custom" name="PHI Wins" id="1"/>
    <tableColumn totalsRowFunction="custom" name="PHI Losses" id="2"/>
  </tableColumns>
  <tableStyleInfo name="Home Counter-style 22" showColumnStripes="0" showFirstColumn="1" showLastColumn="1" showRowStripes="1"/>
</table>
</file>

<file path=xl/tables/table119.xml><?xml version="1.0" encoding="utf-8"?>
<table xmlns="http://schemas.openxmlformats.org/spreadsheetml/2006/main" totalsRowCount="1" ref="AT1:AU20" displayName="Table_119" name="Table_119" id="119">
  <tableColumns count="2">
    <tableColumn totalsRowFunction="custom" name="NYG Wins" id="1"/>
    <tableColumn totalsRowFunction="custom" name="NYG Losses" id="2"/>
  </tableColumns>
  <tableStyleInfo name="Home Counter-style 23" showColumnStripes="0" showFirstColumn="1" showLastColumn="1" showRowStripes="1"/>
</table>
</file>

<file path=xl/tables/table120.xml><?xml version="1.0" encoding="utf-8"?>
<table xmlns="http://schemas.openxmlformats.org/spreadsheetml/2006/main" totalsRowCount="1" ref="AV1:AW20" displayName="Table_120" name="Table_120" id="120">
  <tableColumns count="2">
    <tableColumn totalsRowFunction="custom" name="WSH Wins" id="1"/>
    <tableColumn totalsRowFunction="custom" name="WSH Losses" id="2"/>
  </tableColumns>
  <tableStyleInfo name="Home Counter-style 24" showColumnStripes="0" showFirstColumn="1" showLastColumn="1" showRowStripes="1"/>
</table>
</file>

<file path=xl/tables/table121.xml><?xml version="1.0" encoding="utf-8"?>
<table xmlns="http://schemas.openxmlformats.org/spreadsheetml/2006/main" totalsRowCount="1" ref="AX1:AY20" displayName="Table_121" name="Table_121" id="121">
  <tableColumns count="2">
    <tableColumn totalsRowFunction="custom" name="DET Wins" id="1"/>
    <tableColumn totalsRowFunction="custom" name="DET Losses" id="2"/>
  </tableColumns>
  <tableStyleInfo name="Home Counter-style 25" showColumnStripes="0" showFirstColumn="1" showLastColumn="1" showRowStripes="1"/>
</table>
</file>

<file path=xl/tables/table122.xml><?xml version="1.0" encoding="utf-8"?>
<table xmlns="http://schemas.openxmlformats.org/spreadsheetml/2006/main" totalsRowCount="1" ref="AZ1:BA20" displayName="Table_122" name="Table_122" id="122">
  <tableColumns count="2">
    <tableColumn totalsRowFunction="custom" name="GB Wins" id="1"/>
    <tableColumn totalsRowFunction="custom" name="GB Losses" id="2"/>
  </tableColumns>
  <tableStyleInfo name="Home Counter-style 26" showColumnStripes="0" showFirstColumn="1" showLastColumn="1" showRowStripes="1"/>
</table>
</file>

<file path=xl/tables/table123.xml><?xml version="1.0" encoding="utf-8"?>
<table xmlns="http://schemas.openxmlformats.org/spreadsheetml/2006/main" totalsRowCount="1" ref="BB1:BC20" displayName="Table_123" name="Table_123" id="123">
  <tableColumns count="2">
    <tableColumn totalsRowFunction="custom" name="MIN Wins" id="1"/>
    <tableColumn totalsRowFunction="custom" name="MIN Losses" id="2"/>
  </tableColumns>
  <tableStyleInfo name="Home Counter-style 27" showColumnStripes="0" showFirstColumn="1" showLastColumn="1" showRowStripes="1"/>
</table>
</file>

<file path=xl/tables/table124.xml><?xml version="1.0" encoding="utf-8"?>
<table xmlns="http://schemas.openxmlformats.org/spreadsheetml/2006/main" totalsRowCount="1" ref="BD1:BE20" displayName="Table_124" name="Table_124" id="124">
  <tableColumns count="2">
    <tableColumn totalsRowFunction="custom" name="CHI Wins" id="1"/>
    <tableColumn totalsRowFunction="custom" name="CHI Losses" id="2"/>
  </tableColumns>
  <tableStyleInfo name="Home Counter-style 28" showColumnStripes="0" showFirstColumn="1" showLastColumn="1" showRowStripes="1"/>
</table>
</file>

<file path=xl/tables/table125.xml><?xml version="1.0" encoding="utf-8"?>
<table xmlns="http://schemas.openxmlformats.org/spreadsheetml/2006/main" totalsRowCount="1" ref="BF1:BG20" displayName="Table_125" name="Table_125" id="125">
  <tableColumns count="2">
    <tableColumn totalsRowFunction="custom" name="TB Wins" id="1"/>
    <tableColumn totalsRowFunction="custom" name="TB Losses" id="2"/>
  </tableColumns>
  <tableStyleInfo name="Home Counter-style 29" showColumnStripes="0" showFirstColumn="1" showLastColumn="1" showRowStripes="1"/>
</table>
</file>

<file path=xl/tables/table126.xml><?xml version="1.0" encoding="utf-8"?>
<table xmlns="http://schemas.openxmlformats.org/spreadsheetml/2006/main" totalsRowCount="1" ref="BH1:BI20" displayName="Table_126" name="Table_126" id="126">
  <tableColumns count="2">
    <tableColumn totalsRowFunction="custom" name="NO Wins" id="1"/>
    <tableColumn totalsRowFunction="custom" name="NO Losses" id="2"/>
  </tableColumns>
  <tableStyleInfo name="Home Counter-style 30" showColumnStripes="0" showFirstColumn="1" showLastColumn="1" showRowStripes="1"/>
</table>
</file>

<file path=xl/tables/table127.xml><?xml version="1.0" encoding="utf-8"?>
<table xmlns="http://schemas.openxmlformats.org/spreadsheetml/2006/main" totalsRowCount="1" ref="BJ1:BK20" displayName="Table_127" name="Table_127" id="127">
  <tableColumns count="2">
    <tableColumn totalsRowFunction="custom" name="ATL Wins" id="1"/>
    <tableColumn totalsRowFunction="custom" name="ATL Losses" id="2"/>
  </tableColumns>
  <tableStyleInfo name="Home Counter-style 31" showColumnStripes="0" showFirstColumn="1" showLastColumn="1" showRowStripes="1"/>
</table>
</file>

<file path=xl/tables/table128.xml><?xml version="1.0" encoding="utf-8"?>
<table xmlns="http://schemas.openxmlformats.org/spreadsheetml/2006/main" totalsRowCount="1" ref="BL1:BM20" displayName="Table_128" name="Table_128" id="128">
  <tableColumns count="2">
    <tableColumn totalsRowFunction="custom" name="CAR Wins" id="1"/>
    <tableColumn totalsRowFunction="custom" name="CAR Losses" id="2"/>
  </tableColumns>
  <tableStyleInfo name="Home Counter-style 32" showColumnStripes="0" showFirstColumn="1" showLastColumn="1" showRowStripes="1"/>
</table>
</file>

<file path=xl/tables/table129.xml><?xml version="1.0" encoding="utf-8"?>
<table xmlns="http://schemas.openxmlformats.org/spreadsheetml/2006/main" totalsRowCount="1" ref="B1:C20" displayName="Table_129" name="Table_129" id="129">
  <tableColumns count="2">
    <tableColumn totalsRowFunction="custom" name="KC Wins" id="1"/>
    <tableColumn totalsRowFunction="custom" name="KC Losses" id="2"/>
  </tableColumns>
  <tableStyleInfo name="Away Counter-style" showColumnStripes="0" showFirstColumn="1" showLastColumn="1" showRowStripes="1"/>
</table>
</file>

<file path=xl/tables/table130.xml><?xml version="1.0" encoding="utf-8"?>
<table xmlns="http://schemas.openxmlformats.org/spreadsheetml/2006/main" totalsRowCount="1" ref="D1:E20" displayName="Table_130" name="Table_130" id="130">
  <tableColumns count="2">
    <tableColumn totalsRowFunction="custom" name="LV Wins" id="1"/>
    <tableColumn totalsRowFunction="custom" name="LV Losses" id="2"/>
  </tableColumns>
  <tableStyleInfo name="Away Counter-style 2" showColumnStripes="0" showFirstColumn="1" showLastColumn="1" showRowStripes="1"/>
</table>
</file>

<file path=xl/tables/table131.xml><?xml version="1.0" encoding="utf-8"?>
<table xmlns="http://schemas.openxmlformats.org/spreadsheetml/2006/main" totalsRowCount="1" ref="F1:G20" displayName="Table_131" name="Table_131" id="131">
  <tableColumns count="2">
    <tableColumn totalsRowFunction="custom" name="DEN Wins" id="1"/>
    <tableColumn totalsRowFunction="custom" name="DEN Losses" id="2"/>
  </tableColumns>
  <tableStyleInfo name="Away Counter-style 3" showColumnStripes="0" showFirstColumn="1" showLastColumn="1" showRowStripes="1"/>
</table>
</file>

<file path=xl/tables/table132.xml><?xml version="1.0" encoding="utf-8"?>
<table xmlns="http://schemas.openxmlformats.org/spreadsheetml/2006/main" totalsRowCount="1" ref="H1:I20" displayName="Table_132" name="Table_132" id="132">
  <tableColumns count="2">
    <tableColumn totalsRowFunction="custom" name="LAC Wins" id="1"/>
    <tableColumn totalsRowFunction="custom" name="LAC Losses" id="2"/>
  </tableColumns>
  <tableStyleInfo name="Away Counter-style 4" showColumnStripes="0" showFirstColumn="1" showLastColumn="1" showRowStripes="1"/>
</table>
</file>

<file path=xl/tables/table133.xml><?xml version="1.0" encoding="utf-8"?>
<table xmlns="http://schemas.openxmlformats.org/spreadsheetml/2006/main" totalsRowCount="1" ref="J1:K20" displayName="Table_133" name="Table_133" id="133">
  <tableColumns count="2">
    <tableColumn totalsRowFunction="custom" name="BUF Wins" id="1"/>
    <tableColumn totalsRowFunction="custom" name="BUF Losses" id="2"/>
  </tableColumns>
  <tableStyleInfo name="Away Counter-style 5" showColumnStripes="0" showFirstColumn="1" showLastColumn="1" showRowStripes="1"/>
</table>
</file>

<file path=xl/tables/table134.xml><?xml version="1.0" encoding="utf-8"?>
<table xmlns="http://schemas.openxmlformats.org/spreadsheetml/2006/main" totalsRowCount="1" ref="L1:M20" displayName="Table_134" name="Table_134" id="134">
  <tableColumns count="2">
    <tableColumn totalsRowFunction="custom" name="MIA Wins" id="1"/>
    <tableColumn totalsRowFunction="custom" name="MIA Losses" id="2"/>
  </tableColumns>
  <tableStyleInfo name="Away Counter-style 6" showColumnStripes="0" showFirstColumn="1" showLastColumn="1" showRowStripes="1"/>
</table>
</file>

<file path=xl/tables/table135.xml><?xml version="1.0" encoding="utf-8"?>
<table xmlns="http://schemas.openxmlformats.org/spreadsheetml/2006/main" totalsRowCount="1" ref="N1:O20" displayName="Table_135" name="Table_135" id="135">
  <tableColumns count="2">
    <tableColumn totalsRowFunction="custom" name="NYJ Wins" id="1"/>
    <tableColumn totalsRowFunction="custom" name="NYJ Losses" id="2"/>
  </tableColumns>
  <tableStyleInfo name="Away Counter-style 7" showColumnStripes="0" showFirstColumn="1" showLastColumn="1" showRowStripes="1"/>
</table>
</file>

<file path=xl/tables/table136.xml><?xml version="1.0" encoding="utf-8"?>
<table xmlns="http://schemas.openxmlformats.org/spreadsheetml/2006/main" totalsRowCount="1" ref="P1:Q20" displayName="Table_136" name="Table_136" id="136">
  <tableColumns count="2">
    <tableColumn totalsRowFunction="custom" name="NE Wins" id="1"/>
    <tableColumn totalsRowFunction="custom" name="NE Losses" id="2"/>
  </tableColumns>
  <tableStyleInfo name="Away Counter-style 8" showColumnStripes="0" showFirstColumn="1" showLastColumn="1" showRowStripes="1"/>
</table>
</file>

<file path=xl/tables/table137.xml><?xml version="1.0" encoding="utf-8"?>
<table xmlns="http://schemas.openxmlformats.org/spreadsheetml/2006/main" totalsRowCount="1" ref="R1:S20" displayName="Table_137" name="Table_137" id="137">
  <tableColumns count="2">
    <tableColumn totalsRowFunction="custom" name="BAL Wins" id="1"/>
    <tableColumn totalsRowFunction="custom" name="BAL Losses" id="2"/>
  </tableColumns>
  <tableStyleInfo name="Away Counter-style 9" showColumnStripes="0" showFirstColumn="1" showLastColumn="1" showRowStripes="1"/>
</table>
</file>

<file path=xl/tables/table138.xml><?xml version="1.0" encoding="utf-8"?>
<table xmlns="http://schemas.openxmlformats.org/spreadsheetml/2006/main" totalsRowCount="1" ref="T1:U20" displayName="Table_138" name="Table_138" id="138">
  <tableColumns count="2">
    <tableColumn totalsRowFunction="custom" name="CLE Wins" id="1"/>
    <tableColumn totalsRowFunction="custom" name="CLE Losses" id="2"/>
  </tableColumns>
  <tableStyleInfo name="Away Counter-style 10" showColumnStripes="0" showFirstColumn="1" showLastColumn="1" showRowStripes="1"/>
</table>
</file>

<file path=xl/tables/table139.xml><?xml version="1.0" encoding="utf-8"?>
<table xmlns="http://schemas.openxmlformats.org/spreadsheetml/2006/main" totalsRowCount="1" ref="V1:W20" displayName="Table_139" name="Table_139" id="139">
  <tableColumns count="2">
    <tableColumn totalsRowFunction="custom" name="PIT Wins" id="1"/>
    <tableColumn totalsRowFunction="custom" name="PIT Losses" id="2"/>
  </tableColumns>
  <tableStyleInfo name="Away Counter-style 11" showColumnStripes="0" showFirstColumn="1" showLastColumn="1" showRowStripes="1"/>
</table>
</file>

<file path=xl/tables/table140.xml><?xml version="1.0" encoding="utf-8"?>
<table xmlns="http://schemas.openxmlformats.org/spreadsheetml/2006/main" totalsRowCount="1" ref="X1:Y20" displayName="Table_140" name="Table_140" id="140">
  <tableColumns count="2">
    <tableColumn totalsRowFunction="custom" name="CIN Wins" id="1"/>
    <tableColumn totalsRowFunction="custom" name="CIN Losses" id="2"/>
  </tableColumns>
  <tableStyleInfo name="Away Counter-style 12" showColumnStripes="0" showFirstColumn="1" showLastColumn="1" showRowStripes="1"/>
</table>
</file>

<file path=xl/tables/table141.xml><?xml version="1.0" encoding="utf-8"?>
<table xmlns="http://schemas.openxmlformats.org/spreadsheetml/2006/main" totalsRowCount="1" ref="Z1:AA20" displayName="Table_141" name="Table_141" id="141">
  <tableColumns count="2">
    <tableColumn totalsRowFunction="custom" name="HOU Wins" id="1"/>
    <tableColumn totalsRowFunction="custom" name="HOU Losses" id="2"/>
  </tableColumns>
  <tableStyleInfo name="Away Counter-style 13" showColumnStripes="0" showFirstColumn="1" showLastColumn="1" showRowStripes="1"/>
</table>
</file>

<file path=xl/tables/table142.xml><?xml version="1.0" encoding="utf-8"?>
<table xmlns="http://schemas.openxmlformats.org/spreadsheetml/2006/main" totalsRowCount="1" ref="AB1:AC20" displayName="Table_142" name="Table_142" id="142">
  <tableColumns count="2">
    <tableColumn totalsRowFunction="custom" name="JAX Wins" id="1"/>
    <tableColumn totalsRowFunction="custom" name="JAX Losses" id="2"/>
  </tableColumns>
  <tableStyleInfo name="Away Counter-style 14" showColumnStripes="0" showFirstColumn="1" showLastColumn="1" showRowStripes="1"/>
</table>
</file>

<file path=xl/tables/table143.xml><?xml version="1.0" encoding="utf-8"?>
<table xmlns="http://schemas.openxmlformats.org/spreadsheetml/2006/main" totalsRowCount="1" ref="AD1:AE20" displayName="Table_143" name="Table_143" id="143">
  <tableColumns count="2">
    <tableColumn totalsRowFunction="custom" name="IND Wins" id="1"/>
    <tableColumn totalsRowFunction="custom" name="IND Losses" id="2"/>
  </tableColumns>
  <tableStyleInfo name="Away Counter-style 15" showColumnStripes="0" showFirstColumn="1" showLastColumn="1" showRowStripes="1"/>
</table>
</file>

<file path=xl/tables/table144.xml><?xml version="1.0" encoding="utf-8"?>
<table xmlns="http://schemas.openxmlformats.org/spreadsheetml/2006/main" totalsRowCount="1" ref="AF1:AG20" displayName="Table_144" name="Table_144" id="144">
  <tableColumns count="2">
    <tableColumn totalsRowFunction="custom" name="TEN Wins" id="1"/>
    <tableColumn totalsRowFunction="custom" name="TEN Losses" id="2"/>
  </tableColumns>
  <tableStyleInfo name="Away Counter-style 16" showColumnStripes="0" showFirstColumn="1" showLastColumn="1" showRowStripes="1"/>
</table>
</file>

<file path=xl/tables/table145.xml><?xml version="1.0" encoding="utf-8"?>
<table xmlns="http://schemas.openxmlformats.org/spreadsheetml/2006/main" totalsRowCount="1" ref="AH1:AI20" displayName="Table_145" name="Table_145" id="145">
  <tableColumns count="2">
    <tableColumn totalsRowFunction="custom" name="SF Wins" id="1"/>
    <tableColumn totalsRowFunction="custom" name="SF Losses" id="2"/>
  </tableColumns>
  <tableStyleInfo name="Away Counter-style 17" showColumnStripes="0" showFirstColumn="1" showLastColumn="1" showRowStripes="1"/>
</table>
</file>

<file path=xl/tables/table146.xml><?xml version="1.0" encoding="utf-8"?>
<table xmlns="http://schemas.openxmlformats.org/spreadsheetml/2006/main" totalsRowCount="1" ref="AJ1:AK20" displayName="Table_146" name="Table_146" id="146">
  <tableColumns count="2">
    <tableColumn totalsRowFunction="custom" name="LAR Wins" id="1"/>
    <tableColumn totalsRowFunction="custom" name="LAR Losses" id="2"/>
  </tableColumns>
  <tableStyleInfo name="Away Counter-style 18" showColumnStripes="0" showFirstColumn="1" showLastColumn="1" showRowStripes="1"/>
</table>
</file>

<file path=xl/tables/table147.xml><?xml version="1.0" encoding="utf-8"?>
<table xmlns="http://schemas.openxmlformats.org/spreadsheetml/2006/main" totalsRowCount="1" ref="AL1:AM20" displayName="Table_147" name="Table_147" id="147">
  <tableColumns count="2">
    <tableColumn totalsRowFunction="custom" name="SEA Wins" id="1"/>
    <tableColumn totalsRowFunction="custom" name="SEA Losses" id="2"/>
  </tableColumns>
  <tableStyleInfo name="Away Counter-style 19" showColumnStripes="0" showFirstColumn="1" showLastColumn="1" showRowStripes="1"/>
</table>
</file>

<file path=xl/tables/table148.xml><?xml version="1.0" encoding="utf-8"?>
<table xmlns="http://schemas.openxmlformats.org/spreadsheetml/2006/main" totalsRowCount="1" ref="AN1:AO20" displayName="Table_148" name="Table_148" id="148">
  <tableColumns count="2">
    <tableColumn totalsRowFunction="custom" name="AZ Wins" id="1"/>
    <tableColumn totalsRowFunction="custom" name="AZ Losses" id="2"/>
  </tableColumns>
  <tableStyleInfo name="Away Counter-style 20" showColumnStripes="0" showFirstColumn="1" showLastColumn="1" showRowStripes="1"/>
</table>
</file>

<file path=xl/tables/table149.xml><?xml version="1.0" encoding="utf-8"?>
<table xmlns="http://schemas.openxmlformats.org/spreadsheetml/2006/main" totalsRowCount="1" ref="AP1:AQ20" displayName="Table_149" name="Table_149" id="149">
  <tableColumns count="2">
    <tableColumn totalsRowFunction="custom" name="DAL Wins" id="1"/>
    <tableColumn totalsRowFunction="custom" name="DAL Losses" id="2"/>
  </tableColumns>
  <tableStyleInfo name="Away Counter-style 21" showColumnStripes="0" showFirstColumn="1" showLastColumn="1" showRowStripes="1"/>
</table>
</file>

<file path=xl/tables/table150.xml><?xml version="1.0" encoding="utf-8"?>
<table xmlns="http://schemas.openxmlformats.org/spreadsheetml/2006/main" totalsRowCount="1" ref="AR1:AS20" displayName="Table_150" name="Table_150" id="150">
  <tableColumns count="2">
    <tableColumn totalsRowFunction="custom" name="PHI Wins" id="1"/>
    <tableColumn totalsRowFunction="custom" name="PHI Losses" id="2"/>
  </tableColumns>
  <tableStyleInfo name="Away Counter-style 22" showColumnStripes="0" showFirstColumn="1" showLastColumn="1" showRowStripes="1"/>
</table>
</file>

<file path=xl/tables/table151.xml><?xml version="1.0" encoding="utf-8"?>
<table xmlns="http://schemas.openxmlformats.org/spreadsheetml/2006/main" totalsRowCount="1" ref="AT1:AU20" displayName="Table_151" name="Table_151" id="151">
  <tableColumns count="2">
    <tableColumn totalsRowFunction="custom" name="NYG Wins" id="1"/>
    <tableColumn totalsRowFunction="custom" name="NYG Losses" id="2"/>
  </tableColumns>
  <tableStyleInfo name="Away Counter-style 23" showColumnStripes="0" showFirstColumn="1" showLastColumn="1" showRowStripes="1"/>
</table>
</file>

<file path=xl/tables/table152.xml><?xml version="1.0" encoding="utf-8"?>
<table xmlns="http://schemas.openxmlformats.org/spreadsheetml/2006/main" totalsRowCount="1" ref="AV1:AW20" displayName="Table_152" name="Table_152" id="152">
  <tableColumns count="2">
    <tableColumn totalsRowFunction="custom" name="WSH Wins" id="1"/>
    <tableColumn totalsRowFunction="custom" name="WSH Losses" id="2"/>
  </tableColumns>
  <tableStyleInfo name="Away Counter-style 24" showColumnStripes="0" showFirstColumn="1" showLastColumn="1" showRowStripes="1"/>
</table>
</file>

<file path=xl/tables/table153.xml><?xml version="1.0" encoding="utf-8"?>
<table xmlns="http://schemas.openxmlformats.org/spreadsheetml/2006/main" totalsRowCount="1" ref="AX1:AY20" displayName="Table_153" name="Table_153" id="153">
  <tableColumns count="2">
    <tableColumn totalsRowFunction="custom" name="DET Wins" id="1"/>
    <tableColumn totalsRowFunction="custom" name="DET Losses" id="2"/>
  </tableColumns>
  <tableStyleInfo name="Away Counter-style 25" showColumnStripes="0" showFirstColumn="1" showLastColumn="1" showRowStripes="1"/>
</table>
</file>

<file path=xl/tables/table154.xml><?xml version="1.0" encoding="utf-8"?>
<table xmlns="http://schemas.openxmlformats.org/spreadsheetml/2006/main" totalsRowCount="1" ref="AZ1:BA20" displayName="Table_154" name="Table_154" id="154">
  <tableColumns count="2">
    <tableColumn totalsRowFunction="custom" name="GB Wins" id="1"/>
    <tableColumn totalsRowFunction="custom" name="GB Losses" id="2"/>
  </tableColumns>
  <tableStyleInfo name="Away Counter-style 26" showColumnStripes="0" showFirstColumn="1" showLastColumn="1" showRowStripes="1"/>
</table>
</file>

<file path=xl/tables/table155.xml><?xml version="1.0" encoding="utf-8"?>
<table xmlns="http://schemas.openxmlformats.org/spreadsheetml/2006/main" totalsRowCount="1" ref="BB1:BC20" displayName="Table_155" name="Table_155" id="155">
  <tableColumns count="2">
    <tableColumn totalsRowFunction="custom" name="MIN Wins" id="1"/>
    <tableColumn totalsRowFunction="custom" name="MIN Losses" id="2"/>
  </tableColumns>
  <tableStyleInfo name="Away Counter-style 27" showColumnStripes="0" showFirstColumn="1" showLastColumn="1" showRowStripes="1"/>
</table>
</file>

<file path=xl/tables/table156.xml><?xml version="1.0" encoding="utf-8"?>
<table xmlns="http://schemas.openxmlformats.org/spreadsheetml/2006/main" totalsRowCount="1" ref="BD1:BE20" displayName="Table_156" name="Table_156" id="156">
  <tableColumns count="2">
    <tableColumn totalsRowFunction="custom" name="CHI Wins" id="1"/>
    <tableColumn totalsRowFunction="custom" name="CHI Losses" id="2"/>
  </tableColumns>
  <tableStyleInfo name="Away Counter-style 28" showColumnStripes="0" showFirstColumn="1" showLastColumn="1" showRowStripes="1"/>
</table>
</file>

<file path=xl/tables/table157.xml><?xml version="1.0" encoding="utf-8"?>
<table xmlns="http://schemas.openxmlformats.org/spreadsheetml/2006/main" totalsRowCount="1" ref="BF1:BG20" displayName="Table_157" name="Table_157" id="157">
  <tableColumns count="2">
    <tableColumn totalsRowFunction="custom" name="TB Wins" id="1"/>
    <tableColumn totalsRowFunction="custom" name="TB Losses" id="2"/>
  </tableColumns>
  <tableStyleInfo name="Away Counter-style 29" showColumnStripes="0" showFirstColumn="1" showLastColumn="1" showRowStripes="1"/>
</table>
</file>

<file path=xl/tables/table158.xml><?xml version="1.0" encoding="utf-8"?>
<table xmlns="http://schemas.openxmlformats.org/spreadsheetml/2006/main" totalsRowCount="1" ref="BH1:BI20" displayName="Table_158" name="Table_158" id="158">
  <tableColumns count="2">
    <tableColumn totalsRowFunction="custom" name="NO Wins" id="1"/>
    <tableColumn totalsRowFunction="custom" name="NO Losses" id="2"/>
  </tableColumns>
  <tableStyleInfo name="Away Counter-style 30" showColumnStripes="0" showFirstColumn="1" showLastColumn="1" showRowStripes="1"/>
</table>
</file>

<file path=xl/tables/table159.xml><?xml version="1.0" encoding="utf-8"?>
<table xmlns="http://schemas.openxmlformats.org/spreadsheetml/2006/main" totalsRowCount="1" ref="BJ1:BK20" displayName="Table_159" name="Table_159" id="159">
  <tableColumns count="2">
    <tableColumn totalsRowFunction="custom" name="ATL Wins" id="1"/>
    <tableColumn totalsRowFunction="custom" name="ATL Losses" id="2"/>
  </tableColumns>
  <tableStyleInfo name="Away Counter-style 31" showColumnStripes="0" showFirstColumn="1" showLastColumn="1" showRowStripes="1"/>
</table>
</file>

<file path=xl/tables/table160.xml><?xml version="1.0" encoding="utf-8"?>
<table xmlns="http://schemas.openxmlformats.org/spreadsheetml/2006/main" totalsRowCount="1" ref="BL1:BM20" displayName="Table_160" name="Table_160" id="160">
  <tableColumns count="2">
    <tableColumn totalsRowFunction="custom" name="CAR Wins" id="1"/>
    <tableColumn totalsRowFunction="custom" name="CAR Losses" id="2"/>
  </tableColumns>
  <tableStyleInfo name="Away Counter-style 32" showColumnStripes="0" showFirstColumn="1" showLastColumn="1" showRowStripes="1"/>
</table>
</file>

<file path=xl/tables/table161.xml><?xml version="1.0" encoding="utf-8"?>
<table xmlns="http://schemas.openxmlformats.org/spreadsheetml/2006/main" totalsRowCount="1" ref="B1:C20" displayName="Table_161" name="Table_161" id="161">
  <tableColumns count="2">
    <tableColumn totalsRowFunction="custom" name="KC Wins" id="1"/>
    <tableColumn totalsRowFunction="custom" name="KC Losses" id="2"/>
  </tableColumns>
  <tableStyleInfo name="AFC West Counter-style" showColumnStripes="0" showFirstColumn="1" showLastColumn="1" showRowStripes="1"/>
</table>
</file>

<file path=xl/tables/table162.xml><?xml version="1.0" encoding="utf-8"?>
<table xmlns="http://schemas.openxmlformats.org/spreadsheetml/2006/main" totalsRowCount="1" ref="D1:E20" displayName="Table_162" name="Table_162" id="162">
  <tableColumns count="2">
    <tableColumn totalsRowFunction="custom" name="LV Wins" id="1"/>
    <tableColumn totalsRowFunction="custom" name="LV Losses" id="2"/>
  </tableColumns>
  <tableStyleInfo name="AFC West Counter-style 2" showColumnStripes="0" showFirstColumn="1" showLastColumn="1" showRowStripes="1"/>
</table>
</file>

<file path=xl/tables/table163.xml><?xml version="1.0" encoding="utf-8"?>
<table xmlns="http://schemas.openxmlformats.org/spreadsheetml/2006/main" totalsRowCount="1" ref="F1:G20" displayName="Table_163" name="Table_163" id="163">
  <tableColumns count="2">
    <tableColumn totalsRowFunction="custom" name="DEN Wins" id="1"/>
    <tableColumn totalsRowFunction="custom" name="DEN Losses" id="2"/>
  </tableColumns>
  <tableStyleInfo name="AFC West Counter-style 3" showColumnStripes="0" showFirstColumn="1" showLastColumn="1" showRowStripes="1"/>
</table>
</file>

<file path=xl/tables/table164.xml><?xml version="1.0" encoding="utf-8"?>
<table xmlns="http://schemas.openxmlformats.org/spreadsheetml/2006/main" totalsRowCount="1" ref="H1:I20" displayName="Table_164" name="Table_164" id="164">
  <tableColumns count="2">
    <tableColumn totalsRowFunction="custom" name="LAC Wins" id="1"/>
    <tableColumn totalsRowFunction="custom" name="LAC Losses" id="2"/>
  </tableColumns>
  <tableStyleInfo name="AFC West Counter-style 4" showColumnStripes="0" showFirstColumn="1" showLastColumn="1" showRowStripes="1"/>
</table>
</file>

<file path=xl/tables/table165.xml><?xml version="1.0" encoding="utf-8"?>
<table xmlns="http://schemas.openxmlformats.org/spreadsheetml/2006/main" totalsRowCount="1" ref="J1:K20" displayName="Table_165" name="Table_165" id="165">
  <tableColumns count="2">
    <tableColumn totalsRowFunction="custom" name="BUF Wins" id="1"/>
    <tableColumn totalsRowFunction="custom" name="BUF Losses" id="2"/>
  </tableColumns>
  <tableStyleInfo name="AFC West Counter-style 5" showColumnStripes="0" showFirstColumn="1" showLastColumn="1" showRowStripes="1"/>
</table>
</file>

<file path=xl/tables/table166.xml><?xml version="1.0" encoding="utf-8"?>
<table xmlns="http://schemas.openxmlformats.org/spreadsheetml/2006/main" totalsRowCount="1" ref="L1:M20" displayName="Table_166" name="Table_166" id="166">
  <tableColumns count="2">
    <tableColumn totalsRowFunction="custom" name="MIA Wins" id="1"/>
    <tableColumn totalsRowFunction="custom" name="MIA Losses" id="2"/>
  </tableColumns>
  <tableStyleInfo name="AFC West Counter-style 6" showColumnStripes="0" showFirstColumn="1" showLastColumn="1" showRowStripes="1"/>
</table>
</file>

<file path=xl/tables/table167.xml><?xml version="1.0" encoding="utf-8"?>
<table xmlns="http://schemas.openxmlformats.org/spreadsheetml/2006/main" totalsRowCount="1" ref="N1:O20" displayName="Table_167" name="Table_167" id="167">
  <tableColumns count="2">
    <tableColumn totalsRowFunction="custom" name="NYJ Wins" id="1"/>
    <tableColumn totalsRowFunction="custom" name="NYJ Losses" id="2"/>
  </tableColumns>
  <tableStyleInfo name="AFC West Counter-style 7" showColumnStripes="0" showFirstColumn="1" showLastColumn="1" showRowStripes="1"/>
</table>
</file>

<file path=xl/tables/table168.xml><?xml version="1.0" encoding="utf-8"?>
<table xmlns="http://schemas.openxmlformats.org/spreadsheetml/2006/main" totalsRowCount="1" ref="P1:Q20" displayName="Table_168" name="Table_168" id="168">
  <tableColumns count="2">
    <tableColumn totalsRowFunction="custom" name="NE Wins" id="1"/>
    <tableColumn totalsRowFunction="custom" name="NE Losses" id="2"/>
  </tableColumns>
  <tableStyleInfo name="AFC West Counter-style 8" showColumnStripes="0" showFirstColumn="1" showLastColumn="1" showRowStripes="1"/>
</table>
</file>

<file path=xl/tables/table169.xml><?xml version="1.0" encoding="utf-8"?>
<table xmlns="http://schemas.openxmlformats.org/spreadsheetml/2006/main" totalsRowCount="1" ref="R1:S20" displayName="Table_169" name="Table_169" id="169">
  <tableColumns count="2">
    <tableColumn totalsRowFunction="custom" name="BAL Wins" id="1"/>
    <tableColumn totalsRowFunction="custom" name="BAL Losses" id="2"/>
  </tableColumns>
  <tableStyleInfo name="AFC West Counter-style 9" showColumnStripes="0" showFirstColumn="1" showLastColumn="1" showRowStripes="1"/>
</table>
</file>

<file path=xl/tables/table170.xml><?xml version="1.0" encoding="utf-8"?>
<table xmlns="http://schemas.openxmlformats.org/spreadsheetml/2006/main" totalsRowCount="1" ref="T1:U20" displayName="Table_170" name="Table_170" id="170">
  <tableColumns count="2">
    <tableColumn totalsRowFunction="custom" name="CLE Wins" id="1"/>
    <tableColumn totalsRowFunction="custom" name="CLE Losses" id="2"/>
  </tableColumns>
  <tableStyleInfo name="AFC West Counter-style 10" showColumnStripes="0" showFirstColumn="1" showLastColumn="1" showRowStripes="1"/>
</table>
</file>

<file path=xl/tables/table171.xml><?xml version="1.0" encoding="utf-8"?>
<table xmlns="http://schemas.openxmlformats.org/spreadsheetml/2006/main" totalsRowCount="1" ref="V1:W20" displayName="Table_171" name="Table_171" id="171">
  <tableColumns count="2">
    <tableColumn totalsRowFunction="custom" name="PIT Wins" id="1"/>
    <tableColumn totalsRowFunction="custom" name="PIT Losses" id="2"/>
  </tableColumns>
  <tableStyleInfo name="AFC West Counter-style 11" showColumnStripes="0" showFirstColumn="1" showLastColumn="1" showRowStripes="1"/>
</table>
</file>

<file path=xl/tables/table172.xml><?xml version="1.0" encoding="utf-8"?>
<table xmlns="http://schemas.openxmlformats.org/spreadsheetml/2006/main" totalsRowCount="1" ref="X1:Y20" displayName="Table_172" name="Table_172" id="172">
  <tableColumns count="2">
    <tableColumn totalsRowFunction="custom" name="CIN Wins" id="1"/>
    <tableColumn totalsRowFunction="custom" name="CIN Losses" id="2"/>
  </tableColumns>
  <tableStyleInfo name="AFC West Counter-style 12" showColumnStripes="0" showFirstColumn="1" showLastColumn="1" showRowStripes="1"/>
</table>
</file>

<file path=xl/tables/table173.xml><?xml version="1.0" encoding="utf-8"?>
<table xmlns="http://schemas.openxmlformats.org/spreadsheetml/2006/main" totalsRowCount="1" ref="Z1:AA20" displayName="Table_173" name="Table_173" id="173">
  <tableColumns count="2">
    <tableColumn totalsRowFunction="custom" name="HOU Wins" id="1"/>
    <tableColumn totalsRowFunction="custom" name="HOU Losses" id="2"/>
  </tableColumns>
  <tableStyleInfo name="AFC West Counter-style 13" showColumnStripes="0" showFirstColumn="1" showLastColumn="1" showRowStripes="1"/>
</table>
</file>

<file path=xl/tables/table174.xml><?xml version="1.0" encoding="utf-8"?>
<table xmlns="http://schemas.openxmlformats.org/spreadsheetml/2006/main" totalsRowCount="1" ref="AB1:AC20" displayName="Table_174" name="Table_174" id="174">
  <tableColumns count="2">
    <tableColumn totalsRowFunction="custom" name="JAX Wins" id="1"/>
    <tableColumn totalsRowFunction="custom" name="JAX Losses" id="2"/>
  </tableColumns>
  <tableStyleInfo name="AFC West Counter-style 14" showColumnStripes="0" showFirstColumn="1" showLastColumn="1" showRowStripes="1"/>
</table>
</file>

<file path=xl/tables/table175.xml><?xml version="1.0" encoding="utf-8"?>
<table xmlns="http://schemas.openxmlformats.org/spreadsheetml/2006/main" totalsRowCount="1" ref="AD1:AE20" displayName="Table_175" name="Table_175" id="175">
  <tableColumns count="2">
    <tableColumn totalsRowFunction="custom" name="IND Wins" id="1"/>
    <tableColumn totalsRowFunction="custom" name="IND Losses" id="2"/>
  </tableColumns>
  <tableStyleInfo name="AFC West Counter-style 15" showColumnStripes="0" showFirstColumn="1" showLastColumn="1" showRowStripes="1"/>
</table>
</file>

<file path=xl/tables/table176.xml><?xml version="1.0" encoding="utf-8"?>
<table xmlns="http://schemas.openxmlformats.org/spreadsheetml/2006/main" totalsRowCount="1" ref="AF1:AG20" displayName="Table_176" name="Table_176" id="176">
  <tableColumns count="2">
    <tableColumn totalsRowFunction="custom" name="TEN Wins" id="1"/>
    <tableColumn totalsRowFunction="custom" name="TEN Losses" id="2"/>
  </tableColumns>
  <tableStyleInfo name="AFC West Counter-style 16" showColumnStripes="0" showFirstColumn="1" showLastColumn="1" showRowStripes="1"/>
</table>
</file>

<file path=xl/tables/table177.xml><?xml version="1.0" encoding="utf-8"?>
<table xmlns="http://schemas.openxmlformats.org/spreadsheetml/2006/main" totalsRowCount="1" ref="AH1:AI20" displayName="Table_177" name="Table_177" id="177">
  <tableColumns count="2">
    <tableColumn totalsRowFunction="custom" name="SF Wins" id="1"/>
    <tableColumn totalsRowFunction="custom" name="SF Losses" id="2"/>
  </tableColumns>
  <tableStyleInfo name="AFC West Counter-style 17" showColumnStripes="0" showFirstColumn="1" showLastColumn="1" showRowStripes="1"/>
</table>
</file>

<file path=xl/tables/table178.xml><?xml version="1.0" encoding="utf-8"?>
<table xmlns="http://schemas.openxmlformats.org/spreadsheetml/2006/main" totalsRowCount="1" ref="AJ1:AK20" displayName="Table_178" name="Table_178" id="178">
  <tableColumns count="2">
    <tableColumn totalsRowFunction="custom" name="LAR Wins" id="1"/>
    <tableColumn totalsRowFunction="custom" name="LAR Losses" id="2"/>
  </tableColumns>
  <tableStyleInfo name="AFC West Counter-style 18" showColumnStripes="0" showFirstColumn="1" showLastColumn="1" showRowStripes="1"/>
</table>
</file>

<file path=xl/tables/table179.xml><?xml version="1.0" encoding="utf-8"?>
<table xmlns="http://schemas.openxmlformats.org/spreadsheetml/2006/main" totalsRowCount="1" ref="AL1:AM20" displayName="Table_179" name="Table_179" id="179">
  <tableColumns count="2">
    <tableColumn totalsRowFunction="custom" name="SEA Wins" id="1"/>
    <tableColumn totalsRowFunction="custom" name="SEA Losses" id="2"/>
  </tableColumns>
  <tableStyleInfo name="AFC West Counter-style 19" showColumnStripes="0" showFirstColumn="1" showLastColumn="1" showRowStripes="1"/>
</table>
</file>

<file path=xl/tables/table180.xml><?xml version="1.0" encoding="utf-8"?>
<table xmlns="http://schemas.openxmlformats.org/spreadsheetml/2006/main" totalsRowCount="1" ref="AN1:AO20" displayName="Table_180" name="Table_180" id="180">
  <tableColumns count="2">
    <tableColumn totalsRowFunction="custom" name="AZ Wins" id="1"/>
    <tableColumn totalsRowFunction="custom" name="AZ Losses" id="2"/>
  </tableColumns>
  <tableStyleInfo name="AFC West Counter-style 20" showColumnStripes="0" showFirstColumn="1" showLastColumn="1" showRowStripes="1"/>
</table>
</file>

<file path=xl/tables/table181.xml><?xml version="1.0" encoding="utf-8"?>
<table xmlns="http://schemas.openxmlformats.org/spreadsheetml/2006/main" totalsRowCount="1" ref="AP1:AQ20" displayName="Table_181" name="Table_181" id="181">
  <tableColumns count="2">
    <tableColumn totalsRowFunction="custom" name="DAL Wins" id="1"/>
    <tableColumn totalsRowFunction="custom" name="DAL Losses" id="2"/>
  </tableColumns>
  <tableStyleInfo name="AFC West Counter-style 21" showColumnStripes="0" showFirstColumn="1" showLastColumn="1" showRowStripes="1"/>
</table>
</file>

<file path=xl/tables/table182.xml><?xml version="1.0" encoding="utf-8"?>
<table xmlns="http://schemas.openxmlformats.org/spreadsheetml/2006/main" totalsRowCount="1" ref="AR1:AS20" displayName="Table_182" name="Table_182" id="182">
  <tableColumns count="2">
    <tableColumn totalsRowFunction="custom" name="PHI Wins" id="1"/>
    <tableColumn totalsRowFunction="custom" name="PHI Losses" id="2"/>
  </tableColumns>
  <tableStyleInfo name="AFC West Counter-style 22" showColumnStripes="0" showFirstColumn="1" showLastColumn="1" showRowStripes="1"/>
</table>
</file>

<file path=xl/tables/table183.xml><?xml version="1.0" encoding="utf-8"?>
<table xmlns="http://schemas.openxmlformats.org/spreadsheetml/2006/main" totalsRowCount="1" ref="AT1:AU20" displayName="Table_183" name="Table_183" id="183">
  <tableColumns count="2">
    <tableColumn totalsRowFunction="custom" name="NYG Wins" id="1"/>
    <tableColumn totalsRowFunction="custom" name="NYG Losses" id="2"/>
  </tableColumns>
  <tableStyleInfo name="AFC West Counter-style 23" showColumnStripes="0" showFirstColumn="1" showLastColumn="1" showRowStripes="1"/>
</table>
</file>

<file path=xl/tables/table184.xml><?xml version="1.0" encoding="utf-8"?>
<table xmlns="http://schemas.openxmlformats.org/spreadsheetml/2006/main" totalsRowCount="1" ref="AV1:AW20" displayName="Table_184" name="Table_184" id="184">
  <tableColumns count="2">
    <tableColumn totalsRowFunction="custom" name="WSH Wins" id="1"/>
    <tableColumn totalsRowFunction="custom" name="WSH Losses" id="2"/>
  </tableColumns>
  <tableStyleInfo name="AFC West Counter-style 24" showColumnStripes="0" showFirstColumn="1" showLastColumn="1" showRowStripes="1"/>
</table>
</file>

<file path=xl/tables/table185.xml><?xml version="1.0" encoding="utf-8"?>
<table xmlns="http://schemas.openxmlformats.org/spreadsheetml/2006/main" totalsRowCount="1" ref="AX1:AY20" displayName="Table_185" name="Table_185" id="185">
  <tableColumns count="2">
    <tableColumn totalsRowFunction="custom" name="DET Wins" id="1"/>
    <tableColumn totalsRowFunction="custom" name="DET Losses" id="2"/>
  </tableColumns>
  <tableStyleInfo name="AFC West Counter-style 25" showColumnStripes="0" showFirstColumn="1" showLastColumn="1" showRowStripes="1"/>
</table>
</file>

<file path=xl/tables/table186.xml><?xml version="1.0" encoding="utf-8"?>
<table xmlns="http://schemas.openxmlformats.org/spreadsheetml/2006/main" totalsRowCount="1" ref="AZ1:BA20" displayName="Table_186" name="Table_186" id="186">
  <tableColumns count="2">
    <tableColumn totalsRowFunction="custom" name="GB Wins" id="1"/>
    <tableColumn totalsRowFunction="custom" name="GB Losses" id="2"/>
  </tableColumns>
  <tableStyleInfo name="AFC West Counter-style 26" showColumnStripes="0" showFirstColumn="1" showLastColumn="1" showRowStripes="1"/>
</table>
</file>

<file path=xl/tables/table187.xml><?xml version="1.0" encoding="utf-8"?>
<table xmlns="http://schemas.openxmlformats.org/spreadsheetml/2006/main" totalsRowCount="1" ref="BB1:BC20" displayName="Table_187" name="Table_187" id="187">
  <tableColumns count="2">
    <tableColumn totalsRowFunction="custom" name="MIN Wins" id="1"/>
    <tableColumn totalsRowFunction="custom" name="MIN Losses" id="2"/>
  </tableColumns>
  <tableStyleInfo name="AFC West Counter-style 27" showColumnStripes="0" showFirstColumn="1" showLastColumn="1" showRowStripes="1"/>
</table>
</file>

<file path=xl/tables/table188.xml><?xml version="1.0" encoding="utf-8"?>
<table xmlns="http://schemas.openxmlformats.org/spreadsheetml/2006/main" totalsRowCount="1" ref="BD1:BE20" displayName="Table_188" name="Table_188" id="188">
  <tableColumns count="2">
    <tableColumn totalsRowFunction="custom" name="CHI Wins" id="1"/>
    <tableColumn totalsRowFunction="custom" name="CHI Losses" id="2"/>
  </tableColumns>
  <tableStyleInfo name="AFC West Counter-style 28" showColumnStripes="0" showFirstColumn="1" showLastColumn="1" showRowStripes="1"/>
</table>
</file>

<file path=xl/tables/table189.xml><?xml version="1.0" encoding="utf-8"?>
<table xmlns="http://schemas.openxmlformats.org/spreadsheetml/2006/main" totalsRowCount="1" ref="BF1:BG20" displayName="Table_189" name="Table_189" id="189">
  <tableColumns count="2">
    <tableColumn totalsRowFunction="custom" name="TB Wins" id="1"/>
    <tableColumn totalsRowFunction="custom" name="TB Losses" id="2"/>
  </tableColumns>
  <tableStyleInfo name="AFC West Counter-style 29" showColumnStripes="0" showFirstColumn="1" showLastColumn="1" showRowStripes="1"/>
</table>
</file>

<file path=xl/tables/table190.xml><?xml version="1.0" encoding="utf-8"?>
<table xmlns="http://schemas.openxmlformats.org/spreadsheetml/2006/main" totalsRowCount="1" ref="BH1:BI20" displayName="Table_190" name="Table_190" id="190">
  <tableColumns count="2">
    <tableColumn totalsRowFunction="custom" name="NO Wins" id="1"/>
    <tableColumn totalsRowFunction="custom" name="NO Losses" id="2"/>
  </tableColumns>
  <tableStyleInfo name="AFC West Counter-style 30" showColumnStripes="0" showFirstColumn="1" showLastColumn="1" showRowStripes="1"/>
</table>
</file>

<file path=xl/tables/table191.xml><?xml version="1.0" encoding="utf-8"?>
<table xmlns="http://schemas.openxmlformats.org/spreadsheetml/2006/main" totalsRowCount="1" ref="BJ1:BK20" displayName="Table_191" name="Table_191" id="191">
  <tableColumns count="2">
    <tableColumn totalsRowFunction="custom" name="ATL Wins" id="1"/>
    <tableColumn totalsRowFunction="custom" name="ATL Losses" id="2"/>
  </tableColumns>
  <tableStyleInfo name="AFC West Counter-style 31" showColumnStripes="0" showFirstColumn="1" showLastColumn="1" showRowStripes="1"/>
</table>
</file>

<file path=xl/tables/table192.xml><?xml version="1.0" encoding="utf-8"?>
<table xmlns="http://schemas.openxmlformats.org/spreadsheetml/2006/main" totalsRowCount="1" ref="BL1:BM20" displayName="Table_192" name="Table_192" id="192">
  <tableColumns count="2">
    <tableColumn totalsRowFunction="custom" name="CAR Wins" id="1"/>
    <tableColumn totalsRowFunction="custom" name="CAR Losses" id="2"/>
  </tableColumns>
  <tableStyleInfo name="AFC West Counter-style 32" showColumnStripes="0" showFirstColumn="1" showLastColumn="1" showRowStripes="1"/>
</table>
</file>

<file path=xl/tables/table193.xml><?xml version="1.0" encoding="utf-8"?>
<table xmlns="http://schemas.openxmlformats.org/spreadsheetml/2006/main" totalsRowCount="1" ref="B1:C20" displayName="Table_193" name="Table_193" id="193">
  <tableColumns count="2">
    <tableColumn totalsRowFunction="custom" name="KC Wins" id="1"/>
    <tableColumn totalsRowFunction="custom" name="KC Losses" id="2"/>
  </tableColumns>
  <tableStyleInfo name="AFC East Counter-style" showColumnStripes="0" showFirstColumn="1" showLastColumn="1" showRowStripes="1"/>
</table>
</file>

<file path=xl/tables/table194.xml><?xml version="1.0" encoding="utf-8"?>
<table xmlns="http://schemas.openxmlformats.org/spreadsheetml/2006/main" totalsRowCount="1" ref="D1:E20" displayName="Table_194" name="Table_194" id="194">
  <tableColumns count="2">
    <tableColumn totalsRowFunction="custom" name="LV Wins" id="1"/>
    <tableColumn totalsRowFunction="custom" name="LV Losses" id="2"/>
  </tableColumns>
  <tableStyleInfo name="AFC East Counter-style 2" showColumnStripes="0" showFirstColumn="1" showLastColumn="1" showRowStripes="1"/>
</table>
</file>

<file path=xl/tables/table195.xml><?xml version="1.0" encoding="utf-8"?>
<table xmlns="http://schemas.openxmlformats.org/spreadsheetml/2006/main" totalsRowCount="1" ref="F1:G20" displayName="Table_195" name="Table_195" id="195">
  <tableColumns count="2">
    <tableColumn totalsRowFunction="custom" name="DEN Wins" id="1"/>
    <tableColumn totalsRowFunction="custom" name="DEN Losses" id="2"/>
  </tableColumns>
  <tableStyleInfo name="AFC East Counter-style 3" showColumnStripes="0" showFirstColumn="1" showLastColumn="1" showRowStripes="1"/>
</table>
</file>

<file path=xl/tables/table196.xml><?xml version="1.0" encoding="utf-8"?>
<table xmlns="http://schemas.openxmlformats.org/spreadsheetml/2006/main" totalsRowCount="1" ref="H1:I20" displayName="Table_196" name="Table_196" id="196">
  <tableColumns count="2">
    <tableColumn totalsRowFunction="custom" name="LAC Wins" id="1"/>
    <tableColumn totalsRowFunction="custom" name="LAC Losses" id="2"/>
  </tableColumns>
  <tableStyleInfo name="AFC East Counter-style 4" showColumnStripes="0" showFirstColumn="1" showLastColumn="1" showRowStripes="1"/>
</table>
</file>

<file path=xl/tables/table197.xml><?xml version="1.0" encoding="utf-8"?>
<table xmlns="http://schemas.openxmlformats.org/spreadsheetml/2006/main" totalsRowCount="1" ref="J1:K20" displayName="Table_197" name="Table_197" id="197">
  <tableColumns count="2">
    <tableColumn totalsRowFunction="custom" name="BUF Wins" id="1"/>
    <tableColumn totalsRowFunction="custom" name="BUF Losses" id="2"/>
  </tableColumns>
  <tableStyleInfo name="AFC East Counter-style 5" showColumnStripes="0" showFirstColumn="1" showLastColumn="1" showRowStripes="1"/>
</table>
</file>

<file path=xl/tables/table198.xml><?xml version="1.0" encoding="utf-8"?>
<table xmlns="http://schemas.openxmlformats.org/spreadsheetml/2006/main" totalsRowCount="1" ref="L1:M20" displayName="Table_198" name="Table_198" id="198">
  <tableColumns count="2">
    <tableColumn totalsRowFunction="custom" name="MIA Wins" id="1"/>
    <tableColumn totalsRowFunction="custom" name="MIA Losses" id="2"/>
  </tableColumns>
  <tableStyleInfo name="AFC East Counter-style 6" showColumnStripes="0" showFirstColumn="1" showLastColumn="1" showRowStripes="1"/>
</table>
</file>

<file path=xl/tables/table199.xml><?xml version="1.0" encoding="utf-8"?>
<table xmlns="http://schemas.openxmlformats.org/spreadsheetml/2006/main" totalsRowCount="1" ref="N1:O20" displayName="Table_199" name="Table_199" id="199">
  <tableColumns count="2">
    <tableColumn totalsRowFunction="custom" name="NYJ Wins" id="1"/>
    <tableColumn totalsRowFunction="custom" name="NYJ Losses" id="2"/>
  </tableColumns>
  <tableStyleInfo name="AFC East Counter-style 7" showColumnStripes="0" showFirstColumn="1" showLastColumn="1" showRowStripes="1"/>
</table>
</file>

<file path=xl/tables/table200.xml><?xml version="1.0" encoding="utf-8"?>
<table xmlns="http://schemas.openxmlformats.org/spreadsheetml/2006/main" totalsRowCount="1" ref="P1:Q20" displayName="Table_200" name="Table_200" id="200">
  <tableColumns count="2">
    <tableColumn totalsRowFunction="custom" name="NE Wins" id="1"/>
    <tableColumn totalsRowFunction="custom" name="NE Losses" id="2"/>
  </tableColumns>
  <tableStyleInfo name="AFC East Counter-style 8" showColumnStripes="0" showFirstColumn="1" showLastColumn="1" showRowStripes="1"/>
</table>
</file>

<file path=xl/tables/table201.xml><?xml version="1.0" encoding="utf-8"?>
<table xmlns="http://schemas.openxmlformats.org/spreadsheetml/2006/main" totalsRowCount="1" ref="R1:S20" displayName="Table_201" name="Table_201" id="201">
  <tableColumns count="2">
    <tableColumn totalsRowFunction="custom" name="BAL Wins" id="1"/>
    <tableColumn totalsRowFunction="custom" name="BAL Losses" id="2"/>
  </tableColumns>
  <tableStyleInfo name="AFC East Counter-style 9" showColumnStripes="0" showFirstColumn="1" showLastColumn="1" showRowStripes="1"/>
</table>
</file>

<file path=xl/tables/table202.xml><?xml version="1.0" encoding="utf-8"?>
<table xmlns="http://schemas.openxmlformats.org/spreadsheetml/2006/main" totalsRowCount="1" ref="T1:U20" displayName="Table_202" name="Table_202" id="202">
  <tableColumns count="2">
    <tableColumn totalsRowFunction="custom" name="CLE Wins" id="1"/>
    <tableColumn totalsRowFunction="custom" name="CLE Losses" id="2"/>
  </tableColumns>
  <tableStyleInfo name="AFC East Counter-style 10" showColumnStripes="0" showFirstColumn="1" showLastColumn="1" showRowStripes="1"/>
</table>
</file>

<file path=xl/tables/table203.xml><?xml version="1.0" encoding="utf-8"?>
<table xmlns="http://schemas.openxmlformats.org/spreadsheetml/2006/main" totalsRowCount="1" ref="V1:W20" displayName="Table_203" name="Table_203" id="203">
  <tableColumns count="2">
    <tableColumn totalsRowFunction="custom" name="PIT Wins" id="1"/>
    <tableColumn totalsRowFunction="custom" name="PIT Losses" id="2"/>
  </tableColumns>
  <tableStyleInfo name="AFC East Counter-style 11" showColumnStripes="0" showFirstColumn="1" showLastColumn="1" showRowStripes="1"/>
</table>
</file>

<file path=xl/tables/table204.xml><?xml version="1.0" encoding="utf-8"?>
<table xmlns="http://schemas.openxmlformats.org/spreadsheetml/2006/main" totalsRowCount="1" ref="X1:Y20" displayName="Table_204" name="Table_204" id="204">
  <tableColumns count="2">
    <tableColumn totalsRowFunction="custom" name="CIN Wins" id="1"/>
    <tableColumn totalsRowFunction="custom" name="CIN Losses" id="2"/>
  </tableColumns>
  <tableStyleInfo name="AFC East Counter-style 12" showColumnStripes="0" showFirstColumn="1" showLastColumn="1" showRowStripes="1"/>
</table>
</file>

<file path=xl/tables/table205.xml><?xml version="1.0" encoding="utf-8"?>
<table xmlns="http://schemas.openxmlformats.org/spreadsheetml/2006/main" totalsRowCount="1" ref="Z1:AA20" displayName="Table_205" name="Table_205" id="205">
  <tableColumns count="2">
    <tableColumn totalsRowFunction="custom" name="HOU Wins" id="1"/>
    <tableColumn totalsRowFunction="custom" name="HOU Losses" id="2"/>
  </tableColumns>
  <tableStyleInfo name="AFC East Counter-style 13" showColumnStripes="0" showFirstColumn="1" showLastColumn="1" showRowStripes="1"/>
</table>
</file>

<file path=xl/tables/table206.xml><?xml version="1.0" encoding="utf-8"?>
<table xmlns="http://schemas.openxmlformats.org/spreadsheetml/2006/main" totalsRowCount="1" ref="AB1:AC20" displayName="Table_206" name="Table_206" id="206">
  <tableColumns count="2">
    <tableColumn totalsRowFunction="custom" name="JAX Wins" id="1"/>
    <tableColumn totalsRowFunction="custom" name="JAX Losses" id="2"/>
  </tableColumns>
  <tableStyleInfo name="AFC East Counter-style 14" showColumnStripes="0" showFirstColumn="1" showLastColumn="1" showRowStripes="1"/>
</table>
</file>

<file path=xl/tables/table207.xml><?xml version="1.0" encoding="utf-8"?>
<table xmlns="http://schemas.openxmlformats.org/spreadsheetml/2006/main" totalsRowCount="1" ref="AD1:AE20" displayName="Table_207" name="Table_207" id="207">
  <tableColumns count="2">
    <tableColumn totalsRowFunction="custom" name="IND Wins" id="1"/>
    <tableColumn totalsRowFunction="custom" name="IND Losses" id="2"/>
  </tableColumns>
  <tableStyleInfo name="AFC East Counter-style 15" showColumnStripes="0" showFirstColumn="1" showLastColumn="1" showRowStripes="1"/>
</table>
</file>

<file path=xl/tables/table208.xml><?xml version="1.0" encoding="utf-8"?>
<table xmlns="http://schemas.openxmlformats.org/spreadsheetml/2006/main" totalsRowCount="1" ref="AF1:AG20" displayName="Table_208" name="Table_208" id="208">
  <tableColumns count="2">
    <tableColumn totalsRowFunction="custom" name="TEN Wins" id="1"/>
    <tableColumn totalsRowFunction="custom" name="TEN Losses" id="2"/>
  </tableColumns>
  <tableStyleInfo name="AFC East Counter-style 16" showColumnStripes="0" showFirstColumn="1" showLastColumn="1" showRowStripes="1"/>
</table>
</file>

<file path=xl/tables/table209.xml><?xml version="1.0" encoding="utf-8"?>
<table xmlns="http://schemas.openxmlformats.org/spreadsheetml/2006/main" totalsRowCount="1" ref="AH1:AI20" displayName="Table_209" name="Table_209" id="209">
  <tableColumns count="2">
    <tableColumn totalsRowFunction="custom" name="SF Wins" id="1"/>
    <tableColumn totalsRowFunction="custom" name="SF Losses" id="2"/>
  </tableColumns>
  <tableStyleInfo name="AFC East Counter-style 17" showColumnStripes="0" showFirstColumn="1" showLastColumn="1" showRowStripes="1"/>
</table>
</file>

<file path=xl/tables/table210.xml><?xml version="1.0" encoding="utf-8"?>
<table xmlns="http://schemas.openxmlformats.org/spreadsheetml/2006/main" totalsRowCount="1" ref="AJ1:AK20" displayName="Table_210" name="Table_210" id="210">
  <tableColumns count="2">
    <tableColumn totalsRowFunction="custom" name="LAR Wins" id="1"/>
    <tableColumn totalsRowFunction="custom" name="LAR Losses" id="2"/>
  </tableColumns>
  <tableStyleInfo name="AFC East Counter-style 18" showColumnStripes="0" showFirstColumn="1" showLastColumn="1" showRowStripes="1"/>
</table>
</file>

<file path=xl/tables/table211.xml><?xml version="1.0" encoding="utf-8"?>
<table xmlns="http://schemas.openxmlformats.org/spreadsheetml/2006/main" totalsRowCount="1" ref="AL1:AM20" displayName="Table_211" name="Table_211" id="211">
  <tableColumns count="2">
    <tableColumn totalsRowFunction="custom" name="SEA Wins" id="1"/>
    <tableColumn totalsRowFunction="custom" name="SEA Losses" id="2"/>
  </tableColumns>
  <tableStyleInfo name="AFC East Counter-style 19" showColumnStripes="0" showFirstColumn="1" showLastColumn="1" showRowStripes="1"/>
</table>
</file>

<file path=xl/tables/table212.xml><?xml version="1.0" encoding="utf-8"?>
<table xmlns="http://schemas.openxmlformats.org/spreadsheetml/2006/main" totalsRowCount="1" ref="AN1:AO20" displayName="Table_212" name="Table_212" id="212">
  <tableColumns count="2">
    <tableColumn totalsRowFunction="custom" name="AZ Wins" id="1"/>
    <tableColumn totalsRowFunction="custom" name="AZ Losses" id="2"/>
  </tableColumns>
  <tableStyleInfo name="AFC East Counter-style 20" showColumnStripes="0" showFirstColumn="1" showLastColumn="1" showRowStripes="1"/>
</table>
</file>

<file path=xl/tables/table213.xml><?xml version="1.0" encoding="utf-8"?>
<table xmlns="http://schemas.openxmlformats.org/spreadsheetml/2006/main" totalsRowCount="1" ref="AP1:AQ20" displayName="Table_213" name="Table_213" id="213">
  <tableColumns count="2">
    <tableColumn totalsRowFunction="custom" name="DAL Wins" id="1"/>
    <tableColumn totalsRowFunction="custom" name="DAL Losses" id="2"/>
  </tableColumns>
  <tableStyleInfo name="AFC East Counter-style 21" showColumnStripes="0" showFirstColumn="1" showLastColumn="1" showRowStripes="1"/>
</table>
</file>

<file path=xl/tables/table214.xml><?xml version="1.0" encoding="utf-8"?>
<table xmlns="http://schemas.openxmlformats.org/spreadsheetml/2006/main" totalsRowCount="1" ref="AR1:AS20" displayName="Table_214" name="Table_214" id="214">
  <tableColumns count="2">
    <tableColumn totalsRowFunction="custom" name="PHI Wins" id="1"/>
    <tableColumn totalsRowFunction="custom" name="PHI Losses" id="2"/>
  </tableColumns>
  <tableStyleInfo name="AFC East Counter-style 22" showColumnStripes="0" showFirstColumn="1" showLastColumn="1" showRowStripes="1"/>
</table>
</file>

<file path=xl/tables/table215.xml><?xml version="1.0" encoding="utf-8"?>
<table xmlns="http://schemas.openxmlformats.org/spreadsheetml/2006/main" totalsRowCount="1" ref="AT1:AU20" displayName="Table_215" name="Table_215" id="215">
  <tableColumns count="2">
    <tableColumn totalsRowFunction="custom" name="NYG Wins" id="1"/>
    <tableColumn totalsRowFunction="custom" name="NYG Losses" id="2"/>
  </tableColumns>
  <tableStyleInfo name="AFC East Counter-style 23" showColumnStripes="0" showFirstColumn="1" showLastColumn="1" showRowStripes="1"/>
</table>
</file>

<file path=xl/tables/table216.xml><?xml version="1.0" encoding="utf-8"?>
<table xmlns="http://schemas.openxmlformats.org/spreadsheetml/2006/main" totalsRowCount="1" ref="AV1:AW20" displayName="Table_216" name="Table_216" id="216">
  <tableColumns count="2">
    <tableColumn totalsRowFunction="custom" name="WSH Wins" id="1"/>
    <tableColumn totalsRowFunction="custom" name="WSH Losses" id="2"/>
  </tableColumns>
  <tableStyleInfo name="AFC East Counter-style 24" showColumnStripes="0" showFirstColumn="1" showLastColumn="1" showRowStripes="1"/>
</table>
</file>

<file path=xl/tables/table217.xml><?xml version="1.0" encoding="utf-8"?>
<table xmlns="http://schemas.openxmlformats.org/spreadsheetml/2006/main" totalsRowCount="1" ref="AX1:AY20" displayName="Table_217" name="Table_217" id="217">
  <tableColumns count="2">
    <tableColumn totalsRowFunction="custom" name="DET Wins" id="1"/>
    <tableColumn totalsRowFunction="custom" name="DET Losses" id="2"/>
  </tableColumns>
  <tableStyleInfo name="AFC East Counter-style 25" showColumnStripes="0" showFirstColumn="1" showLastColumn="1" showRowStripes="1"/>
</table>
</file>

<file path=xl/tables/table218.xml><?xml version="1.0" encoding="utf-8"?>
<table xmlns="http://schemas.openxmlformats.org/spreadsheetml/2006/main" totalsRowCount="1" ref="AZ1:BA20" displayName="Table_218" name="Table_218" id="218">
  <tableColumns count="2">
    <tableColumn totalsRowFunction="custom" name="GB Wins" id="1"/>
    <tableColumn totalsRowFunction="custom" name="GB Losses" id="2"/>
  </tableColumns>
  <tableStyleInfo name="AFC East Counter-style 26" showColumnStripes="0" showFirstColumn="1" showLastColumn="1" showRowStripes="1"/>
</table>
</file>

<file path=xl/tables/table219.xml><?xml version="1.0" encoding="utf-8"?>
<table xmlns="http://schemas.openxmlformats.org/spreadsheetml/2006/main" totalsRowCount="1" ref="BB1:BC20" displayName="Table_219" name="Table_219" id="219">
  <tableColumns count="2">
    <tableColumn totalsRowFunction="custom" name="MIN Wins" id="1"/>
    <tableColumn totalsRowFunction="custom" name="MIN Losses" id="2"/>
  </tableColumns>
  <tableStyleInfo name="AFC East Counter-style 27" showColumnStripes="0" showFirstColumn="1" showLastColumn="1" showRowStripes="1"/>
</table>
</file>

<file path=xl/tables/table220.xml><?xml version="1.0" encoding="utf-8"?>
<table xmlns="http://schemas.openxmlformats.org/spreadsheetml/2006/main" totalsRowCount="1" ref="BD1:BE20" displayName="Table_220" name="Table_220" id="220">
  <tableColumns count="2">
    <tableColumn totalsRowFunction="custom" name="CHI Wins" id="1"/>
    <tableColumn totalsRowFunction="custom" name="CHI Losses" id="2"/>
  </tableColumns>
  <tableStyleInfo name="AFC East Counter-style 28" showColumnStripes="0" showFirstColumn="1" showLastColumn="1" showRowStripes="1"/>
</table>
</file>

<file path=xl/tables/table221.xml><?xml version="1.0" encoding="utf-8"?>
<table xmlns="http://schemas.openxmlformats.org/spreadsheetml/2006/main" totalsRowCount="1" ref="BF1:BG20" displayName="Table_221" name="Table_221" id="221">
  <tableColumns count="2">
    <tableColumn totalsRowFunction="custom" name="TB Wins" id="1"/>
    <tableColumn totalsRowFunction="custom" name="TB Losses" id="2"/>
  </tableColumns>
  <tableStyleInfo name="AFC East Counter-style 29" showColumnStripes="0" showFirstColumn="1" showLastColumn="1" showRowStripes="1"/>
</table>
</file>

<file path=xl/tables/table222.xml><?xml version="1.0" encoding="utf-8"?>
<table xmlns="http://schemas.openxmlformats.org/spreadsheetml/2006/main" totalsRowCount="1" ref="BH1:BI20" displayName="Table_222" name="Table_222" id="222">
  <tableColumns count="2">
    <tableColumn totalsRowFunction="custom" name="NO Wins" id="1"/>
    <tableColumn totalsRowFunction="custom" name="NO Losses" id="2"/>
  </tableColumns>
  <tableStyleInfo name="AFC East Counter-style 30" showColumnStripes="0" showFirstColumn="1" showLastColumn="1" showRowStripes="1"/>
</table>
</file>

<file path=xl/tables/table223.xml><?xml version="1.0" encoding="utf-8"?>
<table xmlns="http://schemas.openxmlformats.org/spreadsheetml/2006/main" totalsRowCount="1" ref="BJ1:BK20" displayName="Table_223" name="Table_223" id="223">
  <tableColumns count="2">
    <tableColumn totalsRowFunction="custom" name="ATL Wins" id="1"/>
    <tableColumn totalsRowFunction="custom" name="ATL Losses" id="2"/>
  </tableColumns>
  <tableStyleInfo name="AFC East Counter-style 31" showColumnStripes="0" showFirstColumn="1" showLastColumn="1" showRowStripes="1"/>
</table>
</file>

<file path=xl/tables/table224.xml><?xml version="1.0" encoding="utf-8"?>
<table xmlns="http://schemas.openxmlformats.org/spreadsheetml/2006/main" totalsRowCount="1" ref="BL1:BM20" displayName="Table_224" name="Table_224" id="224">
  <tableColumns count="2">
    <tableColumn totalsRowFunction="custom" name="CAR Wins" id="1"/>
    <tableColumn totalsRowFunction="custom" name="CAR Losses" id="2"/>
  </tableColumns>
  <tableStyleInfo name="AFC East Counter-style 32" showColumnStripes="0" showFirstColumn="1" showLastColumn="1" showRowStripes="1"/>
</table>
</file>

<file path=xl/tables/table225.xml><?xml version="1.0" encoding="utf-8"?>
<table xmlns="http://schemas.openxmlformats.org/spreadsheetml/2006/main" totalsRowCount="1" ref="B1:C20" displayName="Table_225" name="Table_225" id="225">
  <tableColumns count="2">
    <tableColumn totalsRowFunction="custom" name="KC Wins" id="1"/>
    <tableColumn totalsRowFunction="custom" name="KC Losses" id="2"/>
  </tableColumns>
  <tableStyleInfo name="AFC North Counter-style" showColumnStripes="0" showFirstColumn="1" showLastColumn="1" showRowStripes="1"/>
</table>
</file>

<file path=xl/tables/table226.xml><?xml version="1.0" encoding="utf-8"?>
<table xmlns="http://schemas.openxmlformats.org/spreadsheetml/2006/main" totalsRowCount="1" ref="D1:E20" displayName="Table_226" name="Table_226" id="226">
  <tableColumns count="2">
    <tableColumn totalsRowFunction="custom" name="LV Wins" id="1"/>
    <tableColumn totalsRowFunction="custom" name="LV Losses" id="2"/>
  </tableColumns>
  <tableStyleInfo name="AFC North Counter-style 2" showColumnStripes="0" showFirstColumn="1" showLastColumn="1" showRowStripes="1"/>
</table>
</file>

<file path=xl/tables/table227.xml><?xml version="1.0" encoding="utf-8"?>
<table xmlns="http://schemas.openxmlformats.org/spreadsheetml/2006/main" totalsRowCount="1" ref="F1:G20" displayName="Table_227" name="Table_227" id="227">
  <tableColumns count="2">
    <tableColumn totalsRowFunction="custom" name="DEN Wins" id="1"/>
    <tableColumn totalsRowFunction="custom" name="DEN Losses" id="2"/>
  </tableColumns>
  <tableStyleInfo name="AFC North Counter-style 3" showColumnStripes="0" showFirstColumn="1" showLastColumn="1" showRowStripes="1"/>
</table>
</file>

<file path=xl/tables/table228.xml><?xml version="1.0" encoding="utf-8"?>
<table xmlns="http://schemas.openxmlformats.org/spreadsheetml/2006/main" totalsRowCount="1" ref="H1:I20" displayName="Table_228" name="Table_228" id="228">
  <tableColumns count="2">
    <tableColumn totalsRowFunction="custom" name="LAC Wins" id="1"/>
    <tableColumn totalsRowFunction="custom" name="LAC Losses" id="2"/>
  </tableColumns>
  <tableStyleInfo name="AFC North Counter-style 4" showColumnStripes="0" showFirstColumn="1" showLastColumn="1" showRowStripes="1"/>
</table>
</file>

<file path=xl/tables/table229.xml><?xml version="1.0" encoding="utf-8"?>
<table xmlns="http://schemas.openxmlformats.org/spreadsheetml/2006/main" totalsRowCount="1" ref="J1:K20" displayName="Table_229" name="Table_229" id="229">
  <tableColumns count="2">
    <tableColumn totalsRowFunction="custom" name="BUF Wins" id="1"/>
    <tableColumn totalsRowFunction="custom" name="BUF Losses" id="2"/>
  </tableColumns>
  <tableStyleInfo name="AFC North Counter-style 5" showColumnStripes="0" showFirstColumn="1" showLastColumn="1" showRowStripes="1"/>
</table>
</file>

<file path=xl/tables/table230.xml><?xml version="1.0" encoding="utf-8"?>
<table xmlns="http://schemas.openxmlformats.org/spreadsheetml/2006/main" totalsRowCount="1" ref="L1:M20" displayName="Table_230" name="Table_230" id="230">
  <tableColumns count="2">
    <tableColumn totalsRowFunction="custom" name="MIA Wins" id="1"/>
    <tableColumn totalsRowFunction="custom" name="MIA Losses" id="2"/>
  </tableColumns>
  <tableStyleInfo name="AFC North Counter-style 6" showColumnStripes="0" showFirstColumn="1" showLastColumn="1" showRowStripes="1"/>
</table>
</file>

<file path=xl/tables/table231.xml><?xml version="1.0" encoding="utf-8"?>
<table xmlns="http://schemas.openxmlformats.org/spreadsheetml/2006/main" totalsRowCount="1" ref="N1:O20" displayName="Table_231" name="Table_231" id="231">
  <tableColumns count="2">
    <tableColumn totalsRowFunction="custom" name="NYJ Wins" id="1"/>
    <tableColumn totalsRowFunction="custom" name="NYJ Losses" id="2"/>
  </tableColumns>
  <tableStyleInfo name="AFC North Counter-style 7" showColumnStripes="0" showFirstColumn="1" showLastColumn="1" showRowStripes="1"/>
</table>
</file>

<file path=xl/tables/table232.xml><?xml version="1.0" encoding="utf-8"?>
<table xmlns="http://schemas.openxmlformats.org/spreadsheetml/2006/main" totalsRowCount="1" ref="P1:Q20" displayName="Table_232" name="Table_232" id="232">
  <tableColumns count="2">
    <tableColumn totalsRowFunction="custom" name="NE Wins" id="1"/>
    <tableColumn totalsRowFunction="custom" name="NE Losses" id="2"/>
  </tableColumns>
  <tableStyleInfo name="AFC North Counter-style 8" showColumnStripes="0" showFirstColumn="1" showLastColumn="1" showRowStripes="1"/>
</table>
</file>

<file path=xl/tables/table233.xml><?xml version="1.0" encoding="utf-8"?>
<table xmlns="http://schemas.openxmlformats.org/spreadsheetml/2006/main" totalsRowCount="1" ref="R1:S20" displayName="Table_233" name="Table_233" id="233">
  <tableColumns count="2">
    <tableColumn totalsRowFunction="custom" name="BAL Wins" id="1"/>
    <tableColumn totalsRowFunction="custom" name="BAL Losses" id="2"/>
  </tableColumns>
  <tableStyleInfo name="AFC North Counter-style 9" showColumnStripes="0" showFirstColumn="1" showLastColumn="1" showRowStripes="1"/>
</table>
</file>

<file path=xl/tables/table234.xml><?xml version="1.0" encoding="utf-8"?>
<table xmlns="http://schemas.openxmlformats.org/spreadsheetml/2006/main" totalsRowCount="1" ref="T1:U20" displayName="Table_234" name="Table_234" id="234">
  <tableColumns count="2">
    <tableColumn totalsRowFunction="custom" name="CLE Wins" id="1"/>
    <tableColumn totalsRowFunction="custom" name="CLE Losses" id="2"/>
  </tableColumns>
  <tableStyleInfo name="AFC North Counter-style 10" showColumnStripes="0" showFirstColumn="1" showLastColumn="1" showRowStripes="1"/>
</table>
</file>

<file path=xl/tables/table235.xml><?xml version="1.0" encoding="utf-8"?>
<table xmlns="http://schemas.openxmlformats.org/spreadsheetml/2006/main" totalsRowCount="1" ref="V1:W20" displayName="Table_235" name="Table_235" id="235">
  <tableColumns count="2">
    <tableColumn totalsRowFunction="custom" name="PIT Wins" id="1"/>
    <tableColumn totalsRowFunction="custom" name="PIT Losses" id="2"/>
  </tableColumns>
  <tableStyleInfo name="AFC North Counter-style 11" showColumnStripes="0" showFirstColumn="1" showLastColumn="1" showRowStripes="1"/>
</table>
</file>

<file path=xl/tables/table236.xml><?xml version="1.0" encoding="utf-8"?>
<table xmlns="http://schemas.openxmlformats.org/spreadsheetml/2006/main" totalsRowCount="1" ref="X1:Y20" displayName="Table_236" name="Table_236" id="236">
  <tableColumns count="2">
    <tableColumn totalsRowFunction="custom" name="CIN Wins" id="1"/>
    <tableColumn totalsRowFunction="custom" name="CIN Losses" id="2"/>
  </tableColumns>
  <tableStyleInfo name="AFC North Counter-style 12" showColumnStripes="0" showFirstColumn="1" showLastColumn="1" showRowStripes="1"/>
</table>
</file>

<file path=xl/tables/table237.xml><?xml version="1.0" encoding="utf-8"?>
<table xmlns="http://schemas.openxmlformats.org/spreadsheetml/2006/main" totalsRowCount="1" ref="Z1:AA20" displayName="Table_237" name="Table_237" id="237">
  <tableColumns count="2">
    <tableColumn totalsRowFunction="custom" name="HOU Wins" id="1"/>
    <tableColumn totalsRowFunction="custom" name="HOU Losses" id="2"/>
  </tableColumns>
  <tableStyleInfo name="AFC North Counter-style 13" showColumnStripes="0" showFirstColumn="1" showLastColumn="1" showRowStripes="1"/>
</table>
</file>

<file path=xl/tables/table238.xml><?xml version="1.0" encoding="utf-8"?>
<table xmlns="http://schemas.openxmlformats.org/spreadsheetml/2006/main" totalsRowCount="1" ref="AB1:AC20" displayName="Table_238" name="Table_238" id="238">
  <tableColumns count="2">
    <tableColumn totalsRowFunction="custom" name="JAX Wins" id="1"/>
    <tableColumn totalsRowFunction="custom" name="JAX Losses" id="2"/>
  </tableColumns>
  <tableStyleInfo name="AFC North Counter-style 14" showColumnStripes="0" showFirstColumn="1" showLastColumn="1" showRowStripes="1"/>
</table>
</file>

<file path=xl/tables/table239.xml><?xml version="1.0" encoding="utf-8"?>
<table xmlns="http://schemas.openxmlformats.org/spreadsheetml/2006/main" totalsRowCount="1" ref="AD1:AE20" displayName="Table_239" name="Table_239" id="239">
  <tableColumns count="2">
    <tableColumn totalsRowFunction="custom" name="IND Wins" id="1"/>
    <tableColumn totalsRowFunction="custom" name="IND Losses" id="2"/>
  </tableColumns>
  <tableStyleInfo name="AFC North Counter-style 15" showColumnStripes="0" showFirstColumn="1" showLastColumn="1" showRowStripes="1"/>
</table>
</file>

<file path=xl/tables/table240.xml><?xml version="1.0" encoding="utf-8"?>
<table xmlns="http://schemas.openxmlformats.org/spreadsheetml/2006/main" totalsRowCount="1" ref="AF1:AG20" displayName="Table_240" name="Table_240" id="240">
  <tableColumns count="2">
    <tableColumn totalsRowFunction="custom" name="TEN Wins" id="1"/>
    <tableColumn totalsRowFunction="custom" name="TEN Losses" id="2"/>
  </tableColumns>
  <tableStyleInfo name="AFC North Counter-style 16" showColumnStripes="0" showFirstColumn="1" showLastColumn="1" showRowStripes="1"/>
</table>
</file>

<file path=xl/tables/table241.xml><?xml version="1.0" encoding="utf-8"?>
<table xmlns="http://schemas.openxmlformats.org/spreadsheetml/2006/main" totalsRowCount="1" ref="AH1:AI20" displayName="Table_241" name="Table_241" id="241">
  <tableColumns count="2">
    <tableColumn totalsRowFunction="custom" name="SF Wins" id="1"/>
    <tableColumn totalsRowFunction="custom" name="SF Losses" id="2"/>
  </tableColumns>
  <tableStyleInfo name="AFC North Counter-style 17" showColumnStripes="0" showFirstColumn="1" showLastColumn="1" showRowStripes="1"/>
</table>
</file>

<file path=xl/tables/table242.xml><?xml version="1.0" encoding="utf-8"?>
<table xmlns="http://schemas.openxmlformats.org/spreadsheetml/2006/main" totalsRowCount="1" ref="AJ1:AK20" displayName="Table_242" name="Table_242" id="242">
  <tableColumns count="2">
    <tableColumn totalsRowFunction="custom" name="LAR Wins" id="1"/>
    <tableColumn totalsRowFunction="custom" name="LAR Losses" id="2"/>
  </tableColumns>
  <tableStyleInfo name="AFC North Counter-style 18" showColumnStripes="0" showFirstColumn="1" showLastColumn="1" showRowStripes="1"/>
</table>
</file>

<file path=xl/tables/table243.xml><?xml version="1.0" encoding="utf-8"?>
<table xmlns="http://schemas.openxmlformats.org/spreadsheetml/2006/main" totalsRowCount="1" ref="AL1:AM20" displayName="Table_243" name="Table_243" id="243">
  <tableColumns count="2">
    <tableColumn totalsRowFunction="custom" name="SEA Wins" id="1"/>
    <tableColumn totalsRowFunction="custom" name="SEA Losses" id="2"/>
  </tableColumns>
  <tableStyleInfo name="AFC North Counter-style 19" showColumnStripes="0" showFirstColumn="1" showLastColumn="1" showRowStripes="1"/>
</table>
</file>

<file path=xl/tables/table244.xml><?xml version="1.0" encoding="utf-8"?>
<table xmlns="http://schemas.openxmlformats.org/spreadsheetml/2006/main" totalsRowCount="1" ref="AN1:AO20" displayName="Table_244" name="Table_244" id="244">
  <tableColumns count="2">
    <tableColumn totalsRowFunction="custom" name="AZ Wins" id="1"/>
    <tableColumn totalsRowFunction="custom" name="AZ Losses" id="2"/>
  </tableColumns>
  <tableStyleInfo name="AFC North Counter-style 20" showColumnStripes="0" showFirstColumn="1" showLastColumn="1" showRowStripes="1"/>
</table>
</file>

<file path=xl/tables/table245.xml><?xml version="1.0" encoding="utf-8"?>
<table xmlns="http://schemas.openxmlformats.org/spreadsheetml/2006/main" totalsRowCount="1" ref="AP1:AQ20" displayName="Table_245" name="Table_245" id="245">
  <tableColumns count="2">
    <tableColumn totalsRowFunction="custom" name="DAL Wins" id="1"/>
    <tableColumn totalsRowFunction="custom" name="DAL Losses" id="2"/>
  </tableColumns>
  <tableStyleInfo name="AFC North Counter-style 21" showColumnStripes="0" showFirstColumn="1" showLastColumn="1" showRowStripes="1"/>
</table>
</file>

<file path=xl/tables/table246.xml><?xml version="1.0" encoding="utf-8"?>
<table xmlns="http://schemas.openxmlformats.org/spreadsheetml/2006/main" totalsRowCount="1" ref="AR1:AS20" displayName="Table_246" name="Table_246" id="246">
  <tableColumns count="2">
    <tableColumn totalsRowFunction="custom" name="PHI Wins" id="1"/>
    <tableColumn totalsRowFunction="custom" name="PHI Losses" id="2"/>
  </tableColumns>
  <tableStyleInfo name="AFC North Counter-style 22" showColumnStripes="0" showFirstColumn="1" showLastColumn="1" showRowStripes="1"/>
</table>
</file>

<file path=xl/tables/table247.xml><?xml version="1.0" encoding="utf-8"?>
<table xmlns="http://schemas.openxmlformats.org/spreadsheetml/2006/main" totalsRowCount="1" ref="AT1:AU20" displayName="Table_247" name="Table_247" id="247">
  <tableColumns count="2">
    <tableColumn totalsRowFunction="custom" name="NYG Wins" id="1"/>
    <tableColumn totalsRowFunction="custom" name="NYG Losses" id="2"/>
  </tableColumns>
  <tableStyleInfo name="AFC North Counter-style 23" showColumnStripes="0" showFirstColumn="1" showLastColumn="1" showRowStripes="1"/>
</table>
</file>

<file path=xl/tables/table248.xml><?xml version="1.0" encoding="utf-8"?>
<table xmlns="http://schemas.openxmlformats.org/spreadsheetml/2006/main" totalsRowCount="1" ref="AV1:AW20" displayName="Table_248" name="Table_248" id="248">
  <tableColumns count="2">
    <tableColumn totalsRowFunction="custom" name="WSH Wins" id="1"/>
    <tableColumn totalsRowFunction="custom" name="WSH Losses" id="2"/>
  </tableColumns>
  <tableStyleInfo name="AFC North Counter-style 24" showColumnStripes="0" showFirstColumn="1" showLastColumn="1" showRowStripes="1"/>
</table>
</file>

<file path=xl/tables/table249.xml><?xml version="1.0" encoding="utf-8"?>
<table xmlns="http://schemas.openxmlformats.org/spreadsheetml/2006/main" totalsRowCount="1" ref="AX1:AY20" displayName="Table_249" name="Table_249" id="249">
  <tableColumns count="2">
    <tableColumn totalsRowFunction="custom" name="DET Wins" id="1"/>
    <tableColumn totalsRowFunction="custom" name="DET Losses" id="2"/>
  </tableColumns>
  <tableStyleInfo name="AFC North Counter-style 25" showColumnStripes="0" showFirstColumn="1" showLastColumn="1" showRowStripes="1"/>
</table>
</file>

<file path=xl/tables/table250.xml><?xml version="1.0" encoding="utf-8"?>
<table xmlns="http://schemas.openxmlformats.org/spreadsheetml/2006/main" totalsRowCount="1" ref="AZ1:BA20" displayName="Table_250" name="Table_250" id="250">
  <tableColumns count="2">
    <tableColumn totalsRowFunction="custom" name="GB Wins" id="1"/>
    <tableColumn totalsRowFunction="custom" name="GB Losses" id="2"/>
  </tableColumns>
  <tableStyleInfo name="AFC North Counter-style 26" showColumnStripes="0" showFirstColumn="1" showLastColumn="1" showRowStripes="1"/>
</table>
</file>

<file path=xl/tables/table251.xml><?xml version="1.0" encoding="utf-8"?>
<table xmlns="http://schemas.openxmlformats.org/spreadsheetml/2006/main" totalsRowCount="1" ref="BB1:BC20" displayName="Table_251" name="Table_251" id="251">
  <tableColumns count="2">
    <tableColumn totalsRowFunction="custom" name="MIN Wins" id="1"/>
    <tableColumn totalsRowFunction="custom" name="MIN Losses" id="2"/>
  </tableColumns>
  <tableStyleInfo name="AFC North Counter-style 27" showColumnStripes="0" showFirstColumn="1" showLastColumn="1" showRowStripes="1"/>
</table>
</file>

<file path=xl/tables/table252.xml><?xml version="1.0" encoding="utf-8"?>
<table xmlns="http://schemas.openxmlformats.org/spreadsheetml/2006/main" totalsRowCount="1" ref="BD1:BE20" displayName="Table_252" name="Table_252" id="252">
  <tableColumns count="2">
    <tableColumn totalsRowFunction="custom" name="CHI Wins" id="1"/>
    <tableColumn totalsRowFunction="custom" name="CHI Losses" id="2"/>
  </tableColumns>
  <tableStyleInfo name="AFC North Counter-style 28" showColumnStripes="0" showFirstColumn="1" showLastColumn="1" showRowStripes="1"/>
</table>
</file>

<file path=xl/tables/table253.xml><?xml version="1.0" encoding="utf-8"?>
<table xmlns="http://schemas.openxmlformats.org/spreadsheetml/2006/main" totalsRowCount="1" ref="BF1:BG20" displayName="Table_253" name="Table_253" id="253">
  <tableColumns count="2">
    <tableColumn totalsRowFunction="custom" name="TB Wins" id="1"/>
    <tableColumn totalsRowFunction="custom" name="TB Losses" id="2"/>
  </tableColumns>
  <tableStyleInfo name="AFC North Counter-style 29" showColumnStripes="0" showFirstColumn="1" showLastColumn="1" showRowStripes="1"/>
</table>
</file>

<file path=xl/tables/table254.xml><?xml version="1.0" encoding="utf-8"?>
<table xmlns="http://schemas.openxmlformats.org/spreadsheetml/2006/main" totalsRowCount="1" ref="BH1:BI20" displayName="Table_254" name="Table_254" id="254">
  <tableColumns count="2">
    <tableColumn totalsRowFunction="custom" name="NO Wins" id="1"/>
    <tableColumn totalsRowFunction="custom" name="NO Losses" id="2"/>
  </tableColumns>
  <tableStyleInfo name="AFC North Counter-style 30" showColumnStripes="0" showFirstColumn="1" showLastColumn="1" showRowStripes="1"/>
</table>
</file>

<file path=xl/tables/table255.xml><?xml version="1.0" encoding="utf-8"?>
<table xmlns="http://schemas.openxmlformats.org/spreadsheetml/2006/main" totalsRowCount="1" ref="BJ1:BK20" displayName="Table_255" name="Table_255" id="255">
  <tableColumns count="2">
    <tableColumn totalsRowFunction="custom" name="ATL Wins" id="1"/>
    <tableColumn totalsRowFunction="custom" name="ATL Losses" id="2"/>
  </tableColumns>
  <tableStyleInfo name="AFC North Counter-style 31" showColumnStripes="0" showFirstColumn="1" showLastColumn="1" showRowStripes="1"/>
</table>
</file>

<file path=xl/tables/table256.xml><?xml version="1.0" encoding="utf-8"?>
<table xmlns="http://schemas.openxmlformats.org/spreadsheetml/2006/main" totalsRowCount="1" ref="BL1:BM20" displayName="Table_256" name="Table_256" id="256">
  <tableColumns count="2">
    <tableColumn totalsRowFunction="custom" name="CAR Wins" id="1"/>
    <tableColumn totalsRowFunction="custom" name="CAR Losses" id="2"/>
  </tableColumns>
  <tableStyleInfo name="AFC North Counter-style 32" showColumnStripes="0" showFirstColumn="1" showLastColumn="1" showRowStripes="1"/>
</table>
</file>

<file path=xl/tables/table257.xml><?xml version="1.0" encoding="utf-8"?>
<table xmlns="http://schemas.openxmlformats.org/spreadsheetml/2006/main" totalsRowCount="1" ref="B1:C20" displayName="Table_257" name="Table_257" id="257">
  <tableColumns count="2">
    <tableColumn totalsRowFunction="custom" name="KC Wins" id="1"/>
    <tableColumn totalsRowFunction="custom" name="KC Losses" id="2"/>
  </tableColumns>
  <tableStyleInfo name="AFC South Counter-style" showColumnStripes="0" showFirstColumn="1" showLastColumn="1" showRowStripes="1"/>
</table>
</file>

<file path=xl/tables/table258.xml><?xml version="1.0" encoding="utf-8"?>
<table xmlns="http://schemas.openxmlformats.org/spreadsheetml/2006/main" totalsRowCount="1" ref="D1:E20" displayName="Table_258" name="Table_258" id="258">
  <tableColumns count="2">
    <tableColumn totalsRowFunction="custom" name="LV Wins" id="1"/>
    <tableColumn totalsRowFunction="custom" name="LV Losses" id="2"/>
  </tableColumns>
  <tableStyleInfo name="AFC South Counter-style 2" showColumnStripes="0" showFirstColumn="1" showLastColumn="1" showRowStripes="1"/>
</table>
</file>

<file path=xl/tables/table259.xml><?xml version="1.0" encoding="utf-8"?>
<table xmlns="http://schemas.openxmlformats.org/spreadsheetml/2006/main" totalsRowCount="1" ref="F1:G20" displayName="Table_259" name="Table_259" id="259">
  <tableColumns count="2">
    <tableColumn totalsRowFunction="custom" name="DEN Wins" id="1"/>
    <tableColumn totalsRowFunction="custom" name="DEN Losses" id="2"/>
  </tableColumns>
  <tableStyleInfo name="AFC South Counter-style 3" showColumnStripes="0" showFirstColumn="1" showLastColumn="1" showRowStripes="1"/>
</table>
</file>

<file path=xl/tables/table260.xml><?xml version="1.0" encoding="utf-8"?>
<table xmlns="http://schemas.openxmlformats.org/spreadsheetml/2006/main" totalsRowCount="1" ref="H1:I20" displayName="Table_261" name="Table_261" id="261">
  <tableColumns count="2">
    <tableColumn totalsRowFunction="custom" name="LAC Wins" id="1"/>
    <tableColumn totalsRowFunction="custom" name="LAC Losses" id="2"/>
  </tableColumns>
  <tableStyleInfo name="AFC South Counter-style 4" showColumnStripes="0" showFirstColumn="1" showLastColumn="1" showRowStripes="1"/>
</table>
</file>

<file path=xl/tables/table261.xml><?xml version="1.0" encoding="utf-8"?>
<table xmlns="http://schemas.openxmlformats.org/spreadsheetml/2006/main" totalsRowCount="1" ref="J1:K20" displayName="Table_262" name="Table_262" id="262">
  <tableColumns count="2">
    <tableColumn totalsRowFunction="custom" name="BUF Wins" id="1"/>
    <tableColumn totalsRowFunction="custom" name="BUF Losses" id="2"/>
  </tableColumns>
  <tableStyleInfo name="AFC South Counter-style 5" showColumnStripes="0" showFirstColumn="1" showLastColumn="1" showRowStripes="1"/>
</table>
</file>

<file path=xl/tables/table262.xml><?xml version="1.0" encoding="utf-8"?>
<table xmlns="http://schemas.openxmlformats.org/spreadsheetml/2006/main" totalsRowCount="1" ref="L1:M20" displayName="Table_264" name="Table_264" id="264">
  <tableColumns count="2">
    <tableColumn totalsRowFunction="custom" name="MIA Wins" id="1"/>
    <tableColumn totalsRowFunction="custom" name="MIA Losses" id="2"/>
  </tableColumns>
  <tableStyleInfo name="AFC South Counter-style 6" showColumnStripes="0" showFirstColumn="1" showLastColumn="1" showRowStripes="1"/>
</table>
</file>

<file path=xl/tables/table263.xml><?xml version="1.0" encoding="utf-8"?>
<table xmlns="http://schemas.openxmlformats.org/spreadsheetml/2006/main" totalsRowCount="1" ref="N1:O20" displayName="Table_266" name="Table_266" id="266">
  <tableColumns count="2">
    <tableColumn totalsRowFunction="custom" name="NYJ Wins" id="1"/>
    <tableColumn totalsRowFunction="custom" name="NYJ Losses" id="2"/>
  </tableColumns>
  <tableStyleInfo name="AFC South Counter-style 7" showColumnStripes="0" showFirstColumn="1" showLastColumn="1" showRowStripes="1"/>
</table>
</file>

<file path=xl/tables/table264.xml><?xml version="1.0" encoding="utf-8"?>
<table xmlns="http://schemas.openxmlformats.org/spreadsheetml/2006/main" totalsRowCount="1" ref="P1:Q20" displayName="Table_268" name="Table_268" id="268">
  <tableColumns count="2">
    <tableColumn totalsRowFunction="custom" name="NE Wins" id="1"/>
    <tableColumn totalsRowFunction="custom" name="NE Losses" id="2"/>
  </tableColumns>
  <tableStyleInfo name="AFC South Counter-style 8" showColumnStripes="0" showFirstColumn="1" showLastColumn="1" showRowStripes="1"/>
</table>
</file>

<file path=xl/tables/table265.xml><?xml version="1.0" encoding="utf-8"?>
<table xmlns="http://schemas.openxmlformats.org/spreadsheetml/2006/main" totalsRowCount="1" ref="R1:S20" displayName="Table_270" name="Table_270" id="270">
  <tableColumns count="2">
    <tableColumn totalsRowFunction="custom" name="BAL Wins" id="1"/>
    <tableColumn totalsRowFunction="custom" name="BAL Losses" id="2"/>
  </tableColumns>
  <tableStyleInfo name="AFC South Counter-style 9" showColumnStripes="0" showFirstColumn="1" showLastColumn="1" showRowStripes="1"/>
</table>
</file>

<file path=xl/tables/table266.xml><?xml version="1.0" encoding="utf-8"?>
<table xmlns="http://schemas.openxmlformats.org/spreadsheetml/2006/main" totalsRowCount="1" ref="T1:U20" displayName="Table_271" name="Table_271" id="271">
  <tableColumns count="2">
    <tableColumn totalsRowFunction="custom" name="CLE Wins" id="1"/>
    <tableColumn totalsRowFunction="custom" name="CLE Losses" id="2"/>
  </tableColumns>
  <tableStyleInfo name="AFC South Counter-style 10" showColumnStripes="0" showFirstColumn="1" showLastColumn="1" showRowStripes="1"/>
</table>
</file>

<file path=xl/tables/table267.xml><?xml version="1.0" encoding="utf-8"?>
<table xmlns="http://schemas.openxmlformats.org/spreadsheetml/2006/main" totalsRowCount="1" ref="V1:W20" displayName="Table_273" name="Table_273" id="273">
  <tableColumns count="2">
    <tableColumn totalsRowFunction="custom" name="PIT Wins" id="1"/>
    <tableColumn totalsRowFunction="custom" name="PIT Losses" id="2"/>
  </tableColumns>
  <tableStyleInfo name="AFC South Counter-style 11" showColumnStripes="0" showFirstColumn="1" showLastColumn="1" showRowStripes="1"/>
</table>
</file>

<file path=xl/tables/table268.xml><?xml version="1.0" encoding="utf-8"?>
<table xmlns="http://schemas.openxmlformats.org/spreadsheetml/2006/main" totalsRowCount="1" ref="X1:Y20" displayName="Table_275" name="Table_275" id="275">
  <tableColumns count="2">
    <tableColumn totalsRowFunction="custom" name="CIN Wins" id="1"/>
    <tableColumn totalsRowFunction="custom" name="CIN Losses" id="2"/>
  </tableColumns>
  <tableStyleInfo name="AFC South Counter-style 12" showColumnStripes="0" showFirstColumn="1" showLastColumn="1" showRowStripes="1"/>
</table>
</file>

<file path=xl/tables/table269.xml><?xml version="1.0" encoding="utf-8"?>
<table xmlns="http://schemas.openxmlformats.org/spreadsheetml/2006/main" totalsRowCount="1" ref="Z1:AA20" displayName="Table_277" name="Table_277" id="277">
  <tableColumns count="2">
    <tableColumn totalsRowFunction="custom" name="HOU Wins" id="1"/>
    <tableColumn totalsRowFunction="custom" name="HOU Losses" id="2"/>
  </tableColumns>
  <tableStyleInfo name="AFC South Counter-style 13" showColumnStripes="0" showFirstColumn="1" showLastColumn="1" showRowStripes="1"/>
</table>
</file>

<file path=xl/tables/table270.xml><?xml version="1.0" encoding="utf-8"?>
<table xmlns="http://schemas.openxmlformats.org/spreadsheetml/2006/main" totalsRowCount="1" ref="AB1:AC20" displayName="Table_279" name="Table_279" id="279">
  <tableColumns count="2">
    <tableColumn totalsRowFunction="custom" name="JAX Wins" id="1"/>
    <tableColumn totalsRowFunction="custom" name="JAX Losses" id="2"/>
  </tableColumns>
  <tableStyleInfo name="AFC South Counter-style 14" showColumnStripes="0" showFirstColumn="1" showLastColumn="1" showRowStripes="1"/>
</table>
</file>

<file path=xl/tables/table271.xml><?xml version="1.0" encoding="utf-8"?>
<table xmlns="http://schemas.openxmlformats.org/spreadsheetml/2006/main" totalsRowCount="1" ref="AD1:AE20" displayName="Table_281" name="Table_281" id="281">
  <tableColumns count="2">
    <tableColumn totalsRowFunction="custom" name="IND Wins" id="1"/>
    <tableColumn totalsRowFunction="custom" name="IND Losses" id="2"/>
  </tableColumns>
  <tableStyleInfo name="AFC South Counter-style 15" showColumnStripes="0" showFirstColumn="1" showLastColumn="1" showRowStripes="1"/>
</table>
</file>

<file path=xl/tables/table272.xml><?xml version="1.0" encoding="utf-8"?>
<table xmlns="http://schemas.openxmlformats.org/spreadsheetml/2006/main" totalsRowCount="1" ref="AF1:AG20" displayName="Table_283" name="Table_283" id="283">
  <tableColumns count="2">
    <tableColumn totalsRowFunction="custom" name="TEN Wins" id="1"/>
    <tableColumn totalsRowFunction="custom" name="TEN Losses" id="2"/>
  </tableColumns>
  <tableStyleInfo name="AFC South Counter-style 16" showColumnStripes="0" showFirstColumn="1" showLastColumn="1" showRowStripes="1"/>
</table>
</file>

<file path=xl/tables/table273.xml><?xml version="1.0" encoding="utf-8"?>
<table xmlns="http://schemas.openxmlformats.org/spreadsheetml/2006/main" totalsRowCount="1" ref="AH1:AI20" displayName="Table_285" name="Table_285" id="285">
  <tableColumns count="2">
    <tableColumn totalsRowFunction="custom" name="SF Wins" id="1"/>
    <tableColumn totalsRowFunction="custom" name="SF Losses" id="2"/>
  </tableColumns>
  <tableStyleInfo name="AFC South Counter-style 17" showColumnStripes="0" showFirstColumn="1" showLastColumn="1" showRowStripes="1"/>
</table>
</file>

<file path=xl/tables/table274.xml><?xml version="1.0" encoding="utf-8"?>
<table xmlns="http://schemas.openxmlformats.org/spreadsheetml/2006/main" totalsRowCount="1" ref="AJ1:AK20" displayName="Table_287" name="Table_287" id="287">
  <tableColumns count="2">
    <tableColumn totalsRowFunction="custom" name="LAR Wins" id="1"/>
    <tableColumn totalsRowFunction="custom" name="LAR Losses" id="2"/>
  </tableColumns>
  <tableStyleInfo name="AFC South Counter-style 18" showColumnStripes="0" showFirstColumn="1" showLastColumn="1" showRowStripes="1"/>
</table>
</file>

<file path=xl/tables/table275.xml><?xml version="1.0" encoding="utf-8"?>
<table xmlns="http://schemas.openxmlformats.org/spreadsheetml/2006/main" totalsRowCount="1" ref="AL1:AM20" displayName="Table_289" name="Table_289" id="289">
  <tableColumns count="2">
    <tableColumn totalsRowFunction="custom" name="SEA Wins" id="1"/>
    <tableColumn totalsRowFunction="custom" name="SEA Losses" id="2"/>
  </tableColumns>
  <tableStyleInfo name="AFC South Counter-style 19" showColumnStripes="0" showFirstColumn="1" showLastColumn="1" showRowStripes="1"/>
</table>
</file>

<file path=xl/tables/table276.xml><?xml version="1.0" encoding="utf-8"?>
<table xmlns="http://schemas.openxmlformats.org/spreadsheetml/2006/main" totalsRowCount="1" ref="AN1:AO20" displayName="Table_291" name="Table_291" id="291">
  <tableColumns count="2">
    <tableColumn totalsRowFunction="custom" name="AZ Wins" id="1"/>
    <tableColumn totalsRowFunction="custom" name="AZ Losses" id="2"/>
  </tableColumns>
  <tableStyleInfo name="AFC South Counter-style 20" showColumnStripes="0" showFirstColumn="1" showLastColumn="1" showRowStripes="1"/>
</table>
</file>

<file path=xl/tables/table277.xml><?xml version="1.0" encoding="utf-8"?>
<table xmlns="http://schemas.openxmlformats.org/spreadsheetml/2006/main" totalsRowCount="1" ref="AP1:AQ20" displayName="Table_293" name="Table_293" id="293">
  <tableColumns count="2">
    <tableColumn totalsRowFunction="custom" name="DAL Wins" id="1"/>
    <tableColumn totalsRowFunction="custom" name="DAL Losses" id="2"/>
  </tableColumns>
  <tableStyleInfo name="AFC South Counter-style 21" showColumnStripes="0" showFirstColumn="1" showLastColumn="1" showRowStripes="1"/>
</table>
</file>

<file path=xl/tables/table278.xml><?xml version="1.0" encoding="utf-8"?>
<table xmlns="http://schemas.openxmlformats.org/spreadsheetml/2006/main" totalsRowCount="1" ref="AR1:AS20" displayName="Table_295" name="Table_295" id="295">
  <tableColumns count="2">
    <tableColumn totalsRowFunction="custom" name="PHI Wins" id="1"/>
    <tableColumn totalsRowFunction="custom" name="PHI Losses" id="2"/>
  </tableColumns>
  <tableStyleInfo name="AFC South Counter-style 22" showColumnStripes="0" showFirstColumn="1" showLastColumn="1" showRowStripes="1"/>
</table>
</file>

<file path=xl/tables/table279.xml><?xml version="1.0" encoding="utf-8"?>
<table xmlns="http://schemas.openxmlformats.org/spreadsheetml/2006/main" totalsRowCount="1" ref="AT1:AU20" displayName="Table_297" name="Table_297" id="297">
  <tableColumns count="2">
    <tableColumn totalsRowFunction="custom" name="NYG Wins" id="1"/>
    <tableColumn totalsRowFunction="custom" name="NYG Losses" id="2"/>
  </tableColumns>
  <tableStyleInfo name="AFC South Counter-style 23" showColumnStripes="0" showFirstColumn="1" showLastColumn="1" showRowStripes="1"/>
</table>
</file>

<file path=xl/tables/table280.xml><?xml version="1.0" encoding="utf-8"?>
<table xmlns="http://schemas.openxmlformats.org/spreadsheetml/2006/main" totalsRowCount="1" ref="AV1:AW20" displayName="Table_298" name="Table_298" id="299">
  <tableColumns count="2">
    <tableColumn totalsRowFunction="custom" name="WSH Wins" id="1"/>
    <tableColumn totalsRowFunction="custom" name="WSH Losses" id="2"/>
  </tableColumns>
  <tableStyleInfo name="AFC South Counter-style 24" showColumnStripes="0" showFirstColumn="1" showLastColumn="1" showRowStripes="1"/>
</table>
</file>

<file path=xl/tables/table281.xml><?xml version="1.0" encoding="utf-8"?>
<table xmlns="http://schemas.openxmlformats.org/spreadsheetml/2006/main" totalsRowCount="1" ref="AX1:AY20" displayName="Table_300" name="Table_300" id="300">
  <tableColumns count="2">
    <tableColumn totalsRowFunction="custom" name="DET Wins" id="1"/>
    <tableColumn totalsRowFunction="custom" name="DET Losses" id="2"/>
  </tableColumns>
  <tableStyleInfo name="AFC South Counter-style 25" showColumnStripes="0" showFirstColumn="1" showLastColumn="1" showRowStripes="1"/>
</table>
</file>

<file path=xl/tables/table282.xml><?xml version="1.0" encoding="utf-8"?>
<table xmlns="http://schemas.openxmlformats.org/spreadsheetml/2006/main" totalsRowCount="1" ref="AZ1:BA20" displayName="Table_302" name="Table_302" id="302">
  <tableColumns count="2">
    <tableColumn totalsRowFunction="custom" name="GB Wins" id="1"/>
    <tableColumn totalsRowFunction="custom" name="GB Losses" id="2"/>
  </tableColumns>
  <tableStyleInfo name="AFC South Counter-style 26" showColumnStripes="0" showFirstColumn="1" showLastColumn="1" showRowStripes="1"/>
</table>
</file>

<file path=xl/tables/table283.xml><?xml version="1.0" encoding="utf-8"?>
<table xmlns="http://schemas.openxmlformats.org/spreadsheetml/2006/main" totalsRowCount="1" ref="BB1:BC20" displayName="Table_304" name="Table_304" id="304">
  <tableColumns count="2">
    <tableColumn totalsRowFunction="custom" name="MIN Wins" id="1"/>
    <tableColumn totalsRowFunction="custom" name="MIN Losses" id="2"/>
  </tableColumns>
  <tableStyleInfo name="AFC South Counter-style 27" showColumnStripes="0" showFirstColumn="1" showLastColumn="1" showRowStripes="1"/>
</table>
</file>

<file path=xl/tables/table284.xml><?xml version="1.0" encoding="utf-8"?>
<table xmlns="http://schemas.openxmlformats.org/spreadsheetml/2006/main" totalsRowCount="1" ref="BD1:BE20" displayName="Table_306" name="Table_306" id="306">
  <tableColumns count="2">
    <tableColumn totalsRowFunction="custom" name="CHI Wins" id="1"/>
    <tableColumn totalsRowFunction="custom" name="CHI Losses" id="2"/>
  </tableColumns>
  <tableStyleInfo name="AFC South Counter-style 28" showColumnStripes="0" showFirstColumn="1" showLastColumn="1" showRowStripes="1"/>
</table>
</file>

<file path=xl/tables/table285.xml><?xml version="1.0" encoding="utf-8"?>
<table xmlns="http://schemas.openxmlformats.org/spreadsheetml/2006/main" totalsRowCount="1" ref="BF1:BG20" displayName="Table_308" name="Table_308" id="308">
  <tableColumns count="2">
    <tableColumn totalsRowFunction="custom" name="TB Wins" id="1"/>
    <tableColumn totalsRowFunction="custom" name="TB Losses" id="2"/>
  </tableColumns>
  <tableStyleInfo name="AFC South Counter-style 29" showColumnStripes="0" showFirstColumn="1" showLastColumn="1" showRowStripes="1"/>
</table>
</file>

<file path=xl/tables/table286.xml><?xml version="1.0" encoding="utf-8"?>
<table xmlns="http://schemas.openxmlformats.org/spreadsheetml/2006/main" totalsRowCount="1" ref="BH1:BI20" displayName="Table_310" name="Table_310" id="310">
  <tableColumns count="2">
    <tableColumn totalsRowFunction="custom" name="NO Wins" id="1"/>
    <tableColumn totalsRowFunction="custom" name="NO Losses" id="2"/>
  </tableColumns>
  <tableStyleInfo name="AFC South Counter-style 30" showColumnStripes="0" showFirstColumn="1" showLastColumn="1" showRowStripes="1"/>
</table>
</file>

<file path=xl/tables/table287.xml><?xml version="1.0" encoding="utf-8"?>
<table xmlns="http://schemas.openxmlformats.org/spreadsheetml/2006/main" totalsRowCount="1" ref="BJ1:BK20" displayName="Table_312" name="Table_312" id="312">
  <tableColumns count="2">
    <tableColumn totalsRowFunction="custom" name="ATL Wins" id="1"/>
    <tableColumn totalsRowFunction="custom" name="ATL Losses" id="2"/>
  </tableColumns>
  <tableStyleInfo name="AFC South Counter-style 31" showColumnStripes="0" showFirstColumn="1" showLastColumn="1" showRowStripes="1"/>
</table>
</file>

<file path=xl/tables/table288.xml><?xml version="1.0" encoding="utf-8"?>
<table xmlns="http://schemas.openxmlformats.org/spreadsheetml/2006/main" totalsRowCount="1" ref="BL1:BM20" displayName="Table_314" name="Table_314" id="314">
  <tableColumns count="2">
    <tableColumn totalsRowFunction="custom" name="CAR Wins" id="1"/>
    <tableColumn totalsRowFunction="custom" name="CAR Losses" id="2"/>
  </tableColumns>
  <tableStyleInfo name="AFC South Counter-style 32" showColumnStripes="0" showFirstColumn="1" showLastColumn="1" showRowStripes="1"/>
</table>
</file>

<file path=xl/tables/table289.xml><?xml version="1.0" encoding="utf-8"?>
<table xmlns="http://schemas.openxmlformats.org/spreadsheetml/2006/main" totalsRowCount="1" ref="B1:C20" displayName="Table_260" name="Table_260" id="260">
  <tableColumns count="2">
    <tableColumn totalsRowFunction="custom" name="KC Wins" id="1"/>
    <tableColumn totalsRowFunction="custom" name="KC Losses" id="2"/>
  </tableColumns>
  <tableStyleInfo name="NFC West Counter-style" showColumnStripes="0" showFirstColumn="1" showLastColumn="1" showRowStripes="1"/>
</table>
</file>

<file path=xl/tables/table290.xml><?xml version="1.0" encoding="utf-8"?>
<table xmlns="http://schemas.openxmlformats.org/spreadsheetml/2006/main" totalsRowCount="1" ref="D1:E20" displayName="Table_263" name="Table_263" id="263">
  <tableColumns count="2">
    <tableColumn totalsRowFunction="custom" name="LV Wins" id="1"/>
    <tableColumn totalsRowFunction="custom" name="LV Losses" id="2"/>
  </tableColumns>
  <tableStyleInfo name="NFC West Counter-style 2" showColumnStripes="0" showFirstColumn="1" showLastColumn="1" showRowStripes="1"/>
</table>
</file>

<file path=xl/tables/table291.xml><?xml version="1.0" encoding="utf-8"?>
<table xmlns="http://schemas.openxmlformats.org/spreadsheetml/2006/main" totalsRowCount="1" ref="F1:G20" displayName="Table_265" name="Table_265" id="265">
  <tableColumns count="2">
    <tableColumn totalsRowFunction="custom" name="DEN Wins" id="1"/>
    <tableColumn totalsRowFunction="custom" name="DEN Losses" id="2"/>
  </tableColumns>
  <tableStyleInfo name="NFC West Counter-style 3" showColumnStripes="0" showFirstColumn="1" showLastColumn="1" showRowStripes="1"/>
</table>
</file>

<file path=xl/tables/table292.xml><?xml version="1.0" encoding="utf-8"?>
<table xmlns="http://schemas.openxmlformats.org/spreadsheetml/2006/main" totalsRowCount="1" ref="H1:I20" displayName="Table_267" name="Table_267" id="267">
  <tableColumns count="2">
    <tableColumn totalsRowFunction="custom" name="LAC Wins" id="1"/>
    <tableColumn totalsRowFunction="custom" name="LAC Losses" id="2"/>
  </tableColumns>
  <tableStyleInfo name="NFC West Counter-style 4" showColumnStripes="0" showFirstColumn="1" showLastColumn="1" showRowStripes="1"/>
</table>
</file>

<file path=xl/tables/table293.xml><?xml version="1.0" encoding="utf-8"?>
<table xmlns="http://schemas.openxmlformats.org/spreadsheetml/2006/main" totalsRowCount="1" ref="J1:K20" displayName="Table_269" name="Table_269" id="269">
  <tableColumns count="2">
    <tableColumn totalsRowFunction="custom" name="BUF Wins" id="1"/>
    <tableColumn totalsRowFunction="custom" name="BUF Losses" id="2"/>
  </tableColumns>
  <tableStyleInfo name="NFC West Counter-style 5" showColumnStripes="0" showFirstColumn="1" showLastColumn="1" showRowStripes="1"/>
</table>
</file>

<file path=xl/tables/table294.xml><?xml version="1.0" encoding="utf-8"?>
<table xmlns="http://schemas.openxmlformats.org/spreadsheetml/2006/main" totalsRowCount="1" ref="L1:M20" displayName="Table_272" name="Table_272" id="272">
  <tableColumns count="2">
    <tableColumn totalsRowFunction="custom" name="MIA Wins" id="1"/>
    <tableColumn totalsRowFunction="custom" name="MIA Losses" id="2"/>
  </tableColumns>
  <tableStyleInfo name="NFC West Counter-style 6" showColumnStripes="0" showFirstColumn="1" showLastColumn="1" showRowStripes="1"/>
</table>
</file>

<file path=xl/tables/table295.xml><?xml version="1.0" encoding="utf-8"?>
<table xmlns="http://schemas.openxmlformats.org/spreadsheetml/2006/main" totalsRowCount="1" ref="N1:O20" displayName="Table_274" name="Table_274" id="274">
  <tableColumns count="2">
    <tableColumn totalsRowFunction="custom" name="NYJ Wins" id="1"/>
    <tableColumn totalsRowFunction="custom" name="NYJ Losses" id="2"/>
  </tableColumns>
  <tableStyleInfo name="NFC West Counter-style 7" showColumnStripes="0" showFirstColumn="1" showLastColumn="1" showRowStripes="1"/>
</table>
</file>

<file path=xl/tables/table296.xml><?xml version="1.0" encoding="utf-8"?>
<table xmlns="http://schemas.openxmlformats.org/spreadsheetml/2006/main" totalsRowCount="1" ref="P1:Q20" displayName="Table_276" name="Table_276" id="276">
  <tableColumns count="2">
    <tableColumn totalsRowFunction="custom" name="NE Wins" id="1"/>
    <tableColumn totalsRowFunction="custom" name="NE Losses" id="2"/>
  </tableColumns>
  <tableStyleInfo name="NFC West Counter-style 8" showColumnStripes="0" showFirstColumn="1" showLastColumn="1" showRowStripes="1"/>
</table>
</file>

<file path=xl/tables/table297.xml><?xml version="1.0" encoding="utf-8"?>
<table xmlns="http://schemas.openxmlformats.org/spreadsheetml/2006/main" totalsRowCount="1" ref="R1:S20" displayName="Table_278" name="Table_278" id="278">
  <tableColumns count="2">
    <tableColumn totalsRowFunction="custom" name="BAL Wins" id="1"/>
    <tableColumn totalsRowFunction="custom" name="BAL Losses" id="2"/>
  </tableColumns>
  <tableStyleInfo name="NFC West Counter-style 9" showColumnStripes="0" showFirstColumn="1" showLastColumn="1" showRowStripes="1"/>
</table>
</file>

<file path=xl/tables/table298.xml><?xml version="1.0" encoding="utf-8"?>
<table xmlns="http://schemas.openxmlformats.org/spreadsheetml/2006/main" totalsRowCount="1" ref="T1:U20" displayName="Table_280" name="Table_280" id="280">
  <tableColumns count="2">
    <tableColumn totalsRowFunction="custom" name="CLE Wins" id="1"/>
    <tableColumn totalsRowFunction="custom" name="CLE Losses" id="2"/>
  </tableColumns>
  <tableStyleInfo name="NFC West Counter-style 10" showColumnStripes="0" showFirstColumn="1" showLastColumn="1" showRowStripes="1"/>
</table>
</file>

<file path=xl/tables/table299.xml><?xml version="1.0" encoding="utf-8"?>
<table xmlns="http://schemas.openxmlformats.org/spreadsheetml/2006/main" totalsRowCount="1" ref="V1:W20" displayName="Table_282" name="Table_282" id="282">
  <tableColumns count="2">
    <tableColumn totalsRowFunction="custom" name="PIT Wins" id="1"/>
    <tableColumn totalsRowFunction="custom" name="PIT Losses" id="2"/>
  </tableColumns>
  <tableStyleInfo name="NFC West Counter-style 11" showColumnStripes="0" showFirstColumn="1" showLastColumn="1" showRowStripes="1"/>
</table>
</file>

<file path=xl/tables/table300.xml><?xml version="1.0" encoding="utf-8"?>
<table xmlns="http://schemas.openxmlformats.org/spreadsheetml/2006/main" totalsRowCount="1" ref="X1:Y20" displayName="Table_284" name="Table_284" id="284">
  <tableColumns count="2">
    <tableColumn totalsRowFunction="custom" name="CIN Wins" id="1"/>
    <tableColumn totalsRowFunction="custom" name="CIN Losses" id="2"/>
  </tableColumns>
  <tableStyleInfo name="NFC West Counter-style 12" showColumnStripes="0" showFirstColumn="1" showLastColumn="1" showRowStripes="1"/>
</table>
</file>

<file path=xl/tables/table301.xml><?xml version="1.0" encoding="utf-8"?>
<table xmlns="http://schemas.openxmlformats.org/spreadsheetml/2006/main" totalsRowCount="1" ref="Z1:AA20" displayName="Table_286" name="Table_286" id="286">
  <tableColumns count="2">
    <tableColumn totalsRowFunction="custom" name="HOU Wins" id="1"/>
    <tableColumn totalsRowFunction="custom" name="HOU Losses" id="2"/>
  </tableColumns>
  <tableStyleInfo name="NFC West Counter-style 13" showColumnStripes="0" showFirstColumn="1" showLastColumn="1" showRowStripes="1"/>
</table>
</file>

<file path=xl/tables/table302.xml><?xml version="1.0" encoding="utf-8"?>
<table xmlns="http://schemas.openxmlformats.org/spreadsheetml/2006/main" totalsRowCount="1" ref="AB1:AC20" displayName="Table_288" name="Table_288" id="288">
  <tableColumns count="2">
    <tableColumn totalsRowFunction="custom" name="JAX Wins" id="1"/>
    <tableColumn totalsRowFunction="custom" name="JAX Losses" id="2"/>
  </tableColumns>
  <tableStyleInfo name="NFC West Counter-style 14" showColumnStripes="0" showFirstColumn="1" showLastColumn="1" showRowStripes="1"/>
</table>
</file>

<file path=xl/tables/table303.xml><?xml version="1.0" encoding="utf-8"?>
<table xmlns="http://schemas.openxmlformats.org/spreadsheetml/2006/main" totalsRowCount="1" ref="AD1:AE20" displayName="Table_290" name="Table_290" id="290">
  <tableColumns count="2">
    <tableColumn totalsRowFunction="custom" name="IND Wins" id="1"/>
    <tableColumn totalsRowFunction="custom" name="IND Losses" id="2"/>
  </tableColumns>
  <tableStyleInfo name="NFC West Counter-style 15" showColumnStripes="0" showFirstColumn="1" showLastColumn="1" showRowStripes="1"/>
</table>
</file>

<file path=xl/tables/table304.xml><?xml version="1.0" encoding="utf-8"?>
<table xmlns="http://schemas.openxmlformats.org/spreadsheetml/2006/main" totalsRowCount="1" ref="AF1:AG20" displayName="Table_292" name="Table_292" id="292">
  <tableColumns count="2">
    <tableColumn totalsRowFunction="custom" name="TEN Wins" id="1"/>
    <tableColumn totalsRowFunction="custom" name="TEN Losses" id="2"/>
  </tableColumns>
  <tableStyleInfo name="NFC West Counter-style 16" showColumnStripes="0" showFirstColumn="1" showLastColumn="1" showRowStripes="1"/>
</table>
</file>

<file path=xl/tables/table305.xml><?xml version="1.0" encoding="utf-8"?>
<table xmlns="http://schemas.openxmlformats.org/spreadsheetml/2006/main" totalsRowCount="1" ref="AH1:AI20" displayName="Table_294" name="Table_294" id="294">
  <tableColumns count="2">
    <tableColumn totalsRowFunction="custom" name="SF Wins" id="1"/>
    <tableColumn totalsRowFunction="custom" name="SF Losses" id="2"/>
  </tableColumns>
  <tableStyleInfo name="NFC West Counter-style 17" showColumnStripes="0" showFirstColumn="1" showLastColumn="1" showRowStripes="1"/>
</table>
</file>

<file path=xl/tables/table306.xml><?xml version="1.0" encoding="utf-8"?>
<table xmlns="http://schemas.openxmlformats.org/spreadsheetml/2006/main" totalsRowCount="1" ref="AJ1:AK20" displayName="Table_296" name="Table_296" id="296">
  <tableColumns count="2">
    <tableColumn totalsRowFunction="custom" name="LAR Wins" id="1"/>
    <tableColumn totalsRowFunction="custom" name="LAR Losses" id="2"/>
  </tableColumns>
  <tableStyleInfo name="NFC West Counter-style 18" showColumnStripes="0" showFirstColumn="1" showLastColumn="1" showRowStripes="1"/>
</table>
</file>

<file path=xl/tables/table307.xml><?xml version="1.0" encoding="utf-8"?>
<table xmlns="http://schemas.openxmlformats.org/spreadsheetml/2006/main" totalsRowCount="1" ref="AL1:AM20" displayName="Table_299" name="Table_299" id="298">
  <tableColumns count="2">
    <tableColumn totalsRowFunction="custom" name="SEA Wins" id="1"/>
    <tableColumn totalsRowFunction="custom" name="SEA Losses" id="2"/>
  </tableColumns>
  <tableStyleInfo name="NFC West Counter-style 19" showColumnStripes="0" showFirstColumn="1" showLastColumn="1" showRowStripes="1"/>
</table>
</file>

<file path=xl/tables/table308.xml><?xml version="1.0" encoding="utf-8"?>
<table xmlns="http://schemas.openxmlformats.org/spreadsheetml/2006/main" totalsRowCount="1" ref="AN1:AO20" displayName="Table_301" name="Table_301" id="301">
  <tableColumns count="2">
    <tableColumn totalsRowFunction="custom" name="AZ Wins" id="1"/>
    <tableColumn totalsRowFunction="custom" name="AZ Losses" id="2"/>
  </tableColumns>
  <tableStyleInfo name="NFC West Counter-style 20" showColumnStripes="0" showFirstColumn="1" showLastColumn="1" showRowStripes="1"/>
</table>
</file>

<file path=xl/tables/table309.xml><?xml version="1.0" encoding="utf-8"?>
<table xmlns="http://schemas.openxmlformats.org/spreadsheetml/2006/main" totalsRowCount="1" ref="AP1:AQ20" displayName="Table_303" name="Table_303" id="303">
  <tableColumns count="2">
    <tableColumn totalsRowFunction="custom" name="DAL Wins" id="1"/>
    <tableColumn totalsRowFunction="custom" name="DAL Losses" id="2"/>
  </tableColumns>
  <tableStyleInfo name="NFC West Counter-style 21" showColumnStripes="0" showFirstColumn="1" showLastColumn="1" showRowStripes="1"/>
</table>
</file>

<file path=xl/tables/table310.xml><?xml version="1.0" encoding="utf-8"?>
<table xmlns="http://schemas.openxmlformats.org/spreadsheetml/2006/main" totalsRowCount="1" ref="AR1:AS20" displayName="Table_305" name="Table_305" id="305">
  <tableColumns count="2">
    <tableColumn totalsRowFunction="custom" name="PHI Wins" id="1"/>
    <tableColumn totalsRowFunction="custom" name="PHI Losses" id="2"/>
  </tableColumns>
  <tableStyleInfo name="NFC West Counter-style 22" showColumnStripes="0" showFirstColumn="1" showLastColumn="1" showRowStripes="1"/>
</table>
</file>

<file path=xl/tables/table311.xml><?xml version="1.0" encoding="utf-8"?>
<table xmlns="http://schemas.openxmlformats.org/spreadsheetml/2006/main" totalsRowCount="1" ref="AT1:AU20" displayName="Table_307" name="Table_307" id="307">
  <tableColumns count="2">
    <tableColumn totalsRowFunction="custom" name="NYG Wins" id="1"/>
    <tableColumn totalsRowFunction="custom" name="NYG Losses" id="2"/>
  </tableColumns>
  <tableStyleInfo name="NFC West Counter-style 23" showColumnStripes="0" showFirstColumn="1" showLastColumn="1" showRowStripes="1"/>
</table>
</file>

<file path=xl/tables/table312.xml><?xml version="1.0" encoding="utf-8"?>
<table xmlns="http://schemas.openxmlformats.org/spreadsheetml/2006/main" totalsRowCount="1" ref="AV1:AW20" displayName="Table_309" name="Table_309" id="309">
  <tableColumns count="2">
    <tableColumn totalsRowFunction="custom" name="WSH Wins" id="1"/>
    <tableColumn totalsRowFunction="custom" name="WSH Losses" id="2"/>
  </tableColumns>
  <tableStyleInfo name="NFC West Counter-style 24" showColumnStripes="0" showFirstColumn="1" showLastColumn="1" showRowStripes="1"/>
</table>
</file>

<file path=xl/tables/table313.xml><?xml version="1.0" encoding="utf-8"?>
<table xmlns="http://schemas.openxmlformats.org/spreadsheetml/2006/main" totalsRowCount="1" ref="AX1:AY20" displayName="Table_311" name="Table_311" id="311">
  <tableColumns count="2">
    <tableColumn totalsRowFunction="custom" name="DET Wins" id="1"/>
    <tableColumn totalsRowFunction="custom" name="DET Losses" id="2"/>
  </tableColumns>
  <tableStyleInfo name="NFC West Counter-style 25" showColumnStripes="0" showFirstColumn="1" showLastColumn="1" showRowStripes="1"/>
</table>
</file>

<file path=xl/tables/table314.xml><?xml version="1.0" encoding="utf-8"?>
<table xmlns="http://schemas.openxmlformats.org/spreadsheetml/2006/main" totalsRowCount="1" ref="AZ1:BA20" displayName="Table_313" name="Table_313" id="313">
  <tableColumns count="2">
    <tableColumn totalsRowFunction="custom" name="GB Wins" id="1"/>
    <tableColumn totalsRowFunction="custom" name="GB Losses" id="2"/>
  </tableColumns>
  <tableStyleInfo name="NFC West Counter-style 26" showColumnStripes="0" showFirstColumn="1" showLastColumn="1" showRowStripes="1"/>
</table>
</file>

<file path=xl/tables/table315.xml><?xml version="1.0" encoding="utf-8"?>
<table xmlns="http://schemas.openxmlformats.org/spreadsheetml/2006/main" totalsRowCount="1" ref="BB1:BC20" displayName="Table_315" name="Table_315" id="315">
  <tableColumns count="2">
    <tableColumn totalsRowFunction="custom" name="MIN Wins" id="1"/>
    <tableColumn totalsRowFunction="custom" name="MIN Losses" id="2"/>
  </tableColumns>
  <tableStyleInfo name="NFC West Counter-style 27" showColumnStripes="0" showFirstColumn="1" showLastColumn="1" showRowStripes="1"/>
</table>
</file>

<file path=xl/tables/table316.xml><?xml version="1.0" encoding="utf-8"?>
<table xmlns="http://schemas.openxmlformats.org/spreadsheetml/2006/main" totalsRowCount="1" ref="BD1:BE20" displayName="Table_316" name="Table_316" id="316">
  <tableColumns count="2">
    <tableColumn totalsRowFunction="custom" name="CHI Wins" id="1"/>
    <tableColumn totalsRowFunction="custom" name="CHI Losses" id="2"/>
  </tableColumns>
  <tableStyleInfo name="NFC West Counter-style 28" showColumnStripes="0" showFirstColumn="1" showLastColumn="1" showRowStripes="1"/>
</table>
</file>

<file path=xl/tables/table317.xml><?xml version="1.0" encoding="utf-8"?>
<table xmlns="http://schemas.openxmlformats.org/spreadsheetml/2006/main" totalsRowCount="1" ref="BF1:BG20" displayName="Table_317" name="Table_317" id="317">
  <tableColumns count="2">
    <tableColumn totalsRowFunction="custom" name="TB Wins" id="1"/>
    <tableColumn totalsRowFunction="custom" name="TB Losses" id="2"/>
  </tableColumns>
  <tableStyleInfo name="NFC West Counter-style 29" showColumnStripes="0" showFirstColumn="1" showLastColumn="1" showRowStripes="1"/>
</table>
</file>

<file path=xl/tables/table318.xml><?xml version="1.0" encoding="utf-8"?>
<table xmlns="http://schemas.openxmlformats.org/spreadsheetml/2006/main" totalsRowCount="1" ref="BH1:BI20" displayName="Table_318" name="Table_318" id="318">
  <tableColumns count="2">
    <tableColumn totalsRowFunction="custom" name="NO Wins" id="1"/>
    <tableColumn totalsRowFunction="custom" name="NO Losses" id="2"/>
  </tableColumns>
  <tableStyleInfo name="NFC West Counter-style 30" showColumnStripes="0" showFirstColumn="1" showLastColumn="1" showRowStripes="1"/>
</table>
</file>

<file path=xl/tables/table319.xml><?xml version="1.0" encoding="utf-8"?>
<table xmlns="http://schemas.openxmlformats.org/spreadsheetml/2006/main" totalsRowCount="1" ref="BJ1:BK20" displayName="Table_319" name="Table_319" id="319">
  <tableColumns count="2">
    <tableColumn totalsRowFunction="custom" name="ATL Wins" id="1"/>
    <tableColumn totalsRowFunction="custom" name="ATL Losses" id="2"/>
  </tableColumns>
  <tableStyleInfo name="NFC West Counter-style 31" showColumnStripes="0" showFirstColumn="1" showLastColumn="1" showRowStripes="1"/>
</table>
</file>

<file path=xl/tables/table320.xml><?xml version="1.0" encoding="utf-8"?>
<table xmlns="http://schemas.openxmlformats.org/spreadsheetml/2006/main" totalsRowCount="1" ref="BL1:BM20" displayName="Table_320" name="Table_320" id="320">
  <tableColumns count="2">
    <tableColumn totalsRowFunction="custom" name="CAR Wins" id="1"/>
    <tableColumn totalsRowFunction="custom" name="CAR Losses" id="2"/>
  </tableColumns>
  <tableStyleInfo name="NFC West Counter-style 32" showColumnStripes="0" showFirstColumn="1" showLastColumn="1" showRowStripes="1"/>
</table>
</file>

<file path=xl/tables/table321.xml><?xml version="1.0" encoding="utf-8"?>
<table xmlns="http://schemas.openxmlformats.org/spreadsheetml/2006/main" totalsRowCount="1" ref="B1:C20" displayName="Table_321" name="Table_321" id="321">
  <tableColumns count="2">
    <tableColumn totalsRowFunction="custom" name="KC Wins" id="1"/>
    <tableColumn totalsRowFunction="custom" name="KC Losses" id="2"/>
  </tableColumns>
  <tableStyleInfo name="NFC East Counter-style" showColumnStripes="0" showFirstColumn="1" showLastColumn="1" showRowStripes="1"/>
</table>
</file>

<file path=xl/tables/table322.xml><?xml version="1.0" encoding="utf-8"?>
<table xmlns="http://schemas.openxmlformats.org/spreadsheetml/2006/main" totalsRowCount="1" ref="D1:E20" displayName="Table_322" name="Table_322" id="322">
  <tableColumns count="2">
    <tableColumn totalsRowFunction="custom" name="LV Wins" id="1"/>
    <tableColumn totalsRowFunction="custom" name="LV Losses" id="2"/>
  </tableColumns>
  <tableStyleInfo name="NFC East Counter-style 2" showColumnStripes="0" showFirstColumn="1" showLastColumn="1" showRowStripes="1"/>
</table>
</file>

<file path=xl/tables/table323.xml><?xml version="1.0" encoding="utf-8"?>
<table xmlns="http://schemas.openxmlformats.org/spreadsheetml/2006/main" totalsRowCount="1" ref="F1:G20" displayName="Table_323" name="Table_323" id="323">
  <tableColumns count="2">
    <tableColumn totalsRowFunction="custom" name="DEN Wins" id="1"/>
    <tableColumn totalsRowFunction="custom" name="DEN Losses" id="2"/>
  </tableColumns>
  <tableStyleInfo name="NFC East Counter-style 3" showColumnStripes="0" showFirstColumn="1" showLastColumn="1" showRowStripes="1"/>
</table>
</file>

<file path=xl/tables/table324.xml><?xml version="1.0" encoding="utf-8"?>
<table xmlns="http://schemas.openxmlformats.org/spreadsheetml/2006/main" totalsRowCount="1" ref="H1:I20" displayName="Table_324" name="Table_324" id="324">
  <tableColumns count="2">
    <tableColumn totalsRowFunction="custom" name="LAC Wins" id="1"/>
    <tableColumn totalsRowFunction="custom" name="LAC Losses" id="2"/>
  </tableColumns>
  <tableStyleInfo name="NFC East Counter-style 4" showColumnStripes="0" showFirstColumn="1" showLastColumn="1" showRowStripes="1"/>
</table>
</file>

<file path=xl/tables/table325.xml><?xml version="1.0" encoding="utf-8"?>
<table xmlns="http://schemas.openxmlformats.org/spreadsheetml/2006/main" totalsRowCount="1" ref="J1:K20" displayName="Table_325" name="Table_325" id="325">
  <tableColumns count="2">
    <tableColumn totalsRowFunction="custom" name="BUF Wins" id="1"/>
    <tableColumn totalsRowFunction="custom" name="BUF Losses" id="2"/>
  </tableColumns>
  <tableStyleInfo name="NFC East Counter-style 5" showColumnStripes="0" showFirstColumn="1" showLastColumn="1" showRowStripes="1"/>
</table>
</file>

<file path=xl/tables/table326.xml><?xml version="1.0" encoding="utf-8"?>
<table xmlns="http://schemas.openxmlformats.org/spreadsheetml/2006/main" totalsRowCount="1" ref="L1:M20" displayName="Table_326" name="Table_326" id="326">
  <tableColumns count="2">
    <tableColumn totalsRowFunction="custom" name="MIA Wins" id="1"/>
    <tableColumn totalsRowFunction="custom" name="MIA Losses" id="2"/>
  </tableColumns>
  <tableStyleInfo name="NFC East Counter-style 6" showColumnStripes="0" showFirstColumn="1" showLastColumn="1" showRowStripes="1"/>
</table>
</file>

<file path=xl/tables/table327.xml><?xml version="1.0" encoding="utf-8"?>
<table xmlns="http://schemas.openxmlformats.org/spreadsheetml/2006/main" totalsRowCount="1" ref="N1:O20" displayName="Table_327" name="Table_327" id="327">
  <tableColumns count="2">
    <tableColumn totalsRowFunction="custom" name="NYJ Wins" id="1"/>
    <tableColumn totalsRowFunction="custom" name="NYJ Losses" id="2"/>
  </tableColumns>
  <tableStyleInfo name="NFC East Counter-style 7" showColumnStripes="0" showFirstColumn="1" showLastColumn="1" showRowStripes="1"/>
</table>
</file>

<file path=xl/tables/table328.xml><?xml version="1.0" encoding="utf-8"?>
<table xmlns="http://schemas.openxmlformats.org/spreadsheetml/2006/main" totalsRowCount="1" ref="P1:Q20" displayName="Table_328" name="Table_328" id="328">
  <tableColumns count="2">
    <tableColumn totalsRowFunction="custom" name="NE Wins" id="1"/>
    <tableColumn totalsRowFunction="custom" name="NE Losses" id="2"/>
  </tableColumns>
  <tableStyleInfo name="NFC East Counter-style 8" showColumnStripes="0" showFirstColumn="1" showLastColumn="1" showRowStripes="1"/>
</table>
</file>

<file path=xl/tables/table329.xml><?xml version="1.0" encoding="utf-8"?>
<table xmlns="http://schemas.openxmlformats.org/spreadsheetml/2006/main" totalsRowCount="1" ref="R1:S20" displayName="Table_329" name="Table_329" id="329">
  <tableColumns count="2">
    <tableColumn totalsRowFunction="custom" name="BAL Wins" id="1"/>
    <tableColumn totalsRowFunction="custom" name="BAL Losses" id="2"/>
  </tableColumns>
  <tableStyleInfo name="NFC East Counter-style 9" showColumnStripes="0" showFirstColumn="1" showLastColumn="1" showRowStripes="1"/>
</table>
</file>

<file path=xl/tables/table330.xml><?xml version="1.0" encoding="utf-8"?>
<table xmlns="http://schemas.openxmlformats.org/spreadsheetml/2006/main" totalsRowCount="1" ref="T1:U20" displayName="Table_330" name="Table_330" id="330">
  <tableColumns count="2">
    <tableColumn totalsRowFunction="custom" name="CLE Wins" id="1"/>
    <tableColumn totalsRowFunction="custom" name="CLE Losses" id="2"/>
  </tableColumns>
  <tableStyleInfo name="NFC East Counter-style 10" showColumnStripes="0" showFirstColumn="1" showLastColumn="1" showRowStripes="1"/>
</table>
</file>

<file path=xl/tables/table331.xml><?xml version="1.0" encoding="utf-8"?>
<table xmlns="http://schemas.openxmlformats.org/spreadsheetml/2006/main" totalsRowCount="1" ref="V1:W20" displayName="Table_331" name="Table_331" id="331">
  <tableColumns count="2">
    <tableColumn totalsRowFunction="custom" name="PIT Wins" id="1"/>
    <tableColumn totalsRowFunction="custom" name="PIT Losses" id="2"/>
  </tableColumns>
  <tableStyleInfo name="NFC East Counter-style 11" showColumnStripes="0" showFirstColumn="1" showLastColumn="1" showRowStripes="1"/>
</table>
</file>

<file path=xl/tables/table332.xml><?xml version="1.0" encoding="utf-8"?>
<table xmlns="http://schemas.openxmlformats.org/spreadsheetml/2006/main" totalsRowCount="1" ref="X1:Y20" displayName="Table_332" name="Table_332" id="332">
  <tableColumns count="2">
    <tableColumn totalsRowFunction="custom" name="CIN Wins" id="1"/>
    <tableColumn totalsRowFunction="custom" name="CIN Losses" id="2"/>
  </tableColumns>
  <tableStyleInfo name="NFC East Counter-style 12" showColumnStripes="0" showFirstColumn="1" showLastColumn="1" showRowStripes="1"/>
</table>
</file>

<file path=xl/tables/table333.xml><?xml version="1.0" encoding="utf-8"?>
<table xmlns="http://schemas.openxmlformats.org/spreadsheetml/2006/main" totalsRowCount="1" ref="Z1:AA20" displayName="Table_333" name="Table_333" id="333">
  <tableColumns count="2">
    <tableColumn totalsRowFunction="custom" name="HOU Wins" id="1"/>
    <tableColumn totalsRowFunction="custom" name="HOU Losses" id="2"/>
  </tableColumns>
  <tableStyleInfo name="NFC East Counter-style 13" showColumnStripes="0" showFirstColumn="1" showLastColumn="1" showRowStripes="1"/>
</table>
</file>

<file path=xl/tables/table334.xml><?xml version="1.0" encoding="utf-8"?>
<table xmlns="http://schemas.openxmlformats.org/spreadsheetml/2006/main" totalsRowCount="1" ref="AB1:AC20" displayName="Table_334" name="Table_334" id="334">
  <tableColumns count="2">
    <tableColumn totalsRowFunction="custom" name="JAX Wins" id="1"/>
    <tableColumn totalsRowFunction="custom" name="JAX Losses" id="2"/>
  </tableColumns>
  <tableStyleInfo name="NFC East Counter-style 14" showColumnStripes="0" showFirstColumn="1" showLastColumn="1" showRowStripes="1"/>
</table>
</file>

<file path=xl/tables/table335.xml><?xml version="1.0" encoding="utf-8"?>
<table xmlns="http://schemas.openxmlformats.org/spreadsheetml/2006/main" totalsRowCount="1" ref="AD1:AE20" displayName="Table_335" name="Table_335" id="335">
  <tableColumns count="2">
    <tableColumn totalsRowFunction="custom" name="IND Wins" id="1"/>
    <tableColumn totalsRowFunction="custom" name="IND Losses" id="2"/>
  </tableColumns>
  <tableStyleInfo name="NFC East Counter-style 15" showColumnStripes="0" showFirstColumn="1" showLastColumn="1" showRowStripes="1"/>
</table>
</file>

<file path=xl/tables/table336.xml><?xml version="1.0" encoding="utf-8"?>
<table xmlns="http://schemas.openxmlformats.org/spreadsheetml/2006/main" totalsRowCount="1" ref="AF1:AG20" displayName="Table_336" name="Table_336" id="336">
  <tableColumns count="2">
    <tableColumn totalsRowFunction="custom" name="TEN Wins" id="1"/>
    <tableColumn totalsRowFunction="custom" name="TEN Losses" id="2"/>
  </tableColumns>
  <tableStyleInfo name="NFC East Counter-style 16" showColumnStripes="0" showFirstColumn="1" showLastColumn="1" showRowStripes="1"/>
</table>
</file>

<file path=xl/tables/table337.xml><?xml version="1.0" encoding="utf-8"?>
<table xmlns="http://schemas.openxmlformats.org/spreadsheetml/2006/main" totalsRowCount="1" ref="AH1:AI20" displayName="Table_337" name="Table_337" id="337">
  <tableColumns count="2">
    <tableColumn totalsRowFunction="custom" name="SF Wins" id="1"/>
    <tableColumn totalsRowFunction="custom" name="SF Losses" id="2"/>
  </tableColumns>
  <tableStyleInfo name="NFC East Counter-style 17" showColumnStripes="0" showFirstColumn="1" showLastColumn="1" showRowStripes="1"/>
</table>
</file>

<file path=xl/tables/table338.xml><?xml version="1.0" encoding="utf-8"?>
<table xmlns="http://schemas.openxmlformats.org/spreadsheetml/2006/main" totalsRowCount="1" ref="AJ1:AK20" displayName="Table_338" name="Table_338" id="338">
  <tableColumns count="2">
    <tableColumn totalsRowFunction="custom" name="LAR Wins" id="1"/>
    <tableColumn totalsRowFunction="custom" name="LAR Losses" id="2"/>
  </tableColumns>
  <tableStyleInfo name="NFC East Counter-style 18" showColumnStripes="0" showFirstColumn="1" showLastColumn="1" showRowStripes="1"/>
</table>
</file>

<file path=xl/tables/table339.xml><?xml version="1.0" encoding="utf-8"?>
<table xmlns="http://schemas.openxmlformats.org/spreadsheetml/2006/main" totalsRowCount="1" ref="AL1:AM20" displayName="Table_339" name="Table_339" id="339">
  <tableColumns count="2">
    <tableColumn totalsRowFunction="custom" name="SEA Wins" id="1"/>
    <tableColumn totalsRowFunction="custom" name="SEA Losses" id="2"/>
  </tableColumns>
  <tableStyleInfo name="NFC East Counter-style 19" showColumnStripes="0" showFirstColumn="1" showLastColumn="1" showRowStripes="1"/>
</table>
</file>

<file path=xl/tables/table340.xml><?xml version="1.0" encoding="utf-8"?>
<table xmlns="http://schemas.openxmlformats.org/spreadsheetml/2006/main" totalsRowCount="1" ref="AN1:AO20" displayName="Table_340" name="Table_340" id="340">
  <tableColumns count="2">
    <tableColumn totalsRowFunction="custom" name="AZ Wins" id="1"/>
    <tableColumn totalsRowFunction="custom" name="AZ Losses" id="2"/>
  </tableColumns>
  <tableStyleInfo name="NFC East Counter-style 20" showColumnStripes="0" showFirstColumn="1" showLastColumn="1" showRowStripes="1"/>
</table>
</file>

<file path=xl/tables/table341.xml><?xml version="1.0" encoding="utf-8"?>
<table xmlns="http://schemas.openxmlformats.org/spreadsheetml/2006/main" totalsRowCount="1" ref="AP1:AQ20" displayName="Table_341" name="Table_341" id="341">
  <tableColumns count="2">
    <tableColumn totalsRowFunction="custom" name="DAL Wins" id="1"/>
    <tableColumn totalsRowFunction="custom" name="DAL Losses" id="2"/>
  </tableColumns>
  <tableStyleInfo name="NFC East Counter-style 21" showColumnStripes="0" showFirstColumn="1" showLastColumn="1" showRowStripes="1"/>
</table>
</file>

<file path=xl/tables/table342.xml><?xml version="1.0" encoding="utf-8"?>
<table xmlns="http://schemas.openxmlformats.org/spreadsheetml/2006/main" totalsRowCount="1" ref="AR1:AS20" displayName="Table_342" name="Table_342" id="342">
  <tableColumns count="2">
    <tableColumn totalsRowFunction="custom" name="PHI Wins" id="1"/>
    <tableColumn totalsRowFunction="custom" name="PHI Losses" id="2"/>
  </tableColumns>
  <tableStyleInfo name="NFC East Counter-style 22" showColumnStripes="0" showFirstColumn="1" showLastColumn="1" showRowStripes="1"/>
</table>
</file>

<file path=xl/tables/table343.xml><?xml version="1.0" encoding="utf-8"?>
<table xmlns="http://schemas.openxmlformats.org/spreadsheetml/2006/main" totalsRowCount="1" ref="AT1:AU20" displayName="Table_343" name="Table_343" id="343">
  <tableColumns count="2">
    <tableColumn totalsRowFunction="custom" name="NYG Wins" id="1"/>
    <tableColumn totalsRowFunction="custom" name="NYG Losses" id="2"/>
  </tableColumns>
  <tableStyleInfo name="NFC East Counter-style 23" showColumnStripes="0" showFirstColumn="1" showLastColumn="1" showRowStripes="1"/>
</table>
</file>

<file path=xl/tables/table344.xml><?xml version="1.0" encoding="utf-8"?>
<table xmlns="http://schemas.openxmlformats.org/spreadsheetml/2006/main" totalsRowCount="1" ref="AV1:AW20" displayName="Table_344" name="Table_344" id="344">
  <tableColumns count="2">
    <tableColumn totalsRowFunction="custom" name="WSH Wins" id="1"/>
    <tableColumn totalsRowFunction="custom" name="WSH Losses" id="2"/>
  </tableColumns>
  <tableStyleInfo name="NFC East Counter-style 24" showColumnStripes="0" showFirstColumn="1" showLastColumn="1" showRowStripes="1"/>
</table>
</file>

<file path=xl/tables/table345.xml><?xml version="1.0" encoding="utf-8"?>
<table xmlns="http://schemas.openxmlformats.org/spreadsheetml/2006/main" totalsRowCount="1" ref="AX1:AY20" displayName="Table_345" name="Table_345" id="345">
  <tableColumns count="2">
    <tableColumn totalsRowFunction="custom" name="DET Wins" id="1"/>
    <tableColumn totalsRowFunction="custom" name="DET Losses" id="2"/>
  </tableColumns>
  <tableStyleInfo name="NFC East Counter-style 25" showColumnStripes="0" showFirstColumn="1" showLastColumn="1" showRowStripes="1"/>
</table>
</file>

<file path=xl/tables/table346.xml><?xml version="1.0" encoding="utf-8"?>
<table xmlns="http://schemas.openxmlformats.org/spreadsheetml/2006/main" totalsRowCount="1" ref="AZ1:BA20" displayName="Table_346" name="Table_346" id="346">
  <tableColumns count="2">
    <tableColumn totalsRowFunction="custom" name="GB Wins" id="1"/>
    <tableColumn totalsRowFunction="custom" name="GB Losses" id="2"/>
  </tableColumns>
  <tableStyleInfo name="NFC East Counter-style 26" showColumnStripes="0" showFirstColumn="1" showLastColumn="1" showRowStripes="1"/>
</table>
</file>

<file path=xl/tables/table347.xml><?xml version="1.0" encoding="utf-8"?>
<table xmlns="http://schemas.openxmlformats.org/spreadsheetml/2006/main" totalsRowCount="1" ref="BB1:BC20" displayName="Table_347" name="Table_347" id="347">
  <tableColumns count="2">
    <tableColumn totalsRowFunction="custom" name="MIN Wins" id="1"/>
    <tableColumn totalsRowFunction="custom" name="MIN Losses" id="2"/>
  </tableColumns>
  <tableStyleInfo name="NFC East Counter-style 27" showColumnStripes="0" showFirstColumn="1" showLastColumn="1" showRowStripes="1"/>
</table>
</file>

<file path=xl/tables/table348.xml><?xml version="1.0" encoding="utf-8"?>
<table xmlns="http://schemas.openxmlformats.org/spreadsheetml/2006/main" totalsRowCount="1" ref="BD1:BE20" displayName="Table_348" name="Table_348" id="348">
  <tableColumns count="2">
    <tableColumn totalsRowFunction="custom" name="CHI Wins" id="1"/>
    <tableColumn totalsRowFunction="custom" name="CHI Losses" id="2"/>
  </tableColumns>
  <tableStyleInfo name="NFC East Counter-style 28" showColumnStripes="0" showFirstColumn="1" showLastColumn="1" showRowStripes="1"/>
</table>
</file>

<file path=xl/tables/table349.xml><?xml version="1.0" encoding="utf-8"?>
<table xmlns="http://schemas.openxmlformats.org/spreadsheetml/2006/main" totalsRowCount="1" ref="BF1:BG20" displayName="Table_350" name="Table_350" id="350">
  <tableColumns count="2">
    <tableColumn totalsRowFunction="custom" name="TB Wins" id="1"/>
    <tableColumn totalsRowFunction="custom" name="TB Losses" id="2"/>
  </tableColumns>
  <tableStyleInfo name="NFC East Counter-style 29" showColumnStripes="0" showFirstColumn="1" showLastColumn="1" showRowStripes="1"/>
</table>
</file>

<file path=xl/tables/table350.xml><?xml version="1.0" encoding="utf-8"?>
<table xmlns="http://schemas.openxmlformats.org/spreadsheetml/2006/main" totalsRowCount="1" ref="BH1:BI20" displayName="Table_351" name="Table_351" id="351">
  <tableColumns count="2">
    <tableColumn totalsRowFunction="custom" name="NO Wins" id="1"/>
    <tableColumn totalsRowFunction="custom" name="NO Losses" id="2"/>
  </tableColumns>
  <tableStyleInfo name="NFC East Counter-style 30" showColumnStripes="0" showFirstColumn="1" showLastColumn="1" showRowStripes="1"/>
</table>
</file>

<file path=xl/tables/table351.xml><?xml version="1.0" encoding="utf-8"?>
<table xmlns="http://schemas.openxmlformats.org/spreadsheetml/2006/main" totalsRowCount="1" ref="BJ1:BK20" displayName="Table_352" name="Table_352" id="352">
  <tableColumns count="2">
    <tableColumn totalsRowFunction="custom" name="ATL Wins" id="1"/>
    <tableColumn totalsRowFunction="custom" name="ATL Losses" id="2"/>
  </tableColumns>
  <tableStyleInfo name="NFC East Counter-style 31" showColumnStripes="0" showFirstColumn="1" showLastColumn="1" showRowStripes="1"/>
</table>
</file>

<file path=xl/tables/table352.xml><?xml version="1.0" encoding="utf-8"?>
<table xmlns="http://schemas.openxmlformats.org/spreadsheetml/2006/main" totalsRowCount="1" ref="BL1:BM20" displayName="Table_353" name="Table_353" id="353">
  <tableColumns count="2">
    <tableColumn totalsRowFunction="custom" name="CAR Wins" id="1"/>
    <tableColumn totalsRowFunction="custom" name="CAR Losses" id="2"/>
  </tableColumns>
  <tableStyleInfo name="NFC East Counter-style 32" showColumnStripes="0" showFirstColumn="1" showLastColumn="1" showRowStripes="1"/>
</table>
</file>

<file path=xl/tables/table353.xml><?xml version="1.0" encoding="utf-8"?>
<table xmlns="http://schemas.openxmlformats.org/spreadsheetml/2006/main" totalsRowCount="1" ref="B1:C20" displayName="Table_349" name="Table_349" id="349">
  <tableColumns count="2">
    <tableColumn totalsRowFunction="custom" name="KC Wins" id="1"/>
    <tableColumn totalsRowFunction="custom" name="KC Losses" id="2"/>
  </tableColumns>
  <tableStyleInfo name="NFC North Counter-style" showColumnStripes="0" showFirstColumn="1" showLastColumn="1" showRowStripes="1"/>
</table>
</file>

<file path=xl/tables/table354.xml><?xml version="1.0" encoding="utf-8"?>
<table xmlns="http://schemas.openxmlformats.org/spreadsheetml/2006/main" totalsRowCount="1" ref="D1:E20" displayName="Table_354" name="Table_354" id="354">
  <tableColumns count="2">
    <tableColumn totalsRowFunction="custom" name="LV Wins" id="1"/>
    <tableColumn totalsRowFunction="custom" name="LV Losses" id="2"/>
  </tableColumns>
  <tableStyleInfo name="NFC North Counter-style 2" showColumnStripes="0" showFirstColumn="1" showLastColumn="1" showRowStripes="1"/>
</table>
</file>

<file path=xl/tables/table355.xml><?xml version="1.0" encoding="utf-8"?>
<table xmlns="http://schemas.openxmlformats.org/spreadsheetml/2006/main" totalsRowCount="1" ref="F1:G20" displayName="Table_355" name="Table_355" id="355">
  <tableColumns count="2">
    <tableColumn totalsRowFunction="custom" name="DEN Wins" id="1"/>
    <tableColumn totalsRowFunction="custom" name="DEN Losses" id="2"/>
  </tableColumns>
  <tableStyleInfo name="NFC North Counter-style 3" showColumnStripes="0" showFirstColumn="1" showLastColumn="1" showRowStripes="1"/>
</table>
</file>

<file path=xl/tables/table356.xml><?xml version="1.0" encoding="utf-8"?>
<table xmlns="http://schemas.openxmlformats.org/spreadsheetml/2006/main" totalsRowCount="1" ref="H1:I20" displayName="Table_356" name="Table_356" id="356">
  <tableColumns count="2">
    <tableColumn totalsRowFunction="custom" name="LAC Wins" id="1"/>
    <tableColumn totalsRowFunction="custom" name="LAC Losses" id="2"/>
  </tableColumns>
  <tableStyleInfo name="NFC North Counter-style 4" showColumnStripes="0" showFirstColumn="1" showLastColumn="1" showRowStripes="1"/>
</table>
</file>

<file path=xl/tables/table357.xml><?xml version="1.0" encoding="utf-8"?>
<table xmlns="http://schemas.openxmlformats.org/spreadsheetml/2006/main" totalsRowCount="1" ref="J1:K20" displayName="Table_357" name="Table_357" id="357">
  <tableColumns count="2">
    <tableColumn totalsRowFunction="custom" name="BUF Wins" id="1"/>
    <tableColumn totalsRowFunction="custom" name="BUF Losses" id="2"/>
  </tableColumns>
  <tableStyleInfo name="NFC North Counter-style 5" showColumnStripes="0" showFirstColumn="1" showLastColumn="1" showRowStripes="1"/>
</table>
</file>

<file path=xl/tables/table358.xml><?xml version="1.0" encoding="utf-8"?>
<table xmlns="http://schemas.openxmlformats.org/spreadsheetml/2006/main" totalsRowCount="1" ref="L1:M20" displayName="Table_358" name="Table_358" id="358">
  <tableColumns count="2">
    <tableColumn totalsRowFunction="custom" name="MIA Wins" id="1"/>
    <tableColumn totalsRowFunction="custom" name="MIA Losses" id="2"/>
  </tableColumns>
  <tableStyleInfo name="NFC North Counter-style 6" showColumnStripes="0" showFirstColumn="1" showLastColumn="1" showRowStripes="1"/>
</table>
</file>

<file path=xl/tables/table359.xml><?xml version="1.0" encoding="utf-8"?>
<table xmlns="http://schemas.openxmlformats.org/spreadsheetml/2006/main" totalsRowCount="1" ref="N1:O20" displayName="Table_359" name="Table_359" id="359">
  <tableColumns count="2">
    <tableColumn totalsRowFunction="custom" name="NYJ Wins" id="1"/>
    <tableColumn totalsRowFunction="custom" name="NYJ Losses" id="2"/>
  </tableColumns>
  <tableStyleInfo name="NFC North Counter-style 7" showColumnStripes="0" showFirstColumn="1" showLastColumn="1" showRowStripes="1"/>
</table>
</file>

<file path=xl/tables/table360.xml><?xml version="1.0" encoding="utf-8"?>
<table xmlns="http://schemas.openxmlformats.org/spreadsheetml/2006/main" totalsRowCount="1" ref="P1:Q20" displayName="Table_360" name="Table_360" id="360">
  <tableColumns count="2">
    <tableColumn totalsRowFunction="custom" name="NE Wins" id="1"/>
    <tableColumn totalsRowFunction="custom" name="NE Losses" id="2"/>
  </tableColumns>
  <tableStyleInfo name="NFC North Counter-style 8" showColumnStripes="0" showFirstColumn="1" showLastColumn="1" showRowStripes="1"/>
</table>
</file>

<file path=xl/tables/table361.xml><?xml version="1.0" encoding="utf-8"?>
<table xmlns="http://schemas.openxmlformats.org/spreadsheetml/2006/main" totalsRowCount="1" ref="R1:S20" displayName="Table_361" name="Table_361" id="361">
  <tableColumns count="2">
    <tableColumn totalsRowFunction="custom" name="BAL Wins" id="1"/>
    <tableColumn totalsRowFunction="custom" name="BAL Losses" id="2"/>
  </tableColumns>
  <tableStyleInfo name="NFC North Counter-style 9" showColumnStripes="0" showFirstColumn="1" showLastColumn="1" showRowStripes="1"/>
</table>
</file>

<file path=xl/tables/table362.xml><?xml version="1.0" encoding="utf-8"?>
<table xmlns="http://schemas.openxmlformats.org/spreadsheetml/2006/main" totalsRowCount="1" ref="T1:U20" displayName="Table_362" name="Table_362" id="362">
  <tableColumns count="2">
    <tableColumn totalsRowFunction="custom" name="CLE Wins" id="1"/>
    <tableColumn totalsRowFunction="custom" name="CLE Losses" id="2"/>
  </tableColumns>
  <tableStyleInfo name="NFC North Counter-style 10" showColumnStripes="0" showFirstColumn="1" showLastColumn="1" showRowStripes="1"/>
</table>
</file>

<file path=xl/tables/table363.xml><?xml version="1.0" encoding="utf-8"?>
<table xmlns="http://schemas.openxmlformats.org/spreadsheetml/2006/main" totalsRowCount="1" ref="V1:W20" displayName="Table_363" name="Table_363" id="363">
  <tableColumns count="2">
    <tableColumn totalsRowFunction="custom" name="PIT Wins" id="1"/>
    <tableColumn totalsRowFunction="custom" name="PIT Losses" id="2"/>
  </tableColumns>
  <tableStyleInfo name="NFC North Counter-style 11" showColumnStripes="0" showFirstColumn="1" showLastColumn="1" showRowStripes="1"/>
</table>
</file>

<file path=xl/tables/table364.xml><?xml version="1.0" encoding="utf-8"?>
<table xmlns="http://schemas.openxmlformats.org/spreadsheetml/2006/main" totalsRowCount="1" ref="X1:Y20" displayName="Table_364" name="Table_364" id="364">
  <tableColumns count="2">
    <tableColumn totalsRowFunction="custom" name="CIN Wins" id="1"/>
    <tableColumn totalsRowFunction="custom" name="CIN Losses" id="2"/>
  </tableColumns>
  <tableStyleInfo name="NFC North Counter-style 12" showColumnStripes="0" showFirstColumn="1" showLastColumn="1" showRowStripes="1"/>
</table>
</file>

<file path=xl/tables/table365.xml><?xml version="1.0" encoding="utf-8"?>
<table xmlns="http://schemas.openxmlformats.org/spreadsheetml/2006/main" totalsRowCount="1" ref="Z1:AA20" displayName="Table_365" name="Table_365" id="365">
  <tableColumns count="2">
    <tableColumn totalsRowFunction="custom" name="HOU Wins" id="1"/>
    <tableColumn totalsRowFunction="custom" name="HOU Losses" id="2"/>
  </tableColumns>
  <tableStyleInfo name="NFC North Counter-style 13" showColumnStripes="0" showFirstColumn="1" showLastColumn="1" showRowStripes="1"/>
</table>
</file>

<file path=xl/tables/table366.xml><?xml version="1.0" encoding="utf-8"?>
<table xmlns="http://schemas.openxmlformats.org/spreadsheetml/2006/main" totalsRowCount="1" ref="AB1:AC20" displayName="Table_366" name="Table_366" id="366">
  <tableColumns count="2">
    <tableColumn totalsRowFunction="custom" name="JAX Wins" id="1"/>
    <tableColumn totalsRowFunction="custom" name="JAX Losses" id="2"/>
  </tableColumns>
  <tableStyleInfo name="NFC North Counter-style 14" showColumnStripes="0" showFirstColumn="1" showLastColumn="1" showRowStripes="1"/>
</table>
</file>

<file path=xl/tables/table367.xml><?xml version="1.0" encoding="utf-8"?>
<table xmlns="http://schemas.openxmlformats.org/spreadsheetml/2006/main" totalsRowCount="1" ref="AD1:AE20" displayName="Table_367" name="Table_367" id="367">
  <tableColumns count="2">
    <tableColumn totalsRowFunction="custom" name="IND Wins" id="1"/>
    <tableColumn totalsRowFunction="custom" name="IND Losses" id="2"/>
  </tableColumns>
  <tableStyleInfo name="NFC North Counter-style 15" showColumnStripes="0" showFirstColumn="1" showLastColumn="1" showRowStripes="1"/>
</table>
</file>

<file path=xl/tables/table368.xml><?xml version="1.0" encoding="utf-8"?>
<table xmlns="http://schemas.openxmlformats.org/spreadsheetml/2006/main" totalsRowCount="1" ref="AF1:AG20" displayName="Table_368" name="Table_368" id="368">
  <tableColumns count="2">
    <tableColumn totalsRowFunction="custom" name="TEN Wins" id="1"/>
    <tableColumn totalsRowFunction="custom" name="TEN Losses" id="2"/>
  </tableColumns>
  <tableStyleInfo name="NFC North Counter-style 16" showColumnStripes="0" showFirstColumn="1" showLastColumn="1" showRowStripes="1"/>
</table>
</file>

<file path=xl/tables/table369.xml><?xml version="1.0" encoding="utf-8"?>
<table xmlns="http://schemas.openxmlformats.org/spreadsheetml/2006/main" totalsRowCount="1" ref="AH1:AI20" displayName="Table_369" name="Table_369" id="369">
  <tableColumns count="2">
    <tableColumn totalsRowFunction="custom" name="SF Wins" id="1"/>
    <tableColumn totalsRowFunction="custom" name="SF Losses" id="2"/>
  </tableColumns>
  <tableStyleInfo name="NFC North Counter-style 17" showColumnStripes="0" showFirstColumn="1" showLastColumn="1" showRowStripes="1"/>
</table>
</file>

<file path=xl/tables/table370.xml><?xml version="1.0" encoding="utf-8"?>
<table xmlns="http://schemas.openxmlformats.org/spreadsheetml/2006/main" totalsRowCount="1" ref="AJ1:AK20" displayName="Table_370" name="Table_370" id="370">
  <tableColumns count="2">
    <tableColumn totalsRowFunction="custom" name="LAR Wins" id="1"/>
    <tableColumn totalsRowFunction="custom" name="LAR Losses" id="2"/>
  </tableColumns>
  <tableStyleInfo name="NFC North Counter-style 18" showColumnStripes="0" showFirstColumn="1" showLastColumn="1" showRowStripes="1"/>
</table>
</file>

<file path=xl/tables/table371.xml><?xml version="1.0" encoding="utf-8"?>
<table xmlns="http://schemas.openxmlformats.org/spreadsheetml/2006/main" totalsRowCount="1" ref="AL1:AM20" displayName="Table_371" name="Table_371" id="371">
  <tableColumns count="2">
    <tableColumn totalsRowFunction="custom" name="SEA Wins" id="1"/>
    <tableColumn totalsRowFunction="custom" name="SEA Losses" id="2"/>
  </tableColumns>
  <tableStyleInfo name="NFC North Counter-style 19" showColumnStripes="0" showFirstColumn="1" showLastColumn="1" showRowStripes="1"/>
</table>
</file>

<file path=xl/tables/table372.xml><?xml version="1.0" encoding="utf-8"?>
<table xmlns="http://schemas.openxmlformats.org/spreadsheetml/2006/main" totalsRowCount="1" ref="AN1:AO20" displayName="Table_372" name="Table_372" id="372">
  <tableColumns count="2">
    <tableColumn totalsRowFunction="custom" name="AZ Wins" id="1"/>
    <tableColumn totalsRowFunction="custom" name="AZ Losses" id="2"/>
  </tableColumns>
  <tableStyleInfo name="NFC North Counter-style 20" showColumnStripes="0" showFirstColumn="1" showLastColumn="1" showRowStripes="1"/>
</table>
</file>

<file path=xl/tables/table373.xml><?xml version="1.0" encoding="utf-8"?>
<table xmlns="http://schemas.openxmlformats.org/spreadsheetml/2006/main" totalsRowCount="1" ref="AP1:AQ20" displayName="Table_373" name="Table_373" id="373">
  <tableColumns count="2">
    <tableColumn totalsRowFunction="custom" name="DAL Wins" id="1"/>
    <tableColumn totalsRowFunction="custom" name="DAL Losses" id="2"/>
  </tableColumns>
  <tableStyleInfo name="NFC North Counter-style 21" showColumnStripes="0" showFirstColumn="1" showLastColumn="1" showRowStripes="1"/>
</table>
</file>

<file path=xl/tables/table374.xml><?xml version="1.0" encoding="utf-8"?>
<table xmlns="http://schemas.openxmlformats.org/spreadsheetml/2006/main" totalsRowCount="1" ref="AR1:AS20" displayName="Table_374" name="Table_374" id="374">
  <tableColumns count="2">
    <tableColumn totalsRowFunction="custom" name="PHI Wins" id="1"/>
    <tableColumn totalsRowFunction="custom" name="PHI Losses" id="2"/>
  </tableColumns>
  <tableStyleInfo name="NFC North Counter-style 22" showColumnStripes="0" showFirstColumn="1" showLastColumn="1" showRowStripes="1"/>
</table>
</file>

<file path=xl/tables/table375.xml><?xml version="1.0" encoding="utf-8"?>
<table xmlns="http://schemas.openxmlformats.org/spreadsheetml/2006/main" totalsRowCount="1" ref="AT1:AU20" displayName="Table_375" name="Table_375" id="375">
  <tableColumns count="2">
    <tableColumn totalsRowFunction="custom" name="NYG Wins" id="1"/>
    <tableColumn totalsRowFunction="custom" name="NYG Losses" id="2"/>
  </tableColumns>
  <tableStyleInfo name="NFC North Counter-style 23" showColumnStripes="0" showFirstColumn="1" showLastColumn="1" showRowStripes="1"/>
</table>
</file>

<file path=xl/tables/table376.xml><?xml version="1.0" encoding="utf-8"?>
<table xmlns="http://schemas.openxmlformats.org/spreadsheetml/2006/main" totalsRowCount="1" ref="AV1:AW20" displayName="Table_376" name="Table_376" id="376">
  <tableColumns count="2">
    <tableColumn totalsRowFunction="custom" name="WSH Wins" id="1"/>
    <tableColumn totalsRowFunction="custom" name="WSH Losses" id="2"/>
  </tableColumns>
  <tableStyleInfo name="NFC North Counter-style 24" showColumnStripes="0" showFirstColumn="1" showLastColumn="1" showRowStripes="1"/>
</table>
</file>

<file path=xl/tables/table377.xml><?xml version="1.0" encoding="utf-8"?>
<table xmlns="http://schemas.openxmlformats.org/spreadsheetml/2006/main" totalsRowCount="1" ref="AX1:AY20" displayName="Table_377" name="Table_377" id="377">
  <tableColumns count="2">
    <tableColumn totalsRowFunction="custom" name="DET Wins" id="1"/>
    <tableColumn totalsRowFunction="custom" name="DET Losses" id="2"/>
  </tableColumns>
  <tableStyleInfo name="NFC North Counter-style 25" showColumnStripes="0" showFirstColumn="1" showLastColumn="1" showRowStripes="1"/>
</table>
</file>

<file path=xl/tables/table378.xml><?xml version="1.0" encoding="utf-8"?>
<table xmlns="http://schemas.openxmlformats.org/spreadsheetml/2006/main" totalsRowCount="1" ref="AZ1:BA20" displayName="Table_378" name="Table_378" id="378">
  <tableColumns count="2">
    <tableColumn totalsRowFunction="custom" name="GB Wins" id="1"/>
    <tableColumn totalsRowFunction="custom" name="GB Losses" id="2"/>
  </tableColumns>
  <tableStyleInfo name="NFC North Counter-style 26" showColumnStripes="0" showFirstColumn="1" showLastColumn="1" showRowStripes="1"/>
</table>
</file>

<file path=xl/tables/table379.xml><?xml version="1.0" encoding="utf-8"?>
<table xmlns="http://schemas.openxmlformats.org/spreadsheetml/2006/main" totalsRowCount="1" ref="BB1:BC20" displayName="Table_379" name="Table_379" id="379">
  <tableColumns count="2">
    <tableColumn totalsRowFunction="custom" name="MIN Wins" id="1"/>
    <tableColumn totalsRowFunction="custom" name="MIN Losses" id="2"/>
  </tableColumns>
  <tableStyleInfo name="NFC North Counter-style 27" showColumnStripes="0" showFirstColumn="1" showLastColumn="1" showRowStripes="1"/>
</table>
</file>

<file path=xl/tables/table380.xml><?xml version="1.0" encoding="utf-8"?>
<table xmlns="http://schemas.openxmlformats.org/spreadsheetml/2006/main" totalsRowCount="1" ref="BD1:BE20" displayName="Table_380" name="Table_380" id="380">
  <tableColumns count="2">
    <tableColumn totalsRowFunction="custom" name="CHI Wins" id="1"/>
    <tableColumn totalsRowFunction="custom" name="CHI Losses" id="2"/>
  </tableColumns>
  <tableStyleInfo name="NFC North Counter-style 28" showColumnStripes="0" showFirstColumn="1" showLastColumn="1" showRowStripes="1"/>
</table>
</file>

<file path=xl/tables/table381.xml><?xml version="1.0" encoding="utf-8"?>
<table xmlns="http://schemas.openxmlformats.org/spreadsheetml/2006/main" totalsRowCount="1" ref="BF1:BG20" displayName="Table_381" name="Table_381" id="381">
  <tableColumns count="2">
    <tableColumn totalsRowFunction="custom" name="TB Wins" id="1"/>
    <tableColumn totalsRowFunction="custom" name="TB Losses" id="2"/>
  </tableColumns>
  <tableStyleInfo name="NFC North Counter-style 29" showColumnStripes="0" showFirstColumn="1" showLastColumn="1" showRowStripes="1"/>
</table>
</file>

<file path=xl/tables/table382.xml><?xml version="1.0" encoding="utf-8"?>
<table xmlns="http://schemas.openxmlformats.org/spreadsheetml/2006/main" totalsRowCount="1" ref="BH1:BI20" displayName="Table_382" name="Table_382" id="382">
  <tableColumns count="2">
    <tableColumn totalsRowFunction="custom" name="NO Wins" id="1"/>
    <tableColumn totalsRowFunction="custom" name="NO Losses" id="2"/>
  </tableColumns>
  <tableStyleInfo name="NFC North Counter-style 30" showColumnStripes="0" showFirstColumn="1" showLastColumn="1" showRowStripes="1"/>
</table>
</file>

<file path=xl/tables/table383.xml><?xml version="1.0" encoding="utf-8"?>
<table xmlns="http://schemas.openxmlformats.org/spreadsheetml/2006/main" totalsRowCount="1" ref="BJ1:BK20" displayName="Table_383" name="Table_383" id="383">
  <tableColumns count="2">
    <tableColumn totalsRowFunction="custom" name="ATL Wins" id="1"/>
    <tableColumn totalsRowFunction="custom" name="ATL Losses" id="2"/>
  </tableColumns>
  <tableStyleInfo name="NFC North Counter-style 31" showColumnStripes="0" showFirstColumn="1" showLastColumn="1" showRowStripes="1"/>
</table>
</file>

<file path=xl/tables/table384.xml><?xml version="1.0" encoding="utf-8"?>
<table xmlns="http://schemas.openxmlformats.org/spreadsheetml/2006/main" totalsRowCount="1" ref="BL1:BM20" displayName="Table_384" name="Table_384" id="384">
  <tableColumns count="2">
    <tableColumn totalsRowFunction="custom" name="CAR Wins" id="1"/>
    <tableColumn totalsRowFunction="custom" name="CAR Losses" id="2"/>
  </tableColumns>
  <tableStyleInfo name="NFC North Counter-style 32" showColumnStripes="0" showFirstColumn="1" showLastColumn="1" showRowStripes="1"/>
</table>
</file>

<file path=xl/tables/table385.xml><?xml version="1.0" encoding="utf-8"?>
<table xmlns="http://schemas.openxmlformats.org/spreadsheetml/2006/main" totalsRowCount="1" ref="B1:C20" displayName="Table_385" name="Table_385" id="385">
  <tableColumns count="2">
    <tableColumn totalsRowFunction="custom" name="KC Wins" id="1"/>
    <tableColumn totalsRowFunction="custom" name="KC Losses" id="2"/>
  </tableColumns>
  <tableStyleInfo name="NFC South Counter-style" showColumnStripes="0" showFirstColumn="1" showLastColumn="1" showRowStripes="1"/>
</table>
</file>

<file path=xl/tables/table386.xml><?xml version="1.0" encoding="utf-8"?>
<table xmlns="http://schemas.openxmlformats.org/spreadsheetml/2006/main" totalsRowCount="1" ref="D1:E20" displayName="Table_386" name="Table_386" id="386">
  <tableColumns count="2">
    <tableColumn totalsRowFunction="custom" name="LV Wins" id="1"/>
    <tableColumn totalsRowFunction="custom" name="LV Losses" id="2"/>
  </tableColumns>
  <tableStyleInfo name="NFC South Counter-style 2" showColumnStripes="0" showFirstColumn="1" showLastColumn="1" showRowStripes="1"/>
</table>
</file>

<file path=xl/tables/table387.xml><?xml version="1.0" encoding="utf-8"?>
<table xmlns="http://schemas.openxmlformats.org/spreadsheetml/2006/main" totalsRowCount="1" ref="F1:G20" displayName="Table_387" name="Table_387" id="387">
  <tableColumns count="2">
    <tableColumn totalsRowFunction="custom" name="DEN Wins" id="1"/>
    <tableColumn totalsRowFunction="custom" name="DEN Losses" id="2"/>
  </tableColumns>
  <tableStyleInfo name="NFC South Counter-style 3" showColumnStripes="0" showFirstColumn="1" showLastColumn="1" showRowStripes="1"/>
</table>
</file>

<file path=xl/tables/table388.xml><?xml version="1.0" encoding="utf-8"?>
<table xmlns="http://schemas.openxmlformats.org/spreadsheetml/2006/main" totalsRowCount="1" ref="H1:I20" displayName="Table_388" name="Table_388" id="388">
  <tableColumns count="2">
    <tableColumn totalsRowFunction="custom" name="LAC Wins" id="1"/>
    <tableColumn totalsRowFunction="custom" name="LAC Losses" id="2"/>
  </tableColumns>
  <tableStyleInfo name="NFC South Counter-style 4" showColumnStripes="0" showFirstColumn="1" showLastColumn="1" showRowStripes="1"/>
</table>
</file>

<file path=xl/tables/table389.xml><?xml version="1.0" encoding="utf-8"?>
<table xmlns="http://schemas.openxmlformats.org/spreadsheetml/2006/main" totalsRowCount="1" ref="J1:K20" displayName="Table_389" name="Table_389" id="389">
  <tableColumns count="2">
    <tableColumn totalsRowFunction="custom" name="BUF Wins" id="1"/>
    <tableColumn totalsRowFunction="custom" name="BUF Losses" id="2"/>
  </tableColumns>
  <tableStyleInfo name="NFC South Counter-style 5" showColumnStripes="0" showFirstColumn="1" showLastColumn="1" showRowStripes="1"/>
</table>
</file>

<file path=xl/tables/table390.xml><?xml version="1.0" encoding="utf-8"?>
<table xmlns="http://schemas.openxmlformats.org/spreadsheetml/2006/main" totalsRowCount="1" ref="L1:M20" displayName="Table_390" name="Table_390" id="390">
  <tableColumns count="2">
    <tableColumn totalsRowFunction="custom" name="MIA Wins" id="1"/>
    <tableColumn totalsRowFunction="custom" name="MIA Losses" id="2"/>
  </tableColumns>
  <tableStyleInfo name="NFC South Counter-style 6" showColumnStripes="0" showFirstColumn="1" showLastColumn="1" showRowStripes="1"/>
</table>
</file>

<file path=xl/tables/table391.xml><?xml version="1.0" encoding="utf-8"?>
<table xmlns="http://schemas.openxmlformats.org/spreadsheetml/2006/main" totalsRowCount="1" ref="N1:O20" displayName="Table_391" name="Table_391" id="391">
  <tableColumns count="2">
    <tableColumn totalsRowFunction="custom" name="NYJ Wins" id="1"/>
    <tableColumn totalsRowFunction="custom" name="NYJ Losses" id="2"/>
  </tableColumns>
  <tableStyleInfo name="NFC South Counter-style 7" showColumnStripes="0" showFirstColumn="1" showLastColumn="1" showRowStripes="1"/>
</table>
</file>

<file path=xl/tables/table392.xml><?xml version="1.0" encoding="utf-8"?>
<table xmlns="http://schemas.openxmlformats.org/spreadsheetml/2006/main" totalsRowCount="1" ref="P1:Q20" displayName="Table_392" name="Table_392" id="392">
  <tableColumns count="2">
    <tableColumn totalsRowFunction="custom" name="NE Wins" id="1"/>
    <tableColumn totalsRowFunction="custom" name="NE Losses" id="2"/>
  </tableColumns>
  <tableStyleInfo name="NFC South Counter-style 8" showColumnStripes="0" showFirstColumn="1" showLastColumn="1" showRowStripes="1"/>
</table>
</file>

<file path=xl/tables/table393.xml><?xml version="1.0" encoding="utf-8"?>
<table xmlns="http://schemas.openxmlformats.org/spreadsheetml/2006/main" totalsRowCount="1" ref="R1:S20" displayName="Table_393" name="Table_393" id="393">
  <tableColumns count="2">
    <tableColumn totalsRowFunction="custom" name="BAL Wins" id="1"/>
    <tableColumn totalsRowFunction="custom" name="BAL Losses" id="2"/>
  </tableColumns>
  <tableStyleInfo name="NFC South Counter-style 9" showColumnStripes="0" showFirstColumn="1" showLastColumn="1" showRowStripes="1"/>
</table>
</file>

<file path=xl/tables/table394.xml><?xml version="1.0" encoding="utf-8"?>
<table xmlns="http://schemas.openxmlformats.org/spreadsheetml/2006/main" totalsRowCount="1" ref="T1:U20" displayName="Table_394" name="Table_394" id="394">
  <tableColumns count="2">
    <tableColumn totalsRowFunction="custom" name="CLE Wins" id="1"/>
    <tableColumn totalsRowFunction="custom" name="CLE Losses" id="2"/>
  </tableColumns>
  <tableStyleInfo name="NFC South Counter-style 10" showColumnStripes="0" showFirstColumn="1" showLastColumn="1" showRowStripes="1"/>
</table>
</file>

<file path=xl/tables/table395.xml><?xml version="1.0" encoding="utf-8"?>
<table xmlns="http://schemas.openxmlformats.org/spreadsheetml/2006/main" totalsRowCount="1" ref="V1:W20" displayName="Table_395" name="Table_395" id="395">
  <tableColumns count="2">
    <tableColumn totalsRowFunction="custom" name="PIT Wins" id="1"/>
    <tableColumn totalsRowFunction="custom" name="PIT Losses" id="2"/>
  </tableColumns>
  <tableStyleInfo name="NFC South Counter-style 11" showColumnStripes="0" showFirstColumn="1" showLastColumn="1" showRowStripes="1"/>
</table>
</file>

<file path=xl/tables/table396.xml><?xml version="1.0" encoding="utf-8"?>
<table xmlns="http://schemas.openxmlformats.org/spreadsheetml/2006/main" totalsRowCount="1" ref="X1:Y20" displayName="Table_396" name="Table_396" id="396">
  <tableColumns count="2">
    <tableColumn totalsRowFunction="custom" name="CIN Wins" id="1"/>
    <tableColumn totalsRowFunction="custom" name="CIN Losses" id="2"/>
  </tableColumns>
  <tableStyleInfo name="NFC South Counter-style 12" showColumnStripes="0" showFirstColumn="1" showLastColumn="1" showRowStripes="1"/>
</table>
</file>

<file path=xl/tables/table397.xml><?xml version="1.0" encoding="utf-8"?>
<table xmlns="http://schemas.openxmlformats.org/spreadsheetml/2006/main" totalsRowCount="1" ref="Z1:AA20" displayName="Table_397" name="Table_397" id="397">
  <tableColumns count="2">
    <tableColumn totalsRowFunction="custom" name="HOU Wins" id="1"/>
    <tableColumn totalsRowFunction="custom" name="HOU Losses" id="2"/>
  </tableColumns>
  <tableStyleInfo name="NFC South Counter-style 13" showColumnStripes="0" showFirstColumn="1" showLastColumn="1" showRowStripes="1"/>
</table>
</file>

<file path=xl/tables/table398.xml><?xml version="1.0" encoding="utf-8"?>
<table xmlns="http://schemas.openxmlformats.org/spreadsheetml/2006/main" totalsRowCount="1" ref="AB1:AC20" displayName="Table_398" name="Table_398" id="398">
  <tableColumns count="2">
    <tableColumn totalsRowFunction="custom" name="JAX Wins" id="1"/>
    <tableColumn totalsRowFunction="custom" name="JAX Losses" id="2"/>
  </tableColumns>
  <tableStyleInfo name="NFC South Counter-style 14" showColumnStripes="0" showFirstColumn="1" showLastColumn="1" showRowStripes="1"/>
</table>
</file>

<file path=xl/tables/table399.xml><?xml version="1.0" encoding="utf-8"?>
<table xmlns="http://schemas.openxmlformats.org/spreadsheetml/2006/main" totalsRowCount="1" ref="AD1:AE20" displayName="Table_399" name="Table_399" id="399">
  <tableColumns count="2">
    <tableColumn totalsRowFunction="custom" name="IND Wins" id="1"/>
    <tableColumn totalsRowFunction="custom" name="IND Losses" id="2"/>
  </tableColumns>
  <tableStyleInfo name="NFC South Counter-style 15" showColumnStripes="0" showFirstColumn="1" showLastColumn="1" showRowStripes="1"/>
</table>
</file>

<file path=xl/tables/table400.xml><?xml version="1.0" encoding="utf-8"?>
<table xmlns="http://schemas.openxmlformats.org/spreadsheetml/2006/main" totalsRowCount="1" ref="AF1:AG20" displayName="Table_400" name="Table_400" id="400">
  <tableColumns count="2">
    <tableColumn totalsRowFunction="custom" name="TEN Wins" id="1"/>
    <tableColumn totalsRowFunction="custom" name="TEN Losses" id="2"/>
  </tableColumns>
  <tableStyleInfo name="NFC South Counter-style 16" showColumnStripes="0" showFirstColumn="1" showLastColumn="1" showRowStripes="1"/>
</table>
</file>

<file path=xl/tables/table401.xml><?xml version="1.0" encoding="utf-8"?>
<table xmlns="http://schemas.openxmlformats.org/spreadsheetml/2006/main" totalsRowCount="1" ref="AH1:AI20" displayName="Table_401" name="Table_401" id="401">
  <tableColumns count="2">
    <tableColumn totalsRowFunction="custom" name="SF Wins" id="1"/>
    <tableColumn totalsRowFunction="custom" name="SF Losses" id="2"/>
  </tableColumns>
  <tableStyleInfo name="NFC South Counter-style 17" showColumnStripes="0" showFirstColumn="1" showLastColumn="1" showRowStripes="1"/>
</table>
</file>

<file path=xl/tables/table402.xml><?xml version="1.0" encoding="utf-8"?>
<table xmlns="http://schemas.openxmlformats.org/spreadsheetml/2006/main" totalsRowCount="1" ref="AJ1:AK20" displayName="Table_402" name="Table_402" id="402">
  <tableColumns count="2">
    <tableColumn totalsRowFunction="custom" name="LAR Wins" id="1"/>
    <tableColumn totalsRowFunction="custom" name="LAR Losses" id="2"/>
  </tableColumns>
  <tableStyleInfo name="NFC South Counter-style 18" showColumnStripes="0" showFirstColumn="1" showLastColumn="1" showRowStripes="1"/>
</table>
</file>

<file path=xl/tables/table403.xml><?xml version="1.0" encoding="utf-8"?>
<table xmlns="http://schemas.openxmlformats.org/spreadsheetml/2006/main" totalsRowCount="1" ref="AL1:AM20" displayName="Table_403" name="Table_403" id="403">
  <tableColumns count="2">
    <tableColumn totalsRowFunction="custom" name="SEA Wins" id="1"/>
    <tableColumn totalsRowFunction="custom" name="SEA Losses" id="2"/>
  </tableColumns>
  <tableStyleInfo name="NFC South Counter-style 19" showColumnStripes="0" showFirstColumn="1" showLastColumn="1" showRowStripes="1"/>
</table>
</file>

<file path=xl/tables/table404.xml><?xml version="1.0" encoding="utf-8"?>
<table xmlns="http://schemas.openxmlformats.org/spreadsheetml/2006/main" totalsRowCount="1" ref="AN1:AO20" displayName="Table_404" name="Table_404" id="404">
  <tableColumns count="2">
    <tableColumn totalsRowFunction="custom" name="AZ Wins" id="1"/>
    <tableColumn totalsRowFunction="custom" name="AZ Losses" id="2"/>
  </tableColumns>
  <tableStyleInfo name="NFC South Counter-style 20" showColumnStripes="0" showFirstColumn="1" showLastColumn="1" showRowStripes="1"/>
</table>
</file>

<file path=xl/tables/table405.xml><?xml version="1.0" encoding="utf-8"?>
<table xmlns="http://schemas.openxmlformats.org/spreadsheetml/2006/main" totalsRowCount="1" ref="AP1:AQ20" displayName="Table_405" name="Table_405" id="405">
  <tableColumns count="2">
    <tableColumn totalsRowFunction="custom" name="DAL Wins" id="1"/>
    <tableColumn totalsRowFunction="custom" name="DAL Losses" id="2"/>
  </tableColumns>
  <tableStyleInfo name="NFC South Counter-style 21" showColumnStripes="0" showFirstColumn="1" showLastColumn="1" showRowStripes="1"/>
</table>
</file>

<file path=xl/tables/table406.xml><?xml version="1.0" encoding="utf-8"?>
<table xmlns="http://schemas.openxmlformats.org/spreadsheetml/2006/main" totalsRowCount="1" ref="AR1:AS20" displayName="Table_406" name="Table_406" id="406">
  <tableColumns count="2">
    <tableColumn totalsRowFunction="custom" name="PHI Wins" id="1"/>
    <tableColumn totalsRowFunction="custom" name="PHI Losses" id="2"/>
  </tableColumns>
  <tableStyleInfo name="NFC South Counter-style 22" showColumnStripes="0" showFirstColumn="1" showLastColumn="1" showRowStripes="1"/>
</table>
</file>

<file path=xl/tables/table407.xml><?xml version="1.0" encoding="utf-8"?>
<table xmlns="http://schemas.openxmlformats.org/spreadsheetml/2006/main" totalsRowCount="1" ref="AT1:AU20" displayName="Table_407" name="Table_407" id="407">
  <tableColumns count="2">
    <tableColumn totalsRowFunction="custom" name="NYG Wins" id="1"/>
    <tableColumn totalsRowFunction="custom" name="NYG Losses" id="2"/>
  </tableColumns>
  <tableStyleInfo name="NFC South Counter-style 23" showColumnStripes="0" showFirstColumn="1" showLastColumn="1" showRowStripes="1"/>
</table>
</file>

<file path=xl/tables/table408.xml><?xml version="1.0" encoding="utf-8"?>
<table xmlns="http://schemas.openxmlformats.org/spreadsheetml/2006/main" totalsRowCount="1" ref="AV1:AW20" displayName="Table_408" name="Table_408" id="408">
  <tableColumns count="2">
    <tableColumn totalsRowFunction="custom" name="WSH Wins" id="1"/>
    <tableColumn totalsRowFunction="custom" name="WSH Losses" id="2"/>
  </tableColumns>
  <tableStyleInfo name="NFC South Counter-style 24" showColumnStripes="0" showFirstColumn="1" showLastColumn="1" showRowStripes="1"/>
</table>
</file>

<file path=xl/tables/table409.xml><?xml version="1.0" encoding="utf-8"?>
<table xmlns="http://schemas.openxmlformats.org/spreadsheetml/2006/main" totalsRowCount="1" ref="AX1:AY20" displayName="Table_409" name="Table_409" id="409">
  <tableColumns count="2">
    <tableColumn totalsRowFunction="custom" name="DET Wins" id="1"/>
    <tableColumn totalsRowFunction="custom" name="DET Losses" id="2"/>
  </tableColumns>
  <tableStyleInfo name="NFC South Counter-style 25" showColumnStripes="0" showFirstColumn="1" showLastColumn="1" showRowStripes="1"/>
</table>
</file>

<file path=xl/tables/table410.xml><?xml version="1.0" encoding="utf-8"?>
<table xmlns="http://schemas.openxmlformats.org/spreadsheetml/2006/main" totalsRowCount="1" ref="AZ1:BA20" displayName="Table_410" name="Table_410" id="410">
  <tableColumns count="2">
    <tableColumn totalsRowFunction="custom" name="GB Wins" id="1"/>
    <tableColumn totalsRowFunction="custom" name="GB Losses" id="2"/>
  </tableColumns>
  <tableStyleInfo name="NFC South Counter-style 26" showColumnStripes="0" showFirstColumn="1" showLastColumn="1" showRowStripes="1"/>
</table>
</file>

<file path=xl/tables/table411.xml><?xml version="1.0" encoding="utf-8"?>
<table xmlns="http://schemas.openxmlformats.org/spreadsheetml/2006/main" totalsRowCount="1" ref="BB1:BC20" displayName="Table_411" name="Table_411" id="411">
  <tableColumns count="2">
    <tableColumn totalsRowFunction="custom" name="MIN Wins" id="1"/>
    <tableColumn totalsRowFunction="custom" name="MIN Losses" id="2"/>
  </tableColumns>
  <tableStyleInfo name="NFC South Counter-style 27" showColumnStripes="0" showFirstColumn="1" showLastColumn="1" showRowStripes="1"/>
</table>
</file>

<file path=xl/tables/table412.xml><?xml version="1.0" encoding="utf-8"?>
<table xmlns="http://schemas.openxmlformats.org/spreadsheetml/2006/main" totalsRowCount="1" ref="BD1:BE20" displayName="Table_412" name="Table_412" id="412">
  <tableColumns count="2">
    <tableColumn totalsRowFunction="custom" name="CHI Wins" id="1"/>
    <tableColumn totalsRowFunction="custom" name="CHI Losses" id="2"/>
  </tableColumns>
  <tableStyleInfo name="NFC South Counter-style 28" showColumnStripes="0" showFirstColumn="1" showLastColumn="1" showRowStripes="1"/>
</table>
</file>

<file path=xl/tables/table413.xml><?xml version="1.0" encoding="utf-8"?>
<table xmlns="http://schemas.openxmlformats.org/spreadsheetml/2006/main" totalsRowCount="1" ref="BF1:BG20" displayName="Table_413" name="Table_413" id="413">
  <tableColumns count="2">
    <tableColumn totalsRowFunction="custom" name="TB Wins" id="1"/>
    <tableColumn totalsRowFunction="custom" name="TB Losses" id="2"/>
  </tableColumns>
  <tableStyleInfo name="NFC South Counter-style 29" showColumnStripes="0" showFirstColumn="1" showLastColumn="1" showRowStripes="1"/>
</table>
</file>

<file path=xl/tables/table414.xml><?xml version="1.0" encoding="utf-8"?>
<table xmlns="http://schemas.openxmlformats.org/spreadsheetml/2006/main" totalsRowCount="1" ref="BH1:BI20" displayName="Table_414" name="Table_414" id="414">
  <tableColumns count="2">
    <tableColumn totalsRowFunction="custom" name="NO Wins" id="1"/>
    <tableColumn totalsRowFunction="custom" name="NO Losses" id="2"/>
  </tableColumns>
  <tableStyleInfo name="NFC South Counter-style 30" showColumnStripes="0" showFirstColumn="1" showLastColumn="1" showRowStripes="1"/>
</table>
</file>

<file path=xl/tables/table415.xml><?xml version="1.0" encoding="utf-8"?>
<table xmlns="http://schemas.openxmlformats.org/spreadsheetml/2006/main" totalsRowCount="1" ref="BJ1:BK20" displayName="Table_415" name="Table_415" id="415">
  <tableColumns count="2">
    <tableColumn totalsRowFunction="custom" name="ATL Wins" id="1"/>
    <tableColumn totalsRowFunction="custom" name="ATL Losses" id="2"/>
  </tableColumns>
  <tableStyleInfo name="NFC South Counter-style 31" showColumnStripes="0" showFirstColumn="1" showLastColumn="1" showRowStripes="1"/>
</table>
</file>

<file path=xl/tables/table416.xml><?xml version="1.0" encoding="utf-8"?>
<table xmlns="http://schemas.openxmlformats.org/spreadsheetml/2006/main" totalsRowCount="1" ref="BL1:BM20" displayName="Table_416" name="Table_416" id="416">
  <tableColumns count="2">
    <tableColumn totalsRowFunction="custom" name="CAR Wins" id="1"/>
    <tableColumn totalsRowFunction="custom" name="CAR Losses" id="2"/>
  </tableColumns>
  <tableStyleInfo name="NFC South Counter-style 3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40" Type="http://schemas.openxmlformats.org/officeDocument/2006/relationships/table" Target="../tables/table7.xml"/><Relationship Id="rId62" Type="http://schemas.openxmlformats.org/officeDocument/2006/relationships/table" Target="../tables/table29.xml"/><Relationship Id="rId61" Type="http://schemas.openxmlformats.org/officeDocument/2006/relationships/table" Target="../tables/table28.xml"/><Relationship Id="rId42" Type="http://schemas.openxmlformats.org/officeDocument/2006/relationships/table" Target="../tables/table9.xml"/><Relationship Id="rId64" Type="http://schemas.openxmlformats.org/officeDocument/2006/relationships/table" Target="../tables/table31.xml"/><Relationship Id="rId41" Type="http://schemas.openxmlformats.org/officeDocument/2006/relationships/table" Target="../tables/table8.xml"/><Relationship Id="rId63" Type="http://schemas.openxmlformats.org/officeDocument/2006/relationships/table" Target="../tables/table30.xml"/><Relationship Id="rId44" Type="http://schemas.openxmlformats.org/officeDocument/2006/relationships/table" Target="../tables/table11.xml"/><Relationship Id="rId43" Type="http://schemas.openxmlformats.org/officeDocument/2006/relationships/table" Target="../tables/table10.xml"/><Relationship Id="rId65" Type="http://schemas.openxmlformats.org/officeDocument/2006/relationships/table" Target="../tables/table32.xml"/><Relationship Id="rId46" Type="http://schemas.openxmlformats.org/officeDocument/2006/relationships/table" Target="../tables/table13.xml"/><Relationship Id="rId45" Type="http://schemas.openxmlformats.org/officeDocument/2006/relationships/table" Target="../tables/table12.xml"/><Relationship Id="rId60" Type="http://schemas.openxmlformats.org/officeDocument/2006/relationships/table" Target="../tables/table27.xml"/><Relationship Id="rId1" Type="http://schemas.openxmlformats.org/officeDocument/2006/relationships/drawing" Target="../drawings/drawing23.xml"/><Relationship Id="rId48" Type="http://schemas.openxmlformats.org/officeDocument/2006/relationships/table" Target="../tables/table15.xml"/><Relationship Id="rId47" Type="http://schemas.openxmlformats.org/officeDocument/2006/relationships/table" Target="../tables/table14.xml"/><Relationship Id="rId49" Type="http://schemas.openxmlformats.org/officeDocument/2006/relationships/table" Target="../tables/table16.xml"/><Relationship Id="rId51" Type="http://schemas.openxmlformats.org/officeDocument/2006/relationships/table" Target="../tables/table18.xml"/><Relationship Id="rId50" Type="http://schemas.openxmlformats.org/officeDocument/2006/relationships/table" Target="../tables/table17.xml"/><Relationship Id="rId53" Type="http://schemas.openxmlformats.org/officeDocument/2006/relationships/table" Target="../tables/table20.xml"/><Relationship Id="rId52" Type="http://schemas.openxmlformats.org/officeDocument/2006/relationships/table" Target="../tables/table19.xml"/><Relationship Id="rId55" Type="http://schemas.openxmlformats.org/officeDocument/2006/relationships/table" Target="../tables/table22.xml"/><Relationship Id="rId54" Type="http://schemas.openxmlformats.org/officeDocument/2006/relationships/table" Target="../tables/table21.xml"/><Relationship Id="rId35" Type="http://schemas.openxmlformats.org/officeDocument/2006/relationships/table" Target="../tables/table2.xml"/><Relationship Id="rId57" Type="http://schemas.openxmlformats.org/officeDocument/2006/relationships/table" Target="../tables/table24.xml"/><Relationship Id="rId34" Type="http://schemas.openxmlformats.org/officeDocument/2006/relationships/table" Target="../tables/table1.xml"/><Relationship Id="rId56" Type="http://schemas.openxmlformats.org/officeDocument/2006/relationships/table" Target="../tables/table23.xml"/><Relationship Id="rId37" Type="http://schemas.openxmlformats.org/officeDocument/2006/relationships/table" Target="../tables/table4.xml"/><Relationship Id="rId59" Type="http://schemas.openxmlformats.org/officeDocument/2006/relationships/table" Target="../tables/table26.xml"/><Relationship Id="rId36" Type="http://schemas.openxmlformats.org/officeDocument/2006/relationships/table" Target="../tables/table3.xml"/><Relationship Id="rId58" Type="http://schemas.openxmlformats.org/officeDocument/2006/relationships/table" Target="../tables/table25.xml"/><Relationship Id="rId39" Type="http://schemas.openxmlformats.org/officeDocument/2006/relationships/table" Target="../tables/table6.xml"/><Relationship Id="rId38"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40" Type="http://schemas.openxmlformats.org/officeDocument/2006/relationships/table" Target="../tables/table39.xml"/><Relationship Id="rId62" Type="http://schemas.openxmlformats.org/officeDocument/2006/relationships/table" Target="../tables/table61.xml"/><Relationship Id="rId61" Type="http://schemas.openxmlformats.org/officeDocument/2006/relationships/table" Target="../tables/table60.xml"/><Relationship Id="rId42" Type="http://schemas.openxmlformats.org/officeDocument/2006/relationships/table" Target="../tables/table41.xml"/><Relationship Id="rId64" Type="http://schemas.openxmlformats.org/officeDocument/2006/relationships/table" Target="../tables/table63.xml"/><Relationship Id="rId41" Type="http://schemas.openxmlformats.org/officeDocument/2006/relationships/table" Target="../tables/table40.xml"/><Relationship Id="rId63" Type="http://schemas.openxmlformats.org/officeDocument/2006/relationships/table" Target="../tables/table62.xml"/><Relationship Id="rId44" Type="http://schemas.openxmlformats.org/officeDocument/2006/relationships/table" Target="../tables/table43.xml"/><Relationship Id="rId43" Type="http://schemas.openxmlformats.org/officeDocument/2006/relationships/table" Target="../tables/table42.xml"/><Relationship Id="rId65" Type="http://schemas.openxmlformats.org/officeDocument/2006/relationships/table" Target="../tables/table64.xml"/><Relationship Id="rId46" Type="http://schemas.openxmlformats.org/officeDocument/2006/relationships/table" Target="../tables/table45.xml"/><Relationship Id="rId45" Type="http://schemas.openxmlformats.org/officeDocument/2006/relationships/table" Target="../tables/table44.xml"/><Relationship Id="rId60" Type="http://schemas.openxmlformats.org/officeDocument/2006/relationships/table" Target="../tables/table59.xml"/><Relationship Id="rId1" Type="http://schemas.openxmlformats.org/officeDocument/2006/relationships/drawing" Target="../drawings/drawing24.xml"/><Relationship Id="rId48" Type="http://schemas.openxmlformats.org/officeDocument/2006/relationships/table" Target="../tables/table47.xml"/><Relationship Id="rId47" Type="http://schemas.openxmlformats.org/officeDocument/2006/relationships/table" Target="../tables/table46.xml"/><Relationship Id="rId49" Type="http://schemas.openxmlformats.org/officeDocument/2006/relationships/table" Target="../tables/table48.xml"/><Relationship Id="rId51" Type="http://schemas.openxmlformats.org/officeDocument/2006/relationships/table" Target="../tables/table50.xml"/><Relationship Id="rId50" Type="http://schemas.openxmlformats.org/officeDocument/2006/relationships/table" Target="../tables/table49.xml"/><Relationship Id="rId53" Type="http://schemas.openxmlformats.org/officeDocument/2006/relationships/table" Target="../tables/table52.xml"/><Relationship Id="rId52" Type="http://schemas.openxmlformats.org/officeDocument/2006/relationships/table" Target="../tables/table51.xml"/><Relationship Id="rId55" Type="http://schemas.openxmlformats.org/officeDocument/2006/relationships/table" Target="../tables/table54.xml"/><Relationship Id="rId54" Type="http://schemas.openxmlformats.org/officeDocument/2006/relationships/table" Target="../tables/table53.xml"/><Relationship Id="rId35" Type="http://schemas.openxmlformats.org/officeDocument/2006/relationships/table" Target="../tables/table34.xml"/><Relationship Id="rId57" Type="http://schemas.openxmlformats.org/officeDocument/2006/relationships/table" Target="../tables/table56.xml"/><Relationship Id="rId34" Type="http://schemas.openxmlformats.org/officeDocument/2006/relationships/table" Target="../tables/table33.xml"/><Relationship Id="rId56" Type="http://schemas.openxmlformats.org/officeDocument/2006/relationships/table" Target="../tables/table55.xml"/><Relationship Id="rId37" Type="http://schemas.openxmlformats.org/officeDocument/2006/relationships/table" Target="../tables/table36.xml"/><Relationship Id="rId59" Type="http://schemas.openxmlformats.org/officeDocument/2006/relationships/table" Target="../tables/table58.xml"/><Relationship Id="rId36" Type="http://schemas.openxmlformats.org/officeDocument/2006/relationships/table" Target="../tables/table35.xml"/><Relationship Id="rId58" Type="http://schemas.openxmlformats.org/officeDocument/2006/relationships/table" Target="../tables/table57.xml"/><Relationship Id="rId39" Type="http://schemas.openxmlformats.org/officeDocument/2006/relationships/table" Target="../tables/table38.xml"/><Relationship Id="rId38" Type="http://schemas.openxmlformats.org/officeDocument/2006/relationships/table" Target="../tables/table37.xml"/></Relationships>
</file>

<file path=xl/worksheets/_rels/sheet25.xml.rels><?xml version="1.0" encoding="UTF-8" standalone="yes"?><Relationships xmlns="http://schemas.openxmlformats.org/package/2006/relationships"><Relationship Id="rId40" Type="http://schemas.openxmlformats.org/officeDocument/2006/relationships/table" Target="../tables/table71.xml"/><Relationship Id="rId62" Type="http://schemas.openxmlformats.org/officeDocument/2006/relationships/table" Target="../tables/table93.xml"/><Relationship Id="rId61" Type="http://schemas.openxmlformats.org/officeDocument/2006/relationships/table" Target="../tables/table92.xml"/><Relationship Id="rId42" Type="http://schemas.openxmlformats.org/officeDocument/2006/relationships/table" Target="../tables/table73.xml"/><Relationship Id="rId64" Type="http://schemas.openxmlformats.org/officeDocument/2006/relationships/table" Target="../tables/table95.xml"/><Relationship Id="rId41" Type="http://schemas.openxmlformats.org/officeDocument/2006/relationships/table" Target="../tables/table72.xml"/><Relationship Id="rId63" Type="http://schemas.openxmlformats.org/officeDocument/2006/relationships/table" Target="../tables/table94.xml"/><Relationship Id="rId44" Type="http://schemas.openxmlformats.org/officeDocument/2006/relationships/table" Target="../tables/table75.xml"/><Relationship Id="rId43" Type="http://schemas.openxmlformats.org/officeDocument/2006/relationships/table" Target="../tables/table74.xml"/><Relationship Id="rId65" Type="http://schemas.openxmlformats.org/officeDocument/2006/relationships/table" Target="../tables/table96.xml"/><Relationship Id="rId46" Type="http://schemas.openxmlformats.org/officeDocument/2006/relationships/table" Target="../tables/table77.xml"/><Relationship Id="rId45" Type="http://schemas.openxmlformats.org/officeDocument/2006/relationships/table" Target="../tables/table76.xml"/><Relationship Id="rId60" Type="http://schemas.openxmlformats.org/officeDocument/2006/relationships/table" Target="../tables/table91.xml"/><Relationship Id="rId1" Type="http://schemas.openxmlformats.org/officeDocument/2006/relationships/drawing" Target="../drawings/drawing25.xml"/><Relationship Id="rId48" Type="http://schemas.openxmlformats.org/officeDocument/2006/relationships/table" Target="../tables/table79.xml"/><Relationship Id="rId47" Type="http://schemas.openxmlformats.org/officeDocument/2006/relationships/table" Target="../tables/table78.xml"/><Relationship Id="rId49" Type="http://schemas.openxmlformats.org/officeDocument/2006/relationships/table" Target="../tables/table80.xml"/><Relationship Id="rId51" Type="http://schemas.openxmlformats.org/officeDocument/2006/relationships/table" Target="../tables/table82.xml"/><Relationship Id="rId50" Type="http://schemas.openxmlformats.org/officeDocument/2006/relationships/table" Target="../tables/table81.xml"/><Relationship Id="rId53" Type="http://schemas.openxmlformats.org/officeDocument/2006/relationships/table" Target="../tables/table84.xml"/><Relationship Id="rId52" Type="http://schemas.openxmlformats.org/officeDocument/2006/relationships/table" Target="../tables/table83.xml"/><Relationship Id="rId55" Type="http://schemas.openxmlformats.org/officeDocument/2006/relationships/table" Target="../tables/table86.xml"/><Relationship Id="rId54" Type="http://schemas.openxmlformats.org/officeDocument/2006/relationships/table" Target="../tables/table85.xml"/><Relationship Id="rId35" Type="http://schemas.openxmlformats.org/officeDocument/2006/relationships/table" Target="../tables/table66.xml"/><Relationship Id="rId57" Type="http://schemas.openxmlformats.org/officeDocument/2006/relationships/table" Target="../tables/table88.xml"/><Relationship Id="rId34" Type="http://schemas.openxmlformats.org/officeDocument/2006/relationships/table" Target="../tables/table65.xml"/><Relationship Id="rId56" Type="http://schemas.openxmlformats.org/officeDocument/2006/relationships/table" Target="../tables/table87.xml"/><Relationship Id="rId37" Type="http://schemas.openxmlformats.org/officeDocument/2006/relationships/table" Target="../tables/table68.xml"/><Relationship Id="rId59" Type="http://schemas.openxmlformats.org/officeDocument/2006/relationships/table" Target="../tables/table90.xml"/><Relationship Id="rId36" Type="http://schemas.openxmlformats.org/officeDocument/2006/relationships/table" Target="../tables/table67.xml"/><Relationship Id="rId58" Type="http://schemas.openxmlformats.org/officeDocument/2006/relationships/table" Target="../tables/table89.xml"/><Relationship Id="rId39" Type="http://schemas.openxmlformats.org/officeDocument/2006/relationships/table" Target="../tables/table70.xml"/><Relationship Id="rId38" Type="http://schemas.openxmlformats.org/officeDocument/2006/relationships/table" Target="../tables/table69.xml"/></Relationships>
</file>

<file path=xl/worksheets/_rels/sheet26.xml.rels><?xml version="1.0" encoding="UTF-8" standalone="yes"?><Relationships xmlns="http://schemas.openxmlformats.org/package/2006/relationships"><Relationship Id="rId40" Type="http://schemas.openxmlformats.org/officeDocument/2006/relationships/table" Target="../tables/table103.xml"/><Relationship Id="rId62" Type="http://schemas.openxmlformats.org/officeDocument/2006/relationships/table" Target="../tables/table125.xml"/><Relationship Id="rId61" Type="http://schemas.openxmlformats.org/officeDocument/2006/relationships/table" Target="../tables/table124.xml"/><Relationship Id="rId42" Type="http://schemas.openxmlformats.org/officeDocument/2006/relationships/table" Target="../tables/table105.xml"/><Relationship Id="rId64" Type="http://schemas.openxmlformats.org/officeDocument/2006/relationships/table" Target="../tables/table127.xml"/><Relationship Id="rId41" Type="http://schemas.openxmlformats.org/officeDocument/2006/relationships/table" Target="../tables/table104.xml"/><Relationship Id="rId63" Type="http://schemas.openxmlformats.org/officeDocument/2006/relationships/table" Target="../tables/table126.xml"/><Relationship Id="rId44" Type="http://schemas.openxmlformats.org/officeDocument/2006/relationships/table" Target="../tables/table107.xml"/><Relationship Id="rId43" Type="http://schemas.openxmlformats.org/officeDocument/2006/relationships/table" Target="../tables/table106.xml"/><Relationship Id="rId65" Type="http://schemas.openxmlformats.org/officeDocument/2006/relationships/table" Target="../tables/table128.xml"/><Relationship Id="rId46" Type="http://schemas.openxmlformats.org/officeDocument/2006/relationships/table" Target="../tables/table109.xml"/><Relationship Id="rId45" Type="http://schemas.openxmlformats.org/officeDocument/2006/relationships/table" Target="../tables/table108.xml"/><Relationship Id="rId60" Type="http://schemas.openxmlformats.org/officeDocument/2006/relationships/table" Target="../tables/table123.xml"/><Relationship Id="rId1" Type="http://schemas.openxmlformats.org/officeDocument/2006/relationships/drawing" Target="../drawings/drawing26.xml"/><Relationship Id="rId48" Type="http://schemas.openxmlformats.org/officeDocument/2006/relationships/table" Target="../tables/table111.xml"/><Relationship Id="rId47" Type="http://schemas.openxmlformats.org/officeDocument/2006/relationships/table" Target="../tables/table110.xml"/><Relationship Id="rId49" Type="http://schemas.openxmlformats.org/officeDocument/2006/relationships/table" Target="../tables/table112.xml"/><Relationship Id="rId51" Type="http://schemas.openxmlformats.org/officeDocument/2006/relationships/table" Target="../tables/table114.xml"/><Relationship Id="rId50" Type="http://schemas.openxmlformats.org/officeDocument/2006/relationships/table" Target="../tables/table113.xml"/><Relationship Id="rId53" Type="http://schemas.openxmlformats.org/officeDocument/2006/relationships/table" Target="../tables/table116.xml"/><Relationship Id="rId52" Type="http://schemas.openxmlformats.org/officeDocument/2006/relationships/table" Target="../tables/table115.xml"/><Relationship Id="rId55" Type="http://schemas.openxmlformats.org/officeDocument/2006/relationships/table" Target="../tables/table118.xml"/><Relationship Id="rId54" Type="http://schemas.openxmlformats.org/officeDocument/2006/relationships/table" Target="../tables/table117.xml"/><Relationship Id="rId35" Type="http://schemas.openxmlformats.org/officeDocument/2006/relationships/table" Target="../tables/table98.xml"/><Relationship Id="rId57" Type="http://schemas.openxmlformats.org/officeDocument/2006/relationships/table" Target="../tables/table120.xml"/><Relationship Id="rId34" Type="http://schemas.openxmlformats.org/officeDocument/2006/relationships/table" Target="../tables/table97.xml"/><Relationship Id="rId56" Type="http://schemas.openxmlformats.org/officeDocument/2006/relationships/table" Target="../tables/table119.xml"/><Relationship Id="rId37" Type="http://schemas.openxmlformats.org/officeDocument/2006/relationships/table" Target="../tables/table100.xml"/><Relationship Id="rId59" Type="http://schemas.openxmlformats.org/officeDocument/2006/relationships/table" Target="../tables/table122.xml"/><Relationship Id="rId36" Type="http://schemas.openxmlformats.org/officeDocument/2006/relationships/table" Target="../tables/table99.xml"/><Relationship Id="rId58" Type="http://schemas.openxmlformats.org/officeDocument/2006/relationships/table" Target="../tables/table121.xml"/><Relationship Id="rId39" Type="http://schemas.openxmlformats.org/officeDocument/2006/relationships/table" Target="../tables/table102.xml"/><Relationship Id="rId38" Type="http://schemas.openxmlformats.org/officeDocument/2006/relationships/table" Target="../tables/table101.xml"/></Relationships>
</file>

<file path=xl/worksheets/_rels/sheet27.xml.rels><?xml version="1.0" encoding="UTF-8" standalone="yes"?><Relationships xmlns="http://schemas.openxmlformats.org/package/2006/relationships"><Relationship Id="rId40" Type="http://schemas.openxmlformats.org/officeDocument/2006/relationships/table" Target="../tables/table135.xml"/><Relationship Id="rId62" Type="http://schemas.openxmlformats.org/officeDocument/2006/relationships/table" Target="../tables/table157.xml"/><Relationship Id="rId61" Type="http://schemas.openxmlformats.org/officeDocument/2006/relationships/table" Target="../tables/table156.xml"/><Relationship Id="rId42" Type="http://schemas.openxmlformats.org/officeDocument/2006/relationships/table" Target="../tables/table137.xml"/><Relationship Id="rId64" Type="http://schemas.openxmlformats.org/officeDocument/2006/relationships/table" Target="../tables/table159.xml"/><Relationship Id="rId41" Type="http://schemas.openxmlformats.org/officeDocument/2006/relationships/table" Target="../tables/table136.xml"/><Relationship Id="rId63" Type="http://schemas.openxmlformats.org/officeDocument/2006/relationships/table" Target="../tables/table158.xml"/><Relationship Id="rId44" Type="http://schemas.openxmlformats.org/officeDocument/2006/relationships/table" Target="../tables/table139.xml"/><Relationship Id="rId43" Type="http://schemas.openxmlformats.org/officeDocument/2006/relationships/table" Target="../tables/table138.xml"/><Relationship Id="rId65" Type="http://schemas.openxmlformats.org/officeDocument/2006/relationships/table" Target="../tables/table160.xml"/><Relationship Id="rId46" Type="http://schemas.openxmlformats.org/officeDocument/2006/relationships/table" Target="../tables/table141.xml"/><Relationship Id="rId45" Type="http://schemas.openxmlformats.org/officeDocument/2006/relationships/table" Target="../tables/table140.xml"/><Relationship Id="rId60" Type="http://schemas.openxmlformats.org/officeDocument/2006/relationships/table" Target="../tables/table155.xml"/><Relationship Id="rId1" Type="http://schemas.openxmlformats.org/officeDocument/2006/relationships/drawing" Target="../drawings/drawing27.xml"/><Relationship Id="rId48" Type="http://schemas.openxmlformats.org/officeDocument/2006/relationships/table" Target="../tables/table143.xml"/><Relationship Id="rId47" Type="http://schemas.openxmlformats.org/officeDocument/2006/relationships/table" Target="../tables/table142.xml"/><Relationship Id="rId49" Type="http://schemas.openxmlformats.org/officeDocument/2006/relationships/table" Target="../tables/table144.xml"/><Relationship Id="rId51" Type="http://schemas.openxmlformats.org/officeDocument/2006/relationships/table" Target="../tables/table146.xml"/><Relationship Id="rId50" Type="http://schemas.openxmlformats.org/officeDocument/2006/relationships/table" Target="../tables/table145.xml"/><Relationship Id="rId53" Type="http://schemas.openxmlformats.org/officeDocument/2006/relationships/table" Target="../tables/table148.xml"/><Relationship Id="rId52" Type="http://schemas.openxmlformats.org/officeDocument/2006/relationships/table" Target="../tables/table147.xml"/><Relationship Id="rId55" Type="http://schemas.openxmlformats.org/officeDocument/2006/relationships/table" Target="../tables/table150.xml"/><Relationship Id="rId54" Type="http://schemas.openxmlformats.org/officeDocument/2006/relationships/table" Target="../tables/table149.xml"/><Relationship Id="rId35" Type="http://schemas.openxmlformats.org/officeDocument/2006/relationships/table" Target="../tables/table130.xml"/><Relationship Id="rId57" Type="http://schemas.openxmlformats.org/officeDocument/2006/relationships/table" Target="../tables/table152.xml"/><Relationship Id="rId34" Type="http://schemas.openxmlformats.org/officeDocument/2006/relationships/table" Target="../tables/table129.xml"/><Relationship Id="rId56" Type="http://schemas.openxmlformats.org/officeDocument/2006/relationships/table" Target="../tables/table151.xml"/><Relationship Id="rId37" Type="http://schemas.openxmlformats.org/officeDocument/2006/relationships/table" Target="../tables/table132.xml"/><Relationship Id="rId59" Type="http://schemas.openxmlformats.org/officeDocument/2006/relationships/table" Target="../tables/table154.xml"/><Relationship Id="rId36" Type="http://schemas.openxmlformats.org/officeDocument/2006/relationships/table" Target="../tables/table131.xml"/><Relationship Id="rId58" Type="http://schemas.openxmlformats.org/officeDocument/2006/relationships/table" Target="../tables/table153.xml"/><Relationship Id="rId39" Type="http://schemas.openxmlformats.org/officeDocument/2006/relationships/table" Target="../tables/table134.xml"/><Relationship Id="rId38" Type="http://schemas.openxmlformats.org/officeDocument/2006/relationships/table" Target="../tables/table133.xml"/></Relationships>
</file>

<file path=xl/worksheets/_rels/sheet28.xml.rels><?xml version="1.0" encoding="UTF-8" standalone="yes"?><Relationships xmlns="http://schemas.openxmlformats.org/package/2006/relationships"><Relationship Id="rId40" Type="http://schemas.openxmlformats.org/officeDocument/2006/relationships/table" Target="../tables/table167.xml"/><Relationship Id="rId62" Type="http://schemas.openxmlformats.org/officeDocument/2006/relationships/table" Target="../tables/table189.xml"/><Relationship Id="rId61" Type="http://schemas.openxmlformats.org/officeDocument/2006/relationships/table" Target="../tables/table188.xml"/><Relationship Id="rId42" Type="http://schemas.openxmlformats.org/officeDocument/2006/relationships/table" Target="../tables/table169.xml"/><Relationship Id="rId64" Type="http://schemas.openxmlformats.org/officeDocument/2006/relationships/table" Target="../tables/table191.xml"/><Relationship Id="rId41" Type="http://schemas.openxmlformats.org/officeDocument/2006/relationships/table" Target="../tables/table168.xml"/><Relationship Id="rId63" Type="http://schemas.openxmlformats.org/officeDocument/2006/relationships/table" Target="../tables/table190.xml"/><Relationship Id="rId44" Type="http://schemas.openxmlformats.org/officeDocument/2006/relationships/table" Target="../tables/table171.xml"/><Relationship Id="rId43" Type="http://schemas.openxmlformats.org/officeDocument/2006/relationships/table" Target="../tables/table170.xml"/><Relationship Id="rId65" Type="http://schemas.openxmlformats.org/officeDocument/2006/relationships/table" Target="../tables/table192.xml"/><Relationship Id="rId46" Type="http://schemas.openxmlformats.org/officeDocument/2006/relationships/table" Target="../tables/table173.xml"/><Relationship Id="rId45" Type="http://schemas.openxmlformats.org/officeDocument/2006/relationships/table" Target="../tables/table172.xml"/><Relationship Id="rId60" Type="http://schemas.openxmlformats.org/officeDocument/2006/relationships/table" Target="../tables/table187.xml"/><Relationship Id="rId1" Type="http://schemas.openxmlformats.org/officeDocument/2006/relationships/drawing" Target="../drawings/drawing28.xml"/><Relationship Id="rId48" Type="http://schemas.openxmlformats.org/officeDocument/2006/relationships/table" Target="../tables/table175.xml"/><Relationship Id="rId47" Type="http://schemas.openxmlformats.org/officeDocument/2006/relationships/table" Target="../tables/table174.xml"/><Relationship Id="rId49" Type="http://schemas.openxmlformats.org/officeDocument/2006/relationships/table" Target="../tables/table176.xml"/><Relationship Id="rId51" Type="http://schemas.openxmlformats.org/officeDocument/2006/relationships/table" Target="../tables/table178.xml"/><Relationship Id="rId50" Type="http://schemas.openxmlformats.org/officeDocument/2006/relationships/table" Target="../tables/table177.xml"/><Relationship Id="rId53" Type="http://schemas.openxmlformats.org/officeDocument/2006/relationships/table" Target="../tables/table180.xml"/><Relationship Id="rId52" Type="http://schemas.openxmlformats.org/officeDocument/2006/relationships/table" Target="../tables/table179.xml"/><Relationship Id="rId55" Type="http://schemas.openxmlformats.org/officeDocument/2006/relationships/table" Target="../tables/table182.xml"/><Relationship Id="rId54" Type="http://schemas.openxmlformats.org/officeDocument/2006/relationships/table" Target="../tables/table181.xml"/><Relationship Id="rId35" Type="http://schemas.openxmlformats.org/officeDocument/2006/relationships/table" Target="../tables/table162.xml"/><Relationship Id="rId57" Type="http://schemas.openxmlformats.org/officeDocument/2006/relationships/table" Target="../tables/table184.xml"/><Relationship Id="rId34" Type="http://schemas.openxmlformats.org/officeDocument/2006/relationships/table" Target="../tables/table161.xml"/><Relationship Id="rId56" Type="http://schemas.openxmlformats.org/officeDocument/2006/relationships/table" Target="../tables/table183.xml"/><Relationship Id="rId37" Type="http://schemas.openxmlformats.org/officeDocument/2006/relationships/table" Target="../tables/table164.xml"/><Relationship Id="rId59" Type="http://schemas.openxmlformats.org/officeDocument/2006/relationships/table" Target="../tables/table186.xml"/><Relationship Id="rId36" Type="http://schemas.openxmlformats.org/officeDocument/2006/relationships/table" Target="../tables/table163.xml"/><Relationship Id="rId58" Type="http://schemas.openxmlformats.org/officeDocument/2006/relationships/table" Target="../tables/table185.xml"/><Relationship Id="rId39" Type="http://schemas.openxmlformats.org/officeDocument/2006/relationships/table" Target="../tables/table166.xml"/><Relationship Id="rId38" Type="http://schemas.openxmlformats.org/officeDocument/2006/relationships/table" Target="../tables/table165.xml"/></Relationships>
</file>

<file path=xl/worksheets/_rels/sheet29.xml.rels><?xml version="1.0" encoding="UTF-8" standalone="yes"?><Relationships xmlns="http://schemas.openxmlformats.org/package/2006/relationships"><Relationship Id="rId40" Type="http://schemas.openxmlformats.org/officeDocument/2006/relationships/table" Target="../tables/table199.xml"/><Relationship Id="rId62" Type="http://schemas.openxmlformats.org/officeDocument/2006/relationships/table" Target="../tables/table221.xml"/><Relationship Id="rId61" Type="http://schemas.openxmlformats.org/officeDocument/2006/relationships/table" Target="../tables/table220.xml"/><Relationship Id="rId42" Type="http://schemas.openxmlformats.org/officeDocument/2006/relationships/table" Target="../tables/table201.xml"/><Relationship Id="rId64" Type="http://schemas.openxmlformats.org/officeDocument/2006/relationships/table" Target="../tables/table223.xml"/><Relationship Id="rId41" Type="http://schemas.openxmlformats.org/officeDocument/2006/relationships/table" Target="../tables/table200.xml"/><Relationship Id="rId63" Type="http://schemas.openxmlformats.org/officeDocument/2006/relationships/table" Target="../tables/table222.xml"/><Relationship Id="rId44" Type="http://schemas.openxmlformats.org/officeDocument/2006/relationships/table" Target="../tables/table203.xml"/><Relationship Id="rId43" Type="http://schemas.openxmlformats.org/officeDocument/2006/relationships/table" Target="../tables/table202.xml"/><Relationship Id="rId65" Type="http://schemas.openxmlformats.org/officeDocument/2006/relationships/table" Target="../tables/table224.xml"/><Relationship Id="rId46" Type="http://schemas.openxmlformats.org/officeDocument/2006/relationships/table" Target="../tables/table205.xml"/><Relationship Id="rId45" Type="http://schemas.openxmlformats.org/officeDocument/2006/relationships/table" Target="../tables/table204.xml"/><Relationship Id="rId60" Type="http://schemas.openxmlformats.org/officeDocument/2006/relationships/table" Target="../tables/table219.xml"/><Relationship Id="rId1" Type="http://schemas.openxmlformats.org/officeDocument/2006/relationships/drawing" Target="../drawings/drawing29.xml"/><Relationship Id="rId48" Type="http://schemas.openxmlformats.org/officeDocument/2006/relationships/table" Target="../tables/table207.xml"/><Relationship Id="rId47" Type="http://schemas.openxmlformats.org/officeDocument/2006/relationships/table" Target="../tables/table206.xml"/><Relationship Id="rId49" Type="http://schemas.openxmlformats.org/officeDocument/2006/relationships/table" Target="../tables/table208.xml"/><Relationship Id="rId51" Type="http://schemas.openxmlformats.org/officeDocument/2006/relationships/table" Target="../tables/table210.xml"/><Relationship Id="rId50" Type="http://schemas.openxmlformats.org/officeDocument/2006/relationships/table" Target="../tables/table209.xml"/><Relationship Id="rId53" Type="http://schemas.openxmlformats.org/officeDocument/2006/relationships/table" Target="../tables/table212.xml"/><Relationship Id="rId52" Type="http://schemas.openxmlformats.org/officeDocument/2006/relationships/table" Target="../tables/table211.xml"/><Relationship Id="rId55" Type="http://schemas.openxmlformats.org/officeDocument/2006/relationships/table" Target="../tables/table214.xml"/><Relationship Id="rId54" Type="http://schemas.openxmlformats.org/officeDocument/2006/relationships/table" Target="../tables/table213.xml"/><Relationship Id="rId35" Type="http://schemas.openxmlformats.org/officeDocument/2006/relationships/table" Target="../tables/table194.xml"/><Relationship Id="rId57" Type="http://schemas.openxmlformats.org/officeDocument/2006/relationships/table" Target="../tables/table216.xml"/><Relationship Id="rId34" Type="http://schemas.openxmlformats.org/officeDocument/2006/relationships/table" Target="../tables/table193.xml"/><Relationship Id="rId56" Type="http://schemas.openxmlformats.org/officeDocument/2006/relationships/table" Target="../tables/table215.xml"/><Relationship Id="rId37" Type="http://schemas.openxmlformats.org/officeDocument/2006/relationships/table" Target="../tables/table196.xml"/><Relationship Id="rId59" Type="http://schemas.openxmlformats.org/officeDocument/2006/relationships/table" Target="../tables/table218.xml"/><Relationship Id="rId36" Type="http://schemas.openxmlformats.org/officeDocument/2006/relationships/table" Target="../tables/table195.xml"/><Relationship Id="rId58" Type="http://schemas.openxmlformats.org/officeDocument/2006/relationships/table" Target="../tables/table217.xml"/><Relationship Id="rId39" Type="http://schemas.openxmlformats.org/officeDocument/2006/relationships/table" Target="../tables/table198.xml"/><Relationship Id="rId38" Type="http://schemas.openxmlformats.org/officeDocument/2006/relationships/table" Target="../tables/table197.xml"/></Relationships>
</file>

<file path=xl/worksheets/_rels/sheet30.xml.rels><?xml version="1.0" encoding="UTF-8" standalone="yes"?><Relationships xmlns="http://schemas.openxmlformats.org/package/2006/relationships"><Relationship Id="rId40" Type="http://schemas.openxmlformats.org/officeDocument/2006/relationships/table" Target="../tables/table231.xml"/><Relationship Id="rId62" Type="http://schemas.openxmlformats.org/officeDocument/2006/relationships/table" Target="../tables/table253.xml"/><Relationship Id="rId61" Type="http://schemas.openxmlformats.org/officeDocument/2006/relationships/table" Target="../tables/table252.xml"/><Relationship Id="rId42" Type="http://schemas.openxmlformats.org/officeDocument/2006/relationships/table" Target="../tables/table233.xml"/><Relationship Id="rId64" Type="http://schemas.openxmlformats.org/officeDocument/2006/relationships/table" Target="../tables/table255.xml"/><Relationship Id="rId41" Type="http://schemas.openxmlformats.org/officeDocument/2006/relationships/table" Target="../tables/table232.xml"/><Relationship Id="rId63" Type="http://schemas.openxmlformats.org/officeDocument/2006/relationships/table" Target="../tables/table254.xml"/><Relationship Id="rId44" Type="http://schemas.openxmlformats.org/officeDocument/2006/relationships/table" Target="../tables/table235.xml"/><Relationship Id="rId43" Type="http://schemas.openxmlformats.org/officeDocument/2006/relationships/table" Target="../tables/table234.xml"/><Relationship Id="rId65" Type="http://schemas.openxmlformats.org/officeDocument/2006/relationships/table" Target="../tables/table256.xml"/><Relationship Id="rId46" Type="http://schemas.openxmlformats.org/officeDocument/2006/relationships/table" Target="../tables/table237.xml"/><Relationship Id="rId45" Type="http://schemas.openxmlformats.org/officeDocument/2006/relationships/table" Target="../tables/table236.xml"/><Relationship Id="rId60" Type="http://schemas.openxmlformats.org/officeDocument/2006/relationships/table" Target="../tables/table251.xml"/><Relationship Id="rId1" Type="http://schemas.openxmlformats.org/officeDocument/2006/relationships/drawing" Target="../drawings/drawing30.xml"/><Relationship Id="rId48" Type="http://schemas.openxmlformats.org/officeDocument/2006/relationships/table" Target="../tables/table239.xml"/><Relationship Id="rId47" Type="http://schemas.openxmlformats.org/officeDocument/2006/relationships/table" Target="../tables/table238.xml"/><Relationship Id="rId49" Type="http://schemas.openxmlformats.org/officeDocument/2006/relationships/table" Target="../tables/table240.xml"/><Relationship Id="rId51" Type="http://schemas.openxmlformats.org/officeDocument/2006/relationships/table" Target="../tables/table242.xml"/><Relationship Id="rId50" Type="http://schemas.openxmlformats.org/officeDocument/2006/relationships/table" Target="../tables/table241.xml"/><Relationship Id="rId53" Type="http://schemas.openxmlformats.org/officeDocument/2006/relationships/table" Target="../tables/table244.xml"/><Relationship Id="rId52" Type="http://schemas.openxmlformats.org/officeDocument/2006/relationships/table" Target="../tables/table243.xml"/><Relationship Id="rId55" Type="http://schemas.openxmlformats.org/officeDocument/2006/relationships/table" Target="../tables/table246.xml"/><Relationship Id="rId54" Type="http://schemas.openxmlformats.org/officeDocument/2006/relationships/table" Target="../tables/table245.xml"/><Relationship Id="rId35" Type="http://schemas.openxmlformats.org/officeDocument/2006/relationships/table" Target="../tables/table226.xml"/><Relationship Id="rId57" Type="http://schemas.openxmlformats.org/officeDocument/2006/relationships/table" Target="../tables/table248.xml"/><Relationship Id="rId34" Type="http://schemas.openxmlformats.org/officeDocument/2006/relationships/table" Target="../tables/table225.xml"/><Relationship Id="rId56" Type="http://schemas.openxmlformats.org/officeDocument/2006/relationships/table" Target="../tables/table247.xml"/><Relationship Id="rId37" Type="http://schemas.openxmlformats.org/officeDocument/2006/relationships/table" Target="../tables/table228.xml"/><Relationship Id="rId59" Type="http://schemas.openxmlformats.org/officeDocument/2006/relationships/table" Target="../tables/table250.xml"/><Relationship Id="rId36" Type="http://schemas.openxmlformats.org/officeDocument/2006/relationships/table" Target="../tables/table227.xml"/><Relationship Id="rId58" Type="http://schemas.openxmlformats.org/officeDocument/2006/relationships/table" Target="../tables/table249.xml"/><Relationship Id="rId39" Type="http://schemas.openxmlformats.org/officeDocument/2006/relationships/table" Target="../tables/table230.xml"/><Relationship Id="rId38" Type="http://schemas.openxmlformats.org/officeDocument/2006/relationships/table" Target="../tables/table229.xml"/></Relationships>
</file>

<file path=xl/worksheets/_rels/sheet31.xml.rels><?xml version="1.0" encoding="UTF-8" standalone="yes"?><Relationships xmlns="http://schemas.openxmlformats.org/package/2006/relationships"><Relationship Id="rId40" Type="http://schemas.openxmlformats.org/officeDocument/2006/relationships/table" Target="../tables/table263.xml"/><Relationship Id="rId62" Type="http://schemas.openxmlformats.org/officeDocument/2006/relationships/table" Target="../tables/table285.xml"/><Relationship Id="rId61" Type="http://schemas.openxmlformats.org/officeDocument/2006/relationships/table" Target="../tables/table284.xml"/><Relationship Id="rId42" Type="http://schemas.openxmlformats.org/officeDocument/2006/relationships/table" Target="../tables/table265.xml"/><Relationship Id="rId64" Type="http://schemas.openxmlformats.org/officeDocument/2006/relationships/table" Target="../tables/table287.xml"/><Relationship Id="rId41" Type="http://schemas.openxmlformats.org/officeDocument/2006/relationships/table" Target="../tables/table264.xml"/><Relationship Id="rId63" Type="http://schemas.openxmlformats.org/officeDocument/2006/relationships/table" Target="../tables/table286.xml"/><Relationship Id="rId44" Type="http://schemas.openxmlformats.org/officeDocument/2006/relationships/table" Target="../tables/table267.xml"/><Relationship Id="rId43" Type="http://schemas.openxmlformats.org/officeDocument/2006/relationships/table" Target="../tables/table266.xml"/><Relationship Id="rId65" Type="http://schemas.openxmlformats.org/officeDocument/2006/relationships/table" Target="../tables/table288.xml"/><Relationship Id="rId46" Type="http://schemas.openxmlformats.org/officeDocument/2006/relationships/table" Target="../tables/table269.xml"/><Relationship Id="rId45" Type="http://schemas.openxmlformats.org/officeDocument/2006/relationships/table" Target="../tables/table268.xml"/><Relationship Id="rId60" Type="http://schemas.openxmlformats.org/officeDocument/2006/relationships/table" Target="../tables/table283.xml"/><Relationship Id="rId1" Type="http://schemas.openxmlformats.org/officeDocument/2006/relationships/drawing" Target="../drawings/drawing31.xml"/><Relationship Id="rId48" Type="http://schemas.openxmlformats.org/officeDocument/2006/relationships/table" Target="../tables/table271.xml"/><Relationship Id="rId47" Type="http://schemas.openxmlformats.org/officeDocument/2006/relationships/table" Target="../tables/table270.xml"/><Relationship Id="rId49" Type="http://schemas.openxmlformats.org/officeDocument/2006/relationships/table" Target="../tables/table272.xml"/><Relationship Id="rId51" Type="http://schemas.openxmlformats.org/officeDocument/2006/relationships/table" Target="../tables/table274.xml"/><Relationship Id="rId50" Type="http://schemas.openxmlformats.org/officeDocument/2006/relationships/table" Target="../tables/table273.xml"/><Relationship Id="rId53" Type="http://schemas.openxmlformats.org/officeDocument/2006/relationships/table" Target="../tables/table276.xml"/><Relationship Id="rId52" Type="http://schemas.openxmlformats.org/officeDocument/2006/relationships/table" Target="../tables/table275.xml"/><Relationship Id="rId55" Type="http://schemas.openxmlformats.org/officeDocument/2006/relationships/table" Target="../tables/table278.xml"/><Relationship Id="rId54" Type="http://schemas.openxmlformats.org/officeDocument/2006/relationships/table" Target="../tables/table277.xml"/><Relationship Id="rId35" Type="http://schemas.openxmlformats.org/officeDocument/2006/relationships/table" Target="../tables/table258.xml"/><Relationship Id="rId57" Type="http://schemas.openxmlformats.org/officeDocument/2006/relationships/table" Target="../tables/table280.xml"/><Relationship Id="rId34" Type="http://schemas.openxmlformats.org/officeDocument/2006/relationships/table" Target="../tables/table257.xml"/><Relationship Id="rId56" Type="http://schemas.openxmlformats.org/officeDocument/2006/relationships/table" Target="../tables/table279.xml"/><Relationship Id="rId37" Type="http://schemas.openxmlformats.org/officeDocument/2006/relationships/table" Target="../tables/table260.xml"/><Relationship Id="rId59" Type="http://schemas.openxmlformats.org/officeDocument/2006/relationships/table" Target="../tables/table282.xml"/><Relationship Id="rId36" Type="http://schemas.openxmlformats.org/officeDocument/2006/relationships/table" Target="../tables/table259.xml"/><Relationship Id="rId58" Type="http://schemas.openxmlformats.org/officeDocument/2006/relationships/table" Target="../tables/table281.xml"/><Relationship Id="rId39" Type="http://schemas.openxmlformats.org/officeDocument/2006/relationships/table" Target="../tables/table262.xml"/><Relationship Id="rId38" Type="http://schemas.openxmlformats.org/officeDocument/2006/relationships/table" Target="../tables/table261.xml"/></Relationships>
</file>

<file path=xl/worksheets/_rels/sheet32.xml.rels><?xml version="1.0" encoding="UTF-8" standalone="yes"?><Relationships xmlns="http://schemas.openxmlformats.org/package/2006/relationships"><Relationship Id="rId40" Type="http://schemas.openxmlformats.org/officeDocument/2006/relationships/table" Target="../tables/table295.xml"/><Relationship Id="rId62" Type="http://schemas.openxmlformats.org/officeDocument/2006/relationships/table" Target="../tables/table317.xml"/><Relationship Id="rId61" Type="http://schemas.openxmlformats.org/officeDocument/2006/relationships/table" Target="../tables/table316.xml"/><Relationship Id="rId42" Type="http://schemas.openxmlformats.org/officeDocument/2006/relationships/table" Target="../tables/table297.xml"/><Relationship Id="rId64" Type="http://schemas.openxmlformats.org/officeDocument/2006/relationships/table" Target="../tables/table319.xml"/><Relationship Id="rId41" Type="http://schemas.openxmlformats.org/officeDocument/2006/relationships/table" Target="../tables/table296.xml"/><Relationship Id="rId63" Type="http://schemas.openxmlformats.org/officeDocument/2006/relationships/table" Target="../tables/table318.xml"/><Relationship Id="rId44" Type="http://schemas.openxmlformats.org/officeDocument/2006/relationships/table" Target="../tables/table299.xml"/><Relationship Id="rId43" Type="http://schemas.openxmlformats.org/officeDocument/2006/relationships/table" Target="../tables/table298.xml"/><Relationship Id="rId65" Type="http://schemas.openxmlformats.org/officeDocument/2006/relationships/table" Target="../tables/table320.xml"/><Relationship Id="rId46" Type="http://schemas.openxmlformats.org/officeDocument/2006/relationships/table" Target="../tables/table301.xml"/><Relationship Id="rId45" Type="http://schemas.openxmlformats.org/officeDocument/2006/relationships/table" Target="../tables/table300.xml"/><Relationship Id="rId60" Type="http://schemas.openxmlformats.org/officeDocument/2006/relationships/table" Target="../tables/table315.xml"/><Relationship Id="rId1" Type="http://schemas.openxmlformats.org/officeDocument/2006/relationships/drawing" Target="../drawings/drawing32.xml"/><Relationship Id="rId48" Type="http://schemas.openxmlformats.org/officeDocument/2006/relationships/table" Target="../tables/table303.xml"/><Relationship Id="rId47" Type="http://schemas.openxmlformats.org/officeDocument/2006/relationships/table" Target="../tables/table302.xml"/><Relationship Id="rId49" Type="http://schemas.openxmlformats.org/officeDocument/2006/relationships/table" Target="../tables/table304.xml"/><Relationship Id="rId51" Type="http://schemas.openxmlformats.org/officeDocument/2006/relationships/table" Target="../tables/table306.xml"/><Relationship Id="rId50" Type="http://schemas.openxmlformats.org/officeDocument/2006/relationships/table" Target="../tables/table305.xml"/><Relationship Id="rId53" Type="http://schemas.openxmlformats.org/officeDocument/2006/relationships/table" Target="../tables/table308.xml"/><Relationship Id="rId52" Type="http://schemas.openxmlformats.org/officeDocument/2006/relationships/table" Target="../tables/table307.xml"/><Relationship Id="rId55" Type="http://schemas.openxmlformats.org/officeDocument/2006/relationships/table" Target="../tables/table310.xml"/><Relationship Id="rId54" Type="http://schemas.openxmlformats.org/officeDocument/2006/relationships/table" Target="../tables/table309.xml"/><Relationship Id="rId35" Type="http://schemas.openxmlformats.org/officeDocument/2006/relationships/table" Target="../tables/table290.xml"/><Relationship Id="rId57" Type="http://schemas.openxmlformats.org/officeDocument/2006/relationships/table" Target="../tables/table312.xml"/><Relationship Id="rId34" Type="http://schemas.openxmlformats.org/officeDocument/2006/relationships/table" Target="../tables/table289.xml"/><Relationship Id="rId56" Type="http://schemas.openxmlformats.org/officeDocument/2006/relationships/table" Target="../tables/table311.xml"/><Relationship Id="rId37" Type="http://schemas.openxmlformats.org/officeDocument/2006/relationships/table" Target="../tables/table292.xml"/><Relationship Id="rId59" Type="http://schemas.openxmlformats.org/officeDocument/2006/relationships/table" Target="../tables/table314.xml"/><Relationship Id="rId36" Type="http://schemas.openxmlformats.org/officeDocument/2006/relationships/table" Target="../tables/table291.xml"/><Relationship Id="rId58" Type="http://schemas.openxmlformats.org/officeDocument/2006/relationships/table" Target="../tables/table313.xml"/><Relationship Id="rId39" Type="http://schemas.openxmlformats.org/officeDocument/2006/relationships/table" Target="../tables/table294.xml"/><Relationship Id="rId38" Type="http://schemas.openxmlformats.org/officeDocument/2006/relationships/table" Target="../tables/table293.xml"/></Relationships>
</file>

<file path=xl/worksheets/_rels/sheet33.xml.rels><?xml version="1.0" encoding="UTF-8" standalone="yes"?><Relationships xmlns="http://schemas.openxmlformats.org/package/2006/relationships"><Relationship Id="rId40" Type="http://schemas.openxmlformats.org/officeDocument/2006/relationships/table" Target="../tables/table327.xml"/><Relationship Id="rId62" Type="http://schemas.openxmlformats.org/officeDocument/2006/relationships/table" Target="../tables/table349.xml"/><Relationship Id="rId61" Type="http://schemas.openxmlformats.org/officeDocument/2006/relationships/table" Target="../tables/table348.xml"/><Relationship Id="rId42" Type="http://schemas.openxmlformats.org/officeDocument/2006/relationships/table" Target="../tables/table329.xml"/><Relationship Id="rId64" Type="http://schemas.openxmlformats.org/officeDocument/2006/relationships/table" Target="../tables/table351.xml"/><Relationship Id="rId41" Type="http://schemas.openxmlformats.org/officeDocument/2006/relationships/table" Target="../tables/table328.xml"/><Relationship Id="rId63" Type="http://schemas.openxmlformats.org/officeDocument/2006/relationships/table" Target="../tables/table350.xml"/><Relationship Id="rId44" Type="http://schemas.openxmlformats.org/officeDocument/2006/relationships/table" Target="../tables/table331.xml"/><Relationship Id="rId43" Type="http://schemas.openxmlformats.org/officeDocument/2006/relationships/table" Target="../tables/table330.xml"/><Relationship Id="rId65" Type="http://schemas.openxmlformats.org/officeDocument/2006/relationships/table" Target="../tables/table352.xml"/><Relationship Id="rId46" Type="http://schemas.openxmlformats.org/officeDocument/2006/relationships/table" Target="../tables/table333.xml"/><Relationship Id="rId45" Type="http://schemas.openxmlformats.org/officeDocument/2006/relationships/table" Target="../tables/table332.xml"/><Relationship Id="rId60" Type="http://schemas.openxmlformats.org/officeDocument/2006/relationships/table" Target="../tables/table347.xml"/><Relationship Id="rId1" Type="http://schemas.openxmlformats.org/officeDocument/2006/relationships/drawing" Target="../drawings/drawing33.xml"/><Relationship Id="rId48" Type="http://schemas.openxmlformats.org/officeDocument/2006/relationships/table" Target="../tables/table335.xml"/><Relationship Id="rId47" Type="http://schemas.openxmlformats.org/officeDocument/2006/relationships/table" Target="../tables/table334.xml"/><Relationship Id="rId49" Type="http://schemas.openxmlformats.org/officeDocument/2006/relationships/table" Target="../tables/table336.xml"/><Relationship Id="rId51" Type="http://schemas.openxmlformats.org/officeDocument/2006/relationships/table" Target="../tables/table338.xml"/><Relationship Id="rId50" Type="http://schemas.openxmlformats.org/officeDocument/2006/relationships/table" Target="../tables/table337.xml"/><Relationship Id="rId53" Type="http://schemas.openxmlformats.org/officeDocument/2006/relationships/table" Target="../tables/table340.xml"/><Relationship Id="rId52" Type="http://schemas.openxmlformats.org/officeDocument/2006/relationships/table" Target="../tables/table339.xml"/><Relationship Id="rId55" Type="http://schemas.openxmlformats.org/officeDocument/2006/relationships/table" Target="../tables/table342.xml"/><Relationship Id="rId54" Type="http://schemas.openxmlformats.org/officeDocument/2006/relationships/table" Target="../tables/table341.xml"/><Relationship Id="rId35" Type="http://schemas.openxmlformats.org/officeDocument/2006/relationships/table" Target="../tables/table322.xml"/><Relationship Id="rId57" Type="http://schemas.openxmlformats.org/officeDocument/2006/relationships/table" Target="../tables/table344.xml"/><Relationship Id="rId34" Type="http://schemas.openxmlformats.org/officeDocument/2006/relationships/table" Target="../tables/table321.xml"/><Relationship Id="rId56" Type="http://schemas.openxmlformats.org/officeDocument/2006/relationships/table" Target="../tables/table343.xml"/><Relationship Id="rId37" Type="http://schemas.openxmlformats.org/officeDocument/2006/relationships/table" Target="../tables/table324.xml"/><Relationship Id="rId59" Type="http://schemas.openxmlformats.org/officeDocument/2006/relationships/table" Target="../tables/table346.xml"/><Relationship Id="rId36" Type="http://schemas.openxmlformats.org/officeDocument/2006/relationships/table" Target="../tables/table323.xml"/><Relationship Id="rId58" Type="http://schemas.openxmlformats.org/officeDocument/2006/relationships/table" Target="../tables/table345.xml"/><Relationship Id="rId39" Type="http://schemas.openxmlformats.org/officeDocument/2006/relationships/table" Target="../tables/table326.xml"/><Relationship Id="rId38" Type="http://schemas.openxmlformats.org/officeDocument/2006/relationships/table" Target="../tables/table325.xml"/></Relationships>
</file>

<file path=xl/worksheets/_rels/sheet34.xml.rels><?xml version="1.0" encoding="UTF-8" standalone="yes"?><Relationships xmlns="http://schemas.openxmlformats.org/package/2006/relationships"><Relationship Id="rId40" Type="http://schemas.openxmlformats.org/officeDocument/2006/relationships/table" Target="../tables/table359.xml"/><Relationship Id="rId62" Type="http://schemas.openxmlformats.org/officeDocument/2006/relationships/table" Target="../tables/table381.xml"/><Relationship Id="rId61" Type="http://schemas.openxmlformats.org/officeDocument/2006/relationships/table" Target="../tables/table380.xml"/><Relationship Id="rId42" Type="http://schemas.openxmlformats.org/officeDocument/2006/relationships/table" Target="../tables/table361.xml"/><Relationship Id="rId64" Type="http://schemas.openxmlformats.org/officeDocument/2006/relationships/table" Target="../tables/table383.xml"/><Relationship Id="rId41" Type="http://schemas.openxmlformats.org/officeDocument/2006/relationships/table" Target="../tables/table360.xml"/><Relationship Id="rId63" Type="http://schemas.openxmlformats.org/officeDocument/2006/relationships/table" Target="../tables/table382.xml"/><Relationship Id="rId44" Type="http://schemas.openxmlformats.org/officeDocument/2006/relationships/table" Target="../tables/table363.xml"/><Relationship Id="rId43" Type="http://schemas.openxmlformats.org/officeDocument/2006/relationships/table" Target="../tables/table362.xml"/><Relationship Id="rId65" Type="http://schemas.openxmlformats.org/officeDocument/2006/relationships/table" Target="../tables/table384.xml"/><Relationship Id="rId46" Type="http://schemas.openxmlformats.org/officeDocument/2006/relationships/table" Target="../tables/table365.xml"/><Relationship Id="rId45" Type="http://schemas.openxmlformats.org/officeDocument/2006/relationships/table" Target="../tables/table364.xml"/><Relationship Id="rId60" Type="http://schemas.openxmlformats.org/officeDocument/2006/relationships/table" Target="../tables/table379.xml"/><Relationship Id="rId1" Type="http://schemas.openxmlformats.org/officeDocument/2006/relationships/drawing" Target="../drawings/drawing34.xml"/><Relationship Id="rId48" Type="http://schemas.openxmlformats.org/officeDocument/2006/relationships/table" Target="../tables/table367.xml"/><Relationship Id="rId47" Type="http://schemas.openxmlformats.org/officeDocument/2006/relationships/table" Target="../tables/table366.xml"/><Relationship Id="rId49" Type="http://schemas.openxmlformats.org/officeDocument/2006/relationships/table" Target="../tables/table368.xml"/><Relationship Id="rId51" Type="http://schemas.openxmlformats.org/officeDocument/2006/relationships/table" Target="../tables/table370.xml"/><Relationship Id="rId50" Type="http://schemas.openxmlformats.org/officeDocument/2006/relationships/table" Target="../tables/table369.xml"/><Relationship Id="rId53" Type="http://schemas.openxmlformats.org/officeDocument/2006/relationships/table" Target="../tables/table372.xml"/><Relationship Id="rId52" Type="http://schemas.openxmlformats.org/officeDocument/2006/relationships/table" Target="../tables/table371.xml"/><Relationship Id="rId55" Type="http://schemas.openxmlformats.org/officeDocument/2006/relationships/table" Target="../tables/table374.xml"/><Relationship Id="rId54" Type="http://schemas.openxmlformats.org/officeDocument/2006/relationships/table" Target="../tables/table373.xml"/><Relationship Id="rId35" Type="http://schemas.openxmlformats.org/officeDocument/2006/relationships/table" Target="../tables/table354.xml"/><Relationship Id="rId57" Type="http://schemas.openxmlformats.org/officeDocument/2006/relationships/table" Target="../tables/table376.xml"/><Relationship Id="rId34" Type="http://schemas.openxmlformats.org/officeDocument/2006/relationships/table" Target="../tables/table353.xml"/><Relationship Id="rId56" Type="http://schemas.openxmlformats.org/officeDocument/2006/relationships/table" Target="../tables/table375.xml"/><Relationship Id="rId37" Type="http://schemas.openxmlformats.org/officeDocument/2006/relationships/table" Target="../tables/table356.xml"/><Relationship Id="rId59" Type="http://schemas.openxmlformats.org/officeDocument/2006/relationships/table" Target="../tables/table378.xml"/><Relationship Id="rId36" Type="http://schemas.openxmlformats.org/officeDocument/2006/relationships/table" Target="../tables/table355.xml"/><Relationship Id="rId58" Type="http://schemas.openxmlformats.org/officeDocument/2006/relationships/table" Target="../tables/table377.xml"/><Relationship Id="rId39" Type="http://schemas.openxmlformats.org/officeDocument/2006/relationships/table" Target="../tables/table358.xml"/><Relationship Id="rId38" Type="http://schemas.openxmlformats.org/officeDocument/2006/relationships/table" Target="../tables/table357.xml"/></Relationships>
</file>

<file path=xl/worksheets/_rels/sheet35.xml.rels><?xml version="1.0" encoding="UTF-8" standalone="yes"?><Relationships xmlns="http://schemas.openxmlformats.org/package/2006/relationships"><Relationship Id="rId40" Type="http://schemas.openxmlformats.org/officeDocument/2006/relationships/table" Target="../tables/table391.xml"/><Relationship Id="rId62" Type="http://schemas.openxmlformats.org/officeDocument/2006/relationships/table" Target="../tables/table413.xml"/><Relationship Id="rId61" Type="http://schemas.openxmlformats.org/officeDocument/2006/relationships/table" Target="../tables/table412.xml"/><Relationship Id="rId42" Type="http://schemas.openxmlformats.org/officeDocument/2006/relationships/table" Target="../tables/table393.xml"/><Relationship Id="rId64" Type="http://schemas.openxmlformats.org/officeDocument/2006/relationships/table" Target="../tables/table415.xml"/><Relationship Id="rId41" Type="http://schemas.openxmlformats.org/officeDocument/2006/relationships/table" Target="../tables/table392.xml"/><Relationship Id="rId63" Type="http://schemas.openxmlformats.org/officeDocument/2006/relationships/table" Target="../tables/table414.xml"/><Relationship Id="rId44" Type="http://schemas.openxmlformats.org/officeDocument/2006/relationships/table" Target="../tables/table395.xml"/><Relationship Id="rId43" Type="http://schemas.openxmlformats.org/officeDocument/2006/relationships/table" Target="../tables/table394.xml"/><Relationship Id="rId65" Type="http://schemas.openxmlformats.org/officeDocument/2006/relationships/table" Target="../tables/table416.xml"/><Relationship Id="rId46" Type="http://schemas.openxmlformats.org/officeDocument/2006/relationships/table" Target="../tables/table397.xml"/><Relationship Id="rId45" Type="http://schemas.openxmlformats.org/officeDocument/2006/relationships/table" Target="../tables/table396.xml"/><Relationship Id="rId60" Type="http://schemas.openxmlformats.org/officeDocument/2006/relationships/table" Target="../tables/table411.xml"/><Relationship Id="rId1" Type="http://schemas.openxmlformats.org/officeDocument/2006/relationships/drawing" Target="../drawings/drawing35.xml"/><Relationship Id="rId48" Type="http://schemas.openxmlformats.org/officeDocument/2006/relationships/table" Target="../tables/table399.xml"/><Relationship Id="rId47" Type="http://schemas.openxmlformats.org/officeDocument/2006/relationships/table" Target="../tables/table398.xml"/><Relationship Id="rId49" Type="http://schemas.openxmlformats.org/officeDocument/2006/relationships/table" Target="../tables/table400.xml"/><Relationship Id="rId51" Type="http://schemas.openxmlformats.org/officeDocument/2006/relationships/table" Target="../tables/table402.xml"/><Relationship Id="rId50" Type="http://schemas.openxmlformats.org/officeDocument/2006/relationships/table" Target="../tables/table401.xml"/><Relationship Id="rId53" Type="http://schemas.openxmlformats.org/officeDocument/2006/relationships/table" Target="../tables/table404.xml"/><Relationship Id="rId52" Type="http://schemas.openxmlformats.org/officeDocument/2006/relationships/table" Target="../tables/table403.xml"/><Relationship Id="rId55" Type="http://schemas.openxmlformats.org/officeDocument/2006/relationships/table" Target="../tables/table406.xml"/><Relationship Id="rId54" Type="http://schemas.openxmlformats.org/officeDocument/2006/relationships/table" Target="../tables/table405.xml"/><Relationship Id="rId35" Type="http://schemas.openxmlformats.org/officeDocument/2006/relationships/table" Target="../tables/table386.xml"/><Relationship Id="rId57" Type="http://schemas.openxmlformats.org/officeDocument/2006/relationships/table" Target="../tables/table408.xml"/><Relationship Id="rId34" Type="http://schemas.openxmlformats.org/officeDocument/2006/relationships/table" Target="../tables/table385.xml"/><Relationship Id="rId56" Type="http://schemas.openxmlformats.org/officeDocument/2006/relationships/table" Target="../tables/table407.xml"/><Relationship Id="rId37" Type="http://schemas.openxmlformats.org/officeDocument/2006/relationships/table" Target="../tables/table388.xml"/><Relationship Id="rId59" Type="http://schemas.openxmlformats.org/officeDocument/2006/relationships/table" Target="../tables/table410.xml"/><Relationship Id="rId36" Type="http://schemas.openxmlformats.org/officeDocument/2006/relationships/table" Target="../tables/table387.xml"/><Relationship Id="rId58" Type="http://schemas.openxmlformats.org/officeDocument/2006/relationships/table" Target="../tables/table409.xml"/><Relationship Id="rId39" Type="http://schemas.openxmlformats.org/officeDocument/2006/relationships/table" Target="../tables/table390.xml"/><Relationship Id="rId38" Type="http://schemas.openxmlformats.org/officeDocument/2006/relationships/table" Target="../tables/table38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81.38"/>
  </cols>
  <sheetData>
    <row r="1">
      <c r="A1" s="2" t="s">
        <v>0</v>
      </c>
    </row>
    <row r="2">
      <c r="A2" s="4" t="s">
        <v>3</v>
      </c>
    </row>
    <row r="3">
      <c r="A3" s="5" t="s">
        <v>6</v>
      </c>
    </row>
    <row r="4">
      <c r="A4" s="7" t="s">
        <v>8</v>
      </c>
    </row>
    <row r="5">
      <c r="A5" s="9" t="s">
        <v>16</v>
      </c>
    </row>
    <row r="6">
      <c r="A6" s="12" t="s">
        <v>22</v>
      </c>
    </row>
    <row r="7">
      <c r="A7" s="12" t="s">
        <v>25</v>
      </c>
    </row>
    <row r="8">
      <c r="A8" s="12" t="s">
        <v>27</v>
      </c>
    </row>
    <row r="9">
      <c r="A9" s="12" t="s">
        <v>30</v>
      </c>
    </row>
    <row r="10">
      <c r="A10" s="14"/>
    </row>
    <row r="11">
      <c r="A11" s="9" t="s">
        <v>32</v>
      </c>
    </row>
    <row r="12">
      <c r="A12" s="15" t="s">
        <v>34</v>
      </c>
    </row>
    <row r="13">
      <c r="A13" s="15" t="s">
        <v>36</v>
      </c>
    </row>
    <row r="14">
      <c r="A14" s="15" t="s">
        <v>37</v>
      </c>
    </row>
    <row r="15">
      <c r="A15" s="15" t="s">
        <v>38</v>
      </c>
    </row>
    <row r="16">
      <c r="A16" s="15" t="s">
        <v>39</v>
      </c>
    </row>
    <row r="17">
      <c r="A17" s="17"/>
    </row>
    <row r="18">
      <c r="A18" s="9" t="s">
        <v>41</v>
      </c>
    </row>
    <row r="19">
      <c r="A19" s="15" t="s">
        <v>42</v>
      </c>
    </row>
    <row r="20">
      <c r="A20" s="15" t="s">
        <v>43</v>
      </c>
    </row>
    <row r="21">
      <c r="A21" s="15" t="s">
        <v>44</v>
      </c>
    </row>
    <row r="22">
      <c r="A22" s="15" t="s">
        <v>45</v>
      </c>
    </row>
    <row r="23">
      <c r="A23" s="15" t="s">
        <v>46</v>
      </c>
    </row>
    <row r="24">
      <c r="A24" s="17"/>
    </row>
    <row r="25">
      <c r="A25" s="2" t="s">
        <v>47</v>
      </c>
    </row>
    <row r="26">
      <c r="A26" s="12" t="s">
        <v>48</v>
      </c>
    </row>
    <row r="27">
      <c r="A27" s="15" t="s">
        <v>49</v>
      </c>
    </row>
    <row r="28">
      <c r="A28" s="19" t="s">
        <v>50</v>
      </c>
    </row>
    <row r="29">
      <c r="A29" s="12" t="s">
        <v>51</v>
      </c>
    </row>
    <row r="30">
      <c r="A30" s="15" t="s">
        <v>52</v>
      </c>
    </row>
    <row r="31">
      <c r="A31" s="15" t="s">
        <v>53</v>
      </c>
    </row>
    <row r="32">
      <c r="A32" s="12" t="s">
        <v>54</v>
      </c>
    </row>
    <row r="33">
      <c r="A33" s="15" t="s">
        <v>55</v>
      </c>
    </row>
    <row r="34">
      <c r="A34" s="14"/>
    </row>
    <row r="35">
      <c r="A35" s="2" t="s">
        <v>56</v>
      </c>
    </row>
    <row r="36">
      <c r="A36" s="15" t="s">
        <v>57</v>
      </c>
    </row>
    <row r="37">
      <c r="A37" s="15" t="s">
        <v>58</v>
      </c>
    </row>
    <row r="38">
      <c r="A38" s="15" t="s">
        <v>59</v>
      </c>
    </row>
    <row r="39">
      <c r="A39" s="14"/>
    </row>
    <row r="40">
      <c r="A40" s="2" t="s">
        <v>61</v>
      </c>
    </row>
    <row r="41">
      <c r="A41" s="15" t="s">
        <v>62</v>
      </c>
    </row>
    <row r="42">
      <c r="A42" s="15" t="s">
        <v>63</v>
      </c>
    </row>
    <row r="43">
      <c r="A43" s="19" t="s">
        <v>64</v>
      </c>
    </row>
    <row r="44">
      <c r="A44" s="15" t="s">
        <v>65</v>
      </c>
    </row>
    <row r="45">
      <c r="A45" s="15" t="s">
        <v>66</v>
      </c>
    </row>
    <row r="46">
      <c r="A46" s="15" t="s">
        <v>67</v>
      </c>
    </row>
    <row r="47">
      <c r="A47" s="15" t="s">
        <v>68</v>
      </c>
    </row>
    <row r="48">
      <c r="A48" s="15" t="s">
        <v>69</v>
      </c>
    </row>
    <row r="49">
      <c r="A49" s="19" t="s">
        <v>70</v>
      </c>
    </row>
    <row r="50">
      <c r="A50" s="17"/>
    </row>
    <row r="51">
      <c r="A51" s="9" t="s">
        <v>71</v>
      </c>
    </row>
    <row r="52">
      <c r="A52" s="7" t="s">
        <v>72</v>
      </c>
    </row>
    <row r="53">
      <c r="A53" s="15" t="s">
        <v>73</v>
      </c>
    </row>
    <row r="54">
      <c r="A54" s="24"/>
    </row>
    <row r="55">
      <c r="A55" s="19" t="s">
        <v>74</v>
      </c>
    </row>
    <row r="56">
      <c r="A56" s="24"/>
    </row>
    <row r="57">
      <c r="A57" s="15" t="s">
        <v>75</v>
      </c>
    </row>
    <row r="58">
      <c r="A58" s="15" t="s">
        <v>76</v>
      </c>
    </row>
    <row r="59">
      <c r="A59" s="15" t="s">
        <v>77</v>
      </c>
    </row>
    <row r="60">
      <c r="A60" s="15" t="s">
        <v>78</v>
      </c>
    </row>
    <row r="61">
      <c r="A61" s="24"/>
    </row>
    <row r="62">
      <c r="A62" s="15" t="s">
        <v>79</v>
      </c>
    </row>
    <row r="63">
      <c r="A63" s="24"/>
    </row>
    <row r="64">
      <c r="A64" s="15" t="s">
        <v>80</v>
      </c>
    </row>
    <row r="65">
      <c r="A65" s="15" t="s">
        <v>81</v>
      </c>
    </row>
    <row r="66">
      <c r="A66" s="24"/>
    </row>
    <row r="67">
      <c r="A67" s="24"/>
    </row>
    <row r="68">
      <c r="A68" s="17"/>
    </row>
    <row r="69">
      <c r="A69" s="9" t="s">
        <v>83</v>
      </c>
    </row>
    <row r="70">
      <c r="A70" s="15" t="s">
        <v>86</v>
      </c>
    </row>
    <row r="71">
      <c r="A71" s="15" t="s">
        <v>87</v>
      </c>
    </row>
    <row r="72">
      <c r="A72" s="15" t="s">
        <v>88</v>
      </c>
    </row>
    <row r="73">
      <c r="A73" s="15" t="s">
        <v>89</v>
      </c>
    </row>
    <row r="74">
      <c r="A74" s="15" t="s">
        <v>90</v>
      </c>
    </row>
    <row r="75">
      <c r="A75" s="15" t="s">
        <v>91</v>
      </c>
    </row>
    <row r="76">
      <c r="A76" s="15" t="s">
        <v>92</v>
      </c>
    </row>
    <row r="77">
      <c r="A77" s="12" t="s">
        <v>93</v>
      </c>
    </row>
    <row r="78">
      <c r="A78" s="15" t="s">
        <v>94</v>
      </c>
    </row>
    <row r="79">
      <c r="A79" s="15" t="s">
        <v>95</v>
      </c>
    </row>
    <row r="80">
      <c r="A80" s="15" t="s">
        <v>96</v>
      </c>
    </row>
    <row r="81">
      <c r="A81" s="15" t="s">
        <v>97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5" max="5" width="3.5"/>
    <col customWidth="1" min="6" max="6" width="8.25"/>
  </cols>
  <sheetData>
    <row r="1">
      <c r="A1" s="1"/>
      <c r="B1" s="3" t="s">
        <v>2</v>
      </c>
      <c r="C1" s="3" t="s">
        <v>10</v>
      </c>
      <c r="D1" s="3" t="s">
        <v>12</v>
      </c>
      <c r="E1" s="8"/>
      <c r="F1" s="1"/>
      <c r="G1" s="3" t="s">
        <v>19</v>
      </c>
      <c r="H1" s="3" t="s">
        <v>10</v>
      </c>
      <c r="I1" s="3" t="s">
        <v>12</v>
      </c>
    </row>
    <row r="2">
      <c r="A2" s="16" t="str">
        <f>IMAGE("https://logodownload.org/wp-content/uploads/2020/09/kansas-city-chiefs-logo.png")</f>
        <v/>
      </c>
      <c r="B2" s="18" t="s">
        <v>40</v>
      </c>
      <c r="C2" s="22" t="str">
        <f>CONCATENATE('Standings Counter'!B20," - ",'Standings Counter'!C20)</f>
        <v>10 - 7</v>
      </c>
      <c r="D2" s="22" t="str">
        <f>CONCATENATE('Div Record Counter'!B20," - ",'Div Record Counter'!C20)</f>
        <v>3 - 3</v>
      </c>
      <c r="E2" s="8"/>
      <c r="F2" s="25" t="str">
        <f>IMAGE("https://logodownload.org/wp-content/uploads/2020/09/san-francisco-49ers-logo-2048x1220.png")</f>
        <v/>
      </c>
      <c r="G2" s="26" t="s">
        <v>85</v>
      </c>
      <c r="H2" s="22" t="str">
        <f>CONCATENATE('Standings Counter'!AH20," - ",'Standings Counter'!AI20)</f>
        <v>10 - 7</v>
      </c>
      <c r="I2" s="22" t="str">
        <f>CONCATENATE('Div Record Counter'!AH20," - ",'Div Record Counter'!AI20)</f>
        <v>4 - 2</v>
      </c>
    </row>
    <row r="3">
      <c r="A3" s="16" t="str">
        <f>IMAGE("https://logodownload.org/wp-content/uploads/2020/09/las-vegas-raiders-logo-1-564x599.png")</f>
        <v/>
      </c>
      <c r="B3" s="3" t="s">
        <v>108</v>
      </c>
      <c r="C3" s="22" t="str">
        <f>CONCATENATE('Standings Counter'!D20," - ",'Standings Counter'!E20)</f>
        <v>7 - 10</v>
      </c>
      <c r="D3" s="22" t="str">
        <f>CONCATENATE('Div Record Counter'!D20," - ",'Div Record Counter'!E20)</f>
        <v>2 - 4</v>
      </c>
      <c r="E3" s="8"/>
      <c r="F3" s="25" t="str">
        <f>IMAGE("https://1000logos.net/wp-content/uploads/2018/07/Rams-Logo.png")</f>
        <v/>
      </c>
      <c r="G3" s="34" t="s">
        <v>110</v>
      </c>
      <c r="H3" s="22" t="str">
        <f>CONCATENATE('Standings Counter'!AJ20," - ",'Standings Counter'!AK20)</f>
        <v>13 - 4</v>
      </c>
      <c r="I3" s="22" t="str">
        <f>CONCATENATE('Div Record Counter'!AJ20," - ",'Div Record Counter'!AK20)</f>
        <v>3 - 3</v>
      </c>
    </row>
    <row r="4">
      <c r="A4" s="16" t="str">
        <f>IMAGE("https://logodownload.org/wp-content/uploads/2020/07/denver-broncos-logo-0.png")</f>
        <v/>
      </c>
      <c r="B4" s="37" t="s">
        <v>111</v>
      </c>
      <c r="C4" s="22" t="str">
        <f>CONCATENATE('Standings Counter'!F20," - ",'Standings Counter'!G20)</f>
        <v>12 - 5</v>
      </c>
      <c r="D4" s="22" t="str">
        <f>CONCATENATE('Div Record Counter'!F20," - ",'Div Record Counter'!G20)</f>
        <v>4 - 2</v>
      </c>
      <c r="E4" s="8"/>
      <c r="F4" s="25" t="str">
        <f>IMAGE("https://cdn.freebiesupply.com/images/large/2x/seattle-seahawks-logo-transparent.png")</f>
        <v/>
      </c>
      <c r="G4" s="39" t="s">
        <v>109</v>
      </c>
      <c r="H4" s="22" t="str">
        <f>CONCATENATE('Standings Counter'!AL20," - ",'Standings Counter'!AM20)</f>
        <v>12 - 5</v>
      </c>
      <c r="I4" s="22" t="str">
        <f>CONCATENATE('Div Record Counter'!AL20," - ",'Div Record Counter'!AM20)</f>
        <v>4 - 2</v>
      </c>
    </row>
    <row r="5">
      <c r="A5" s="16" t="str">
        <f>IMAGE("https://logosmarcas.net/wp-content/uploads/2020/07/Los-Angeles-Chargers-logo.png")</f>
        <v/>
      </c>
      <c r="B5" s="42" t="s">
        <v>112</v>
      </c>
      <c r="C5" s="22" t="str">
        <f>CONCATENATE('Standings Counter'!H20," - ",'Standings Counter'!I20)</f>
        <v>8 - 9</v>
      </c>
      <c r="D5" s="22" t="str">
        <f>concatenate('Div Record Counter'!H20," - ",'Div Record Counter'!I20)</f>
        <v>3 - 3</v>
      </c>
      <c r="E5" s="8"/>
      <c r="F5" s="25" t="str">
        <f>IMAGE("https://logos-world.net/wp-content/uploads/2020/05/Arizona-Cardinals-Logo.png")</f>
        <v/>
      </c>
      <c r="G5" s="44" t="s">
        <v>117</v>
      </c>
      <c r="H5" s="22" t="str">
        <f>CONCATENATE('Standings Counter'!AN20," - ",'Standings Counter'!AO20)</f>
        <v>5 - 12</v>
      </c>
      <c r="I5" s="22" t="str">
        <f>CONCATENATE('Div Record Counter'!AN20," - ",'Div Record Counter'!AO20)</f>
        <v>1 - 5</v>
      </c>
    </row>
    <row r="6">
      <c r="A6" s="45"/>
      <c r="B6" s="45"/>
      <c r="C6" s="45"/>
      <c r="D6" s="45"/>
      <c r="E6" s="8"/>
      <c r="F6" s="45"/>
      <c r="G6" s="45"/>
      <c r="H6" s="45"/>
      <c r="I6" s="45"/>
    </row>
    <row r="7">
      <c r="A7" s="1"/>
      <c r="B7" s="3" t="s">
        <v>24</v>
      </c>
      <c r="C7" s="3" t="s">
        <v>10</v>
      </c>
      <c r="D7" s="3" t="s">
        <v>12</v>
      </c>
      <c r="E7" s="8"/>
      <c r="F7" s="1"/>
      <c r="G7" s="3" t="s">
        <v>31</v>
      </c>
      <c r="H7" s="3" t="s">
        <v>10</v>
      </c>
      <c r="I7" s="3" t="s">
        <v>12</v>
      </c>
    </row>
    <row r="8">
      <c r="A8" s="16" t="str">
        <f>IMAGE("https://logos-download.com/wp-content/uploads/2018/03/Buffalo_Bills_logo_blue.png")</f>
        <v/>
      </c>
      <c r="B8" s="46" t="s">
        <v>116</v>
      </c>
      <c r="C8" s="22" t="str">
        <f>CONCATENATE('Standings Counter'!J20," - ",'Standings Counter'!K20)</f>
        <v>12 - 5</v>
      </c>
      <c r="D8" s="22" t="str">
        <f>CONCATENATE('Div Record Counter'!J20," - ",'Div Record Counter'!K20)</f>
        <v>3 - 3</v>
      </c>
      <c r="E8" s="8"/>
      <c r="F8" s="25" t="str">
        <f>IMAGE("https://www.freepnglogos.com/uploads/dallas-cowboys-logo-22.png")</f>
        <v/>
      </c>
      <c r="G8" s="47" t="s">
        <v>118</v>
      </c>
      <c r="H8" s="22" t="str">
        <f>CONCATENATE('Standings Counter'!AP20," - ",'Standings Counter'!AQ20)</f>
        <v>11 - 6</v>
      </c>
      <c r="I8" s="22" t="str">
        <f>CONCATENATE('Div Record Counter'!AP20," - ",'Div Record Counter'!AQ20)</f>
        <v>5 - 1</v>
      </c>
    </row>
    <row r="9">
      <c r="A9" s="16" t="str">
        <f>IMAGE("https://logos-world.net/wp-content/uploads/2020/05/Miami-Dolphins-Logo.png")</f>
        <v/>
      </c>
      <c r="B9" s="49" t="s">
        <v>120</v>
      </c>
      <c r="C9" s="22" t="str">
        <f>CONCATENATE('Standings Counter'!L20," - ",'Standings Counter'!M20)</f>
        <v>3 - 14</v>
      </c>
      <c r="D9" s="22" t="str">
        <f>concatenate('Div Record Counter'!L20," - ",'Div Record Counter'!M20)</f>
        <v>1 - 5</v>
      </c>
      <c r="E9" s="8"/>
      <c r="F9" s="25" t="str">
        <f>IMAGE("https://1000logos.net/wp-content/uploads/2017/05/Philadelphia-Eagles-Logo.png")</f>
        <v/>
      </c>
      <c r="G9" s="50" t="s">
        <v>121</v>
      </c>
      <c r="H9" s="22" t="str">
        <f>CONCATENATE('Standings Counter'!AR20," - ",'Standings Counter'!AS20)</f>
        <v>13 - 4</v>
      </c>
      <c r="I9" s="22" t="str">
        <f>CONCATENATE('Div Record Counter'!AR20," - ",'Div Record Counter'!AS20)</f>
        <v>5 - 1</v>
      </c>
    </row>
    <row r="10">
      <c r="A10" s="16" t="str">
        <f>IMAGE("https://logos-world.net/wp-content/uploads/2020/07/New-York-Jets-Logo.png")</f>
        <v/>
      </c>
      <c r="B10" s="53" t="s">
        <v>124</v>
      </c>
      <c r="C10" s="22" t="str">
        <f>CONCATENATE('Standings Counter'!N20," - ",'Standings Counter'!O20)</f>
        <v>4 - 13</v>
      </c>
      <c r="D10" s="22" t="str">
        <f>concatenate('Div Record Counter'!N20," - ",'Div Record Counter'!O20)</f>
        <v>3 - 3</v>
      </c>
      <c r="E10" s="8"/>
      <c r="F10" s="25" t="str">
        <f>IMAGE("https://logosmarcas.net/wp-content/uploads/2020/07/New-York-Giants-Logo.png")</f>
        <v/>
      </c>
      <c r="G10" s="54" t="s">
        <v>125</v>
      </c>
      <c r="H10" s="22" t="str">
        <f>CONCATENATE('Standings Counter'!AT20," - ",'Standings Counter'!AU20)</f>
        <v>4 - 13</v>
      </c>
      <c r="I10" s="22" t="str">
        <f>CONCATENATE('Div Record Counter'!AT20," - ",'Div Record Counter'!AU20)</f>
        <v>0 - 6</v>
      </c>
    </row>
    <row r="11">
      <c r="A11" s="16" t="str">
        <f>IMAGE("https://purepng.com/public/uploads/large/new-england-patriots-logo-symbol-ucp.png")</f>
        <v/>
      </c>
      <c r="B11" s="55" t="s">
        <v>126</v>
      </c>
      <c r="C11" s="22" t="str">
        <f>CONCATENATE('Standings Counter'!P20," - ",'Standings Counter'!Q20)</f>
        <v>13 - 4</v>
      </c>
      <c r="D11" s="22" t="str">
        <f>concatenate('Div Record Counter'!P20," - ",'Div Record Counter'!Q20)</f>
        <v>5 - 1</v>
      </c>
      <c r="E11" s="8"/>
      <c r="F11" s="25" t="str">
        <f>IMAGE("https://logodownload.org/wp-content/uploads/2020/09/washington-commanders-logo.png")</f>
        <v/>
      </c>
      <c r="G11" s="57" t="s">
        <v>129</v>
      </c>
      <c r="H11" s="22" t="str">
        <f>CONCATENATE('Standings Counter'!AV20," - ",'Standings Counter'!AW20)</f>
        <v>6 - 11</v>
      </c>
      <c r="I11" s="22" t="str">
        <f>CONCATENATE('Div Record Counter'!AV20," - ",'Div Record Counter'!AW20)</f>
        <v>2 - 4</v>
      </c>
    </row>
    <row r="12">
      <c r="A12" s="45"/>
      <c r="B12" s="45"/>
      <c r="C12" s="45"/>
      <c r="D12" s="45"/>
      <c r="E12" s="8"/>
      <c r="F12" s="45"/>
      <c r="G12" s="45"/>
      <c r="H12" s="45"/>
      <c r="I12" s="45"/>
    </row>
    <row r="13">
      <c r="A13" s="1"/>
      <c r="B13" s="3" t="s">
        <v>26</v>
      </c>
      <c r="C13" s="3" t="s">
        <v>10</v>
      </c>
      <c r="D13" s="3" t="s">
        <v>12</v>
      </c>
      <c r="E13" s="8"/>
      <c r="F13" s="1"/>
      <c r="G13" s="3" t="s">
        <v>33</v>
      </c>
      <c r="H13" s="3" t="s">
        <v>10</v>
      </c>
      <c r="I13" s="3" t="s">
        <v>12</v>
      </c>
    </row>
    <row r="14">
      <c r="A14" s="16" t="str">
        <f>IMAGE("https://1000logos.net/wp-content/uploads/2016/10/Baltimore-Ravens-Logo.png")</f>
        <v/>
      </c>
      <c r="B14" s="58" t="s">
        <v>131</v>
      </c>
      <c r="C14" s="22" t="str">
        <f>CONCATENATE('Standings Counter'!R20," - ",'Standings Counter'!S20)</f>
        <v>11 - 6</v>
      </c>
      <c r="D14" s="22" t="str">
        <f>concatenate('Div Record Counter'!R20," - ",'Div Record Counter'!S20)</f>
        <v>4 - 2</v>
      </c>
      <c r="E14" s="8"/>
      <c r="F14" s="25" t="str">
        <f>IMAGE("https://logos-world.net/wp-content/uploads/2020/05/Detroit-Lions-Logo-2017-Present.png")</f>
        <v/>
      </c>
      <c r="G14" s="61" t="s">
        <v>138</v>
      </c>
      <c r="H14" s="22" t="str">
        <f>CONCATENATE('Standings Counter'!AX20," - ",'Standings Counter'!AY20)</f>
        <v>11 - 6</v>
      </c>
      <c r="I14" s="22" t="str">
        <f>CONCATENATE('Div Record Counter'!AX20," - ",'Div Record Counter'!AY20)</f>
        <v>3 - 3</v>
      </c>
    </row>
    <row r="15">
      <c r="A15" s="16" t="str">
        <f>IMAGE("https://logos-world.net/wp-content/uploads/2020/05/Cleveland-Browns-Logo-2006-2014.png")</f>
        <v/>
      </c>
      <c r="B15" s="62" t="s">
        <v>144</v>
      </c>
      <c r="C15" s="22" t="str">
        <f>CONCATENATE('Standings Counter'!T20," - ",'Standings Counter'!U20)</f>
        <v>4 - 13</v>
      </c>
      <c r="D15" s="22" t="str">
        <f>concatenate('Div Record Counter'!T20," - ",'Div Record Counter'!U20)</f>
        <v>0 - 6</v>
      </c>
      <c r="E15" s="8"/>
      <c r="F15" s="25" t="str">
        <f>IMAGE("https://logodownload.org/wp-content/uploads/2020/07/green-bay-packers-logo-1.png")</f>
        <v/>
      </c>
      <c r="G15" s="63" t="s">
        <v>146</v>
      </c>
      <c r="H15" s="22" t="str">
        <f>CONCATENATE('Standings Counter'!AZ20," - ",'Standings Counter'!BA20)</f>
        <v>9 - 8</v>
      </c>
      <c r="I15" s="22" t="str">
        <f>CONCATENATE('Div Record Counter'!AZ20," - ",'Div Record Counter'!BA20)</f>
        <v>3 - 3</v>
      </c>
    </row>
    <row r="16">
      <c r="A16" s="16" t="str">
        <f>IMAGE("https://1000logos.net/wp-content/uploads/2017/06/Pittsburgh-Steelers-Logo.png")</f>
        <v/>
      </c>
      <c r="B16" s="66" t="s">
        <v>153</v>
      </c>
      <c r="C16" s="22" t="str">
        <f>CONCATENATE('Standings Counter'!V20," - ",'Standings Counter'!W20)</f>
        <v>7 - 10</v>
      </c>
      <c r="D16" s="22" t="str">
        <f>concatenate('Div Record Counter'!V20," - ",'Div Record Counter'!W20)</f>
        <v>3 - 3</v>
      </c>
      <c r="E16" s="8"/>
      <c r="F16" s="25" t="str">
        <f>IMAGE("https://1000logos.net/wp-content/uploads/2017/06/Minnesota-Vikings-Logo-1965.png")</f>
        <v/>
      </c>
      <c r="G16" s="67" t="s">
        <v>154</v>
      </c>
      <c r="H16" s="22" t="str">
        <f>CONCATENATE('Standings Counter'!BB20," - ",'Standings Counter'!BC20)</f>
        <v>8 - 9</v>
      </c>
      <c r="I16" s="22" t="str">
        <f>CONCATENATE('Div Record Counter'!BB20," - ",'Div Record Counter'!BC20)</f>
        <v>1 - 5</v>
      </c>
    </row>
    <row r="17">
      <c r="A17" s="16" t="str">
        <f>IMAGE("https://logos-world.net/wp-content/uploads/2020/05/Cincinnati-Bengals-Logo.png")</f>
        <v/>
      </c>
      <c r="B17" s="68" t="s">
        <v>136</v>
      </c>
      <c r="C17" s="22" t="str">
        <f>CONCATENATE('Standings Counter'!X20," - ",'Standings Counter'!Y20)</f>
        <v>10 - 7</v>
      </c>
      <c r="D17" s="22" t="str">
        <f>concatenate('Div Record Counter'!X20," - ",'Div Record Counter'!Y20)</f>
        <v>5 - 1</v>
      </c>
      <c r="E17" s="8"/>
      <c r="F17" s="25" t="str">
        <f>IMAGE("https://logos-world.net/wp-content/uploads/2020/05/Chicago-Bears-logo.png")</f>
        <v/>
      </c>
      <c r="G17" s="69" t="s">
        <v>152</v>
      </c>
      <c r="H17" s="22" t="str">
        <f>CONCATENATE('Standings Counter'!BD20," - ",'Standings Counter'!BE20)</f>
        <v>10 - 7</v>
      </c>
      <c r="I17" s="22" t="str">
        <f>CONCATENATE('Div Record Counter'!BD20," - ",'Div Record Counter'!BE20)</f>
        <v>5 - 1</v>
      </c>
    </row>
    <row r="18">
      <c r="A18" s="45"/>
      <c r="B18" s="45"/>
      <c r="C18" s="45"/>
      <c r="D18" s="45"/>
      <c r="E18" s="8"/>
      <c r="F18" s="45"/>
      <c r="G18" s="45"/>
      <c r="H18" s="45"/>
      <c r="I18" s="45"/>
    </row>
    <row r="19">
      <c r="A19" s="1"/>
      <c r="B19" s="3" t="s">
        <v>29</v>
      </c>
      <c r="C19" s="3" t="s">
        <v>10</v>
      </c>
      <c r="D19" s="3" t="s">
        <v>12</v>
      </c>
      <c r="E19" s="8"/>
      <c r="F19" s="1"/>
      <c r="G19" s="3" t="s">
        <v>35</v>
      </c>
      <c r="H19" s="3" t="s">
        <v>10</v>
      </c>
      <c r="I19" s="3" t="s">
        <v>12</v>
      </c>
    </row>
    <row r="20">
      <c r="A20" s="16" t="str">
        <f>IMAGE("https://cdn.wallpapersafari.com/15/25/Jnl2Yc.png")</f>
        <v/>
      </c>
      <c r="B20" s="70" t="s">
        <v>163</v>
      </c>
      <c r="C20" s="22" t="str">
        <f>CONCATENATE('Standings Counter'!Z20," - ",'Standings Counter'!AA20)</f>
        <v>10 - 7</v>
      </c>
      <c r="D20" s="22" t="str">
        <f>concatenate('Div Record Counter'!Z20," - ",'Div Record Counter'!AA20)</f>
        <v>5 - 1</v>
      </c>
      <c r="E20" s="8"/>
      <c r="F20" s="25" t="str">
        <f>IMAGE("https://logodownload.org/wp-content/uploads/2020/09/tampa-bay-buccaneers-logo.png")</f>
        <v/>
      </c>
      <c r="G20" s="71" t="s">
        <v>168</v>
      </c>
      <c r="H20" s="22" t="str">
        <f>CONCATENATE('Standings Counter'!BF20," - ",'Standings Counter'!BG20)</f>
        <v>8 - 9</v>
      </c>
      <c r="I20" s="22" t="str">
        <f>CONCATENATE('Div Record Counter'!BF20," - ",'Div Record Counter'!BG20)</f>
        <v>3 - 3</v>
      </c>
    </row>
    <row r="21">
      <c r="A21" s="16" t="str">
        <f>IMAGE("https://1000logos.net/wp-content/uploads/2018/07/Jacksonville-Jaguars-Logo-1536x960.png")</f>
        <v/>
      </c>
      <c r="B21" s="72" t="s">
        <v>173</v>
      </c>
      <c r="C21" s="22" t="str">
        <f>CONCATENATE('Standings Counter'!AB20," - ",'Standings Counter'!AC20)</f>
        <v>10 - 7</v>
      </c>
      <c r="D21" s="22" t="str">
        <f>concatenate('Div Record Counter'!AB20," - ",'Div Record Counter'!AC20)</f>
        <v>5 - 1</v>
      </c>
      <c r="E21" s="8"/>
      <c r="F21" s="25" t="str">
        <f>IMAGE("https://1000logos.net/wp-content/uploads/2017/04/New-Orleans-Saints-Logo.png")</f>
        <v/>
      </c>
      <c r="G21" s="73" t="s">
        <v>174</v>
      </c>
      <c r="H21" s="22" t="str">
        <f>CONCATENATE('Standings Counter'!BH20," - ",'Standings Counter'!BI20)</f>
        <v>9 - 8</v>
      </c>
      <c r="I21" s="22" t="str">
        <f>CONCATENATE('Div Record Counter'!BH20," - ",'Div Record Counter'!BI20)</f>
        <v>4 - 2</v>
      </c>
    </row>
    <row r="22">
      <c r="A22" s="16" t="str">
        <f>IMAGE("https://1000logos.net/wp-content/uploads/2016/12/Indianapolis-Colts-Logo-2048x1280.png")</f>
        <v/>
      </c>
      <c r="B22" s="74" t="s">
        <v>178</v>
      </c>
      <c r="C22" s="22" t="str">
        <f>CONCATENATE('Standings Counter'!AD20," - ",'Standings Counter'!AE20)</f>
        <v>7 - 10</v>
      </c>
      <c r="D22" s="22" t="str">
        <f>concatenate('Div Record Counter'!AD20," - ",'Div Record Counter'!AE20)</f>
        <v>2 - 4</v>
      </c>
      <c r="E22" s="8"/>
      <c r="F22" s="25" t="str">
        <f>IMAGE("https://logodownload.org/wp-content/uploads/2020/07/atlanta-falcons-logo-0.png")</f>
        <v/>
      </c>
      <c r="G22" s="78" t="s">
        <v>140</v>
      </c>
      <c r="H22" s="22" t="str">
        <f>CONCATENATE('Standings Counter'!BJ20," - ",'Standings Counter'!BK20)</f>
        <v>8 - 9</v>
      </c>
      <c r="I22" s="22" t="str">
        <f>CONCATENATE('Div Record Counter'!BJ20," - ",'Div Record Counter'!BK20)</f>
        <v>4 - 2</v>
      </c>
    </row>
    <row r="23">
      <c r="A23" s="16" t="str">
        <f>IMAGE("https://img-s-msn-com.akamaized.net/tenant/amp/entityid/AA1YwbtK.img?w=720&amp;h=720&amp;m=6")</f>
        <v/>
      </c>
      <c r="B23" s="79" t="s">
        <v>151</v>
      </c>
      <c r="C23" s="22" t="str">
        <f>CONCATENATE('Standings Counter'!AF20," - ",'Standings Counter'!AG20)</f>
        <v>3 - 14</v>
      </c>
      <c r="D23" s="22" t="str">
        <f>concatenate('Div Record Counter'!AF20," - ",'Div Record Counter'!AG20)</f>
        <v>0 - 6</v>
      </c>
      <c r="E23" s="8"/>
      <c r="F23" s="25" t="str">
        <f>IMAGE("https://logos-download.com/wp-content/uploads/2018/02/Carolina_Panthers_logo_blue.png")</f>
        <v/>
      </c>
      <c r="G23" s="80" t="s">
        <v>184</v>
      </c>
      <c r="H23" s="22" t="str">
        <f>CONCATENATE('Standings Counter'!BL20," - ",'Standings Counter'!BM20)</f>
        <v>4 - 13</v>
      </c>
      <c r="I23" s="22" t="str">
        <f>CONCATENATE('Div Record Counter'!BL20," - ",'Div Record Counter'!BM20)</f>
        <v>1 - 5</v>
      </c>
    </row>
    <row r="24">
      <c r="A24" s="81"/>
      <c r="B24" s="82"/>
      <c r="C24" s="36"/>
      <c r="D24" s="36"/>
      <c r="E24" s="8"/>
      <c r="F24" s="82"/>
      <c r="G24" s="82"/>
      <c r="H24" s="36"/>
      <c r="I24" s="36"/>
    </row>
    <row r="25">
      <c r="A25" s="1"/>
      <c r="B25" s="1" t="s">
        <v>189</v>
      </c>
      <c r="C25" s="76"/>
      <c r="D25" s="76"/>
      <c r="E25" s="83"/>
      <c r="F25" s="1"/>
      <c r="G25" s="1" t="s">
        <v>190</v>
      </c>
      <c r="H25" s="76"/>
      <c r="I25" s="76"/>
    </row>
    <row r="26">
      <c r="A26" s="20">
        <v>1.0</v>
      </c>
      <c r="B26" s="40" t="str">
        <f t="array" ref="B26">INDEX('Playoffs Calc'!T5,0)</f>
        <v>NE</v>
      </c>
      <c r="C26" s="33" t="str">
        <f t="shared" ref="C26:C32" si="1">IF(B26="KC",IMAGE("https://logodownload.org/wp-content/uploads/2020/09/kansas-city-chiefs-logo.png"),IF(B26="LV",IMAGE("https://logodownload.org/wp-content/uploads/2020/09/las-vegas-raiders-logo-1-564x599.png"),IF(B26="DEN",IMAGE("https://logodownload.org/wp-content/uploads/2020/07/denver-broncos-logo-0.png"),IF(B26="LAC",IMAGE("https://logosmarcas.net/wp-content/uploads/2020/07/Los-Angeles-Chargers-logo.png"),IF(B26="BUF",IMAGE("https://logos-download.com/wp-content/uploads/2018/03/Buffalo_Bills_logo_blue.png"),IF(B26="MIA",IMAGE("https://logos-world.net/wp-content/uploads/2020/05/Miami-Dolphins-Logo.png"),IF(B26="NYJ",IMAGE("https://logos-world.net/wp-content/uploads/2020/07/New-York-Jets-Logo.png"),IF(B26="NE",IMAGE("https://purepng.com/public/uploads/large/new-england-patriots-logo-symbol-ucp.png"),IF(B26="BAL",IMAGE("https://1000logos.net/wp-content/uploads/2016/10/Baltimore-Ravens-Logo.png"),IF(B26="CLE",IMAGE("https://logos-world.net/wp-content/uploads/2020/05/Cleveland-Browns-Logo-2006-2014.png"),IF(B26="PIT",IMAGE("https://1000logos.net/wp-content/uploads/2017/06/Pittsburgh-Steelers-Logo.png"),IF(B26="CIN",IMAGE("https://logos-world.net/wp-content/uploads/2020/05/Cincinnati-Bengals-Logo.png"),IF(B26="HOU",IMAGE("https://cdn.wallpapersafari.com/15/25/Jnl2Yc.png"),IF(B26="JAX",IMAGE("https://1000logos.net/wp-content/uploads/2018/07/Jacksonville-Jaguars-Logo-1536x960.png"),IF(B26="IND",IMAGE("https://1000logos.net/wp-content/uploads/2016/12/Indianapolis-Colts-Logo-2048x1280.png"),IF(B26="TEN",IMAGE("https://img-s-msn-com.akamaized.net/tenant/amp/entityid/AA1YwbtK.img?w=720&amp;h=720&amp;m=6"),IF(B26="SF",IMAGE("https://logodownload.org/wp-content/uploads/2020/09/san-francisco-49ers-logo-2048x1220.png"),IF(B26="LAR",IMAGE("https://1000logos.net/wp-content/uploads/2018/07/Rams-Logo.png"),IF(B26="SEA",IMAGE("https://cdn.freebiesupply.com/images/large/2x/seattle-seahawks-logo-transparent.png"),IF(B26="AZ",IMAGE("https://logos-world.net/wp-content/uploads/2020/05/Arizona-Cardinals-Logo.png"),IF(B26="DAL",IMAGE("https://www.freepnglogos.com/uploads/dallas-cowboys-logo-22.png"),IF(B26="PHI",IMAGE("https://1000logos.net/wp-content/uploads/2017/05/Philadelphia-Eagles-Logo.png"),IF(B26="NYG",IMAGE("https://logosmarcas.net/wp-content/uploads/2020/07/New-York-Giants-Logo.png"),IF(B26="WSH",IMAGE("https://logodownload.org/wp-content/uploads/2020/09/washington-commanders-logo.png"),IF(B26="DET",IMAGE("https://logos-world.net/wp-content/uploads/2020/05/Detroit-Lions-Logo-2017-Present.png"),IF(B26="GB",IMAGE("https://logodownload.org/wp-content/uploads/2020/07/green-bay-packers-logo-1.png"),IF(B26="MIN",IMAGE("https://1000logos.net/wp-content/uploads/2017/06/Minnesota-Vikings-Logo-1965.png"),IF(B26="CHI",IMAGE("https://logos-world.net/wp-content/uploads/2020/05/Chicago-Bears-logo.png"),IF(B26="TB",IMAGE("https://logodownload.org/wp-content/uploads/2020/09/tampa-bay-buccaneers-logo.png"),IF(B26="NO",IMAGE("https://1000logos.net/wp-content/uploads/2017/04/New-Orleans-Saints-Logo.png"),IF(B26="ATL",IMAGE("https://logodownload.org/wp-content/uploads/2020/07/atlanta-falcons-logo-0.png"),IF(B26="CAR",IMAGE("https://logos-download.com/wp-content/uploads/2018/02/Carolina_Panthers_logo_blue.png"),""))))))))))))))))))))))))))))))))</f>
        <v/>
      </c>
      <c r="D26" s="27"/>
      <c r="E26" s="8"/>
      <c r="F26" s="20">
        <v>1.0</v>
      </c>
      <c r="G26" s="40" t="str">
        <f t="array" ref="G26">INDEX('Playoffs Calc'!T18,0)</f>
        <v>PHI</v>
      </c>
      <c r="H26" s="33" t="str">
        <f t="shared" ref="H26:H32" si="2">IF(G26="KC",IMAGE("https://logodownload.org/wp-content/uploads/2020/09/kansas-city-chiefs-logo.png"),IF(G26="LV",IMAGE("https://logodownload.org/wp-content/uploads/2020/09/las-vegas-raiders-logo-1-564x599.png"),IF(G26="DEN",IMAGE("https://logodownload.org/wp-content/uploads/2020/07/denver-broncos-logo-0.png"),IF(G26="LAC",IMAGE("https://logosmarcas.net/wp-content/uploads/2020/07/Los-Angeles-Chargers-logo.png"),IF(G26="BUF",IMAGE("https://logos-download.com/wp-content/uploads/2018/03/Buffalo_Bills_logo_blue.png"),IF(G26="MIA",IMAGE("https://logos-world.net/wp-content/uploads/2020/05/Miami-Dolphins-Logo.png"),IF(G26="NYJ",IMAGE("https://logos-world.net/wp-content/uploads/2020/07/New-York-Jets-Logo.png"),IF(G26="NE",IMAGE("https://purepng.com/public/uploads/large/new-england-patriots-logo-symbol-ucp.png"),IF(G26="BAL",IMAGE("https://1000logos.net/wp-content/uploads/2016/10/Baltimore-Ravens-Logo.png"),IF(G26="CLE",IMAGE("https://logos-world.net/wp-content/uploads/2020/05/Cleveland-Browns-Logo-2006-2014.png"),IF(G26="PIT",IMAGE("https://1000logos.net/wp-content/uploads/2017/06/Pittsburgh-Steelers-Logo.png"),IF(G26="CIN",IMAGE("https://logos-world.net/wp-content/uploads/2020/05/Cincinnati-Bengals-Logo.png"),IF(G26="HOU",IMAGE("https://cdn.wallpapersafari.com/15/25/Jnl2Yc.png"),IF(G26="JAX",IMAGE("https://1000logos.net/wp-content/uploads/2018/07/Jacksonville-Jaguars-Logo-1536x960.png"),IF(G26="IND",IMAGE("https://1000logos.net/wp-content/uploads/2016/12/Indianapolis-Colts-Logo-2048x1280.png"),IF(G26="TEN",IMAGE("https://img-s-msn-com.akamaized.net/tenant/amp/entityid/AA1YwbtK.img?w=720&amp;h=720&amp;m=6"),IF(G26="SF",IMAGE("https://logodownload.org/wp-content/uploads/2020/09/san-francisco-49ers-logo-2048x1220.png"),IF(G26="LAR",IMAGE("https://1000logos.net/wp-content/uploads/2018/07/Rams-Logo.png"),IF(G26="SEA",IMAGE("https://cdn.freebiesupply.com/images/large/2x/seattle-seahawks-logo-transparent.png"),IF(G26="AZ",IMAGE("https://logos-world.net/wp-content/uploads/2020/05/Arizona-Cardinals-Logo.png"),IF(G26="DAL",IMAGE("https://www.freepnglogos.com/uploads/dallas-cowboys-logo-22.png"),IF(G26="PHI",IMAGE("https://1000logos.net/wp-content/uploads/2017/05/Philadelphia-Eagles-Logo.png"),IF(G26="NYG",IMAGE("https://logosmarcas.net/wp-content/uploads/2020/07/New-York-Giants-Logo.png"),IF(G26="WSH",IMAGE("https://logodownload.org/wp-content/uploads/2020/09/washington-commanders-logo.png"),IF(G26="DET",IMAGE("https://logos-world.net/wp-content/uploads/2020/05/Detroit-Lions-Logo-2017-Present.png"),IF(G26="GB",IMAGE("https://logodownload.org/wp-content/uploads/2020/07/green-bay-packers-logo-1.png"),IF(G26="MIN",IMAGE("https://1000logos.net/wp-content/uploads/2017/06/Minnesota-Vikings-Logo-1965.png"),IF(G26="CHI",IMAGE("https://logos-world.net/wp-content/uploads/2020/05/Chicago-Bears-logo.png"),IF(G26="TB",IMAGE("https://logodownload.org/wp-content/uploads/2020/09/tampa-bay-buccaneers-logo.png"),IF(G26="NO",IMAGE("https://1000logos.net/wp-content/uploads/2017/04/New-Orleans-Saints-Logo.png"),IF(G26="ATL",IMAGE("https://logodownload.org/wp-content/uploads/2020/07/atlanta-falcons-logo-0.png"),IF(G26="CAR",IMAGE("https://logos-download.com/wp-content/uploads/2018/02/Carolina_Panthers_logo_blue.png"),""))))))))))))))))))))))))))))))))</f>
        <v/>
      </c>
      <c r="I26" s="27"/>
    </row>
    <row r="27">
      <c r="A27" s="20">
        <v>2.0</v>
      </c>
      <c r="B27" s="40" t="str">
        <f t="array" ref="B27">INDEX('Playoffs Calc'!T6,0)</f>
        <v>DEN</v>
      </c>
      <c r="C27" s="33" t="str">
        <f t="shared" si="1"/>
        <v/>
      </c>
      <c r="D27" s="27"/>
      <c r="E27" s="8"/>
      <c r="F27" s="20">
        <v>2.0</v>
      </c>
      <c r="G27" s="40" t="str">
        <f t="array" ref="G27">INDEX('Playoffs Calc'!T19,0)</f>
        <v>LAR</v>
      </c>
      <c r="H27" s="33" t="str">
        <f t="shared" si="2"/>
        <v/>
      </c>
      <c r="I27" s="27"/>
    </row>
    <row r="28">
      <c r="A28" s="20">
        <v>3.0</v>
      </c>
      <c r="B28" s="40" t="str">
        <f t="array" ref="B28">INDEX('Playoffs Calc'!T7,0)</f>
        <v>BAL</v>
      </c>
      <c r="C28" s="33" t="str">
        <f t="shared" si="1"/>
        <v/>
      </c>
      <c r="D28" s="27"/>
      <c r="E28" s="8"/>
      <c r="F28" s="20">
        <v>3.0</v>
      </c>
      <c r="G28" s="40" t="str">
        <f t="array" ref="G28">INDEX('Playoffs Calc'!T20,0)</f>
        <v>DET</v>
      </c>
      <c r="H28" s="33" t="str">
        <f t="shared" si="2"/>
        <v/>
      </c>
      <c r="I28" s="27"/>
    </row>
    <row r="29">
      <c r="A29" s="20">
        <v>4.0</v>
      </c>
      <c r="B29" s="40" t="str">
        <f t="array" ref="B29">INDEX('Playoffs Calc'!T8,0)</f>
        <v>HOU</v>
      </c>
      <c r="C29" s="33" t="str">
        <f t="shared" si="1"/>
        <v/>
      </c>
      <c r="D29" s="27"/>
      <c r="E29" s="8"/>
      <c r="F29" s="20">
        <v>4.0</v>
      </c>
      <c r="G29" s="40" t="str">
        <f t="array" ref="G29">INDEX('Playoffs Calc'!T21,0)</f>
        <v>NO</v>
      </c>
      <c r="H29" s="33" t="str">
        <f t="shared" si="2"/>
        <v/>
      </c>
      <c r="I29" s="27"/>
    </row>
    <row r="30">
      <c r="A30" s="20">
        <v>5.0</v>
      </c>
      <c r="B30" s="40" t="str">
        <f t="array" ref="B30">INDEX('Playoffs Calc'!T9,0)</f>
        <v>BUF</v>
      </c>
      <c r="C30" s="33" t="str">
        <f t="shared" si="1"/>
        <v/>
      </c>
      <c r="D30" s="27"/>
      <c r="E30" s="8"/>
      <c r="F30" s="20">
        <v>5.0</v>
      </c>
      <c r="G30" s="40" t="str">
        <f t="array" ref="G30">INDEX('Playoffs Calc'!T22,0)</f>
        <v>SEA</v>
      </c>
      <c r="H30" s="33" t="str">
        <f t="shared" si="2"/>
        <v/>
      </c>
      <c r="I30" s="27"/>
    </row>
    <row r="31">
      <c r="A31" s="20">
        <v>6.0</v>
      </c>
      <c r="B31" s="40" t="str">
        <f t="array" ref="B31">INDEX('Playoffs Calc'!T10,0)</f>
        <v>CIN</v>
      </c>
      <c r="C31" s="33" t="str">
        <f t="shared" si="1"/>
        <v/>
      </c>
      <c r="D31" s="27"/>
      <c r="E31" s="8"/>
      <c r="F31" s="20">
        <v>6.0</v>
      </c>
      <c r="G31" s="40" t="str">
        <f t="array" ref="G31">INDEX('Playoffs Calc'!T23,0)</f>
        <v>DAL</v>
      </c>
      <c r="H31" s="33" t="str">
        <f t="shared" si="2"/>
        <v/>
      </c>
      <c r="I31" s="27"/>
    </row>
    <row r="32">
      <c r="A32" s="20">
        <v>7.0</v>
      </c>
      <c r="B32" s="40" t="str">
        <f t="array" ref="B32">INDEX('Playoffs Calc'!T11,0)</f>
        <v>KC</v>
      </c>
      <c r="C32" s="33" t="str">
        <f t="shared" si="1"/>
        <v/>
      </c>
      <c r="D32" s="27"/>
      <c r="E32" s="8"/>
      <c r="F32" s="20">
        <v>7.0</v>
      </c>
      <c r="G32" s="40" t="str">
        <f t="array" ref="G32">INDEX('Playoffs Calc'!T24,0)</f>
        <v>CHI</v>
      </c>
      <c r="H32" s="33" t="str">
        <f t="shared" si="2"/>
        <v/>
      </c>
      <c r="I32" s="27"/>
    </row>
    <row r="33">
      <c r="A33" s="81"/>
      <c r="B33" s="82"/>
      <c r="C33" s="36"/>
      <c r="D33" s="36"/>
      <c r="E33" s="8"/>
      <c r="F33" s="82"/>
      <c r="G33" s="82"/>
      <c r="H33" s="36"/>
      <c r="I33"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6" max="6" width="3.5"/>
    <col customWidth="1" min="11" max="11" width="3.63"/>
    <col customWidth="1" min="16" max="16" width="3.5"/>
  </cols>
  <sheetData>
    <row r="1">
      <c r="A1" s="1"/>
      <c r="B1" s="3" t="s">
        <v>2</v>
      </c>
      <c r="C1" s="1" t="s">
        <v>4</v>
      </c>
      <c r="D1" s="1" t="s">
        <v>5</v>
      </c>
      <c r="E1" s="1" t="s">
        <v>7</v>
      </c>
      <c r="F1" s="1"/>
      <c r="G1" s="1" t="s">
        <v>9</v>
      </c>
      <c r="H1" s="1" t="s">
        <v>11</v>
      </c>
      <c r="I1" s="1" t="s">
        <v>13</v>
      </c>
      <c r="J1" s="1" t="s">
        <v>15</v>
      </c>
      <c r="K1" s="1"/>
      <c r="L1" s="1" t="s">
        <v>17</v>
      </c>
      <c r="M1" s="1" t="s">
        <v>18</v>
      </c>
      <c r="N1" s="10" t="s">
        <v>21</v>
      </c>
      <c r="O1" s="1" t="s">
        <v>23</v>
      </c>
      <c r="P1" s="1"/>
      <c r="Q1" s="1" t="s">
        <v>2</v>
      </c>
      <c r="R1" s="1" t="s">
        <v>24</v>
      </c>
      <c r="S1" s="1" t="s">
        <v>26</v>
      </c>
      <c r="T1" s="1" t="s">
        <v>29</v>
      </c>
      <c r="U1" s="1" t="s">
        <v>19</v>
      </c>
      <c r="V1" s="1" t="s">
        <v>31</v>
      </c>
      <c r="W1" s="1" t="s">
        <v>33</v>
      </c>
      <c r="X1" s="1" t="s">
        <v>35</v>
      </c>
    </row>
    <row r="2">
      <c r="A2" s="20" t="str">
        <f>IMAGE("https://logodownload.org/wp-content/uploads/2020/09/kansas-city-chiefs-logo.png")</f>
        <v/>
      </c>
      <c r="B2" s="18" t="s">
        <v>40</v>
      </c>
      <c r="C2" s="27">
        <f t="array" ref="C2">INDEX('Standings Counter'!B20,0)</f>
        <v>10</v>
      </c>
      <c r="D2" s="31">
        <f t="array" ref="D2">INDEX('Standings Counter'!C20,0)</f>
        <v>7</v>
      </c>
      <c r="E2" s="35">
        <f t="shared" ref="E2:E5" si="1">IF(AND(C2=0,D2=0),0,DIVIDE(C2,ADD(C2,D2)))</f>
        <v>0.5882352941</v>
      </c>
      <c r="F2" s="36"/>
      <c r="G2" s="38" t="str">
        <f>CONCATENATE('Home Counter'!B20," - ",'Home Counter'!C20)</f>
        <v>6 - 2</v>
      </c>
      <c r="H2" s="31" t="str">
        <f>CONCATENATE('Away Counter'!B20," - ",'Away Counter'!C20)</f>
        <v>4 - 5</v>
      </c>
      <c r="I2" s="27" t="str">
        <f t="array" ref="I2">INDEX(Standings!D2,0)</f>
        <v>3 - 3</v>
      </c>
      <c r="J2" s="31" t="str">
        <f>CONCATENATE('Conference Counter'!B20," - ",'Conference Counter'!C20)</f>
        <v>7 - 5</v>
      </c>
      <c r="K2" s="36"/>
      <c r="L2" s="40">
        <f t="array" ref="L2">INDEX('PFPA Counter'!B20,0)</f>
        <v>354</v>
      </c>
      <c r="M2" s="20">
        <f t="array" ref="M2">INDEX('PFPA Counter'!C20,0)</f>
        <v>339</v>
      </c>
      <c r="N2" s="41">
        <f>minus(L2,M2)</f>
        <v>15</v>
      </c>
      <c r="O2" s="43">
        <f t="shared" ref="O2:O5" si="2">IF(AND(C2=0,D2=0),0,DIVIDE(L2,SUM(C2,D2)))</f>
        <v>20.82352941</v>
      </c>
      <c r="P2" s="36"/>
      <c r="Q2" s="27" t="str">
        <f>CONCATENATE('AFC West Counter'!B20," - ",'AFC West Counter'!C20)</f>
        <v>3 - 3</v>
      </c>
      <c r="R2" s="31" t="str">
        <f>CONCATENATE('AFC East Counter'!B20," - ",'AFC East Counter'!C20)</f>
        <v>3 - 1</v>
      </c>
      <c r="S2" s="27" t="str">
        <f>CONCATENATE('AFC North Counter'!B20," - ",'AFC North Counter'!C20)</f>
        <v>1 - 0</v>
      </c>
      <c r="T2" s="31" t="str">
        <f>CONCATENATE('AFC South Counter'!B20," - ",'AFC South Counter'!C20)</f>
        <v>0 - 1</v>
      </c>
      <c r="U2" s="27" t="str">
        <f>CONCATENATE('NFC West Counter'!B20," - ",'NFC West Counter'!C20)</f>
        <v>2 - 2</v>
      </c>
      <c r="V2" s="31" t="str">
        <f>CONCATENATE('NFC East Counter'!B20," - ",'NFC East Counter'!C20)</f>
        <v>0 - 0</v>
      </c>
      <c r="W2" s="27" t="str">
        <f>CONCATENATE('NFC North Counter'!B20," - ",'NFC North Counter'!C20)</f>
        <v>0 - 0</v>
      </c>
      <c r="X2" s="31" t="str">
        <f>CONCATENATE('NFC South Counter'!B20," - ",'NFC South Counter'!C20)</f>
        <v>1 - 0</v>
      </c>
    </row>
    <row r="3">
      <c r="A3" s="20" t="str">
        <f>IMAGE("https://logodownload.org/wp-content/uploads/2020/09/las-vegas-raiders-logo-1-564x599.png")</f>
        <v/>
      </c>
      <c r="B3" s="3" t="s">
        <v>108</v>
      </c>
      <c r="C3" s="27">
        <f t="array" ref="C3">INDEX('Standings Counter'!D20,0)</f>
        <v>7</v>
      </c>
      <c r="D3" s="31">
        <f t="array" ref="D3">INDEX('Standings Counter'!E20,0)</f>
        <v>10</v>
      </c>
      <c r="E3" s="35">
        <f t="shared" si="1"/>
        <v>0.4117647059</v>
      </c>
      <c r="F3" s="36"/>
      <c r="G3" s="38" t="str">
        <f>CONCATENATE('Home Counter'!D20," - ",'Home Counter'!E20)</f>
        <v>5 - 3</v>
      </c>
      <c r="H3" s="31" t="str">
        <f>CONCATENATE('Away Counter'!D20," - ",'Away Counter'!E20)</f>
        <v>2 - 7</v>
      </c>
      <c r="I3" s="27" t="str">
        <f t="array" ref="I3">INDEX(Standings!D3,0)</f>
        <v>2 - 4</v>
      </c>
      <c r="J3" s="31" t="str">
        <f>CONCATENATE('Conference Counter'!D20," - ",'Conference Counter'!E20)</f>
        <v>6 - 6</v>
      </c>
      <c r="K3" s="36"/>
      <c r="L3" s="40">
        <f t="array" ref="L3">INDEX('PFPA Counter'!D20,0)</f>
        <v>360</v>
      </c>
      <c r="M3" s="31">
        <f t="array" ref="M3">INDEX('PFPA Counter'!E20,0)</f>
        <v>367</v>
      </c>
      <c r="N3" s="41">
        <f t="shared" ref="N3:N5" si="3">MINUS(L3,M3)</f>
        <v>-7</v>
      </c>
      <c r="O3" s="43">
        <f t="shared" si="2"/>
        <v>21.17647059</v>
      </c>
      <c r="P3" s="36"/>
      <c r="Q3" s="27" t="str">
        <f>CONCATENATE('AFC West Counter'!D20," - ",'AFC West Counter'!E20)</f>
        <v>2 - 4</v>
      </c>
      <c r="R3" s="31" t="str">
        <f>CONCATENATE('AFC East Counter'!D20," - ",'AFC East Counter'!E20)</f>
        <v>2 - 2</v>
      </c>
      <c r="S3" s="27" t="str">
        <f>CONCATENATE('AFC North Counter'!D20," - ",'AFC North Counter'!E20)</f>
        <v>1 - 0</v>
      </c>
      <c r="T3" s="31" t="str">
        <f>CONCATENATE('AFC South Counter'!D20," - ",'AFC South Counter'!E20)</f>
        <v>1 - 0</v>
      </c>
      <c r="U3" s="27" t="str">
        <f>CONCATENATE('NFC West Counter'!D20," - ",'NFC West Counter'!E20)</f>
        <v>1 - 3</v>
      </c>
      <c r="V3" s="31" t="str">
        <f>CONCATENATE('NFC East Counter'!D20," - ",'NFC East Counter'!E20)</f>
        <v>0 - 0</v>
      </c>
      <c r="W3" s="27" t="str">
        <f>CONCATENATE('NFC North Counter'!D20," - ",'NFC North Counter'!E20)</f>
        <v>0 - 0</v>
      </c>
      <c r="X3" s="31" t="str">
        <f>CONCATENATE('NFC South Counter'!D20," - ",'NFC South Counter'!E20)</f>
        <v>0 - 1</v>
      </c>
    </row>
    <row r="4">
      <c r="A4" s="20" t="str">
        <f>IMAGE("https://logodownload.org/wp-content/uploads/2020/07/denver-broncos-logo-0.png")</f>
        <v/>
      </c>
      <c r="B4" s="37" t="s">
        <v>111</v>
      </c>
      <c r="C4" s="27">
        <f t="array" ref="C4">INDEX('Standings Counter'!F20,0)</f>
        <v>12</v>
      </c>
      <c r="D4" s="31">
        <f t="array" ref="D4">INDEX('Standings Counter'!G20,0)</f>
        <v>5</v>
      </c>
      <c r="E4" s="35">
        <f t="shared" si="1"/>
        <v>0.7058823529</v>
      </c>
      <c r="F4" s="36"/>
      <c r="G4" s="38" t="str">
        <f>CONCATENATE('Home Counter'!F20," - ",'Home Counter'!G20)</f>
        <v>6 - 2</v>
      </c>
      <c r="H4" s="31" t="str">
        <f>CONCATENATE('Away Counter'!F20," - ",'Away Counter'!G20)</f>
        <v>6 - 3</v>
      </c>
      <c r="I4" s="27" t="str">
        <f t="array" ref="I4">INDEX(Standings!D4,0)</f>
        <v>4 - 2</v>
      </c>
      <c r="J4" s="31" t="str">
        <f>CONCATENATE('Conference Counter'!F20," - ",'Conference Counter'!G20)</f>
        <v>8 - 4</v>
      </c>
      <c r="K4" s="36"/>
      <c r="L4" s="40">
        <f t="array" ref="L4">INDEX('PFPA Counter'!F20,0)</f>
        <v>384</v>
      </c>
      <c r="M4" s="31">
        <f t="array" ref="M4">INDEX('PFPA Counter'!G20,0)</f>
        <v>362</v>
      </c>
      <c r="N4" s="41">
        <f t="shared" si="3"/>
        <v>22</v>
      </c>
      <c r="O4" s="43">
        <f t="shared" si="2"/>
        <v>22.58823529</v>
      </c>
      <c r="P4" s="36"/>
      <c r="Q4" s="27" t="str">
        <f>CONCATENATE('AFC West Counter'!F20," - ",'AFC West Counter'!G20)</f>
        <v>4 - 2</v>
      </c>
      <c r="R4" s="31" t="str">
        <f>CONCATENATE('AFC East Counter'!F20," - ",'AFC East Counter'!G20)</f>
        <v>2 - 2</v>
      </c>
      <c r="S4" s="27" t="str">
        <f>CONCATENATE('AFC North Counter'!F20," - ",'AFC North Counter'!G20)</f>
        <v>1 - 0</v>
      </c>
      <c r="T4" s="31" t="str">
        <f>CONCATENATE('AFC South Counter'!F20," - ",'AFC South Counter'!G20)</f>
        <v>1 - 0</v>
      </c>
      <c r="U4" s="27" t="str">
        <f>CONCATENATE('NFC West Counter'!F20," - ",'NFC West Counter'!G20)</f>
        <v>3 - 1</v>
      </c>
      <c r="V4" s="31" t="str">
        <f>CONCATENATE('NFC East Counter'!F20," - ",'NFC East Counter'!G20)</f>
        <v>0 - 0</v>
      </c>
      <c r="W4" s="27" t="str">
        <f>CONCATENATE('NFC North Counter'!F20," - ",'NFC North Counter'!G20)</f>
        <v>0 - 0</v>
      </c>
      <c r="X4" s="31" t="str">
        <f>CONCATENATE('NFC South Counter'!F20," - ",'NFC South Counter'!G20)</f>
        <v>1 - 0</v>
      </c>
    </row>
    <row r="5">
      <c r="A5" s="20" t="str">
        <f>IMAGE("https://logosmarcas.net/wp-content/uploads/2020/07/Los-Angeles-Chargers-logo.png")</f>
        <v/>
      </c>
      <c r="B5" s="42" t="s">
        <v>112</v>
      </c>
      <c r="C5" s="27">
        <f t="array" ref="C5">INDEX('Standings Counter'!H20,0)</f>
        <v>8</v>
      </c>
      <c r="D5" s="31">
        <f t="array" ref="D5">INDEX('Standings Counter'!I20,0)</f>
        <v>9</v>
      </c>
      <c r="E5" s="35">
        <f t="shared" si="1"/>
        <v>0.4705882353</v>
      </c>
      <c r="F5" s="36"/>
      <c r="G5" s="38" t="str">
        <f>CONCATENATE('Home Counter'!H20," - ",'Home Counter'!I20)</f>
        <v>5 - 3</v>
      </c>
      <c r="H5" s="31" t="str">
        <f>CONCATENATE('Away Counter'!H20," - ",'Away Counter'!I20)</f>
        <v>3 - 6</v>
      </c>
      <c r="I5" s="27" t="str">
        <f t="array" ref="I5">INDEX(Standings!D5,0)</f>
        <v>3 - 3</v>
      </c>
      <c r="J5" s="31" t="str">
        <f>CONCATENATE('Conference Counter'!H20," - ",'Conference Counter'!I20)</f>
        <v>6 - 6</v>
      </c>
      <c r="K5" s="36"/>
      <c r="L5" s="40">
        <f t="array" ref="L5">INDEX('PFPA Counter'!H20,0)</f>
        <v>354</v>
      </c>
      <c r="M5" s="31">
        <f t="array" ref="M5">INDEX('PFPA Counter'!I20,0)</f>
        <v>361</v>
      </c>
      <c r="N5" s="41">
        <f t="shared" si="3"/>
        <v>-7</v>
      </c>
      <c r="O5" s="43">
        <f t="shared" si="2"/>
        <v>20.82352941</v>
      </c>
      <c r="P5" s="36"/>
      <c r="Q5" s="27" t="str">
        <f>CONCATENATE('AFC West Counter'!H20," - ",'AFC West Counter'!I20)</f>
        <v>3 - 3</v>
      </c>
      <c r="R5" s="31" t="str">
        <f>CONCATENATE('AFC East Counter'!H20," - ",'AFC East Counter'!I20)</f>
        <v>2 - 2</v>
      </c>
      <c r="S5" s="27" t="str">
        <f>CONCATENATE('AFC North Counter'!H20," - ",'AFC North Counter'!I20)</f>
        <v>0 - 1</v>
      </c>
      <c r="T5" s="31" t="str">
        <f>CONCATENATE('AFC South Counter'!H20," - ",'AFC South Counter'!I20)</f>
        <v>1 - 0</v>
      </c>
      <c r="U5" s="27" t="str">
        <f>CONCATENATE('NFC West Counter'!H20," - ",'NFC West Counter'!I20)</f>
        <v>2 - 2</v>
      </c>
      <c r="V5" s="31" t="str">
        <f>CONCATENATE('NFC East Counter'!H20," - ",'NFC East Counter'!I20)</f>
        <v>0 - 0</v>
      </c>
      <c r="W5" s="27" t="str">
        <f>CONCATENATE('NFC North Counter'!H20," - ",'NFC North Counter'!I20)</f>
        <v>0 - 0</v>
      </c>
      <c r="X5" s="31" t="str">
        <f>CONCATENATE('NFC South Counter'!H20," - ",'NFC South Counter'!I20)</f>
        <v>0 - 1</v>
      </c>
    </row>
    <row r="6">
      <c r="A6" s="1"/>
      <c r="B6" s="3" t="s">
        <v>24</v>
      </c>
      <c r="C6" s="76"/>
      <c r="D6" s="76"/>
      <c r="E6" s="76"/>
      <c r="F6" s="76"/>
      <c r="G6" s="76"/>
      <c r="H6" s="76"/>
      <c r="I6" s="76"/>
      <c r="J6" s="76"/>
      <c r="K6" s="76"/>
      <c r="L6" s="76"/>
      <c r="M6" s="76"/>
      <c r="N6" s="77"/>
      <c r="O6" s="76"/>
      <c r="P6" s="76"/>
      <c r="Q6" s="76"/>
      <c r="R6" s="76"/>
      <c r="S6" s="76"/>
      <c r="T6" s="76"/>
      <c r="U6" s="76"/>
      <c r="V6" s="76"/>
      <c r="W6" s="76"/>
      <c r="X6" s="76"/>
    </row>
    <row r="7">
      <c r="A7" s="20" t="str">
        <f>IMAGE("https://logos-download.com/wp-content/uploads/2018/03/Buffalo_Bills_logo_blue.png")</f>
        <v/>
      </c>
      <c r="B7" s="46" t="s">
        <v>116</v>
      </c>
      <c r="C7" s="27">
        <f t="array" ref="C7">INDEX('Standings Counter'!J20,0)</f>
        <v>12</v>
      </c>
      <c r="D7" s="31">
        <f t="array" ref="D7">INDEX('Standings Counter'!K20,0)</f>
        <v>5</v>
      </c>
      <c r="E7" s="35">
        <f t="shared" ref="E7:E10" si="4">IF(AND(C7=0,D7=0),0,DIVIDE(C7,ADD(C7,D7)))</f>
        <v>0.7058823529</v>
      </c>
      <c r="F7" s="36"/>
      <c r="G7" s="27" t="str">
        <f>CONCATENATE('Home Counter'!J20," - ",'Home Counter'!K20)</f>
        <v>7 - 1</v>
      </c>
      <c r="H7" s="31" t="str">
        <f>CONCATENATE('Away Counter'!J20," - ",'Away Counter'!K20)</f>
        <v>5 - 4</v>
      </c>
      <c r="I7" s="27" t="str">
        <f t="array" ref="I7">INDEX(Standings!D8,0)</f>
        <v>3 - 3</v>
      </c>
      <c r="J7" s="31" t="str">
        <f>CONCATENATE('Conference Counter'!J20," - ",'Conference Counter'!K20)</f>
        <v>9 - 3</v>
      </c>
      <c r="K7" s="36"/>
      <c r="L7" s="40">
        <f t="array" ref="L7">INDEX('PFPA Counter'!J20,0)</f>
        <v>389</v>
      </c>
      <c r="M7" s="20">
        <f t="array" ref="M7">INDEX('PFPA Counter'!K20,0)</f>
        <v>345</v>
      </c>
      <c r="N7" s="41">
        <f t="shared" ref="N7:N10" si="5">MINUS(L7,M7)</f>
        <v>44</v>
      </c>
      <c r="O7" s="43">
        <f t="shared" ref="O7:O10" si="6">IF(AND(C7=0,D7=0),0,DIVIDE(L7,SUM(C7,D7)))</f>
        <v>22.88235294</v>
      </c>
      <c r="P7" s="36"/>
      <c r="Q7" s="27" t="str">
        <f>CONCATENATE('AFC West Counter'!J20," - ",'AFC West Counter'!K20)</f>
        <v>4 - 0</v>
      </c>
      <c r="R7" s="31" t="str">
        <f>CONCATENATE('AFC East Counter'!J20," - ",'AFC East Counter'!K20)</f>
        <v>3 - 3</v>
      </c>
      <c r="S7" s="27" t="str">
        <f>CONCATENATE('AFC North Counter'!J20," - ",'AFC North Counter'!K20)</f>
        <v>1 - 0</v>
      </c>
      <c r="T7" s="31" t="str">
        <f>CONCATENATE('AFC South Counter'!J20," - ",'AFC South Counter'!K20)</f>
        <v>1 - 0</v>
      </c>
      <c r="U7" s="27" t="str">
        <f>CONCATENATE('NFC West Counter'!J20," - ",'NFC West Counter'!K20)</f>
        <v>0 - 1</v>
      </c>
      <c r="V7" s="31" t="str">
        <f>CONCATENATE('NFC East Counter'!J20," - ",'NFC East Counter'!K20)</f>
        <v>0 - 0</v>
      </c>
      <c r="W7" s="27" t="str">
        <f>CONCATENATE('NFC North Counter'!J20," - ",'NFC North Counter'!K20)</f>
        <v>3 - 1</v>
      </c>
      <c r="X7" s="31" t="str">
        <f>CONCATENATE('NFC South Counter'!J20," - ",'NFC South Counter'!K20)</f>
        <v>0 - 0</v>
      </c>
    </row>
    <row r="8">
      <c r="A8" s="20" t="str">
        <f>IMAGE("https://logos-world.net/wp-content/uploads/2020/05/Miami-Dolphins-Logo.png")</f>
        <v/>
      </c>
      <c r="B8" s="49" t="s">
        <v>120</v>
      </c>
      <c r="C8" s="27">
        <f t="array" ref="C8">INDEX('Standings Counter'!L20,0)</f>
        <v>3</v>
      </c>
      <c r="D8" s="31">
        <f t="array" ref="D8">INDEX('Standings Counter'!M20,0)</f>
        <v>14</v>
      </c>
      <c r="E8" s="35">
        <f t="shared" si="4"/>
        <v>0.1764705882</v>
      </c>
      <c r="F8" s="36"/>
      <c r="G8" s="27" t="str">
        <f>CONCATENATE('Home Counter'!L20," - ",'Home Counter'!M20)</f>
        <v>1 - 7</v>
      </c>
      <c r="H8" s="31" t="str">
        <f>CONCATENATE('Away Counter'!L20," - ",'Away Counter'!M20)</f>
        <v>2 - 7</v>
      </c>
      <c r="I8" s="27" t="str">
        <f t="array" ref="I8">INDEX(Standings!D9,0)</f>
        <v>1 - 5</v>
      </c>
      <c r="J8" s="31" t="str">
        <f>CONCATENATE('Conference Counter'!L20," - ",'Conference Counter'!M20)</f>
        <v>2 - 10</v>
      </c>
      <c r="K8" s="36"/>
      <c r="L8" s="40">
        <f t="array" ref="L8">INDEX('PFPA Counter'!L20,0)</f>
        <v>304</v>
      </c>
      <c r="M8" s="20">
        <f t="array" ref="M8">INDEX('PFPA Counter'!M20,0)</f>
        <v>356</v>
      </c>
      <c r="N8" s="41">
        <f t="shared" si="5"/>
        <v>-52</v>
      </c>
      <c r="O8" s="43">
        <f t="shared" si="6"/>
        <v>17.88235294</v>
      </c>
      <c r="P8" s="36"/>
      <c r="Q8" s="27" t="str">
        <f>CONCATENATE('AFC West Counter'!L20," - ",'AFC West Counter'!M20)</f>
        <v>0 - 4</v>
      </c>
      <c r="R8" s="31" t="str">
        <f>CONCATENATE('AFC East Counter'!L20," - ",'AFC East Counter'!M20)</f>
        <v>1 - 5</v>
      </c>
      <c r="S8" s="27" t="str">
        <f>CONCATENATE('AFC North Counter'!L20," - ",'AFC North Counter'!M20)</f>
        <v>0 - 1</v>
      </c>
      <c r="T8" s="31" t="str">
        <f>CONCATENATE('AFC South Counter'!L20," - ",'AFC South Counter'!M20)</f>
        <v>1 - 0</v>
      </c>
      <c r="U8" s="27" t="str">
        <f>CONCATENATE('NFC West Counter'!L20," - ",'NFC West Counter'!M20)</f>
        <v>0 - 1</v>
      </c>
      <c r="V8" s="31" t="str">
        <f>CONCATENATE('NFC East Counter'!L20," - ",'NFC East Counter'!M20)</f>
        <v>0 - 0</v>
      </c>
      <c r="W8" s="27" t="str">
        <f>CONCATENATE('NFC North Counter'!L20," - ",'NFC North Counter'!M20)</f>
        <v>1 - 3</v>
      </c>
      <c r="X8" s="31" t="str">
        <f>CONCATENATE('NFC South Counter'!L20," - ",'NFC South Counter'!M20)</f>
        <v>0 - 0</v>
      </c>
    </row>
    <row r="9">
      <c r="A9" s="20" t="str">
        <f>IMAGE("https://logos-world.net/wp-content/uploads/2020/07/New-York-Jets-Logo.png")</f>
        <v/>
      </c>
      <c r="B9" s="53" t="s">
        <v>124</v>
      </c>
      <c r="C9" s="27">
        <f t="array" ref="C9">INDEX('Standings Counter'!N20,0)</f>
        <v>4</v>
      </c>
      <c r="D9" s="31">
        <f t="array" ref="D9">INDEX('Standings Counter'!O20,0)</f>
        <v>13</v>
      </c>
      <c r="E9" s="35">
        <f t="shared" si="4"/>
        <v>0.2352941176</v>
      </c>
      <c r="F9" s="36"/>
      <c r="G9" s="27" t="str">
        <f>CONCATENATE('Home Counter'!N20," - ",'Home Counter'!O20)</f>
        <v>2 - 6</v>
      </c>
      <c r="H9" s="31" t="str">
        <f>CONCATENATE('Away Counter'!N20," - ",'Away Counter'!O20)</f>
        <v>2 - 7</v>
      </c>
      <c r="I9" s="27" t="str">
        <f t="array" ref="I9">INDEX(Standings!D10,0)</f>
        <v>3 - 3</v>
      </c>
      <c r="J9" s="31" t="str">
        <f>CONCATENATE('Conference Counter'!N20," - ",'Conference Counter'!O20)</f>
        <v>3 - 9</v>
      </c>
      <c r="K9" s="36"/>
      <c r="L9" s="40">
        <f t="array" ref="L9">INDEX('PFPA Counter'!N20,0)</f>
        <v>339</v>
      </c>
      <c r="M9" s="20">
        <f t="array" ref="M9">INDEX('PFPA Counter'!O20,0)</f>
        <v>375</v>
      </c>
      <c r="N9" s="41">
        <f t="shared" si="5"/>
        <v>-36</v>
      </c>
      <c r="O9" s="43">
        <f t="shared" si="6"/>
        <v>19.94117647</v>
      </c>
      <c r="P9" s="36"/>
      <c r="Q9" s="27" t="str">
        <f>CONCATENATE('AFC West Counter'!N20," - ",'AFC West Counter'!O20)</f>
        <v>0 - 4</v>
      </c>
      <c r="R9" s="31" t="str">
        <f>CONCATENATE('AFC East Counter'!N20," - ",'AFC East Counter'!O20)</f>
        <v>3 - 3</v>
      </c>
      <c r="S9" s="27" t="str">
        <f>CONCATENATE('AFC North Counter'!N20," - ",'AFC North Counter'!O20)</f>
        <v>0 - 1</v>
      </c>
      <c r="T9" s="31" t="str">
        <f>CONCATENATE('AFC South Counter'!N20," - ",'AFC South Counter'!O20)</f>
        <v>0 - 1</v>
      </c>
      <c r="U9" s="27" t="str">
        <f>CONCATENATE('NFC West Counter'!N20," - ",'NFC West Counter'!O20)</f>
        <v>0 - 1</v>
      </c>
      <c r="V9" s="31" t="str">
        <f>CONCATENATE('NFC East Counter'!N20," - ",'NFC East Counter'!O20)</f>
        <v>0 - 0</v>
      </c>
      <c r="W9" s="27" t="str">
        <f>CONCATENATE('NFC North Counter'!N20," - ",'NFC North Counter'!O20)</f>
        <v>1 - 3</v>
      </c>
      <c r="X9" s="31" t="str">
        <f>CONCATENATE('NFC South Counter'!N20," - ",'NFC South Counter'!O20)</f>
        <v>0 - 0</v>
      </c>
    </row>
    <row r="10">
      <c r="A10" s="20" t="str">
        <f>IMAGE("https://purepng.com/public/uploads/large/new-england-patriots-logo-symbol-ucp.png")</f>
        <v/>
      </c>
      <c r="B10" s="55" t="s">
        <v>126</v>
      </c>
      <c r="C10" s="27">
        <f t="array" ref="C10">INDEX('Standings Counter'!P20,0)</f>
        <v>13</v>
      </c>
      <c r="D10" s="31">
        <f t="array" ref="D10">INDEX('Standings Counter'!Q20,0)</f>
        <v>4</v>
      </c>
      <c r="E10" s="35">
        <f t="shared" si="4"/>
        <v>0.7647058824</v>
      </c>
      <c r="F10" s="36"/>
      <c r="G10" s="27" t="str">
        <f>CONCATENATE('Home Counter'!P20," - ",'Home Counter'!Q20)</f>
        <v>6 - 2</v>
      </c>
      <c r="H10" s="31" t="str">
        <f>CONCATENATE('Away Counter'!P20," - ",'Away Counter'!Q20)</f>
        <v>7 - 2</v>
      </c>
      <c r="I10" s="27" t="str">
        <f t="array" ref="I10">INDEX(Standings!D11,0)</f>
        <v>5 - 1</v>
      </c>
      <c r="J10" s="31" t="str">
        <f>CONCATENATE('Conference Counter'!P20," - ",'Conference Counter'!Q20)</f>
        <v>9 - 3</v>
      </c>
      <c r="K10" s="36"/>
      <c r="L10" s="40">
        <f t="array" ref="L10">INDEX('PFPA Counter'!P20,0)</f>
        <v>367</v>
      </c>
      <c r="M10" s="20">
        <f t="array" ref="M10">INDEX('PFPA Counter'!Q20,0)</f>
        <v>333</v>
      </c>
      <c r="N10" s="41">
        <f t="shared" si="5"/>
        <v>34</v>
      </c>
      <c r="O10" s="43">
        <f t="shared" si="6"/>
        <v>21.58823529</v>
      </c>
      <c r="P10" s="36"/>
      <c r="Q10" s="27" t="str">
        <f>CONCATENATE('AFC West Counter'!P20," - ",'AFC West Counter'!Q20)</f>
        <v>3 - 1</v>
      </c>
      <c r="R10" s="31" t="str">
        <f>CONCATENATE('AFC East Counter'!P20," - ",'AFC East Counter'!Q20)</f>
        <v>5 - 1</v>
      </c>
      <c r="S10" s="27" t="str">
        <f>CONCATENATE('AFC North Counter'!P20," - ",'AFC North Counter'!Q20)</f>
        <v>0 - 1</v>
      </c>
      <c r="T10" s="31" t="str">
        <f>CONCATENATE('AFC South Counter'!P20," - ",'AFC South Counter'!Q20)</f>
        <v>1 - 0</v>
      </c>
      <c r="U10" s="27" t="str">
        <f>CONCATENATE('NFC West Counter'!P20," - ",'NFC West Counter'!Q20)</f>
        <v>0 - 1</v>
      </c>
      <c r="V10" s="31" t="str">
        <f>CONCATENATE('NFC East Counter'!P20," - ",'NFC East Counter'!Q20)</f>
        <v>0 - 0</v>
      </c>
      <c r="W10" s="27" t="str">
        <f>CONCATENATE('NFC North Counter'!P20," - ",'NFC North Counter'!Q20)</f>
        <v>4 - 0</v>
      </c>
      <c r="X10" s="31" t="str">
        <f>CONCATENATE('NFC South Counter'!P20," - ",'NFC South Counter'!Q20)</f>
        <v>0 - 0</v>
      </c>
    </row>
    <row r="11">
      <c r="A11" s="1"/>
      <c r="B11" s="3" t="s">
        <v>26</v>
      </c>
      <c r="C11" s="76"/>
      <c r="D11" s="76"/>
      <c r="E11" s="76"/>
      <c r="F11" s="76"/>
      <c r="G11" s="76"/>
      <c r="H11" s="76"/>
      <c r="I11" s="76"/>
      <c r="J11" s="76"/>
      <c r="K11" s="76"/>
      <c r="L11" s="76"/>
      <c r="M11" s="76"/>
      <c r="N11" s="77"/>
      <c r="O11" s="76"/>
      <c r="P11" s="76"/>
      <c r="Q11" s="76"/>
      <c r="R11" s="76"/>
      <c r="S11" s="76"/>
      <c r="T11" s="76"/>
      <c r="U11" s="76"/>
      <c r="V11" s="76"/>
      <c r="W11" s="76"/>
      <c r="X11" s="76"/>
    </row>
    <row r="12">
      <c r="A12" s="20" t="str">
        <f>IMAGE("https://1000logos.net/wp-content/uploads/2016/10/Baltimore-Ravens-Logo.png")</f>
        <v/>
      </c>
      <c r="B12" s="58" t="s">
        <v>131</v>
      </c>
      <c r="C12" s="27">
        <f t="array" ref="C12">INDEX('Standings Counter'!R20,0)</f>
        <v>11</v>
      </c>
      <c r="D12" s="31">
        <f t="array" ref="D12">INDEX('Standings Counter'!S20,0)</f>
        <v>6</v>
      </c>
      <c r="E12" s="35">
        <f t="shared" ref="E12:E15" si="7">IF(AND(C12=0,D12=0),0,DIVIDE(C12,ADD(C12,D12)))</f>
        <v>0.6470588235</v>
      </c>
      <c r="F12" s="36"/>
      <c r="G12" s="27" t="str">
        <f>CONCATENATE('Home Counter'!R20," - ",'Home Counter'!S20)</f>
        <v>7 - 1</v>
      </c>
      <c r="H12" s="31" t="str">
        <f>CONCATENATE('Away Counter'!R20," - ",'Away Counter'!S20)</f>
        <v>4 - 5</v>
      </c>
      <c r="I12" s="27" t="str">
        <f t="array" ref="I12">INDEX(Standings!D14,0)</f>
        <v>4 - 2</v>
      </c>
      <c r="J12" s="31" t="str">
        <f>CONCATENATE('Conference Counter'!R20," - ",'Conference Counter'!S20)</f>
        <v>9 - 3</v>
      </c>
      <c r="K12" s="36"/>
      <c r="L12" s="40">
        <f t="array" ref="L12">INDEX('PFPA Counter'!R20,0)</f>
        <v>321</v>
      </c>
      <c r="M12" s="20">
        <f t="array" ref="M12">INDEX('PFPA Counter'!S20,0)</f>
        <v>306</v>
      </c>
      <c r="N12" s="41">
        <f t="shared" ref="N12:N15" si="8">MINUS(L12,M12)</f>
        <v>15</v>
      </c>
      <c r="O12" s="43">
        <f t="shared" ref="O12:O15" si="9">IF(AND(C12=0,D12=0),0,DIVIDE(L12,SUM(C12,D12)))</f>
        <v>18.88235294</v>
      </c>
      <c r="P12" s="36"/>
      <c r="Q12" s="27" t="str">
        <f>CONCATENATE('AFC West Counter'!R20," - ",'AFC West Counter'!S20)</f>
        <v>1 - 0</v>
      </c>
      <c r="R12" s="31" t="str">
        <f>CONCATENATE('AFC East Counter'!R20," - ",'AFC East Counter'!S20)</f>
        <v>0 - 1</v>
      </c>
      <c r="S12" s="27" t="str">
        <f>CONCATENATE('AFC North Counter'!R20," - ",'AFC North Counter'!S20)</f>
        <v>4 - 2</v>
      </c>
      <c r="T12" s="31" t="str">
        <f>CONCATENATE('AFC South Counter'!R20," - ",'AFC South Counter'!S20)</f>
        <v>4 - 0</v>
      </c>
      <c r="U12" s="27" t="str">
        <f>CONCATENATE('NFC West Counter'!R20," - ",'NFC West Counter'!S20)</f>
        <v>0 - 0</v>
      </c>
      <c r="V12" s="31" t="str">
        <f>CONCATENATE('NFC East Counter'!R20," - ",'NFC East Counter'!S20)</f>
        <v>0 - 1</v>
      </c>
      <c r="W12" s="27" t="str">
        <f>CONCATENATE('NFC North Counter'!R20," - ",'NFC North Counter'!S20)</f>
        <v>0 - 0</v>
      </c>
      <c r="X12" s="31" t="str">
        <f>CONCATENATE('NFC South Counter'!R20," - ",'NFC South Counter'!S20)</f>
        <v>2 - 2</v>
      </c>
    </row>
    <row r="13">
      <c r="A13" s="20" t="str">
        <f>IMAGE("https://logos-world.net/wp-content/uploads/2020/05/Cleveland-Browns-Logo-2006-2014.png")</f>
        <v/>
      </c>
      <c r="B13" s="62" t="s">
        <v>144</v>
      </c>
      <c r="C13" s="27">
        <f t="array" ref="C13">INDEX('Standings Counter'!T20,0)</f>
        <v>4</v>
      </c>
      <c r="D13" s="31">
        <f t="array" ref="D13">INDEX('Standings Counter'!U20,0)</f>
        <v>13</v>
      </c>
      <c r="E13" s="35">
        <f t="shared" si="7"/>
        <v>0.2352941176</v>
      </c>
      <c r="F13" s="36"/>
      <c r="G13" s="27" t="str">
        <f>CONCATENATE('Home Counter'!T20," - ",'Home Counter'!U20)</f>
        <v>2 - 6</v>
      </c>
      <c r="H13" s="31" t="str">
        <f>CONCATENATE('Away Counter'!T20," - ",'Away Counter'!U20)</f>
        <v>2 - 7</v>
      </c>
      <c r="I13" s="27" t="str">
        <f t="array" ref="I13">INDEX(Standings!D15,0)</f>
        <v>0 - 6</v>
      </c>
      <c r="J13" s="31" t="str">
        <f>CONCATENATE('Conference Counter'!T20," - ",'Conference Counter'!U20)</f>
        <v>3 - 9</v>
      </c>
      <c r="K13" s="36"/>
      <c r="L13" s="40">
        <f t="array" ref="L13">INDEX('PFPA Counter'!T20,0)</f>
        <v>341</v>
      </c>
      <c r="M13" s="20">
        <f t="array" ref="M13">INDEX('PFPA Counter'!U20,0)</f>
        <v>372</v>
      </c>
      <c r="N13" s="41">
        <f t="shared" si="8"/>
        <v>-31</v>
      </c>
      <c r="O13" s="43">
        <f t="shared" si="9"/>
        <v>20.05882353</v>
      </c>
      <c r="P13" s="36"/>
      <c r="Q13" s="27" t="str">
        <f>CONCATENATE('AFC West Counter'!T20," - ",'AFC West Counter'!U20)</f>
        <v>0 - 1</v>
      </c>
      <c r="R13" s="31" t="str">
        <f>CONCATENATE('AFC East Counter'!T20," - ",'AFC East Counter'!U20)</f>
        <v>1 - 0</v>
      </c>
      <c r="S13" s="27" t="str">
        <f>CONCATENATE('AFC North Counter'!T20," - ",'AFC North Counter'!U20)</f>
        <v>0 - 6</v>
      </c>
      <c r="T13" s="31" t="str">
        <f>CONCATENATE('AFC South Counter'!T20," - ",'AFC South Counter'!U20)</f>
        <v>2 - 2</v>
      </c>
      <c r="U13" s="27" t="str">
        <f>CONCATENATE('NFC West Counter'!T20," - ",'NFC West Counter'!U20)</f>
        <v>0 - 0</v>
      </c>
      <c r="V13" s="31" t="str">
        <f>CONCATENATE('NFC East Counter'!T20," - ",'NFC East Counter'!U20)</f>
        <v>0 - 1</v>
      </c>
      <c r="W13" s="27" t="str">
        <f>CONCATENATE('NFC North Counter'!T20," - ",'NFC North Counter'!U20)</f>
        <v>0 - 0</v>
      </c>
      <c r="X13" s="31" t="str">
        <f>CONCATENATE('NFC South Counter'!T20," - ",'NFC South Counter'!U20)</f>
        <v>1 - 3</v>
      </c>
    </row>
    <row r="14">
      <c r="A14" s="20" t="str">
        <f>IMAGE("https://1000logos.net/wp-content/uploads/2017/06/Pittsburgh-Steelers-Logo.png")</f>
        <v/>
      </c>
      <c r="B14" s="66" t="s">
        <v>153</v>
      </c>
      <c r="C14" s="27">
        <f t="array" ref="C14">INDEX('Standings Counter'!V20,0)</f>
        <v>7</v>
      </c>
      <c r="D14" s="31">
        <f t="array" ref="D14">INDEX('Standings Counter'!W20,0)</f>
        <v>10</v>
      </c>
      <c r="E14" s="35">
        <f t="shared" si="7"/>
        <v>0.4117647059</v>
      </c>
      <c r="F14" s="36"/>
      <c r="G14" s="27" t="str">
        <f>CONCATENATE('Home Counter'!V20," - ",'Home Counter'!W20)</f>
        <v>4 - 4</v>
      </c>
      <c r="H14" s="31" t="str">
        <f>CONCATENATE('Away Counter'!V20," - ",'Away Counter'!W20)</f>
        <v>3 - 6</v>
      </c>
      <c r="I14" s="27" t="str">
        <f t="array" ref="I14">INDEX(Standings!D16,0)</f>
        <v>3 - 3</v>
      </c>
      <c r="J14" s="31" t="str">
        <f>CONCATENATE('Conference Counter'!V20," - ",'Conference Counter'!W20)</f>
        <v>5 - 7</v>
      </c>
      <c r="K14" s="36"/>
      <c r="L14" s="40">
        <f t="array" ref="L14">INDEX('PFPA Counter'!V20,0)</f>
        <v>318</v>
      </c>
      <c r="M14" s="20">
        <f t="array" ref="M14">INDEX('PFPA Counter'!W20,0)</f>
        <v>326</v>
      </c>
      <c r="N14" s="41">
        <f t="shared" si="8"/>
        <v>-8</v>
      </c>
      <c r="O14" s="43">
        <f t="shared" si="9"/>
        <v>18.70588235</v>
      </c>
      <c r="P14" s="36"/>
      <c r="Q14" s="27" t="str">
        <f>CONCATENATE('AFC West Counter'!V20," - ",'AFC West Counter'!W20)</f>
        <v>0 - 1</v>
      </c>
      <c r="R14" s="31" t="str">
        <f>CONCATENATE('AFC East Counter'!V20," - ",'AFC East Counter'!W20)</f>
        <v>1 - 0</v>
      </c>
      <c r="S14" s="27" t="str">
        <f>CONCATENATE('AFC North Counter'!V20," - ",'AFC North Counter'!W20)</f>
        <v>3 - 4</v>
      </c>
      <c r="T14" s="31" t="str">
        <f>CONCATENATE('AFC South Counter'!V20," - ",'AFC South Counter'!W20)</f>
        <v>1 - 3</v>
      </c>
      <c r="U14" s="27" t="str">
        <f>CONCATENATE('NFC West Counter'!V20," - ",'NFC West Counter'!W20)</f>
        <v>0 - 0</v>
      </c>
      <c r="V14" s="31" t="str">
        <f>CONCATENATE('NFC East Counter'!V20," - ",'NFC East Counter'!W20)</f>
        <v>0 - 1</v>
      </c>
      <c r="W14" s="27" t="str">
        <f>CONCATENATE('NFC North Counter'!V20," - ",'NFC North Counter'!W20)</f>
        <v>0 - 0</v>
      </c>
      <c r="X14" s="31" t="str">
        <f>CONCATENATE('NFC South Counter'!V20," - ",'NFC South Counter'!W20)</f>
        <v>2 - 2</v>
      </c>
    </row>
    <row r="15">
      <c r="A15" s="20" t="str">
        <f>IMAGE("https://logos-world.net/wp-content/uploads/2020/05/Cincinnati-Bengals-Logo.png")</f>
        <v/>
      </c>
      <c r="B15" s="68" t="s">
        <v>136</v>
      </c>
      <c r="C15" s="27">
        <f t="array" ref="C15">INDEX('Standings Counter'!X20,0)</f>
        <v>10</v>
      </c>
      <c r="D15" s="31">
        <f t="array" ref="D15">INDEX('Standings Counter'!Y20,0)</f>
        <v>7</v>
      </c>
      <c r="E15" s="35">
        <f t="shared" si="7"/>
        <v>0.5882352941</v>
      </c>
      <c r="F15" s="36"/>
      <c r="G15" s="27" t="str">
        <f>CONCATENATE('Home Counter'!X20," - ",'Home Counter'!Y20)</f>
        <v>5 - 3</v>
      </c>
      <c r="H15" s="31" t="str">
        <f>CONCATENATE('Away Counter'!X20," - ",'Away Counter'!Y20)</f>
        <v>5 - 4</v>
      </c>
      <c r="I15" s="27" t="str">
        <f t="array" ref="I15">INDEX(Standings!D17,0)</f>
        <v>5 - 1</v>
      </c>
      <c r="J15" s="31" t="str">
        <f>CONCATENATE('Conference Counter'!X20," - ",'Conference Counter'!Y20)</f>
        <v>8 - 4</v>
      </c>
      <c r="K15" s="36"/>
      <c r="L15" s="40">
        <f t="array" ref="L15">INDEX('PFPA Counter'!X20,0)</f>
        <v>327</v>
      </c>
      <c r="M15" s="20">
        <f t="array" ref="M15">INDEX('PFPA Counter'!Y20,0)</f>
        <v>322</v>
      </c>
      <c r="N15" s="41">
        <f t="shared" si="8"/>
        <v>5</v>
      </c>
      <c r="O15" s="43">
        <f t="shared" si="9"/>
        <v>19.23529412</v>
      </c>
      <c r="P15" s="36"/>
      <c r="Q15" s="27" t="str">
        <f>CONCATENATE('AFC West Counter'!X20," - ",'AFC West Counter'!Y20)</f>
        <v>0 - 1</v>
      </c>
      <c r="R15" s="31" t="str">
        <f>CONCATENATE('AFC East Counter'!X20," - ",'AFC East Counter'!Y20)</f>
        <v>1 - 0</v>
      </c>
      <c r="S15" s="27" t="str">
        <f>CONCATENATE('AFC North Counter'!X20," - ",'AFC North Counter'!Y20)</f>
        <v>5 - 1</v>
      </c>
      <c r="T15" s="31" t="str">
        <f>CONCATENATE('AFC South Counter'!X20," - ",'AFC South Counter'!Y20)</f>
        <v>2 - 2</v>
      </c>
      <c r="U15" s="27" t="str">
        <f>CONCATENATE('NFC West Counter'!X20," - ",'NFC West Counter'!Y20)</f>
        <v>0 - 0</v>
      </c>
      <c r="V15" s="31" t="str">
        <f>CONCATENATE('NFC East Counter'!X20," - ",'NFC East Counter'!Y20)</f>
        <v>0 - 1</v>
      </c>
      <c r="W15" s="27" t="str">
        <f>CONCATENATE('NFC North Counter'!X20," - ",'NFC North Counter'!Y20)</f>
        <v>0 - 0</v>
      </c>
      <c r="X15" s="31" t="str">
        <f>CONCATENATE('NFC South Counter'!X20," - ",'NFC South Counter'!Y20)</f>
        <v>2 - 2</v>
      </c>
    </row>
    <row r="16">
      <c r="A16" s="1"/>
      <c r="B16" s="3" t="s">
        <v>29</v>
      </c>
      <c r="C16" s="76"/>
      <c r="D16" s="76"/>
      <c r="E16" s="76"/>
      <c r="F16" s="76"/>
      <c r="G16" s="76"/>
      <c r="H16" s="76"/>
      <c r="I16" s="76"/>
      <c r="J16" s="76"/>
      <c r="K16" s="76"/>
      <c r="L16" s="76"/>
      <c r="M16" s="76"/>
      <c r="N16" s="77"/>
      <c r="O16" s="76"/>
      <c r="P16" s="76"/>
      <c r="Q16" s="76"/>
      <c r="R16" s="76"/>
      <c r="S16" s="76"/>
      <c r="T16" s="76"/>
      <c r="U16" s="76"/>
      <c r="V16" s="76"/>
      <c r="W16" s="76"/>
      <c r="X16" s="76"/>
    </row>
    <row r="17">
      <c r="A17" s="20" t="str">
        <f>IMAGE("https://cdn.wallpapersafari.com/15/25/Jnl2Yc.png")</f>
        <v/>
      </c>
      <c r="B17" s="70" t="s">
        <v>163</v>
      </c>
      <c r="C17" s="27">
        <f t="array" ref="C17">INDEX('Standings Counter'!Z20,0)</f>
        <v>10</v>
      </c>
      <c r="D17" s="31">
        <f t="array" ref="D17">INDEX('Standings Counter'!AA20,0)</f>
        <v>7</v>
      </c>
      <c r="E17" s="35">
        <f t="shared" ref="E17:E20" si="10">IF(AND(C17=0,D17=0),0,DIVIDE(C17,ADD(C17,D17)))</f>
        <v>0.5882352941</v>
      </c>
      <c r="F17" s="36"/>
      <c r="G17" s="27" t="str">
        <f>CONCATENATE('Home Counter'!Z20," - ",'Home Counter'!AA20)</f>
        <v>5 - 3</v>
      </c>
      <c r="H17" s="31" t="str">
        <f>CONCATENATE('Away Counter'!Z20," - ",'Away Counter'!AA20)</f>
        <v>5 - 4</v>
      </c>
      <c r="I17" s="27" t="str">
        <f t="array" ref="I17">INDEX(Standings!D20,0)</f>
        <v>5 - 1</v>
      </c>
      <c r="J17" s="31" t="str">
        <f>CONCATENATE('Conference Counter'!Z20," - ",'Conference Counter'!AA20)</f>
        <v>7 - 5</v>
      </c>
      <c r="K17" s="36"/>
      <c r="L17" s="40">
        <f t="array" ref="L17">INDEX('PFPA Counter'!Z20,0)</f>
        <v>386</v>
      </c>
      <c r="M17" s="20">
        <f t="array" ref="M17">INDEX('PFPA Counter'!AA20,0)</f>
        <v>364</v>
      </c>
      <c r="N17" s="41">
        <f t="shared" ref="N17:N20" si="11">MINUS(L17,M17)</f>
        <v>22</v>
      </c>
      <c r="O17" s="43">
        <f t="shared" ref="O17:O20" si="12">IF(AND(C17=0,D17=0),0,DIVIDE(L17,SUM(C17,D17)))</f>
        <v>22.70588235</v>
      </c>
      <c r="P17" s="36"/>
      <c r="Q17" s="27" t="str">
        <f>CONCATENATE('AFC West Counter'!Z20," - ",'AFC West Counter'!AA20)</f>
        <v>0 - 1</v>
      </c>
      <c r="R17" s="31" t="str">
        <f>CONCATENATE('AFC East Counter'!Z20," - ",'AFC East Counter'!AA20)</f>
        <v>0 - 1</v>
      </c>
      <c r="S17" s="27" t="str">
        <f>CONCATENATE('AFC North Counter'!Z20," - ",'AFC North Counter'!AA20)</f>
        <v>2 - 2</v>
      </c>
      <c r="T17" s="31" t="str">
        <f>CONCATENATE('AFC South Counter'!Z20," - ",'AFC South Counter'!AA20)</f>
        <v>5 - 1</v>
      </c>
      <c r="U17" s="27" t="str">
        <f>CONCATENATE('NFC West Counter'!Z20," - ",'NFC West Counter'!AA20)</f>
        <v>0 - 0</v>
      </c>
      <c r="V17" s="31" t="str">
        <f>CONCATENATE('NFC East Counter'!Z20," - ",'NFC East Counter'!AA20)</f>
        <v>2 - 2</v>
      </c>
      <c r="W17" s="27" t="str">
        <f>CONCATENATE('NFC North Counter'!Z20," - ",'NFC North Counter'!AA20)</f>
        <v>1 - 0</v>
      </c>
      <c r="X17" s="31" t="str">
        <f>CONCATENATE('NFC South Counter'!Z20," - ",'NFC South Counter'!AA20)</f>
        <v>0 - 0</v>
      </c>
    </row>
    <row r="18">
      <c r="A18" s="20" t="str">
        <f>IMAGE("https://1000logos.net/wp-content/uploads/2018/07/Jacksonville-Jaguars-Logo-1536x960.png")</f>
        <v/>
      </c>
      <c r="B18" s="72" t="s">
        <v>173</v>
      </c>
      <c r="C18" s="27">
        <f t="array" ref="C18">INDEX('Standings Counter'!AB20,0)</f>
        <v>10</v>
      </c>
      <c r="D18" s="31">
        <f t="array" ref="D18">INDEX('Standings Counter'!AC20,0)</f>
        <v>7</v>
      </c>
      <c r="E18" s="35">
        <f t="shared" si="10"/>
        <v>0.5882352941</v>
      </c>
      <c r="F18" s="36"/>
      <c r="G18" s="27" t="str">
        <f>CONCATENATE('Home Counter'!AB20," - ",'Home Counter'!AC20)</f>
        <v>5 - 3</v>
      </c>
      <c r="H18" s="31" t="str">
        <f>CONCATENATE('Away Counter'!AB20," - ",'Away Counter'!AC20)</f>
        <v>5 - 4</v>
      </c>
      <c r="I18" s="27" t="str">
        <f t="array" ref="I18">INDEX(Standings!D21,0)</f>
        <v>5 - 1</v>
      </c>
      <c r="J18" s="31" t="str">
        <f>CONCATENATE('Conference Counter'!AB20," - ",'Conference Counter'!AC20)</f>
        <v>7 - 5</v>
      </c>
      <c r="K18" s="36"/>
      <c r="L18" s="40">
        <f t="array" ref="L18">INDEX('PFPA Counter'!AB20,0)</f>
        <v>335</v>
      </c>
      <c r="M18" s="20">
        <f t="array" ref="M18">INDEX('PFPA Counter'!AC20,0)</f>
        <v>323</v>
      </c>
      <c r="N18" s="41">
        <f t="shared" si="11"/>
        <v>12</v>
      </c>
      <c r="O18" s="43">
        <f t="shared" si="12"/>
        <v>19.70588235</v>
      </c>
      <c r="P18" s="36"/>
      <c r="Q18" s="27" t="str">
        <f>CONCATENATE('AFC West Counter'!AB20," - ",'AFC West Counter'!AC20)</f>
        <v>0 - 1</v>
      </c>
      <c r="R18" s="31" t="str">
        <f>CONCATENATE('AFC East Counter'!AB20," - ",'AFC East Counter'!AC20)</f>
        <v>0 - 1</v>
      </c>
      <c r="S18" s="27" t="str">
        <f>CONCATENATE('AFC North Counter'!AB20," - ",'AFC North Counter'!AC20)</f>
        <v>2 - 2</v>
      </c>
      <c r="T18" s="31" t="str">
        <f>CONCATENATE('AFC South Counter'!AB20," - ",'AFC South Counter'!AC20)</f>
        <v>5 - 1</v>
      </c>
      <c r="U18" s="27" t="str">
        <f>CONCATENATE('NFC West Counter'!AB20," - ",'NFC West Counter'!AC20)</f>
        <v>0 - 0</v>
      </c>
      <c r="V18" s="31" t="str">
        <f>CONCATENATE('NFC East Counter'!AB20," - ",'NFC East Counter'!AC20)</f>
        <v>2 - 2</v>
      </c>
      <c r="W18" s="27" t="str">
        <f>CONCATENATE('NFC North Counter'!AB20," - ",'NFC North Counter'!AC20)</f>
        <v>1 - 0</v>
      </c>
      <c r="X18" s="31" t="str">
        <f>CONCATENATE('NFC South Counter'!AB20," - ",'NFC South Counter'!AC20)</f>
        <v>0 - 0</v>
      </c>
    </row>
    <row r="19">
      <c r="A19" s="20" t="str">
        <f>IMAGE("https://1000logos.net/wp-content/uploads/2016/12/Indianapolis-Colts-Logo-2048x1280.png")</f>
        <v/>
      </c>
      <c r="B19" s="74" t="s">
        <v>178</v>
      </c>
      <c r="C19" s="27">
        <f t="array" ref="C19">INDEX('Standings Counter'!AD20,0)</f>
        <v>7</v>
      </c>
      <c r="D19" s="31">
        <f t="array" ref="D19">INDEX('Standings Counter'!AE20,0)</f>
        <v>10</v>
      </c>
      <c r="E19" s="35">
        <f t="shared" si="10"/>
        <v>0.4117647059</v>
      </c>
      <c r="F19" s="36"/>
      <c r="G19" s="27" t="str">
        <f>CONCATENATE('Home Counter'!AD20," - ",'Home Counter'!AE20)</f>
        <v>3 - 5</v>
      </c>
      <c r="H19" s="31" t="str">
        <f>CONCATENATE('Away Counter'!AD20," - ",'Away Counter'!AE20)</f>
        <v>4 - 5</v>
      </c>
      <c r="I19" s="27" t="str">
        <f t="array" ref="I19">INDEX(Standings!D22,0)</f>
        <v>2 - 4</v>
      </c>
      <c r="J19" s="31" t="str">
        <f>CONCATENATE('Conference Counter'!AD20," - ",'Conference Counter'!AE20)</f>
        <v>5 - 7</v>
      </c>
      <c r="K19" s="36"/>
      <c r="L19" s="40">
        <f t="array" ref="L19">INDEX('PFPA Counter'!AD20,0)</f>
        <v>347</v>
      </c>
      <c r="M19" s="20">
        <f t="array" ref="M19">INDEX('PFPA Counter'!AE20,0)</f>
        <v>367</v>
      </c>
      <c r="N19" s="41">
        <f t="shared" si="11"/>
        <v>-20</v>
      </c>
      <c r="O19" s="43">
        <f t="shared" si="12"/>
        <v>20.41176471</v>
      </c>
      <c r="P19" s="36"/>
      <c r="Q19" s="27" t="str">
        <f>CONCATENATE('AFC West Counter'!AD20," - ",'AFC West Counter'!AE20)</f>
        <v>1 - 0</v>
      </c>
      <c r="R19" s="31" t="str">
        <f>CONCATENATE('AFC East Counter'!AD20," - ",'AFC East Counter'!AE20)</f>
        <v>0 - 1</v>
      </c>
      <c r="S19" s="27" t="str">
        <f>CONCATENATE('AFC North Counter'!AD20," - ",'AFC North Counter'!AE20)</f>
        <v>2 - 2</v>
      </c>
      <c r="T19" s="31" t="str">
        <f>CONCATENATE('AFC South Counter'!AD20," - ",'AFC South Counter'!AE20)</f>
        <v>2 - 4</v>
      </c>
      <c r="U19" s="27" t="str">
        <f>CONCATENATE('NFC West Counter'!AD20," - ",'NFC West Counter'!AE20)</f>
        <v>0 - 0</v>
      </c>
      <c r="V19" s="31" t="str">
        <f>CONCATENATE('NFC East Counter'!AD20," - ",'NFC East Counter'!AE20)</f>
        <v>2 - 2</v>
      </c>
      <c r="W19" s="27" t="str">
        <f>CONCATENATE('NFC North Counter'!AD20," - ",'NFC North Counter'!AE20)</f>
        <v>0 - 1</v>
      </c>
      <c r="X19" s="31" t="str">
        <f>CONCATENATE('NFC South Counter'!AD20," - ",'NFC South Counter'!AE20)</f>
        <v>0 - 0</v>
      </c>
    </row>
    <row r="20">
      <c r="A20" s="20" t="str">
        <f>IMAGE("https://img-s-msn-com.akamaized.net/tenant/amp/entityid/AA1YwbtK.img?w=720&amp;h=720&amp;m=6")</f>
        <v/>
      </c>
      <c r="B20" s="79" t="s">
        <v>151</v>
      </c>
      <c r="C20" s="27">
        <f t="array" ref="C20">INDEX('Standings Counter'!AF20,0)</f>
        <v>3</v>
      </c>
      <c r="D20" s="31">
        <f t="array" ref="D20">INDEX('Standings Counter'!AG20,0)</f>
        <v>14</v>
      </c>
      <c r="E20" s="35">
        <f t="shared" si="10"/>
        <v>0.1764705882</v>
      </c>
      <c r="F20" s="36"/>
      <c r="G20" s="27" t="str">
        <f>CONCATENATE('Home Counter'!AF20," - ",'Home Counter'!AG20)</f>
        <v>3 - 5</v>
      </c>
      <c r="H20" s="31" t="str">
        <f>CONCATENATE('Away Counter'!AF20," - ",'Away Counter'!AG20)</f>
        <v>0 - 9</v>
      </c>
      <c r="I20" s="27" t="str">
        <f t="array" ref="I20">INDEX(Standings!D23,0)</f>
        <v>0 - 6</v>
      </c>
      <c r="J20" s="31" t="str">
        <f>CONCATENATE('Conference Counter'!AF20," - ",'Conference Counter'!AG20)</f>
        <v>2 - 10</v>
      </c>
      <c r="K20" s="36"/>
      <c r="L20" s="40">
        <f t="array" ref="L20">INDEX('PFPA Counter'!AF20,0)</f>
        <v>342</v>
      </c>
      <c r="M20" s="20">
        <f t="array" ref="M20">INDEX('PFPA Counter'!AG20,0)</f>
        <v>393</v>
      </c>
      <c r="N20" s="41">
        <f t="shared" si="11"/>
        <v>-51</v>
      </c>
      <c r="O20" s="43">
        <f t="shared" si="12"/>
        <v>20.11764706</v>
      </c>
      <c r="P20" s="36"/>
      <c r="Q20" s="27" t="str">
        <f>CONCATENATE('AFC West Counter'!AF20," - ",'AFC West Counter'!AG20)</f>
        <v>0 - 1</v>
      </c>
      <c r="R20" s="31" t="str">
        <f>CONCATENATE('AFC East Counter'!AF20," - ",'AFC East Counter'!AG20)</f>
        <v>1 - 0</v>
      </c>
      <c r="S20" s="27" t="str">
        <f>CONCATENATE('AFC North Counter'!AF20," - ",'AFC North Counter'!AG20)</f>
        <v>1 - 3</v>
      </c>
      <c r="T20" s="31" t="str">
        <f>CONCATENATE('AFC South Counter'!AF20," - ",'AFC South Counter'!AG20)</f>
        <v>0 - 6</v>
      </c>
      <c r="U20" s="27" t="str">
        <f>CONCATENATE('NFC West Counter'!AF20," - ",'NFC West Counter'!AG20)</f>
        <v>0 - 0</v>
      </c>
      <c r="V20" s="31" t="str">
        <f>CONCATENATE('NFC East Counter'!AF20," - ",'NFC East Counter'!AG20)</f>
        <v>1 - 3</v>
      </c>
      <c r="W20" s="27" t="str">
        <f>CONCATENATE('NFC North Counter'!AF20," - ",'NFC North Counter'!AG20)</f>
        <v>0 - 1</v>
      </c>
      <c r="X20" s="31" t="str">
        <f>CONCATENATE('NFC South Counter'!AF20," - ",'NFC South Counter'!AG20)</f>
        <v>0 - 0</v>
      </c>
    </row>
    <row r="21">
      <c r="A21" s="1"/>
      <c r="B21" s="3" t="s">
        <v>19</v>
      </c>
      <c r="C21" s="76"/>
      <c r="D21" s="76"/>
      <c r="E21" s="76"/>
      <c r="F21" s="76"/>
      <c r="G21" s="76"/>
      <c r="H21" s="76"/>
      <c r="I21" s="76"/>
      <c r="J21" s="76"/>
      <c r="K21" s="76"/>
      <c r="L21" s="76"/>
      <c r="M21" s="76"/>
      <c r="N21" s="77"/>
      <c r="O21" s="76"/>
      <c r="P21" s="76"/>
      <c r="Q21" s="76"/>
      <c r="R21" s="76"/>
      <c r="S21" s="76"/>
      <c r="T21" s="76"/>
      <c r="U21" s="76"/>
      <c r="V21" s="76"/>
      <c r="W21" s="76"/>
      <c r="X21" s="76"/>
    </row>
    <row r="22">
      <c r="A22" s="25" t="str">
        <f>IMAGE("https://logodownload.org/wp-content/uploads/2020/09/san-francisco-49ers-logo-2048x1220.png")</f>
        <v/>
      </c>
      <c r="B22" s="26" t="s">
        <v>85</v>
      </c>
      <c r="C22" s="27">
        <f t="array" ref="C22">INDEX('Standings Counter'!AH20,0)</f>
        <v>10</v>
      </c>
      <c r="D22" s="31">
        <f t="array" ref="D22">INDEX('Standings Counter'!AI20,0)</f>
        <v>7</v>
      </c>
      <c r="E22" s="35">
        <f t="shared" ref="E22:E25" si="13">IF(AND(C22=0,D22=0),0,DIVIDE(C22,ADD(C22,D22)))</f>
        <v>0.5882352941</v>
      </c>
      <c r="F22" s="36"/>
      <c r="G22" s="27" t="str">
        <f>CONCATENATE('Home Counter'!AH20," - ",'Home Counter'!AI20)</f>
        <v>7 - 2</v>
      </c>
      <c r="H22" s="31" t="str">
        <f>CONCATENATE('Away Counter'!AH20," - ",'Away Counter'!AI20)</f>
        <v>3 - 5</v>
      </c>
      <c r="I22" s="27" t="str">
        <f t="array" ref="I22">INDEX(Standings!I2,0)</f>
        <v>4 - 2</v>
      </c>
      <c r="J22" s="31" t="str">
        <f>CONCATENATE('Conference Counter'!AH20," - ",'Conference Counter'!AI20)</f>
        <v>7 - 5</v>
      </c>
      <c r="K22" s="36"/>
      <c r="L22" s="40">
        <f t="array" ref="L22">INDEX('PFPA Counter'!AH20,0)</f>
        <v>333</v>
      </c>
      <c r="M22" s="20">
        <f t="array" ref="M22">INDEX('PFPA Counter'!AI20,0)</f>
        <v>319</v>
      </c>
      <c r="N22" s="41">
        <f t="shared" ref="N22:N25" si="14">MINUS(L22,M22)</f>
        <v>14</v>
      </c>
      <c r="O22" s="43">
        <f t="shared" ref="O22:O25" si="15">IF(AND(C22=0,D22=0),0,DIVIDE(L22,SUM(C22,D22)))</f>
        <v>19.58823529</v>
      </c>
      <c r="P22" s="36"/>
      <c r="Q22" s="27" t="str">
        <f>CONCATENATE('AFC West Counter'!AH20," - ",'AFC West Counter'!AI20)</f>
        <v>2 - 2</v>
      </c>
      <c r="R22" s="31" t="str">
        <f>CONCATENATE('AFC East Counter'!AH20," - ",'AFC East Counter'!AI20)</f>
        <v>1 - 0</v>
      </c>
      <c r="S22" s="27" t="str">
        <f>CONCATENATE('AFC North Counter'!AH20," - ",'AFC North Counter'!AI20)</f>
        <v>0 - 0</v>
      </c>
      <c r="T22" s="31" t="str">
        <f>CONCATENATE('AFC South Counter'!AH20," - ",'AFC South Counter'!AI20)</f>
        <v>0 - 0</v>
      </c>
      <c r="U22" s="27" t="str">
        <f>CONCATENATE('NFC West Counter'!AH20," - ",'NFC West Counter'!AI20)</f>
        <v>4 - 2</v>
      </c>
      <c r="V22" s="31" t="str">
        <f>CONCATENATE('NFC East Counter'!AH20," - ",'NFC East Counter'!AI20)</f>
        <v>2 - 2</v>
      </c>
      <c r="W22" s="27" t="str">
        <f>CONCATENATE('NFC North Counter'!AH20," - ",'NFC North Counter'!AI20)</f>
        <v>0 - 1</v>
      </c>
      <c r="X22" s="31" t="str">
        <f>CONCATENATE('NFC South Counter'!AH20," - ",'NFC South Counter'!AI20)</f>
        <v>1 - 0</v>
      </c>
    </row>
    <row r="23">
      <c r="A23" s="25" t="str">
        <f>IMAGE("https://1000logos.net/wp-content/uploads/2018/07/Rams-Logo.png")</f>
        <v/>
      </c>
      <c r="B23" s="34" t="s">
        <v>110</v>
      </c>
      <c r="C23" s="27">
        <f t="array" ref="C23">INDEX('Standings Counter'!AJ20,0)</f>
        <v>13</v>
      </c>
      <c r="D23" s="31">
        <f t="array" ref="D23">INDEX('Standings Counter'!AK20,0)</f>
        <v>4</v>
      </c>
      <c r="E23" s="35">
        <f t="shared" si="13"/>
        <v>0.7647058824</v>
      </c>
      <c r="F23" s="36"/>
      <c r="G23" s="27" t="str">
        <f>CONCATENATE('Home Counter'!AJ20," - ",'Home Counter'!AK20)</f>
        <v>8 - 1</v>
      </c>
      <c r="H23" s="31" t="str">
        <f>CONCATENATE('Away Counter'!AJ20," - ",'Away Counter'!AK20)</f>
        <v>5 - 3</v>
      </c>
      <c r="I23" s="27" t="str">
        <f t="array" ref="I23">INDEX(Standings!I3,0)</f>
        <v>3 - 3</v>
      </c>
      <c r="J23" s="31" t="str">
        <f>CONCATENATE('Conference Counter'!AJ20," - ",'Conference Counter'!AK20)</f>
        <v>9 - 3</v>
      </c>
      <c r="K23" s="36"/>
      <c r="L23" s="40">
        <f t="array" ref="L23">INDEX('PFPA Counter'!AJ20,0)</f>
        <v>345</v>
      </c>
      <c r="M23" s="20">
        <f t="array" ref="M23">INDEX('PFPA Counter'!AK20,0)</f>
        <v>307</v>
      </c>
      <c r="N23" s="41">
        <f t="shared" si="14"/>
        <v>38</v>
      </c>
      <c r="O23" s="43">
        <f t="shared" si="15"/>
        <v>20.29411765</v>
      </c>
      <c r="P23" s="36"/>
      <c r="Q23" s="27" t="str">
        <f>CONCATENATE('AFC West Counter'!AJ20," - ",'AFC West Counter'!AK20)</f>
        <v>3 - 1</v>
      </c>
      <c r="R23" s="31" t="str">
        <f>CONCATENATE('AFC East Counter'!AJ20," - ",'AFC East Counter'!AK20)</f>
        <v>1 - 0</v>
      </c>
      <c r="S23" s="27" t="str">
        <f>CONCATENATE('AFC North Counter'!AJ20," - ",'AFC North Counter'!AK20)</f>
        <v>0 - 0</v>
      </c>
      <c r="T23" s="31" t="str">
        <f>CONCATENATE('AFC South Counter'!AJ20," - ",'AFC South Counter'!AK20)</f>
        <v>0 - 0</v>
      </c>
      <c r="U23" s="27" t="str">
        <f>CONCATENATE('NFC West Counter'!AJ20," - ",'NFC West Counter'!AK20)</f>
        <v>3 - 3</v>
      </c>
      <c r="V23" s="31" t="str">
        <f>CONCATENATE('NFC East Counter'!AJ20," - ",'NFC East Counter'!AK20)</f>
        <v>4 - 0</v>
      </c>
      <c r="W23" s="27" t="str">
        <f>CONCATENATE('NFC North Counter'!AJ20," - ",'NFC North Counter'!AK20)</f>
        <v>1 - 0</v>
      </c>
      <c r="X23" s="31" t="str">
        <f>CONCATENATE('NFC South Counter'!AJ20," - ",'NFC South Counter'!AK20)</f>
        <v>1 - 0</v>
      </c>
    </row>
    <row r="24">
      <c r="A24" s="25" t="str">
        <f>IMAGE("https://cdn.freebiesupply.com/images/large/2x/seattle-seahawks-logo-transparent.png")</f>
        <v/>
      </c>
      <c r="B24" s="39" t="s">
        <v>109</v>
      </c>
      <c r="C24" s="27">
        <f t="array" ref="C24">INDEX('Standings Counter'!AL20,0)</f>
        <v>12</v>
      </c>
      <c r="D24" s="31">
        <f t="array" ref="D24">INDEX('Standings Counter'!AM20,0)</f>
        <v>5</v>
      </c>
      <c r="E24" s="35">
        <f t="shared" si="13"/>
        <v>0.7058823529</v>
      </c>
      <c r="F24" s="36"/>
      <c r="G24" s="27" t="str">
        <f>CONCATENATE('Home Counter'!AL20," - ",'Home Counter'!AM20)</f>
        <v>8 - 1</v>
      </c>
      <c r="H24" s="31" t="str">
        <f>CONCATENATE('Away Counter'!AL20," - ",'Away Counter'!AM20)</f>
        <v>4 - 4</v>
      </c>
      <c r="I24" s="27" t="str">
        <f t="array" ref="I24">INDEX(Standings!I4,0)</f>
        <v>4 - 2</v>
      </c>
      <c r="J24" s="31" t="str">
        <f>CONCATENATE('Conference Counter'!AL20," - ",'Conference Counter'!AM20)</f>
        <v>9 - 3</v>
      </c>
      <c r="K24" s="36"/>
      <c r="L24" s="40">
        <f t="array" ref="L24">INDEX('PFPA Counter'!AL20,0)</f>
        <v>371</v>
      </c>
      <c r="M24" s="20">
        <f t="array" ref="M24">INDEX('PFPA Counter'!AM20,0)</f>
        <v>340</v>
      </c>
      <c r="N24" s="41">
        <f t="shared" si="14"/>
        <v>31</v>
      </c>
      <c r="O24" s="43">
        <f t="shared" si="15"/>
        <v>21.82352941</v>
      </c>
      <c r="P24" s="36"/>
      <c r="Q24" s="27" t="str">
        <f>CONCATENATE('AFC West Counter'!AL20," - ",'AFC West Counter'!AM20)</f>
        <v>2 - 2</v>
      </c>
      <c r="R24" s="31" t="str">
        <f>CONCATENATE('AFC East Counter'!AL20," - ",'AFC East Counter'!AM20)</f>
        <v>1 - 0</v>
      </c>
      <c r="S24" s="27" t="str">
        <f>CONCATENATE('AFC North Counter'!AL20," - ",'AFC North Counter'!AM20)</f>
        <v>0 - 0</v>
      </c>
      <c r="T24" s="31" t="str">
        <f>CONCATENATE('AFC South Counter'!AL20," - ",'AFC South Counter'!AM20)</f>
        <v>0 - 0</v>
      </c>
      <c r="U24" s="27" t="str">
        <f>CONCATENATE('NFC West Counter'!AL20," - ",'NFC West Counter'!AM20)</f>
        <v>4 - 2</v>
      </c>
      <c r="V24" s="31" t="str">
        <f>CONCATENATE('NFC East Counter'!AL20," - ",'NFC East Counter'!AM20)</f>
        <v>3 - 1</v>
      </c>
      <c r="W24" s="27" t="str">
        <f>CONCATENATE('NFC North Counter'!AL20," - ",'NFC North Counter'!AM20)</f>
        <v>1 - 0</v>
      </c>
      <c r="X24" s="31" t="str">
        <f>CONCATENATE('NFC South Counter'!AL20," - ",'NFC South Counter'!AM20)</f>
        <v>1 - 0</v>
      </c>
    </row>
    <row r="25">
      <c r="A25" s="25" t="str">
        <f>IMAGE("https://logos-world.net/wp-content/uploads/2020/05/Arizona-Cardinals-Logo.png")</f>
        <v/>
      </c>
      <c r="B25" s="44" t="s">
        <v>117</v>
      </c>
      <c r="C25" s="27">
        <f t="array" ref="C25">INDEX('Standings Counter'!AN20,0)</f>
        <v>5</v>
      </c>
      <c r="D25" s="31">
        <f t="array" ref="D25">INDEX('Standings Counter'!AO20,0)</f>
        <v>12</v>
      </c>
      <c r="E25" s="35">
        <f t="shared" si="13"/>
        <v>0.2941176471</v>
      </c>
      <c r="F25" s="36"/>
      <c r="G25" s="27" t="str">
        <f>CONCATENATE('Home Counter'!AN20," - ",'Home Counter'!AO20)</f>
        <v>4 - 5</v>
      </c>
      <c r="H25" s="31" t="str">
        <f>CONCATENATE('Away Counter'!AN20," - ",'Away Counter'!AO20)</f>
        <v>1 - 7</v>
      </c>
      <c r="I25" s="27" t="str">
        <f t="array" ref="I25">INDEX(Standings!I5,0)</f>
        <v>1 - 5</v>
      </c>
      <c r="J25" s="31" t="str">
        <f>CONCATENATE('Conference Counter'!AN20," - ",'Conference Counter'!AO20)</f>
        <v>3 - 9</v>
      </c>
      <c r="K25" s="36"/>
      <c r="L25" s="40">
        <f t="array" ref="L25">INDEX('PFPA Counter'!AN20,0)</f>
        <v>330</v>
      </c>
      <c r="M25" s="20">
        <f t="array" ref="M25">INDEX('PFPA Counter'!AO20,0)</f>
        <v>370</v>
      </c>
      <c r="N25" s="41">
        <f t="shared" si="14"/>
        <v>-40</v>
      </c>
      <c r="O25" s="43">
        <f t="shared" si="15"/>
        <v>19.41176471</v>
      </c>
      <c r="P25" s="36"/>
      <c r="Q25" s="27" t="str">
        <f>CONCATENATE('AFC West Counter'!AN20," - ",'AFC West Counter'!AO20)</f>
        <v>1 - 3</v>
      </c>
      <c r="R25" s="31" t="str">
        <f>CONCATENATE('AFC East Counter'!AN20," - ",'AFC East Counter'!AO20)</f>
        <v>1 - 0</v>
      </c>
      <c r="S25" s="27" t="str">
        <f>CONCATENATE('AFC North Counter'!AN20," - ",'AFC North Counter'!AO20)</f>
        <v>0 - 0</v>
      </c>
      <c r="T25" s="31" t="str">
        <f>CONCATENATE('AFC South Counter'!AN20," - ",'AFC South Counter'!AO20)</f>
        <v>0 - 0</v>
      </c>
      <c r="U25" s="27" t="str">
        <f>CONCATENATE('NFC West Counter'!AN20," - ",'NFC West Counter'!AO20)</f>
        <v>1 - 5</v>
      </c>
      <c r="V25" s="31" t="str">
        <f>CONCATENATE('NFC East Counter'!AN20," - ",'NFC East Counter'!AO20)</f>
        <v>2 - 2</v>
      </c>
      <c r="W25" s="27" t="str">
        <f>CONCATENATE('NFC North Counter'!AN20," - ",'NFC North Counter'!AO20)</f>
        <v>0 - 1</v>
      </c>
      <c r="X25" s="31" t="str">
        <f>CONCATENATE('NFC South Counter'!AN20," - ",'NFC South Counter'!AO20)</f>
        <v>0 - 1</v>
      </c>
    </row>
    <row r="26">
      <c r="A26" s="1"/>
      <c r="B26" s="3" t="s">
        <v>31</v>
      </c>
      <c r="C26" s="76"/>
      <c r="D26" s="76"/>
      <c r="E26" s="76"/>
      <c r="F26" s="76"/>
      <c r="G26" s="76"/>
      <c r="H26" s="76"/>
      <c r="I26" s="76"/>
      <c r="J26" s="76"/>
      <c r="K26" s="76"/>
      <c r="L26" s="76"/>
      <c r="M26" s="76"/>
      <c r="N26" s="77"/>
      <c r="O26" s="76"/>
      <c r="P26" s="76"/>
      <c r="Q26" s="76"/>
      <c r="R26" s="76"/>
      <c r="S26" s="76"/>
      <c r="T26" s="76"/>
      <c r="U26" s="76"/>
      <c r="V26" s="76"/>
      <c r="W26" s="76"/>
      <c r="X26" s="76"/>
    </row>
    <row r="27">
      <c r="A27" s="25" t="str">
        <f>IMAGE("https://www.freepnglogos.com/uploads/dallas-cowboys-logo-22.png")</f>
        <v/>
      </c>
      <c r="B27" s="47" t="s">
        <v>118</v>
      </c>
      <c r="C27" s="27">
        <f t="array" ref="C27">INDEX('Standings Counter'!AP20,0)</f>
        <v>11</v>
      </c>
      <c r="D27" s="31">
        <f t="array" ref="D27">INDEX('Standings Counter'!AQ20,0)</f>
        <v>6</v>
      </c>
      <c r="E27" s="35">
        <f t="shared" ref="E27:E30" si="16">IF(AND(C27=0,D27=0),0,DIVIDE(C27,ADD(C27,D27)))</f>
        <v>0.6470588235</v>
      </c>
      <c r="F27" s="36"/>
      <c r="G27" s="27" t="str">
        <f>CONCATENATE('Home Counter'!AP20," - ",'Home Counter'!AQ20)</f>
        <v>7 - 2</v>
      </c>
      <c r="H27" s="31" t="str">
        <f>CONCATENATE('Away Counter'!AP20," - ",'Away Counter'!AQ20)</f>
        <v>4 - 4</v>
      </c>
      <c r="I27" s="27" t="str">
        <f t="array" ref="I27">INDEX(Standings!I8,0)</f>
        <v>5 - 1</v>
      </c>
      <c r="J27" s="31" t="str">
        <f>CONCATENATE('Conference Counter'!AP20," - ",'Conference Counter'!AQ20)</f>
        <v>8 - 4</v>
      </c>
      <c r="K27" s="36"/>
      <c r="L27" s="40">
        <f t="array" ref="L27">INDEX('PFPA Counter'!AP20,0)</f>
        <v>342</v>
      </c>
      <c r="M27" s="20">
        <f t="array" ref="M27">INDEX('PFPA Counter'!AQ20,0)</f>
        <v>322</v>
      </c>
      <c r="N27" s="41">
        <f t="shared" ref="N27:N30" si="17">MINUS(L27,M27)</f>
        <v>20</v>
      </c>
      <c r="O27" s="43">
        <f t="shared" ref="O27:O30" si="18">IF(AND(C27=0,D27=0),0,DIVIDE(L27,SUM(C27,D27)))</f>
        <v>20.11764706</v>
      </c>
      <c r="P27" s="36"/>
      <c r="Q27" s="27" t="str">
        <f>CONCATENATE('AFC West Counter'!AP20," - ",'AFC West Counter'!AQ20)</f>
        <v>0 - 0</v>
      </c>
      <c r="R27" s="31" t="str">
        <f>CONCATENATE('AFC East Counter'!AP20," - ",'AFC East Counter'!AQ20)</f>
        <v>0 - 0</v>
      </c>
      <c r="S27" s="27" t="str">
        <f>CONCATENATE('AFC North Counter'!AP20," - ",'AFC North Counter'!AQ20)</f>
        <v>1 - 0</v>
      </c>
      <c r="T27" s="31" t="str">
        <f>CONCATENATE('AFC South Counter'!AP20," - ",'AFC South Counter'!AQ20)</f>
        <v>2 - 2</v>
      </c>
      <c r="U27" s="27" t="str">
        <f>CONCATENATE('NFC West Counter'!AP20," - ",'NFC West Counter'!AQ20)</f>
        <v>1 - 3</v>
      </c>
      <c r="V27" s="31" t="str">
        <f>CONCATENATE('NFC East Counter'!AP20," - ",'NFC East Counter'!AQ20)</f>
        <v>5 - 1</v>
      </c>
      <c r="W27" s="27" t="str">
        <f>CONCATENATE('NFC North Counter'!AP20," - ",'NFC North Counter'!AQ20)</f>
        <v>1 - 0</v>
      </c>
      <c r="X27" s="31" t="str">
        <f>CONCATENATE('NFC South Counter'!AP20," - ",'NFC South Counter'!AQ20)</f>
        <v>1 - 0</v>
      </c>
    </row>
    <row r="28">
      <c r="A28" s="25" t="str">
        <f>IMAGE("https://1000logos.net/wp-content/uploads/2017/05/Philadelphia-Eagles-Logo.png")</f>
        <v/>
      </c>
      <c r="B28" s="50" t="s">
        <v>121</v>
      </c>
      <c r="C28" s="27">
        <f t="array" ref="C28">INDEX('Standings Counter'!AR20,0)</f>
        <v>13</v>
      </c>
      <c r="D28" s="31">
        <f t="array" ref="D28">INDEX('Standings Counter'!AS20,0)</f>
        <v>4</v>
      </c>
      <c r="E28" s="35">
        <f t="shared" si="16"/>
        <v>0.7647058824</v>
      </c>
      <c r="F28" s="36"/>
      <c r="G28" s="27" t="str">
        <f>CONCATENATE('Home Counter'!AR20," - ",'Home Counter'!AS20)</f>
        <v>7 - 2</v>
      </c>
      <c r="H28" s="31" t="str">
        <f>CONCATENATE('Away Counter'!AR20," - ",'Away Counter'!AS20)</f>
        <v>6 - 2</v>
      </c>
      <c r="I28" s="27" t="str">
        <f t="array" ref="I28">INDEX(Standings!I9,0)</f>
        <v>5 - 1</v>
      </c>
      <c r="J28" s="31" t="str">
        <f>CONCATENATE('Conference Counter'!AR20," - ",'Conference Counter'!AS20)</f>
        <v>9 - 3</v>
      </c>
      <c r="K28" s="36"/>
      <c r="L28" s="40">
        <f t="array" ref="L28">INDEX('PFPA Counter'!AR20,0)</f>
        <v>351</v>
      </c>
      <c r="M28" s="20">
        <f t="array" ref="M28">INDEX('PFPA Counter'!AS20,0)</f>
        <v>313</v>
      </c>
      <c r="N28" s="41">
        <f t="shared" si="17"/>
        <v>38</v>
      </c>
      <c r="O28" s="43">
        <f t="shared" si="18"/>
        <v>20.64705882</v>
      </c>
      <c r="P28" s="36"/>
      <c r="Q28" s="27" t="str">
        <f>CONCATENATE('AFC West Counter'!AR20," - ",'AFC West Counter'!AS20)</f>
        <v>0 - 0</v>
      </c>
      <c r="R28" s="31" t="str">
        <f>CONCATENATE('AFC East Counter'!AR20," - ",'AFC East Counter'!AS20)</f>
        <v>0 - 0</v>
      </c>
      <c r="S28" s="27" t="str">
        <f>CONCATENATE('AFC North Counter'!AR20," - ",'AFC North Counter'!AS20)</f>
        <v>1 - 0</v>
      </c>
      <c r="T28" s="31" t="str">
        <f>CONCATENATE('AFC South Counter'!AR20," - ",'AFC South Counter'!AS20)</f>
        <v>3 - 1</v>
      </c>
      <c r="U28" s="27" t="str">
        <f>CONCATENATE('NFC West Counter'!AR20," - ",'NFC West Counter'!AS20)</f>
        <v>2 - 2</v>
      </c>
      <c r="V28" s="31" t="str">
        <f>CONCATENATE('NFC East Counter'!AR20," - ",'NFC East Counter'!AS20)</f>
        <v>5 - 1</v>
      </c>
      <c r="W28" s="27" t="str">
        <f>CONCATENATE('NFC North Counter'!AR20," - ",'NFC North Counter'!AS20)</f>
        <v>1 - 0</v>
      </c>
      <c r="X28" s="31" t="str">
        <f>CONCATENATE('NFC South Counter'!AR20," - ",'NFC South Counter'!AS20)</f>
        <v>1 - 0</v>
      </c>
    </row>
    <row r="29">
      <c r="A29" s="25" t="str">
        <f>IMAGE("https://logosmarcas.net/wp-content/uploads/2020/07/New-York-Giants-Logo.png")</f>
        <v/>
      </c>
      <c r="B29" s="54" t="s">
        <v>125</v>
      </c>
      <c r="C29" s="27">
        <f t="array" ref="C29">INDEX('Standings Counter'!AT20,0)</f>
        <v>4</v>
      </c>
      <c r="D29" s="31">
        <f t="array" ref="D29">INDEX('Standings Counter'!AU20,0)</f>
        <v>13</v>
      </c>
      <c r="E29" s="35">
        <f t="shared" si="16"/>
        <v>0.2352941176</v>
      </c>
      <c r="F29" s="36"/>
      <c r="G29" s="27" t="str">
        <f>CONCATENATE('Home Counter'!AT20," - ",'Home Counter'!AU20)</f>
        <v>4 - 5</v>
      </c>
      <c r="H29" s="31" t="str">
        <f>CONCATENATE('Away Counter'!AT20," - ",'Away Counter'!AU20)</f>
        <v>0 - 8</v>
      </c>
      <c r="I29" s="27" t="str">
        <f t="array" ref="I29">INDEX(Standings!I10,0)</f>
        <v>0 - 6</v>
      </c>
      <c r="J29" s="31" t="str">
        <f>CONCATENATE('Conference Counter'!AT20," - ",'Conference Counter'!AU20)</f>
        <v>1 - 11</v>
      </c>
      <c r="K29" s="36"/>
      <c r="L29" s="40">
        <f t="array" ref="L29">INDEX('PFPA Counter'!AT20,0)</f>
        <v>298</v>
      </c>
      <c r="M29" s="20">
        <f t="array" ref="M29">INDEX('PFPA Counter'!AU20,0)</f>
        <v>335</v>
      </c>
      <c r="N29" s="41">
        <f t="shared" si="17"/>
        <v>-37</v>
      </c>
      <c r="O29" s="43">
        <f t="shared" si="18"/>
        <v>17.52941176</v>
      </c>
      <c r="P29" s="36"/>
      <c r="Q29" s="27" t="str">
        <f>CONCATENATE('AFC West Counter'!AT20," - ",'AFC West Counter'!AU20)</f>
        <v>0 - 0</v>
      </c>
      <c r="R29" s="31" t="str">
        <f>CONCATENATE('AFC East Counter'!AT20," - ",'AFC East Counter'!AU20)</f>
        <v>0 - 0</v>
      </c>
      <c r="S29" s="27" t="str">
        <f>CONCATENATE('AFC North Counter'!AT20," - ",'AFC North Counter'!AU20)</f>
        <v>1 - 0</v>
      </c>
      <c r="T29" s="31" t="str">
        <f>CONCATENATE('AFC South Counter'!AT20," - ",'AFC South Counter'!AU20)</f>
        <v>2 - 2</v>
      </c>
      <c r="U29" s="27" t="str">
        <f>CONCATENATE('NFC West Counter'!AT20," - ",'NFC West Counter'!AU20)</f>
        <v>1 - 3</v>
      </c>
      <c r="V29" s="31" t="str">
        <f>CONCATENATE('NFC East Counter'!AT20," - ",'NFC East Counter'!AU20)</f>
        <v>0 - 6</v>
      </c>
      <c r="W29" s="27" t="str">
        <f>CONCATENATE('NFC North Counter'!AT20," - ",'NFC North Counter'!AU20)</f>
        <v>0 - 1</v>
      </c>
      <c r="X29" s="31" t="str">
        <f>CONCATENATE('NFC South Counter'!AT20," - ",'NFC South Counter'!AU20)</f>
        <v>0 - 1</v>
      </c>
    </row>
    <row r="30">
      <c r="A30" s="25" t="str">
        <f>IMAGE("https://logodownload.org/wp-content/uploads/2020/09/washington-commanders-logo.png")</f>
        <v/>
      </c>
      <c r="B30" s="57" t="s">
        <v>129</v>
      </c>
      <c r="C30" s="27">
        <f t="array" ref="C30">INDEX('Standings Counter'!AV20,0)</f>
        <v>6</v>
      </c>
      <c r="D30" s="31">
        <f t="array" ref="D30">INDEX('Standings Counter'!AW20,0)</f>
        <v>11</v>
      </c>
      <c r="E30" s="35">
        <f t="shared" si="16"/>
        <v>0.3529411765</v>
      </c>
      <c r="F30" s="36"/>
      <c r="G30" s="27" t="str">
        <f>CONCATENATE('Home Counter'!AV20," - ",'Home Counter'!AW20)</f>
        <v>4 - 5</v>
      </c>
      <c r="H30" s="31" t="str">
        <f>CONCATENATE('Away Counter'!AV20," - ",'Away Counter'!AW20)</f>
        <v>2 - 6</v>
      </c>
      <c r="I30" s="27" t="str">
        <f t="array" ref="I30">INDEX(Standings!I11,0)</f>
        <v>2 - 4</v>
      </c>
      <c r="J30" s="31" t="str">
        <f>CONCATENATE('Conference Counter'!AV20," - ",'Conference Counter'!AW20)</f>
        <v>3 - 9</v>
      </c>
      <c r="K30" s="36"/>
      <c r="L30" s="40">
        <f t="array" ref="L30">INDEX('PFPA Counter'!AV20,0)</f>
        <v>0</v>
      </c>
      <c r="M30" s="20">
        <f t="array" ref="M30">INDEX('PFPA Counter'!AW20,0)</f>
        <v>0</v>
      </c>
      <c r="N30" s="41">
        <f t="shared" si="17"/>
        <v>0</v>
      </c>
      <c r="O30" s="43">
        <f t="shared" si="18"/>
        <v>0</v>
      </c>
      <c r="P30" s="36"/>
      <c r="Q30" s="27" t="str">
        <f>CONCATENATE('AFC West Counter'!AV20," - ",'AFC West Counter'!AW20)</f>
        <v>0 - 0</v>
      </c>
      <c r="R30" s="31" t="str">
        <f>CONCATENATE('AFC East Counter'!AV20," - ",'AFC East Counter'!AW20)</f>
        <v>0 - 0</v>
      </c>
      <c r="S30" s="27" t="str">
        <f>CONCATENATE('AFC North Counter'!AV20," - ",'AFC North Counter'!AW20)</f>
        <v>1 - 0</v>
      </c>
      <c r="T30" s="31" t="str">
        <f>CONCATENATE('AFC South Counter'!AV20," - ",'AFC South Counter'!AW20)</f>
        <v>2 - 2</v>
      </c>
      <c r="U30" s="27" t="str">
        <f>CONCATENATE('NFC West Counter'!AV20," - ",'NFC West Counter'!AW20)</f>
        <v>1 - 3</v>
      </c>
      <c r="V30" s="31" t="str">
        <f>CONCATENATE('NFC East Counter'!AV20," - ",'NFC East Counter'!AW20)</f>
        <v>2 - 4</v>
      </c>
      <c r="W30" s="27" t="str">
        <f>CONCATENATE('NFC North Counter'!AV20," - ",'NFC North Counter'!AW20)</f>
        <v>0 - 1</v>
      </c>
      <c r="X30" s="31" t="str">
        <f>CONCATENATE('NFC South Counter'!AV20," - ",'NFC South Counter'!AW20)</f>
        <v>0 - 1</v>
      </c>
    </row>
    <row r="31">
      <c r="A31" s="1"/>
      <c r="B31" s="3" t="s">
        <v>33</v>
      </c>
      <c r="C31" s="76"/>
      <c r="D31" s="76"/>
      <c r="E31" s="76"/>
      <c r="F31" s="76"/>
      <c r="G31" s="76"/>
      <c r="H31" s="76"/>
      <c r="I31" s="76"/>
      <c r="J31" s="76"/>
      <c r="K31" s="76"/>
      <c r="L31" s="76"/>
      <c r="M31" s="76"/>
      <c r="N31" s="77"/>
      <c r="O31" s="76"/>
      <c r="P31" s="76"/>
      <c r="Q31" s="76"/>
      <c r="R31" s="76"/>
      <c r="S31" s="76"/>
      <c r="T31" s="76"/>
      <c r="U31" s="76"/>
      <c r="V31" s="76"/>
      <c r="W31" s="76"/>
      <c r="X31" s="76"/>
    </row>
    <row r="32">
      <c r="A32" s="25" t="str">
        <f>IMAGE("https://logos-world.net/wp-content/uploads/2020/05/Detroit-Lions-Logo-2017-Present.png")</f>
        <v/>
      </c>
      <c r="B32" s="61" t="s">
        <v>138</v>
      </c>
      <c r="C32" s="27">
        <f t="array" ref="C32">INDEX('Standings Counter'!AX20,0)</f>
        <v>11</v>
      </c>
      <c r="D32" s="31">
        <f t="array" ref="D32">INDEX('Standings Counter'!AY20,0)</f>
        <v>6</v>
      </c>
      <c r="E32" s="35">
        <f t="shared" ref="E32:E35" si="19">IF(AND(C32=0,D32=0),0,DIVIDE(C32,ADD(C32,D32)))</f>
        <v>0.6470588235</v>
      </c>
      <c r="F32" s="36"/>
      <c r="G32" s="27" t="str">
        <f>CONCATENATE('Home Counter'!AX20," - ",'Home Counter'!AY20)</f>
        <v>5 - 4</v>
      </c>
      <c r="H32" s="31" t="str">
        <f>CONCATENATE('Away Counter'!AX20," - ",'Away Counter'!AY20)</f>
        <v>6 - 2</v>
      </c>
      <c r="I32" s="27" t="str">
        <f t="array" ref="I32">INDEX(Standings!I14,0)</f>
        <v>3 - 3</v>
      </c>
      <c r="J32" s="31" t="str">
        <f>CONCATENATE('Conference Counter'!AX20," - ",'Conference Counter'!AY20)</f>
        <v>8 - 4</v>
      </c>
      <c r="K32" s="36"/>
      <c r="L32" s="40">
        <f t="array" ref="L32">INDEX('PFPA Counter'!AX20,0)</f>
        <v>375</v>
      </c>
      <c r="M32" s="20">
        <f t="array" ref="M32">INDEX('PFPA Counter'!AY20,0)</f>
        <v>360</v>
      </c>
      <c r="N32" s="41">
        <f t="shared" ref="N32:N35" si="20">MINUS(L32,M32)</f>
        <v>15</v>
      </c>
      <c r="O32" s="43">
        <f t="shared" ref="O32:O35" si="21">IF(AND(C32=0,D32=0),0,DIVIDE(L32,SUM(C32,D32)))</f>
        <v>22.05882353</v>
      </c>
      <c r="P32" s="36"/>
      <c r="Q32" s="27" t="str">
        <f>CONCATENATE('AFC West Counter'!AX20," - ",'AFC West Counter'!AY20)</f>
        <v>0 - 0</v>
      </c>
      <c r="R32" s="31" t="str">
        <f>CONCATENATE('AFC East Counter'!AX20," - ",'AFC East Counter'!AY20)</f>
        <v>2 - 2</v>
      </c>
      <c r="S32" s="27" t="str">
        <f>CONCATENATE('AFC North Counter'!AX20," - ",'AFC North Counter'!AY20)</f>
        <v>0 - 0</v>
      </c>
      <c r="T32" s="31" t="str">
        <f>CONCATENATE('AFC South Counter'!AX20," - ",'AFC South Counter'!AY20)</f>
        <v>1 - 0</v>
      </c>
      <c r="U32" s="27" t="str">
        <f>CONCATENATE('NFC West Counter'!AX20," - ",'NFC West Counter'!AY20)</f>
        <v>1 - 0</v>
      </c>
      <c r="V32" s="31" t="str">
        <f>CONCATENATE('NFC East Counter'!AX20," - ",'NFC East Counter'!AY20)</f>
        <v>1 - 0</v>
      </c>
      <c r="W32" s="27" t="str">
        <f>CONCATENATE('NFC North Counter'!AX20," - ",'NFC North Counter'!AY20)</f>
        <v>3 - 3</v>
      </c>
      <c r="X32" s="31" t="str">
        <f>CONCATENATE('NFC South Counter'!AX20," - ",'NFC South Counter'!AY20)</f>
        <v>3 - 1</v>
      </c>
    </row>
    <row r="33">
      <c r="A33" s="25" t="str">
        <f>IMAGE("https://logodownload.org/wp-content/uploads/2020/07/green-bay-packers-logo-1.png")</f>
        <v/>
      </c>
      <c r="B33" s="63" t="s">
        <v>146</v>
      </c>
      <c r="C33" s="27">
        <f t="array" ref="C33">INDEX('Standings Counter'!AZ20,0)</f>
        <v>9</v>
      </c>
      <c r="D33" s="31">
        <f t="array" ref="D33">INDEX('Standings Counter'!BA20,0)</f>
        <v>8</v>
      </c>
      <c r="E33" s="35">
        <f t="shared" si="19"/>
        <v>0.5294117647</v>
      </c>
      <c r="F33" s="36"/>
      <c r="G33" s="27" t="str">
        <f>CONCATENATE('Home Counter'!AZ20," - ",'Home Counter'!BA20)</f>
        <v>6 - 3</v>
      </c>
      <c r="H33" s="31" t="str">
        <f>CONCATENATE('Away Counter'!AZ20," - ",'Away Counter'!BA20)</f>
        <v>3 - 5</v>
      </c>
      <c r="I33" s="27" t="str">
        <f t="array" ref="I33">INDEX(Standings!I15,0)</f>
        <v>3 - 3</v>
      </c>
      <c r="J33" s="31" t="str">
        <f>CONCATENATE('Conference Counter'!AZ20," - ",'Conference Counter'!BA20)</f>
        <v>6 - 6</v>
      </c>
      <c r="K33" s="36"/>
      <c r="L33" s="40">
        <f t="array" ref="L33">INDEX('PFPA Counter'!AZ20,0)</f>
        <v>357</v>
      </c>
      <c r="M33" s="20">
        <f t="array" ref="M33">INDEX('PFPA Counter'!BA20,0)</f>
        <v>354</v>
      </c>
      <c r="N33" s="41">
        <f t="shared" si="20"/>
        <v>3</v>
      </c>
      <c r="O33" s="43">
        <f t="shared" si="21"/>
        <v>21</v>
      </c>
      <c r="P33" s="36"/>
      <c r="Q33" s="27" t="str">
        <f>CONCATENATE('AFC West Counter'!AZ20," - ",'AFC West Counter'!BA20)</f>
        <v>0 - 0</v>
      </c>
      <c r="R33" s="31" t="str">
        <f>CONCATENATE('AFC East Counter'!AZ20," - ",'AFC East Counter'!BA20)</f>
        <v>3 - 1</v>
      </c>
      <c r="S33" s="27" t="str">
        <f>CONCATENATE('AFC North Counter'!AZ20," - ",'AFC North Counter'!BA20)</f>
        <v>0 - 0</v>
      </c>
      <c r="T33" s="31" t="str">
        <f>CONCATENATE('AFC South Counter'!AZ20," - ",'AFC South Counter'!BA20)</f>
        <v>0 - 1</v>
      </c>
      <c r="U33" s="27" t="str">
        <f>CONCATENATE('NFC West Counter'!AZ20," - ",'NFC West Counter'!BA20)</f>
        <v>0 - 1</v>
      </c>
      <c r="V33" s="31" t="str">
        <f>CONCATENATE('NFC East Counter'!AZ20," - ",'NFC East Counter'!BA20)</f>
        <v>0 - 1</v>
      </c>
      <c r="W33" s="27" t="str">
        <f>CONCATENATE('NFC North Counter'!AZ20," - ",'NFC North Counter'!BA20)</f>
        <v>3 - 3</v>
      </c>
      <c r="X33" s="31" t="str">
        <f>CONCATENATE('NFC South Counter'!AZ20," - ",'NFC South Counter'!BA20)</f>
        <v>3 - 1</v>
      </c>
    </row>
    <row r="34">
      <c r="A34" s="25" t="str">
        <f>IMAGE("https://1000logos.net/wp-content/uploads/2017/06/Minnesota-Vikings-Logo-1965.png")</f>
        <v/>
      </c>
      <c r="B34" s="67" t="s">
        <v>154</v>
      </c>
      <c r="C34" s="27">
        <f t="array" ref="C34">INDEX('Standings Counter'!BB20,0)</f>
        <v>8</v>
      </c>
      <c r="D34" s="31">
        <f t="array" ref="D34">INDEX('Standings Counter'!BC20,0)</f>
        <v>9</v>
      </c>
      <c r="E34" s="35">
        <f t="shared" si="19"/>
        <v>0.4705882353</v>
      </c>
      <c r="F34" s="36"/>
      <c r="G34" s="27" t="str">
        <f>CONCATENATE('Home Counter'!BB20," - ",'Home Counter'!BC20)</f>
        <v>5 - 4</v>
      </c>
      <c r="H34" s="31" t="str">
        <f>CONCATENATE('Away Counter'!BB20," - ",'Away Counter'!BC20)</f>
        <v>3 - 5</v>
      </c>
      <c r="I34" s="27" t="str">
        <f t="array" ref="I34">INDEX(Standings!I16,0)</f>
        <v>1 - 5</v>
      </c>
      <c r="J34" s="31" t="str">
        <f>CONCATENATE('Conference Counter'!BB20," - ",'Conference Counter'!BC20)</f>
        <v>6 - 6</v>
      </c>
      <c r="K34" s="36"/>
      <c r="L34" s="40">
        <f t="array" ref="L34">INDEX('PFPA Counter'!BB20,0)</f>
        <v>321</v>
      </c>
      <c r="M34" s="20">
        <f t="array" ref="M34">INDEX('PFPA Counter'!BC20,0)</f>
        <v>323</v>
      </c>
      <c r="N34" s="41">
        <f t="shared" si="20"/>
        <v>-2</v>
      </c>
      <c r="O34" s="43">
        <f t="shared" si="21"/>
        <v>18.88235294</v>
      </c>
      <c r="P34" s="36"/>
      <c r="Q34" s="27" t="str">
        <f>CONCATENATE('AFC West Counter'!BB20," - ",'AFC West Counter'!BC20)</f>
        <v>0 - 0</v>
      </c>
      <c r="R34" s="31" t="str">
        <f>CONCATENATE('AFC East Counter'!BB20," - ",'AFC East Counter'!BC20)</f>
        <v>1 - 3</v>
      </c>
      <c r="S34" s="27" t="str">
        <f>CONCATENATE('AFC North Counter'!BB20," - ",'AFC North Counter'!BC20)</f>
        <v>0 - 0</v>
      </c>
      <c r="T34" s="31" t="str">
        <f>CONCATENATE('AFC South Counter'!BB20," - ",'AFC South Counter'!BC20)</f>
        <v>1 - 0</v>
      </c>
      <c r="U34" s="27" t="str">
        <f>CONCATENATE('NFC West Counter'!BB20," - ",'NFC West Counter'!BC20)</f>
        <v>1 - 0</v>
      </c>
      <c r="V34" s="31" t="str">
        <f>CONCATENATE('NFC East Counter'!BB20," - ",'NFC East Counter'!BC20)</f>
        <v>1 - 0</v>
      </c>
      <c r="W34" s="27" t="str">
        <f>CONCATENATE('NFC North Counter'!BB20," - ",'NFC North Counter'!BC20)</f>
        <v>1 - 5</v>
      </c>
      <c r="X34" s="31" t="str">
        <f>CONCATENATE('NFC South Counter'!BB20," - ",'NFC South Counter'!BC20)</f>
        <v>3 - 1</v>
      </c>
    </row>
    <row r="35">
      <c r="A35" s="25" t="str">
        <f>IMAGE("https://logos-world.net/wp-content/uploads/2020/05/Chicago-Bears-logo.png")</f>
        <v/>
      </c>
      <c r="B35" s="69" t="s">
        <v>152</v>
      </c>
      <c r="C35" s="27">
        <f t="array" ref="C35">INDEX('Standings Counter'!BD20,0)</f>
        <v>10</v>
      </c>
      <c r="D35" s="31">
        <f t="array" ref="D35">INDEX('Standings Counter'!BE20,0)</f>
        <v>7</v>
      </c>
      <c r="E35" s="35">
        <f t="shared" si="19"/>
        <v>0.5882352941</v>
      </c>
      <c r="F35" s="36"/>
      <c r="G35" s="27" t="str">
        <f>CONCATENATE('Home Counter'!BD20," - ",'Home Counter'!BE20)</f>
        <v>6 - 3</v>
      </c>
      <c r="H35" s="31" t="str">
        <f>CONCATENATE('Away Counter'!BD20," - ",'Away Counter'!BE20)</f>
        <v>4 - 4</v>
      </c>
      <c r="I35" s="27" t="str">
        <f t="array" ref="I35">INDEX(Standings!I17,0)</f>
        <v>5 - 1</v>
      </c>
      <c r="J35" s="31" t="str">
        <f>CONCATENATE('Conference Counter'!BD20," - ",'Conference Counter'!BE20)</f>
        <v>9 - 3</v>
      </c>
      <c r="K35" s="36"/>
      <c r="L35" s="40">
        <f t="array" ref="L35">INDEX('PFPA Counter'!BD20,0)</f>
        <v>377</v>
      </c>
      <c r="M35" s="20">
        <f t="array" ref="M35">INDEX('PFPA Counter'!BE20,0)</f>
        <v>352</v>
      </c>
      <c r="N35" s="41">
        <f t="shared" si="20"/>
        <v>25</v>
      </c>
      <c r="O35" s="43">
        <f t="shared" si="21"/>
        <v>22.17647059</v>
      </c>
      <c r="P35" s="36"/>
      <c r="Q35" s="27" t="str">
        <f>CONCATENATE('AFC West Counter'!BD20," - ",'AFC West Counter'!BE20)</f>
        <v>0 - 0</v>
      </c>
      <c r="R35" s="31" t="str">
        <f>CONCATENATE('AFC East Counter'!BD20," - ",'AFC East Counter'!BE20)</f>
        <v>1 - 3</v>
      </c>
      <c r="S35" s="27" t="str">
        <f>CONCATENATE('AFC North Counter'!BD20," - ",'AFC North Counter'!BE20)</f>
        <v>0 - 0</v>
      </c>
      <c r="T35" s="31" t="str">
        <f>CONCATENATE('AFC South Counter'!BD20," - ",'AFC South Counter'!BE20)</f>
        <v>0 - 1</v>
      </c>
      <c r="U35" s="27" t="str">
        <f>CONCATENATE('NFC West Counter'!BD20," - ",'NFC West Counter'!BE20)</f>
        <v>0 - 1</v>
      </c>
      <c r="V35" s="31" t="str">
        <f>CONCATENATE('NFC East Counter'!BD20," - ",'NFC East Counter'!BE20)</f>
        <v>0 - 1</v>
      </c>
      <c r="W35" s="27" t="str">
        <f>CONCATENATE('NFC North Counter'!BD20," - ",'NFC North Counter'!BE20)</f>
        <v>5 - 1</v>
      </c>
      <c r="X35" s="31" t="str">
        <f>CONCATENATE('NFC South Counter'!BD20," - ",'NFC South Counter'!BE20)</f>
        <v>4 - 0</v>
      </c>
    </row>
    <row r="36">
      <c r="A36" s="1"/>
      <c r="B36" s="3" t="s">
        <v>35</v>
      </c>
      <c r="C36" s="76"/>
      <c r="D36" s="76"/>
      <c r="E36" s="76"/>
      <c r="F36" s="76"/>
      <c r="G36" s="76"/>
      <c r="H36" s="76"/>
      <c r="I36" s="76"/>
      <c r="J36" s="76"/>
      <c r="K36" s="76"/>
      <c r="L36" s="76"/>
      <c r="M36" s="76"/>
      <c r="N36" s="77"/>
      <c r="O36" s="76"/>
      <c r="P36" s="76"/>
      <c r="Q36" s="76"/>
      <c r="R36" s="76"/>
      <c r="S36" s="76"/>
      <c r="T36" s="76"/>
      <c r="U36" s="76"/>
      <c r="V36" s="76"/>
      <c r="W36" s="76"/>
      <c r="X36" s="76"/>
    </row>
    <row r="37">
      <c r="A37" s="25" t="str">
        <f>IMAGE("https://logodownload.org/wp-content/uploads/2020/09/tampa-bay-buccaneers-logo.png")</f>
        <v/>
      </c>
      <c r="B37" s="71" t="s">
        <v>168</v>
      </c>
      <c r="C37" s="27">
        <f t="array" ref="C37">INDEX('Standings Counter'!BF20,0)</f>
        <v>8</v>
      </c>
      <c r="D37" s="31">
        <f t="array" ref="D37">INDEX('Standings Counter'!BG20,0)</f>
        <v>9</v>
      </c>
      <c r="E37" s="35">
        <f t="shared" ref="E37:E40" si="22">IF(AND(C37=0,D37=0),0,DIVIDE(C37,ADD(C37,D37)))</f>
        <v>0.4705882353</v>
      </c>
      <c r="F37" s="36"/>
      <c r="G37" s="27" t="str">
        <f>CONCATENATE('Home Counter'!BF20," - ",'Home Counter'!BG20)</f>
        <v>7 - 2</v>
      </c>
      <c r="H37" s="31" t="str">
        <f>CONCATENATE('Away Counter'!BF20," - ",'Away Counter'!BG20)</f>
        <v>1 - 7</v>
      </c>
      <c r="I37" s="27" t="str">
        <f t="array" ref="I37">INDEX(Standings!I20,0)</f>
        <v>3 - 3</v>
      </c>
      <c r="J37" s="31" t="str">
        <f>CONCATENATE('Conference Counter'!BF20," - ",'Conference Counter'!BG20)</f>
        <v>5 - 7</v>
      </c>
      <c r="K37" s="36"/>
      <c r="L37" s="40">
        <f t="array" ref="L37">INDEX('PFPA Counter'!BF20,0)</f>
        <v>330</v>
      </c>
      <c r="M37" s="20">
        <f t="array" ref="M37">INDEX('PFPA Counter'!BG20,0)</f>
        <v>339</v>
      </c>
      <c r="N37" s="41">
        <f t="shared" ref="N37:N40" si="23">MINUS(L37,M37)</f>
        <v>-9</v>
      </c>
      <c r="O37" s="43">
        <f t="shared" ref="O37:O40" si="24">IF(AND(C37=0,D37=0),0,DIVIDE(L37,SUM(C37,D37)))</f>
        <v>19.41176471</v>
      </c>
      <c r="P37" s="36"/>
      <c r="Q37" s="27" t="str">
        <f>CONCATENATE('AFC West Counter'!BF20," - ",'AFC West Counter'!BG20)</f>
        <v>1 - 0</v>
      </c>
      <c r="R37" s="31" t="str">
        <f>CONCATENATE('AFC East Counter'!BF20," - ",'AFC East Counter'!BG20)</f>
        <v>0 - 0</v>
      </c>
      <c r="S37" s="27" t="str">
        <f>CONCATENATE('AFC North Counter'!BF20," - ",'AFC North Counter'!BG20)</f>
        <v>2 - 2</v>
      </c>
      <c r="T37" s="31" t="str">
        <f>CONCATENATE('AFC South Counter'!BF20," - ",'AFC South Counter'!BG20)</f>
        <v>0 - 0</v>
      </c>
      <c r="U37" s="27" t="str">
        <f>CONCATENATE('NFC West Counter'!BF20," - ",'NFC West Counter'!BG20)</f>
        <v>0 - 1</v>
      </c>
      <c r="V37" s="31" t="str">
        <f>CONCATENATE('NFC East Counter'!BF20," - ",'NFC East Counter'!BG20)</f>
        <v>0 - 1</v>
      </c>
      <c r="W37" s="27" t="str">
        <f>CONCATENATE('NFC North Counter'!BF20," - ",'NFC North Counter'!BG20)</f>
        <v>2 - 2</v>
      </c>
      <c r="X37" s="31" t="str">
        <f>CONCATENATE('NFC South Counter'!BF20," - ",'NFC South Counter'!BG20)</f>
        <v>3 - 3</v>
      </c>
    </row>
    <row r="38">
      <c r="A38" s="25" t="str">
        <f>IMAGE("https://1000logos.net/wp-content/uploads/2017/04/New-Orleans-Saints-Logo.png")</f>
        <v/>
      </c>
      <c r="B38" s="73" t="s">
        <v>174</v>
      </c>
      <c r="C38" s="27">
        <f t="array" ref="C38">INDEX('Standings Counter'!BH20,0)</f>
        <v>9</v>
      </c>
      <c r="D38" s="31">
        <f t="array" ref="D38">INDEX('Standings Counter'!BI20,0)</f>
        <v>8</v>
      </c>
      <c r="E38" s="35">
        <f t="shared" si="22"/>
        <v>0.5294117647</v>
      </c>
      <c r="F38" s="36"/>
      <c r="G38" s="27" t="str">
        <f>CONCATENATE('Home Counter'!BH20," - ",'Home Counter'!BI20)</f>
        <v>6 - 3</v>
      </c>
      <c r="H38" s="31" t="str">
        <f>CONCATENATE('Away Counter'!BH20," - ",'Away Counter'!BI20)</f>
        <v>3 - 5</v>
      </c>
      <c r="I38" s="27" t="str">
        <f t="array" ref="I38">INDEX(Standings!I21,0)</f>
        <v>4 - 2</v>
      </c>
      <c r="J38" s="31" t="str">
        <f>CONCATENATE('Conference Counter'!BH20," - ",'Conference Counter'!BI20)</f>
        <v>6 - 6</v>
      </c>
      <c r="K38" s="36"/>
      <c r="L38" s="40">
        <f t="array" ref="L38">INDEX('PFPA Counter'!BH20,0)</f>
        <v>341</v>
      </c>
      <c r="M38" s="20">
        <f t="array" ref="M38">INDEX('PFPA Counter'!BI20,0)</f>
        <v>330</v>
      </c>
      <c r="N38" s="41">
        <f t="shared" si="23"/>
        <v>11</v>
      </c>
      <c r="O38" s="43">
        <f t="shared" si="24"/>
        <v>20.05882353</v>
      </c>
      <c r="P38" s="36"/>
      <c r="Q38" s="27" t="str">
        <f>CONCATENATE('AFC West Counter'!BH20," - ",'AFC West Counter'!BI20)</f>
        <v>1 - 0</v>
      </c>
      <c r="R38" s="31" t="str">
        <f>CONCATENATE('AFC East Counter'!BH20," - ",'AFC East Counter'!BI20)</f>
        <v>0 - 0</v>
      </c>
      <c r="S38" s="27" t="str">
        <f>CONCATENATE('AFC North Counter'!BH20," - ",'AFC North Counter'!BI20)</f>
        <v>2 - 2</v>
      </c>
      <c r="T38" s="31" t="str">
        <f>CONCATENATE('AFC South Counter'!BH20," - ",'AFC South Counter'!BI20)</f>
        <v>0 - 0</v>
      </c>
      <c r="U38" s="27" t="str">
        <f>CONCATENATE('NFC West Counter'!BH20," - ",'NFC West Counter'!BI20)</f>
        <v>1 - 0</v>
      </c>
      <c r="V38" s="31" t="str">
        <f>CONCATENATE('NFC East Counter'!BH20," - ",'NFC East Counter'!BI20)</f>
        <v>1 - 0</v>
      </c>
      <c r="W38" s="27" t="str">
        <f>CONCATENATE('NFC North Counter'!BH20," - ",'NFC North Counter'!BI20)</f>
        <v>0 - 4</v>
      </c>
      <c r="X38" s="31" t="str">
        <f>CONCATENATE('NFC South Counter'!BH20," - ",'NFC South Counter'!BI20)</f>
        <v>4 - 2</v>
      </c>
    </row>
    <row r="39">
      <c r="A39" s="25" t="str">
        <f>IMAGE("https://logodownload.org/wp-content/uploads/2020/07/atlanta-falcons-logo-0.png")</f>
        <v/>
      </c>
      <c r="B39" s="78" t="s">
        <v>140</v>
      </c>
      <c r="C39" s="27">
        <f t="array" ref="C39">INDEX('Standings Counter'!BJ20,0)</f>
        <v>8</v>
      </c>
      <c r="D39" s="31">
        <f t="array" ref="D39">INDEX('Standings Counter'!BK20,0)</f>
        <v>9</v>
      </c>
      <c r="E39" s="35">
        <f t="shared" si="22"/>
        <v>0.4705882353</v>
      </c>
      <c r="F39" s="36"/>
      <c r="G39" s="27" t="str">
        <f>CONCATENATE('Home Counter'!BJ20," - ",'Home Counter'!BK20)</f>
        <v>4 - 5</v>
      </c>
      <c r="H39" s="31" t="str">
        <f>CONCATENATE('Away Counter'!BJ20," - ",'Away Counter'!BK20)</f>
        <v>4 - 4</v>
      </c>
      <c r="I39" s="27" t="str">
        <f t="array" ref="I39">INDEX(Standings!I22,0)</f>
        <v>4 - 2</v>
      </c>
      <c r="J39" s="31" t="str">
        <f>CONCATENATE('Conference Counter'!BJ20," - ",'Conference Counter'!BK20)</f>
        <v>6 - 6</v>
      </c>
      <c r="K39" s="36"/>
      <c r="L39" s="40">
        <f t="array" ref="L39">INDEX('PFPA Counter'!BJ20,0)</f>
        <v>340</v>
      </c>
      <c r="M39" s="20">
        <f t="array" ref="M39">INDEX('PFPA Counter'!BK20,0)</f>
        <v>347</v>
      </c>
      <c r="N39" s="41">
        <f t="shared" si="23"/>
        <v>-7</v>
      </c>
      <c r="O39" s="43">
        <f t="shared" si="24"/>
        <v>20</v>
      </c>
      <c r="P39" s="36"/>
      <c r="Q39" s="27" t="str">
        <f>CONCATENATE('AFC West Counter'!BJ20," - ",'AFC West Counter'!BK20)</f>
        <v>0 - 1</v>
      </c>
      <c r="R39" s="31" t="str">
        <f>CONCATENATE('AFC East Counter'!BJ20," - ",'AFC East Counter'!BK20)</f>
        <v>0 - 0</v>
      </c>
      <c r="S39" s="27" t="str">
        <f>CONCATENATE('AFC North Counter'!BJ20," - ",'AFC North Counter'!BK20)</f>
        <v>2 - 2</v>
      </c>
      <c r="T39" s="31" t="str">
        <f>CONCATENATE('AFC South Counter'!BJ20," - ",'AFC South Counter'!BK20)</f>
        <v>0 - 0</v>
      </c>
      <c r="U39" s="27" t="str">
        <f>CONCATENATE('NFC West Counter'!BJ20," - ",'NFC West Counter'!BK20)</f>
        <v>0 - 1</v>
      </c>
      <c r="V39" s="31" t="str">
        <f>CONCATENATE('NFC East Counter'!BJ20," - ",'NFC East Counter'!BK20)</f>
        <v>1 - 0</v>
      </c>
      <c r="W39" s="27" t="str">
        <f>CONCATENATE('NFC North Counter'!BJ20," - ",'NFC North Counter'!BK20)</f>
        <v>1 - 3</v>
      </c>
      <c r="X39" s="31" t="str">
        <f>CONCATENATE('NFC South Counter'!BJ20," - ",'NFC South Counter'!BK20)</f>
        <v>4 - 2</v>
      </c>
    </row>
    <row r="40">
      <c r="A40" s="25" t="str">
        <f>IMAGE("https://logos-download.com/wp-content/uploads/2018/02/Carolina_Panthers_logo_blue.png")</f>
        <v/>
      </c>
      <c r="B40" s="80" t="s">
        <v>184</v>
      </c>
      <c r="C40" s="27">
        <f t="array" ref="C40">INDEX('Standings Counter'!BL20,0)</f>
        <v>4</v>
      </c>
      <c r="D40" s="31">
        <f t="array" ref="D40">INDEX('Standings Counter'!BM20,0)</f>
        <v>13</v>
      </c>
      <c r="E40" s="35">
        <f t="shared" si="22"/>
        <v>0.2352941176</v>
      </c>
      <c r="F40" s="36"/>
      <c r="G40" s="27" t="str">
        <f>CONCATENATE('Home Counter'!BL20," - ",'Home Counter'!BM20)</f>
        <v>3 - 6</v>
      </c>
      <c r="H40" s="31" t="str">
        <f>CONCATENATE('Away Counter'!BL20," - ",'Away Counter'!BM20)</f>
        <v>1 - 7</v>
      </c>
      <c r="I40" s="27" t="str">
        <f t="array" ref="I40">INDEX(Standings!I23,0)</f>
        <v>1 - 5</v>
      </c>
      <c r="J40" s="31" t="str">
        <f>CONCATENATE('Conference Counter'!BL20," - ",'Conference Counter'!BM20)</f>
        <v>1 - 11</v>
      </c>
      <c r="K40" s="36"/>
      <c r="L40" s="40">
        <f t="array" ref="L40">INDEX('PFPA Counter'!BL20,0)</f>
        <v>300</v>
      </c>
      <c r="M40" s="20">
        <f t="array" ref="M40">INDEX('PFPA Counter'!BM20,0)</f>
        <v>332</v>
      </c>
      <c r="N40" s="41">
        <f t="shared" si="23"/>
        <v>-32</v>
      </c>
      <c r="O40" s="43">
        <f t="shared" si="24"/>
        <v>17.64705882</v>
      </c>
      <c r="P40" s="36"/>
      <c r="Q40" s="27" t="str">
        <f>CONCATENATE('AFC West Counter'!BL20," - ",'AFC West Counter'!BM20)</f>
        <v>0 - 1</v>
      </c>
      <c r="R40" s="31" t="str">
        <f>CONCATENATE('AFC East Counter'!BL20," - ",'AFC East Counter'!BM20)</f>
        <v>0 - 0</v>
      </c>
      <c r="S40" s="27" t="str">
        <f>CONCATENATE('AFC North Counter'!BL20," - ",'AFC North Counter'!BM20)</f>
        <v>3 - 1</v>
      </c>
      <c r="T40" s="31" t="str">
        <f>CONCATENATE('AFC South Counter'!BL20," - ",'AFC South Counter'!BM20)</f>
        <v>0 - 0</v>
      </c>
      <c r="U40" s="27" t="str">
        <f>CONCATENATE('NFC West Counter'!BL20," - ",'NFC West Counter'!BM20)</f>
        <v>0 - 1</v>
      </c>
      <c r="V40" s="31" t="str">
        <f>CONCATENATE('NFC East Counter'!BL20," - ",'NFC East Counter'!BM20)</f>
        <v>0 - 1</v>
      </c>
      <c r="W40" s="27" t="str">
        <f>CONCATENATE('NFC North Counter'!BL20," - ",'NFC North Counter'!BM20)</f>
        <v>0 - 4</v>
      </c>
      <c r="X40" s="31" t="str">
        <f>CONCATENATE('NFC South Counter'!BL20," - ",'NFC South Counter'!BM20)</f>
        <v>1 - 5</v>
      </c>
    </row>
  </sheetData>
  <conditionalFormatting sqref="N1:N40">
    <cfRule type="cellIs" dxfId="5" priority="1" operator="greaterThan">
      <formula>0</formula>
    </cfRule>
  </conditionalFormatting>
  <conditionalFormatting sqref="N1:N40">
    <cfRule type="cellIs" dxfId="6" priority="2" operator="lessThan">
      <formula>0</formula>
    </cfRule>
  </conditionalFormatting>
  <conditionalFormatting sqref="N1:N40">
    <cfRule type="cellIs" dxfId="7" priority="3"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25"/>
    <col customWidth="1" min="5" max="5" width="16.75"/>
    <col customWidth="1" min="6" max="6" width="14.63"/>
    <col customWidth="1" min="7" max="7" width="13.75"/>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99</v>
      </c>
      <c r="C2" s="30" t="s">
        <v>36</v>
      </c>
      <c r="D2" s="30"/>
      <c r="E2" s="29" t="s">
        <v>37</v>
      </c>
      <c r="F2" s="29" t="s">
        <v>38</v>
      </c>
      <c r="G2" s="29" t="s">
        <v>100</v>
      </c>
      <c r="H2" s="29" t="s">
        <v>101</v>
      </c>
      <c r="I2" s="29"/>
      <c r="J2" s="29" t="s">
        <v>102</v>
      </c>
      <c r="K2" s="29" t="s">
        <v>103</v>
      </c>
      <c r="L2" s="29" t="s">
        <v>104</v>
      </c>
      <c r="M2" s="29" t="s">
        <v>105</v>
      </c>
    </row>
    <row r="3">
      <c r="A3" s="32" t="s">
        <v>106</v>
      </c>
      <c r="B3" s="33" t="s">
        <v>107</v>
      </c>
      <c r="C3" s="33" t="s">
        <v>109</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21.0</v>
      </c>
      <c r="F3" s="33">
        <v>28.0</v>
      </c>
      <c r="G3" s="33" t="b">
        <v>0</v>
      </c>
      <c r="H3" s="48" t="s">
        <v>119</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127</v>
      </c>
      <c r="B4" s="56" t="s">
        <v>128</v>
      </c>
      <c r="C4" s="33" t="s">
        <v>110</v>
      </c>
      <c r="D4" s="33" t="str">
        <f t="shared" si="1"/>
        <v/>
      </c>
      <c r="E4" s="33">
        <v>17.0</v>
      </c>
      <c r="F4" s="33">
        <v>21.0</v>
      </c>
      <c r="G4" s="33" t="b">
        <v>0</v>
      </c>
      <c r="H4" s="48" t="s">
        <v>130</v>
      </c>
      <c r="I4" s="33"/>
      <c r="J4" s="59"/>
      <c r="K4" s="60" t="s">
        <v>132</v>
      </c>
      <c r="L4" s="59"/>
      <c r="M4" s="60" t="s">
        <v>133</v>
      </c>
    </row>
    <row r="5">
      <c r="A5" s="32" t="s">
        <v>134</v>
      </c>
      <c r="B5" s="33" t="s">
        <v>135</v>
      </c>
      <c r="C5" s="33" t="s">
        <v>136</v>
      </c>
      <c r="D5" s="33" t="str">
        <f t="shared" si="1"/>
        <v/>
      </c>
      <c r="E5" s="33">
        <v>14.0</v>
      </c>
      <c r="F5" s="33">
        <v>17.0</v>
      </c>
      <c r="G5" s="33" t="b">
        <v>0</v>
      </c>
      <c r="H5" s="48" t="s">
        <v>141</v>
      </c>
      <c r="I5" s="33"/>
      <c r="J5" s="59"/>
      <c r="K5" s="60" t="s">
        <v>142</v>
      </c>
      <c r="L5" s="59"/>
      <c r="M5" s="60" t="s">
        <v>142</v>
      </c>
    </row>
    <row r="6">
      <c r="A6" s="32" t="s">
        <v>134</v>
      </c>
      <c r="B6" s="33" t="s">
        <v>143</v>
      </c>
      <c r="C6" s="33" t="s">
        <v>138</v>
      </c>
      <c r="D6" s="33" t="str">
        <f t="shared" si="1"/>
        <v/>
      </c>
      <c r="E6" s="33">
        <v>17.0</v>
      </c>
      <c r="F6" s="33">
        <v>20.0</v>
      </c>
      <c r="G6" s="33" t="b">
        <v>0</v>
      </c>
      <c r="H6" s="48" t="s">
        <v>145</v>
      </c>
      <c r="I6" s="33"/>
      <c r="J6" s="64"/>
      <c r="K6" s="65" t="s">
        <v>147</v>
      </c>
      <c r="L6" s="64"/>
      <c r="M6" s="65" t="s">
        <v>148</v>
      </c>
    </row>
    <row r="7">
      <c r="A7" s="32" t="s">
        <v>134</v>
      </c>
      <c r="B7" s="33" t="s">
        <v>150</v>
      </c>
      <c r="C7" s="33" t="s">
        <v>151</v>
      </c>
      <c r="D7" s="33" t="str">
        <f t="shared" si="1"/>
        <v/>
      </c>
      <c r="E7" s="33">
        <v>24.0</v>
      </c>
      <c r="F7" s="33">
        <v>31.0</v>
      </c>
      <c r="G7" s="33" t="b">
        <v>0</v>
      </c>
      <c r="H7" s="48" t="s">
        <v>156</v>
      </c>
      <c r="I7" s="33"/>
      <c r="J7" s="51"/>
      <c r="K7" s="52" t="s">
        <v>142</v>
      </c>
      <c r="L7" s="51"/>
      <c r="M7" s="52" t="s">
        <v>157</v>
      </c>
    </row>
    <row r="8">
      <c r="A8" s="32" t="s">
        <v>134</v>
      </c>
      <c r="B8" s="33" t="s">
        <v>158</v>
      </c>
      <c r="C8" s="33" t="s">
        <v>131</v>
      </c>
      <c r="D8" s="33" t="str">
        <f t="shared" si="1"/>
        <v/>
      </c>
      <c r="E8" s="33">
        <v>20.0</v>
      </c>
      <c r="F8" s="33">
        <v>14.0</v>
      </c>
      <c r="G8" s="33" t="b">
        <v>0</v>
      </c>
      <c r="H8" s="48" t="s">
        <v>159</v>
      </c>
      <c r="I8" s="33"/>
      <c r="J8" s="59"/>
      <c r="K8" s="60" t="s">
        <v>161</v>
      </c>
      <c r="L8" s="59"/>
      <c r="M8" s="60" t="s">
        <v>133</v>
      </c>
    </row>
    <row r="9">
      <c r="A9" s="32" t="s">
        <v>134</v>
      </c>
      <c r="B9" s="33" t="s">
        <v>162</v>
      </c>
      <c r="C9" s="33" t="s">
        <v>153</v>
      </c>
      <c r="D9" s="33" t="str">
        <f t="shared" si="1"/>
        <v/>
      </c>
      <c r="E9" s="33">
        <v>17.0</v>
      </c>
      <c r="F9" s="33">
        <v>21.0</v>
      </c>
      <c r="G9" s="33" t="b">
        <v>0</v>
      </c>
      <c r="H9" s="48" t="s">
        <v>164</v>
      </c>
      <c r="I9" s="33"/>
      <c r="J9" s="59"/>
      <c r="K9" s="60" t="s">
        <v>165</v>
      </c>
      <c r="L9" s="59"/>
      <c r="M9" s="60" t="s">
        <v>165</v>
      </c>
    </row>
    <row r="10">
      <c r="A10" s="32" t="s">
        <v>134</v>
      </c>
      <c r="B10" s="33" t="s">
        <v>167</v>
      </c>
      <c r="C10" s="33" t="s">
        <v>152</v>
      </c>
      <c r="D10" s="33" t="str">
        <f t="shared" si="1"/>
        <v/>
      </c>
      <c r="E10" s="33">
        <v>20.0</v>
      </c>
      <c r="F10" s="33">
        <v>13.0</v>
      </c>
      <c r="G10" s="33" t="b">
        <v>0</v>
      </c>
      <c r="H10" s="48" t="s">
        <v>170</v>
      </c>
      <c r="I10" s="33"/>
      <c r="J10" s="64"/>
      <c r="K10" s="65" t="s">
        <v>133</v>
      </c>
      <c r="L10" s="64"/>
      <c r="M10" s="65" t="s">
        <v>171</v>
      </c>
    </row>
    <row r="11">
      <c r="A11" s="32" t="s">
        <v>134</v>
      </c>
      <c r="B11" s="33" t="s">
        <v>172</v>
      </c>
      <c r="C11" s="33" t="s">
        <v>173</v>
      </c>
      <c r="D11" s="33" t="str">
        <f t="shared" si="1"/>
        <v/>
      </c>
      <c r="E11" s="33">
        <v>17.0</v>
      </c>
      <c r="F11" s="33">
        <v>21.0</v>
      </c>
      <c r="G11" s="33" t="b">
        <v>0</v>
      </c>
      <c r="H11" s="48" t="s">
        <v>175</v>
      </c>
      <c r="I11" s="33"/>
      <c r="J11" s="51"/>
      <c r="K11" s="52" t="s">
        <v>157</v>
      </c>
      <c r="L11" s="51"/>
      <c r="M11" s="52" t="s">
        <v>157</v>
      </c>
    </row>
    <row r="12">
      <c r="A12" s="32" t="s">
        <v>134</v>
      </c>
      <c r="B12" s="33" t="s">
        <v>176</v>
      </c>
      <c r="C12" s="33" t="s">
        <v>116</v>
      </c>
      <c r="D12" s="33" t="str">
        <f t="shared" si="1"/>
        <v/>
      </c>
      <c r="E12" s="75">
        <v>17.0</v>
      </c>
      <c r="F12" s="33">
        <v>14.0</v>
      </c>
      <c r="G12" s="33" t="b">
        <v>0</v>
      </c>
      <c r="H12" s="48" t="s">
        <v>179</v>
      </c>
      <c r="I12" s="33"/>
      <c r="J12" s="59"/>
      <c r="K12" s="60" t="s">
        <v>165</v>
      </c>
      <c r="L12" s="59"/>
      <c r="M12" s="60" t="s">
        <v>180</v>
      </c>
    </row>
    <row r="13">
      <c r="A13" s="32" t="s">
        <v>181</v>
      </c>
      <c r="B13" s="33" t="s">
        <v>182</v>
      </c>
      <c r="C13" s="33" t="s">
        <v>108</v>
      </c>
      <c r="D13" s="33" t="str">
        <f t="shared" si="1"/>
        <v/>
      </c>
      <c r="E13" s="33">
        <v>17.0</v>
      </c>
      <c r="F13" s="33">
        <v>21.0</v>
      </c>
      <c r="G13" s="33" t="b">
        <v>0</v>
      </c>
      <c r="H13" s="48" t="s">
        <v>185</v>
      </c>
      <c r="I13" s="33"/>
      <c r="J13" s="59"/>
      <c r="K13" s="60" t="s">
        <v>132</v>
      </c>
      <c r="L13" s="59"/>
      <c r="M13" s="60" t="s">
        <v>147</v>
      </c>
    </row>
    <row r="14">
      <c r="A14" s="32" t="s">
        <v>181</v>
      </c>
      <c r="B14" s="56" t="s">
        <v>186</v>
      </c>
      <c r="C14" s="33" t="s">
        <v>154</v>
      </c>
      <c r="D14" s="33" t="str">
        <f t="shared" si="1"/>
        <v/>
      </c>
      <c r="E14" s="33">
        <v>14.0</v>
      </c>
      <c r="F14" s="33">
        <v>20.0</v>
      </c>
      <c r="G14" s="33" t="b">
        <v>0</v>
      </c>
      <c r="H14" s="48" t="s">
        <v>191</v>
      </c>
      <c r="I14" s="33"/>
      <c r="J14" s="64"/>
      <c r="K14" s="65" t="s">
        <v>122</v>
      </c>
      <c r="L14" s="64"/>
      <c r="M14" s="65" t="s">
        <v>122</v>
      </c>
    </row>
    <row r="15">
      <c r="A15" s="32" t="s">
        <v>181</v>
      </c>
      <c r="B15" s="56" t="s">
        <v>192</v>
      </c>
      <c r="C15" s="33" t="s">
        <v>121</v>
      </c>
      <c r="D15" s="33" t="str">
        <f t="shared" si="1"/>
        <v/>
      </c>
      <c r="E15" s="33">
        <v>20.0</v>
      </c>
      <c r="F15" s="33">
        <v>23.0</v>
      </c>
      <c r="G15" s="33" t="b">
        <v>0</v>
      </c>
      <c r="H15" s="48" t="s">
        <v>194</v>
      </c>
      <c r="I15" s="33"/>
      <c r="J15" s="51"/>
      <c r="K15" s="52" t="s">
        <v>122</v>
      </c>
      <c r="L15" s="33"/>
      <c r="M15" s="60" t="s">
        <v>147</v>
      </c>
    </row>
    <row r="16">
      <c r="A16" s="32" t="s">
        <v>181</v>
      </c>
      <c r="B16" s="33" t="s">
        <v>195</v>
      </c>
      <c r="C16" s="33" t="s">
        <v>112</v>
      </c>
      <c r="D16" s="33" t="str">
        <f t="shared" si="1"/>
        <v/>
      </c>
      <c r="E16" s="33">
        <v>24.0</v>
      </c>
      <c r="F16" s="33">
        <v>31.0</v>
      </c>
      <c r="G16" s="33" t="b">
        <v>1</v>
      </c>
      <c r="H16" s="48" t="s">
        <v>198</v>
      </c>
      <c r="I16" s="33"/>
      <c r="J16" s="59"/>
      <c r="K16" s="60" t="s">
        <v>122</v>
      </c>
      <c r="L16" s="33"/>
      <c r="M16" s="60" t="s">
        <v>180</v>
      </c>
    </row>
    <row r="17">
      <c r="A17" s="32" t="s">
        <v>199</v>
      </c>
      <c r="B17" s="56" t="s">
        <v>200</v>
      </c>
      <c r="C17" s="33" t="s">
        <v>118</v>
      </c>
      <c r="D17" s="33" t="str">
        <f t="shared" si="1"/>
        <v/>
      </c>
      <c r="E17" s="33">
        <v>21.0</v>
      </c>
      <c r="F17" s="33">
        <v>17.0</v>
      </c>
      <c r="G17" s="33" t="b">
        <v>0</v>
      </c>
      <c r="H17" s="48" t="s">
        <v>202</v>
      </c>
      <c r="I17" s="33"/>
      <c r="J17" s="59"/>
      <c r="K17" s="60" t="s">
        <v>132</v>
      </c>
      <c r="L17" s="33"/>
      <c r="M17" s="60" t="s">
        <v>147</v>
      </c>
    </row>
    <row r="18">
      <c r="A18" s="32" t="s">
        <v>203</v>
      </c>
      <c r="B18" s="56" t="s">
        <v>204</v>
      </c>
      <c r="C18" s="33" t="s">
        <v>111</v>
      </c>
      <c r="D18" s="33" t="str">
        <f t="shared" si="1"/>
        <v/>
      </c>
      <c r="E18" s="33">
        <v>17.0</v>
      </c>
      <c r="F18" s="33">
        <v>14.0</v>
      </c>
      <c r="G18" s="33" t="b">
        <v>0</v>
      </c>
      <c r="H18" s="48" t="s">
        <v>206</v>
      </c>
      <c r="I18" s="33"/>
      <c r="J18" s="64"/>
      <c r="K18" s="65" t="s">
        <v>161</v>
      </c>
      <c r="L18" s="8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formula>C3="NE"</formula>
    </cfRule>
  </conditionalFormatting>
  <conditionalFormatting sqref="F3">
    <cfRule type="expression" dxfId="3" priority="5">
      <formula>C3="SEA"</formula>
    </cfRule>
  </conditionalFormatting>
  <conditionalFormatting sqref="E4">
    <cfRule type="expression" dxfId="3" priority="6">
      <formula>C4="SF"</formula>
    </cfRule>
  </conditionalFormatting>
  <conditionalFormatting sqref="F4">
    <cfRule type="expression" dxfId="3" priority="7">
      <formula>C4="LAR"</formula>
    </cfRule>
  </conditionalFormatting>
  <conditionalFormatting sqref="E5">
    <cfRule type="expression" dxfId="3" priority="8">
      <formula>C5="TB"</formula>
    </cfRule>
  </conditionalFormatting>
  <conditionalFormatting sqref="F5">
    <cfRule type="expression" dxfId="3" priority="9">
      <formula>C5="CIN"</formula>
    </cfRule>
  </conditionalFormatting>
  <conditionalFormatting sqref="E6">
    <cfRule type="expression" dxfId="3" priority="10">
      <formula>C6="NO"</formula>
    </cfRule>
  </conditionalFormatting>
  <conditionalFormatting sqref="F6">
    <cfRule type="expression" dxfId="3" priority="11">
      <formula>C6="DET"</formula>
    </cfRule>
  </conditionalFormatting>
  <conditionalFormatting sqref="E7">
    <cfRule type="expression" dxfId="3" priority="12">
      <formula>C7="NYJ"</formula>
    </cfRule>
  </conditionalFormatting>
  <conditionalFormatting sqref="F7">
    <cfRule type="expression" dxfId="3" priority="13">
      <formula>C7="TEN"</formula>
    </cfRule>
  </conditionalFormatting>
  <conditionalFormatting sqref="E8">
    <cfRule type="expression" dxfId="3" priority="14">
      <formula>C8="BAL"</formula>
    </cfRule>
  </conditionalFormatting>
  <conditionalFormatting sqref="F8">
    <cfRule type="expression" dxfId="3" priority="15">
      <formula>C8="IND"</formula>
    </cfRule>
  </conditionalFormatting>
  <conditionalFormatting sqref="E9">
    <cfRule type="expression" dxfId="3" priority="16">
      <formula>C9="ATL"</formula>
    </cfRule>
  </conditionalFormatting>
  <conditionalFormatting sqref="F9">
    <cfRule type="expression" dxfId="3" priority="17">
      <formula>C9="PIT"</formula>
    </cfRule>
  </conditionalFormatting>
  <conditionalFormatting sqref="E10">
    <cfRule type="expression" dxfId="3" priority="18">
      <formula>C10="CHI"</formula>
    </cfRule>
  </conditionalFormatting>
  <conditionalFormatting sqref="F10">
    <cfRule type="expression" dxfId="3" priority="19">
      <formula>C10="CAR"</formula>
    </cfRule>
  </conditionalFormatting>
  <conditionalFormatting sqref="E11">
    <cfRule type="expression" dxfId="3" priority="20">
      <formula>C11="CLE"</formula>
    </cfRule>
  </conditionalFormatting>
  <conditionalFormatting sqref="F11">
    <cfRule type="expression" dxfId="3" priority="21">
      <formula>C11="JAX"</formula>
    </cfRule>
  </conditionalFormatting>
  <conditionalFormatting sqref="E12">
    <cfRule type="expression" dxfId="3" priority="22">
      <formula>C12="BUF"</formula>
    </cfRule>
  </conditionalFormatting>
  <conditionalFormatting sqref="F12">
    <cfRule type="expression" dxfId="3" priority="23">
      <formula>C12="HOU"</formula>
    </cfRule>
  </conditionalFormatting>
  <conditionalFormatting sqref="E13">
    <cfRule type="expression" dxfId="3" priority="24">
      <formula>C13="MIA"</formula>
    </cfRule>
  </conditionalFormatting>
  <conditionalFormatting sqref="F13">
    <cfRule type="expression" dxfId="3" priority="25">
      <formula>C13="LV"</formula>
    </cfRule>
  </conditionalFormatting>
  <conditionalFormatting sqref="E14">
    <cfRule type="expression" dxfId="3" priority="26">
      <formula>C14="GB"</formula>
    </cfRule>
  </conditionalFormatting>
  <conditionalFormatting sqref="F14">
    <cfRule type="expression" dxfId="3" priority="27">
      <formula>C14="MIN"</formula>
    </cfRule>
  </conditionalFormatting>
  <conditionalFormatting sqref="E15">
    <cfRule type="expression" dxfId="3" priority="28" stopIfTrue="1">
      <formula>C15="WSH"</formula>
    </cfRule>
  </conditionalFormatting>
  <conditionalFormatting sqref="F15">
    <cfRule type="expression" dxfId="3" priority="29">
      <formula>C15="PHI"</formula>
    </cfRule>
  </conditionalFormatting>
  <conditionalFormatting sqref="E16">
    <cfRule type="expression" dxfId="3" priority="30">
      <formula>C16="AZ"</formula>
    </cfRule>
  </conditionalFormatting>
  <conditionalFormatting sqref="F16">
    <cfRule type="expression" dxfId="3" priority="31">
      <formula>C16="LAC"</formula>
    </cfRule>
  </conditionalFormatting>
  <conditionalFormatting sqref="E17">
    <cfRule type="expression" dxfId="3" priority="32">
      <formula>C17="DAL"</formula>
    </cfRule>
  </conditionalFormatting>
  <conditionalFormatting sqref="F17">
    <cfRule type="expression" dxfId="3" priority="33">
      <formula>C17="NYG"</formula>
    </cfRule>
  </conditionalFormatting>
  <conditionalFormatting sqref="E18:E19">
    <cfRule type="expression" dxfId="3" priority="34">
      <formula>C18="DEN"</formula>
    </cfRule>
  </conditionalFormatting>
  <conditionalFormatting sqref="F18:F19">
    <cfRule type="expression" dxfId="3" priority="35">
      <formula>C18="KC"</formula>
    </cfRule>
  </conditionalFormatting>
  <dataValidations>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7=&quot;BAL&quot;,E7&gt;F7,OR(F7&gt;E7,C7=&quot;&quot;))" sqref="E8">
      <formula1>IF(C8="BAL",E8&gt;F8,OR(F8&gt;E8,C8=""))</formula1>
    </dataValidation>
    <dataValidation type="list" allowBlank="1" showErrorMessage="1" sqref="C4">
      <formula1>"SF,LAR"</formula1>
    </dataValidation>
    <dataValidation type="custom" allowBlank="1" showDropDown="1" showInputMessage="1" prompt="Enter a value that satisfies the formula: =IF(C16=&quot;DAL&quot;,E16&gt;F16,OR(F16&gt;E16,C16=&quot;&quot;))" sqref="E17">
      <formula1>IF(C17="DAL",E17&gt;F17,OR(F17&gt;E17,C17=""))</formula1>
    </dataValidation>
    <dataValidation type="custom" allowBlank="1" showDropDown="1" showInputMessage="1" prompt="Enter a value that satisfies the formula: =IF(C17=&quot;KC&quot;,F17&gt;E17,OR(E17&gt;F17,C17=&quot;&quot;))" sqref="F18:F19">
      <formula1>IF(C18="KC",F18&gt;E18,OR(E18&gt;F18,C18=""))</formula1>
    </dataValidation>
    <dataValidation type="custom" allowBlank="1" showDropDown="1" showInputMessage="1" prompt="Enter a value that satisfies the formula: =IF(C12=&quot;MIA&quot;,E12&gt;F12,OR(F12&gt;E12,C12=&quot;&quot;))" sqref="E13">
      <formula1>IF(C13="MIA",E13&gt;F13,OR(F13&gt;E13,C13=""))</formula1>
    </dataValidation>
    <dataValidation type="custom" allowBlank="1" showDropDown="1" showInputMessage="1" prompt="Enter a value that satisfies the formula: =if(C3=&quot;SF&quot;,E3&gt;F3,or(F3&gt;E3,C3=&quot;&quot;))" sqref="E4">
      <formula1>if(C4="SF",E4&gt;F4,or(F4&gt;E4,C4=""))</formula1>
    </dataValidation>
    <dataValidation type="custom" allowBlank="1" showDropDown="1" showInputMessage="1" prompt="Enter a value that satisfies the formula: =if(C4=&quot;CIN&quot;,F4&gt;E4,or(E4&gt;F4,C4=&quot;&quot;))" sqref="F5">
      <formula1>if(C5="CIN",F5&gt;E5,or(E5&gt;F5,C5=""))</formula1>
    </dataValidation>
    <dataValidation type="custom" allowBlank="1" showDropDown="1" showInputMessage="1" prompt="Enter a value that satisfies the formula: =IF(C13=&quot;MIN&quot;,F13&gt;E13,OR(E13&gt;F13,C13=&quot;&quot;))" sqref="F14">
      <formula1>IF(C14="MIN",F14&gt;E14,OR(E14&gt;F14,C14=""))</formula1>
    </dataValidation>
    <dataValidation type="custom" allowBlank="1" showDropDown="1" showInputMessage="1" prompt="Enter a value that satisfies the formula: =if(C6=&quot;TEN&quot;,F6&gt;E6,or(E6&gt;F6,C6=&quot;&quot;))" sqref="F7">
      <formula1>if(C7="TEN",F7&gt;E7,or(E7&gt;F7,C7=""))</formula1>
    </dataValidation>
    <dataValidation type="list" allowBlank="1" showErrorMessage="1" sqref="C6">
      <formula1>"NO,DET"</formula1>
    </dataValidation>
    <dataValidation type="list" allowBlank="1" showErrorMessage="1" sqref="C11">
      <formula1>"CLE,JAX"</formula1>
    </dataValidation>
    <dataValidation type="custom" allowBlank="1" showDropDown="1" showInputMessage="1" prompt="Enter a value that satisfies the formula: =IF(C9=&quot;CHI&quot;,E9&gt;F9,OR(F9&gt;E9,C9=&quot;&quot;))" sqref="E10">
      <formula1>IF(C10="CHI",E10&gt;F10,OR(F10&gt;E10,C10=""))</formula1>
    </dataValidation>
    <dataValidation type="list" allowBlank="1" showErrorMessage="1" sqref="C15">
      <formula1>"WSH,PHI"</formula1>
    </dataValidation>
    <dataValidation type="custom" allowBlank="1" showDropDown="1" showInputMessage="1" prompt="Enter a value that satisfies the formula: =IF(C7=&quot;IND&quot;,F7&gt;E7,OR(E7&gt;F7,C7=&quot;&quot;))" sqref="F8">
      <formula1>IF(C8="IND",F8&gt;E8,OR(E8&gt;F8,C8=""))</formula1>
    </dataValidation>
    <dataValidation type="custom" allowBlank="1" showDropDown="1" showInputMessage="1" prompt="Enter a value that satisfies the formula: =IF(C8=&quot;PIT&quot;,F8&gt;E8,OR(E8&gt;F8,C8=&quot;&quot;))" sqref="F9">
      <formula1>IF(C9="PIT",F9&gt;E9,OR(E9&gt;F9,C9=""))</formula1>
    </dataValidation>
    <dataValidation type="list" allowBlank="1" showErrorMessage="1" sqref="C13">
      <formula1>"MIA,LV"</formula1>
    </dataValidation>
    <dataValidation type="list" allowBlank="1" showErrorMessage="1" sqref="C7">
      <formula1>"NYJ,TEN"</formula1>
    </dataValidation>
    <dataValidation type="custom" allowBlank="1" showDropDown="1" showInputMessage="1" prompt="Enter a value that satisfies the formula: =if(C5=&quot;NO&quot;,E5&gt;F5,or(F5&gt;E5,C5=&quot;&quot;))" sqref="E6">
      <formula1>if(C6="NO",E6&gt;F6,or(F6&gt;E6,C6=""))</formula1>
    </dataValidation>
    <dataValidation type="list" allowBlank="1" showErrorMessage="1" sqref="C9">
      <formula1>"ATL,PIT"</formula1>
    </dataValidation>
    <dataValidation type="list" allowBlank="1" showErrorMessage="1" sqref="C16">
      <formula1>"AZ,LAC"</formula1>
    </dataValidation>
    <dataValidation type="custom" allowBlank="1" showDropDown="1" showInputMessage="1" prompt="Enter a value that satisfies the formula: =IF(C10=&quot;CLE&quot;,E10&gt;F10,OR(F10&gt;E10,C10=&quot;&quot;))" sqref="E11">
      <formula1>IF(C11="CLE",E11&gt;F11,OR(F11&gt;E11,C11=""))</formula1>
    </dataValidation>
    <dataValidation type="list" allowBlank="1" showErrorMessage="1" sqref="C3">
      <formula1>"NE,SEA"</formula1>
    </dataValidation>
    <dataValidation type="custom" allowBlank="1" showDropDown="1" showInputMessage="1" prompt="Enter a value that satisfies the formula: =IF(C11=&quot;BUF&quot;,E11&gt;F11,OR(F11&gt;E11,C11=&quot;&quot;))" sqref="E12">
      <formula1>IF(C12="BUF",E12&gt;F12,OR(F12&gt;E12,C12=""))</formula1>
    </dataValidation>
    <dataValidation type="custom" allowBlank="1" showDropDown="1" showInputMessage="1" prompt="Enter a value that satisfies the formula: =IF(C17=&quot;DEN&quot;,E17&gt;F17,OR(F17&gt;E17,C17=&quot;&quot;))" sqref="E18:E19">
      <formula1>IF(C18="DEN",E18&gt;F18,OR(F18&gt;E18,C18=""))</formula1>
    </dataValidation>
    <dataValidation type="custom" allowBlank="1" showDropDown="1" showInputMessage="1" prompt="Enter a value that satisfies the formula: =if(C3=&quot;LAR&quot;,F3&gt;E3,or(E3&gt;F3,C3=&quot;&quot;))" sqref="F4">
      <formula1>if(C4="LAR",F4&gt;E4,or(E4&gt;F4,C4=""))</formula1>
    </dataValidation>
    <dataValidation type="custom" allowBlank="1" showDropDown="1" showInputMessage="1" prompt="Enter a value that satisfies the formula: =if(C2=&quot;SEA&quot;,F2&gt;E2,or(E2&gt;F2,C2=&quot;&quot;))" sqref="F3">
      <formula1>if(C3="SEA",F3&gt;E3,or(E3&gt;F3,C3=""))</formula1>
    </dataValidation>
    <dataValidation type="custom" allowBlank="1" showDropDown="1" showInputMessage="1" prompt="Enter a value that satisfies the formula: =IF(C14=&quot;WSH&quot;,E14&gt;F14,OR(F14&gt;E14,C14=&quot;&quot;))" sqref="E15">
      <formula1>IF(C15="WSH",E15&gt;F15,OR(F15&gt;E15,C15=""))</formula1>
    </dataValidation>
    <dataValidation type="list" allowBlank="1" showErrorMessage="1" sqref="C10">
      <formula1>"CHI,CAR"</formula1>
    </dataValidation>
    <dataValidation type="custom" allowBlank="1" showDropDown="1" showInputMessage="1" prompt="Enter a value that satisfies the formula: =IF(C15=&quot;AZ&quot;,E15&gt;F15,OR(F15&gt;E15,C15=&quot;&quot;))" sqref="E16">
      <formula1>IF(C16="AZ",E16&gt;F16,OR(F16&gt;E16,C16=""))</formula1>
    </dataValidation>
    <dataValidation type="custom" allowBlank="1" showDropDown="1" showInputMessage="1" prompt="Enter a value that satisfies the formula: =IF(C9=&quot;CAR&quot;,F9&gt;E9,OR(E9&gt;F9,C9=&quot;&quot;))" sqref="F10">
      <formula1>IF(C10="CAR",F10&gt;E10,OR(E10&gt;F10,C10=""))</formula1>
    </dataValidation>
    <dataValidation type="custom" allowBlank="1" showDropDown="1" showInputMessage="1" prompt="Enter a value that satisfies the formula: =IF(C12=&quot;LV&quot;,F12&gt;E12,OR(E12&gt;F12,C12=&quot;&quot;))" sqref="F13">
      <formula1>IF(C13="LV",F13&gt;E13,OR(E13&gt;F13,C13=""))</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howErrorMessage="1" sqref="C8">
      <formula1>"BAL,IND"</formula1>
    </dataValidation>
    <dataValidation type="list" allowBlank="1" showErrorMessage="1" sqref="C12">
      <formula1>"BUF,HOU"</formula1>
    </dataValidation>
    <dataValidation type="custom" allowBlank="1" showDropDown="1" showInputMessage="1" prompt="Enter a value that satisfies the formula: =IF(C16=&quot;NYG&quot;,F16&gt;E16,OR(E16&gt;F16,C16=&quot;&quot;))" sqref="F17">
      <formula1>IF(C17="NYG",F17&gt;E17,OR(E17&gt;F17,C17=""))</formula1>
    </dataValidation>
    <dataValidation type="list" allowBlank="1" showErrorMessage="1" sqref="C14">
      <formula1>"GB,MIN"</formula1>
    </dataValidation>
    <dataValidation type="custom" allowBlank="1" showDropDown="1" showInputMessage="1" prompt="Enter a value that satisfies the formula: =IF(C13=&quot;GB&quot;,E13&gt;F13,OR(F13&gt;E13,C13=&quot;&quot;))" sqref="E14">
      <formula1>IF(C14="GB",E14&gt;F14,OR(F14&gt;E14,C14=""))</formula1>
    </dataValidation>
    <dataValidation type="custom" allowBlank="1" showDropDown="1" showInputMessage="1" prompt="Enter a value that satisfies the formula: =IF(C14=&quot;PHI&quot;,F14&gt;E14,OR(E14&gt;F14,C14=&quot;&quot;))" sqref="F15">
      <formula1>IF(C15="PHI",F15&gt;E15,OR(E15&gt;F15,C15=""))</formula1>
    </dataValidation>
    <dataValidation type="custom" allowBlank="1" showDropDown="1" showInputMessage="1" prompt="Enter a value that satisfies the formula: =IF(C10=&quot;JAX&quot;,F10&gt;E10,OR(E10&gt;F10,C10=&quot;&quot;))" sqref="F11">
      <formula1>IF(C11="JAX",F11&gt;E11,OR(E11&gt;F11,C11=""))</formula1>
    </dataValidation>
    <dataValidation type="list" allowBlank="1" showErrorMessage="1" sqref="C17">
      <formula1>"DAL,NYG"</formula1>
    </dataValidation>
    <dataValidation type="list" allowBlank="1" showErrorMessage="1" sqref="C5">
      <formula1>"TB,CIN"</formula1>
    </dataValidation>
    <dataValidation type="custom" allowBlank="1" showDropDown="1" showInputMessage="1" prompt="Enter a value that satisfies the formula: =IF(C15=&quot;LAC&quot;,F15&gt;E15,OR(E15&gt;F15,C15=&quot;&quot;))" sqref="F16">
      <formula1>IF(C16="LAC",F16&gt;E16,OR(E16&gt;F16,C16=""))</formula1>
    </dataValidation>
    <dataValidation type="list" allowBlank="1" showErrorMessage="1" sqref="C18">
      <formula1>"DEN,KC"</formula1>
    </dataValidation>
    <dataValidation type="custom" allowBlank="1" showDropDown="1" showInputMessage="1" prompt="Enter a value that satisfies the formula: =IF(C11=&quot;HOU&quot;,F11&gt;E11,OR(E11&gt;F11,C11=&quot;&quot;))" sqref="F12">
      <formula1>IF(C12="HOU",F12&gt;E12,OR(E12&gt;F12,C12=""))</formula1>
    </dataValidation>
    <dataValidation type="custom" allowBlank="1" showDropDown="1" showInputMessage="1" prompt="Enter a value that satisfies the formula: =if(C4=&quot;TB&quot;,E4&gt;F4,or(F4&gt;E4,C4=&quot;&quot;))" sqref="E5">
      <formula1>if(C5="TB",E5&gt;F5,or(F5&gt;E5,C5=""))</formula1>
    </dataValidation>
    <dataValidation type="custom" allowBlank="1" showDropDown="1" showInputMessage="1" prompt="Enter a value that satisfies the formula: =if(C6=&quot;NYJ&quot;,E6&gt;F6,or(F6&gt;E6,C6=&quot;&quot;))" sqref="E7">
      <formula1>if(C7="NYJ",E7&gt;F7,or(F7&gt;E7,C7=""))</formula1>
    </dataValidation>
    <dataValidation type="custom" allowBlank="1" showDropDown="1" sqref="E3">
      <formula1>if(C3="NE",E3&gt;F3,or(F3&gt;E3,C3=""))</formula1>
    </dataValidation>
    <dataValidation type="custom" allowBlank="1" showDropDown="1" showInputMessage="1" prompt="Enter a value that satisfies the formula: =IF(C8=&quot;ATL&quot;,E8&gt;F8,OR(F8&gt;E8,C8=&quot;&quot;))" sqref="E9">
      <formula1>IF(C9="ATL",E9&gt;F9,OR(F9&gt;E9,C9=""))</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2" location="'Week 2'!A1" ref="H3"/>
    <hyperlink display="Week 3" location="'Week 3'!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113</v>
      </c>
      <c r="C2" s="30" t="s">
        <v>36</v>
      </c>
      <c r="D2" s="30"/>
      <c r="E2" s="29" t="s">
        <v>37</v>
      </c>
      <c r="F2" s="29" t="s">
        <v>38</v>
      </c>
      <c r="G2" s="29" t="s">
        <v>100</v>
      </c>
      <c r="H2" s="29" t="s">
        <v>101</v>
      </c>
      <c r="I2" s="29"/>
      <c r="J2" s="29" t="s">
        <v>102</v>
      </c>
      <c r="K2" s="29" t="s">
        <v>103</v>
      </c>
      <c r="L2" s="29" t="s">
        <v>104</v>
      </c>
      <c r="M2" s="29" t="s">
        <v>105</v>
      </c>
    </row>
    <row r="3">
      <c r="A3" s="32" t="s">
        <v>114</v>
      </c>
      <c r="B3" s="33" t="s">
        <v>115</v>
      </c>
      <c r="C3" s="33" t="s">
        <v>116</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21.0</v>
      </c>
      <c r="F3" s="33">
        <v>28.0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137</v>
      </c>
      <c r="B4" s="56" t="s">
        <v>139</v>
      </c>
      <c r="C4" s="33" t="s">
        <v>140</v>
      </c>
      <c r="D4" s="33" t="str">
        <f t="shared" si="1"/>
        <v/>
      </c>
      <c r="E4" s="33">
        <v>17.0</v>
      </c>
      <c r="F4" s="33">
        <v>21.0</v>
      </c>
      <c r="G4" s="33" t="b">
        <v>0</v>
      </c>
      <c r="H4" s="48" t="s">
        <v>130</v>
      </c>
      <c r="I4" s="33"/>
      <c r="J4" s="59"/>
      <c r="K4" s="60" t="s">
        <v>132</v>
      </c>
      <c r="L4" s="59"/>
      <c r="M4" s="60" t="s">
        <v>133</v>
      </c>
    </row>
    <row r="5">
      <c r="A5" s="32" t="s">
        <v>137</v>
      </c>
      <c r="B5" s="56" t="s">
        <v>149</v>
      </c>
      <c r="C5" s="33" t="s">
        <v>152</v>
      </c>
      <c r="D5" s="33" t="str">
        <f t="shared" si="1"/>
        <v/>
      </c>
      <c r="E5" s="33">
        <v>14.0</v>
      </c>
      <c r="F5" s="33">
        <v>17.0</v>
      </c>
      <c r="G5" s="33" t="b">
        <v>0</v>
      </c>
      <c r="H5" s="48" t="s">
        <v>141</v>
      </c>
      <c r="I5" s="33"/>
      <c r="J5" s="59"/>
      <c r="K5" s="60" t="s">
        <v>142</v>
      </c>
      <c r="L5" s="59"/>
      <c r="M5" s="60" t="s">
        <v>142</v>
      </c>
    </row>
    <row r="6">
      <c r="A6" s="32" t="s">
        <v>137</v>
      </c>
      <c r="B6" s="33" t="s">
        <v>155</v>
      </c>
      <c r="C6" s="33" t="s">
        <v>121</v>
      </c>
      <c r="D6" s="33" t="str">
        <f t="shared" si="1"/>
        <v/>
      </c>
      <c r="E6" s="33">
        <v>21.0</v>
      </c>
      <c r="F6" s="33">
        <v>17.0</v>
      </c>
      <c r="G6" s="33" t="b">
        <v>0</v>
      </c>
      <c r="H6" s="48" t="s">
        <v>145</v>
      </c>
      <c r="I6" s="33"/>
      <c r="J6" s="64"/>
      <c r="K6" s="65" t="s">
        <v>147</v>
      </c>
      <c r="L6" s="64"/>
      <c r="M6" s="65" t="s">
        <v>148</v>
      </c>
    </row>
    <row r="7">
      <c r="A7" s="32" t="s">
        <v>137</v>
      </c>
      <c r="B7" s="33" t="s">
        <v>160</v>
      </c>
      <c r="C7" s="33" t="s">
        <v>153</v>
      </c>
      <c r="D7" s="33" t="str">
        <f t="shared" si="1"/>
        <v/>
      </c>
      <c r="E7" s="33">
        <v>23.0</v>
      </c>
      <c r="F7" s="33">
        <v>20.0</v>
      </c>
      <c r="G7" s="33" t="b">
        <v>0</v>
      </c>
      <c r="H7" s="48" t="s">
        <v>156</v>
      </c>
      <c r="I7" s="33"/>
      <c r="J7" s="51"/>
      <c r="K7" s="52" t="s">
        <v>142</v>
      </c>
      <c r="L7" s="51"/>
      <c r="M7" s="52" t="s">
        <v>157</v>
      </c>
    </row>
    <row r="8">
      <c r="A8" s="32" t="s">
        <v>137</v>
      </c>
      <c r="B8" s="33" t="s">
        <v>166</v>
      </c>
      <c r="C8" s="33" t="s">
        <v>146</v>
      </c>
      <c r="D8" s="33" t="str">
        <f t="shared" si="1"/>
        <v/>
      </c>
      <c r="E8" s="33">
        <v>21.0</v>
      </c>
      <c r="F8" s="33">
        <v>17.0</v>
      </c>
      <c r="G8" s="33" t="b">
        <v>0</v>
      </c>
      <c r="H8" s="48" t="s">
        <v>159</v>
      </c>
      <c r="I8" s="33"/>
      <c r="J8" s="59"/>
      <c r="K8" s="60" t="s">
        <v>161</v>
      </c>
      <c r="L8" s="59"/>
      <c r="M8" s="60" t="s">
        <v>133</v>
      </c>
    </row>
    <row r="9">
      <c r="A9" s="32" t="s">
        <v>137</v>
      </c>
      <c r="B9" s="33" t="s">
        <v>169</v>
      </c>
      <c r="C9" s="33" t="s">
        <v>168</v>
      </c>
      <c r="D9" s="33" t="str">
        <f t="shared" si="1"/>
        <v/>
      </c>
      <c r="E9" s="33">
        <v>24.0</v>
      </c>
      <c r="F9" s="33">
        <v>27.0</v>
      </c>
      <c r="G9" s="33" t="b">
        <v>0</v>
      </c>
      <c r="H9" s="48" t="s">
        <v>164</v>
      </c>
      <c r="I9" s="33"/>
      <c r="J9" s="59"/>
      <c r="K9" s="60" t="s">
        <v>165</v>
      </c>
      <c r="L9" s="59"/>
      <c r="M9" s="60" t="s">
        <v>165</v>
      </c>
    </row>
    <row r="10">
      <c r="A10" s="32" t="s">
        <v>137</v>
      </c>
      <c r="B10" s="33" t="s">
        <v>177</v>
      </c>
      <c r="C10" s="33" t="s">
        <v>131</v>
      </c>
      <c r="D10" s="33" t="str">
        <f t="shared" si="1"/>
        <v/>
      </c>
      <c r="E10" s="33">
        <v>24.0</v>
      </c>
      <c r="F10" s="33">
        <v>27.0</v>
      </c>
      <c r="G10" s="33" t="b">
        <v>0</v>
      </c>
      <c r="H10" s="48" t="s">
        <v>170</v>
      </c>
      <c r="I10" s="33"/>
      <c r="J10" s="64"/>
      <c r="K10" s="65" t="s">
        <v>133</v>
      </c>
      <c r="L10" s="64"/>
      <c r="M10" s="65" t="s">
        <v>171</v>
      </c>
    </row>
    <row r="11">
      <c r="A11" s="32" t="s">
        <v>137</v>
      </c>
      <c r="B11" s="33" t="s">
        <v>183</v>
      </c>
      <c r="C11" s="33" t="s">
        <v>163</v>
      </c>
      <c r="D11" s="33" t="str">
        <f t="shared" si="1"/>
        <v/>
      </c>
      <c r="E11" s="33">
        <v>14.0</v>
      </c>
      <c r="F11" s="33">
        <v>17.0</v>
      </c>
      <c r="G11" s="33" t="b">
        <v>0</v>
      </c>
      <c r="H11" s="48" t="s">
        <v>175</v>
      </c>
      <c r="I11" s="33"/>
      <c r="J11" s="51"/>
      <c r="K11" s="52" t="s">
        <v>157</v>
      </c>
      <c r="L11" s="51"/>
      <c r="M11" s="52" t="s">
        <v>157</v>
      </c>
    </row>
    <row r="12">
      <c r="A12" s="32" t="s">
        <v>187</v>
      </c>
      <c r="B12" s="33" t="s">
        <v>188</v>
      </c>
      <c r="C12" s="33" t="s">
        <v>111</v>
      </c>
      <c r="D12" s="33" t="str">
        <f t="shared" si="1"/>
        <v/>
      </c>
      <c r="E12" s="33">
        <v>20.0</v>
      </c>
      <c r="F12" s="33">
        <v>23.0</v>
      </c>
      <c r="G12" s="33" t="b">
        <v>0</v>
      </c>
      <c r="H12" s="48" t="s">
        <v>179</v>
      </c>
      <c r="I12" s="33"/>
      <c r="J12" s="59"/>
      <c r="K12" s="60" t="s">
        <v>165</v>
      </c>
      <c r="L12" s="59"/>
      <c r="M12" s="60" t="s">
        <v>180</v>
      </c>
    </row>
    <row r="13">
      <c r="A13" s="32" t="s">
        <v>187</v>
      </c>
      <c r="B13" s="33" t="s">
        <v>193</v>
      </c>
      <c r="C13" s="33" t="s">
        <v>112</v>
      </c>
      <c r="D13" s="33" t="str">
        <f t="shared" si="1"/>
        <v/>
      </c>
      <c r="E13" s="33">
        <v>21.0</v>
      </c>
      <c r="F13" s="33">
        <v>24.0</v>
      </c>
      <c r="G13" s="33" t="b">
        <v>0</v>
      </c>
      <c r="H13" s="48" t="s">
        <v>185</v>
      </c>
      <c r="I13" s="33"/>
      <c r="J13" s="59"/>
      <c r="K13" s="60" t="s">
        <v>132</v>
      </c>
      <c r="L13" s="59"/>
      <c r="M13" s="60" t="s">
        <v>147</v>
      </c>
    </row>
    <row r="14">
      <c r="A14" s="32" t="s">
        <v>196</v>
      </c>
      <c r="B14" s="56" t="s">
        <v>197</v>
      </c>
      <c r="C14" s="33" t="s">
        <v>118</v>
      </c>
      <c r="D14" s="33" t="str">
        <f t="shared" si="1"/>
        <v/>
      </c>
      <c r="E14" s="33">
        <v>14.0</v>
      </c>
      <c r="F14" s="33">
        <v>17.0</v>
      </c>
      <c r="G14" s="33" t="b">
        <v>0</v>
      </c>
      <c r="H14" s="48" t="s">
        <v>191</v>
      </c>
      <c r="I14" s="33"/>
      <c r="J14" s="64"/>
      <c r="K14" s="65" t="s">
        <v>122</v>
      </c>
      <c r="L14" s="64"/>
      <c r="M14" s="65" t="s">
        <v>122</v>
      </c>
    </row>
    <row r="15">
      <c r="A15" s="32" t="s">
        <v>196</v>
      </c>
      <c r="B15" s="56" t="s">
        <v>201</v>
      </c>
      <c r="C15" s="33" t="s">
        <v>109</v>
      </c>
      <c r="D15" s="33" t="str">
        <f t="shared" si="1"/>
        <v/>
      </c>
      <c r="E15" s="33">
        <v>21.0</v>
      </c>
      <c r="F15" s="33">
        <v>17.0</v>
      </c>
      <c r="G15" s="33" t="b">
        <v>0</v>
      </c>
      <c r="H15" s="48" t="s">
        <v>194</v>
      </c>
      <c r="I15" s="33"/>
      <c r="J15" s="51"/>
      <c r="K15" s="52" t="s">
        <v>122</v>
      </c>
      <c r="L15" s="51"/>
      <c r="M15" s="52" t="s">
        <v>147</v>
      </c>
    </row>
    <row r="16">
      <c r="A16" s="32" t="s">
        <v>196</v>
      </c>
      <c r="B16" s="33" t="s">
        <v>205</v>
      </c>
      <c r="C16" s="33" t="s">
        <v>85</v>
      </c>
      <c r="D16" s="33" t="str">
        <f t="shared" si="1"/>
        <v/>
      </c>
      <c r="E16" s="33">
        <v>14.0</v>
      </c>
      <c r="F16" s="33">
        <v>20.0</v>
      </c>
      <c r="G16" s="33" t="b">
        <v>0</v>
      </c>
      <c r="H16" s="48" t="s">
        <v>198</v>
      </c>
      <c r="I16" s="33"/>
      <c r="J16" s="59"/>
      <c r="K16" s="60" t="s">
        <v>122</v>
      </c>
      <c r="L16" s="59"/>
      <c r="M16" s="60" t="s">
        <v>180</v>
      </c>
    </row>
    <row r="17">
      <c r="A17" s="32" t="s">
        <v>208</v>
      </c>
      <c r="B17" s="33" t="s">
        <v>209</v>
      </c>
      <c r="C17" s="33" t="s">
        <v>178</v>
      </c>
      <c r="D17" s="33" t="str">
        <f t="shared" si="1"/>
        <v/>
      </c>
      <c r="E17" s="33">
        <v>17.0</v>
      </c>
      <c r="F17" s="33">
        <v>13.0</v>
      </c>
      <c r="G17" s="33" t="b">
        <v>0</v>
      </c>
      <c r="H17" s="48" t="s">
        <v>202</v>
      </c>
      <c r="I17" s="33"/>
      <c r="J17" s="59"/>
      <c r="K17" s="60" t="s">
        <v>132</v>
      </c>
      <c r="L17" s="59"/>
      <c r="M17" s="60" t="s">
        <v>147</v>
      </c>
    </row>
    <row r="18">
      <c r="A18" s="32" t="s">
        <v>210</v>
      </c>
      <c r="B18" s="33" t="s">
        <v>211</v>
      </c>
      <c r="C18" s="33" t="s">
        <v>110</v>
      </c>
      <c r="D18" s="33" t="str">
        <f t="shared" si="1"/>
        <v/>
      </c>
      <c r="E18" s="33">
        <v>21.0</v>
      </c>
      <c r="F18" s="33">
        <v>24.0</v>
      </c>
      <c r="G18" s="33" t="b">
        <v>1</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9">
    <cfRule type="expression" dxfId="3" priority="4" stopIfTrue="1">
      <formula>$C3=TRIM(LEFT($B3, FIND("@", $B3)-1))</formula>
    </cfRule>
  </conditionalFormatting>
  <conditionalFormatting sqref="F3:F19">
    <cfRule type="expression" dxfId="3" priority="5" stopIfTrue="1">
      <formula>$C3=TRIM(RIGHT($B3, LEN($B3)-FIND("@", $B3)))</formula>
    </cfRule>
  </conditionalFormatting>
  <dataValidations>
    <dataValidation type="custom" allowBlank="1" showDropDown="1" showInputMessage="1" prompt="Enter a value that satisfies the formula: =IF(C5=&quot;TEN&quot;,F5&gt;E5,OR(E5&gt;F5,C5=&quot;&quot;))" sqref="F6">
      <formula1>IF(C6="TEN",F6&gt;E6,OR(E6&gt;F6,C6=""))</formula1>
    </dataValidation>
    <dataValidation type="list" allowBlank="1" showErrorMessage="1" sqref="C8">
      <formula1>"GB,NYJ"</formula1>
    </dataValidation>
    <dataValidation type="list" allowBlank="1" showErrorMessage="1" sqref="C6">
      <formula1>"PHI,TEN"</formula1>
    </dataValidation>
    <dataValidation type="custom" allowBlank="1" showDropDown="1" showInputMessage="1" prompt="Enter a value that satisfies the formula: =IF(C6=&quot;NE&quot;,F6&gt;E6,OR(E6&gt;F6,C6=&quot;&quot;))" sqref="F7">
      <formula1>IF(C7="NE",F7&gt;E7,OR(E7&gt;F7,C7=""))</formula1>
    </dataValidation>
    <dataValidation type="list" allowBlank="1" showErrorMessage="1" sqref="C5">
      <formula1>"MIN,CHI"</formula1>
    </dataValidation>
    <dataValidation type="custom" allowBlank="1" showDropDown="1" showInputMessage="1" prompt="Enter a value that satisfies the formula: =IF(C15=&quot;SF&quot;,F15&gt;E15,OR(E15&gt;F15,C15=&quot;&quot;))" sqref="F16">
      <formula1>IF(C16="SF",F16&gt;E16,OR(E16&gt;F16,C16=""))</formula1>
    </dataValidation>
    <dataValidation type="custom" allowBlank="1" showDropDown="1" showInputMessage="1" prompt="Enter a value that satisfies the formula: =IF(C15=&quot;MIA&quot;,E15&gt;F15,OR(F15&gt;E15,C15=&quot;&quot;))" sqref="E16">
      <formula1>IF(C16="MIA",E16&gt;F16,OR(F16&gt;E16,C16=""))</formula1>
    </dataValidation>
    <dataValidation type="list" allowBlank="1" showErrorMessage="1" sqref="C17">
      <formula1>"IND,KC"</formula1>
    </dataValidation>
    <dataValidation type="custom" allowBlank="1" showDropDown="1" showInputMessage="1" prompt="Enter a value that satisfies the formula: =IF(C2=&quot;DET&quot;,E2&gt;F2,OR(F2&gt;E2,C2=&quot;&quot;))" sqref="E3">
      <formula1>IF(C3="DET",E3&gt;F3,OR(F3&gt;E3,C3=""))</formula1>
    </dataValidation>
    <dataValidation type="custom" allowBlank="1" showDropDown="1" showInputMessage="1" prompt="Enter a value that satisfies the formula: =IF(C3=&quot;CAR&quot;,E3&gt;F3,OR(F3&gt;E3,C3=&quot;&quot;))" sqref="E4">
      <formula1>IF(C4="CAR",E4&gt;F4,OR(F4&gt;E4,C4=""))</formula1>
    </dataValidation>
    <dataValidation type="custom" allowBlank="1" showDropDown="1" showInputMessage="1" prompt="Enter a value that satisfies the formula: =IF(C6=&quot;PIT&quot;,E6&gt;F6,OR(F6&gt;E6,C6=&quot;&quot;))" sqref="E7">
      <formula1>IF(C7="PIT",E7&gt;F7,OR(F7&gt;E7,C7=""))</formula1>
    </dataValidation>
    <dataValidation type="custom" allowBlank="1" showDropDown="1" showInputMessage="1" prompt="Enter a value that satisfies the formula: =IF(C16=&quot;KC&quot;,F16&gt;E16,OR(E16&gt;F16,C16=&quot;&quot;))" sqref="F17">
      <formula1>IF(C17="KC",F17&gt;E17,OR(E17&gt;F17,C17=""))</formula1>
    </dataValidation>
    <dataValidation type="list" allowBlank="1" showErrorMessage="1" sqref="C16">
      <formula1>"MIA,SF"</formula1>
    </dataValidation>
    <dataValidation type="list" allowBlank="1" showErrorMessage="1" sqref="C11">
      <formula1>"CIN,HOU"</formula1>
    </dataValidation>
    <dataValidation type="custom" allowBlank="1" showDropDown="1" showInputMessage="1" prompt="Enter a value that satisfies the formula: =IF(C5=&quot;PHI&quot;,E5&gt;F5,OR(F5&gt;E5,C5=&quot;&quot;))" sqref="E6">
      <formula1>IF(C6="PHI",E6&gt;F6,OR(F6&gt;E6,C6=""))</formula1>
    </dataValidation>
    <dataValidation type="list" allowBlank="1" showErrorMessage="1" sqref="C15">
      <formula1>"SEA,AZ"</formula1>
    </dataValidation>
    <dataValidation type="custom" allowBlank="1" showDropDown="1" showInputMessage="1" prompt="Enter a value that satisfies the formula: =IF(C17=&quot;LAR&quot;,F17&gt;E17,OR(E17&gt;F17,C17=&quot;&quot;))" sqref="F18:F19">
      <formula1>IF(C18="LAR",F18&gt;E18,OR(E18&gt;F18,C18=""))</formula1>
    </dataValidation>
    <dataValidation type="custom" allowBlank="1" showDropDown="1" showInputMessage="1" prompt="Enter a value that satisfies the formula: =IF(C7=&quot;GB&quot;,E7&gt;F7,OR(F7&gt;E7,C7=&quot;&quot;))" sqref="E8">
      <formula1>IF(C8="GB",E8&gt;F8,OR(F8&gt;E8,C8=""))</formula1>
    </dataValidation>
    <dataValidation type="list" allowBlank="1" showErrorMessage="1" sqref="C14">
      <formula1>"WSH,DAL"</formula1>
    </dataValidation>
    <dataValidation type="list" allowBlank="1" showErrorMessage="1" sqref="C13">
      <formula1>"LV,LAC"</formula1>
    </dataValidation>
    <dataValidation type="custom" allowBlank="1" showDropDown="1" showInputMessage="1" prompt="Enter a value that satisfies the formula: =IF(C14=&quot;SEA&quot;,E14&gt;F14,OR(F14&gt;E14,C14=&quot;&quot;))" sqref="E15">
      <formula1>IF(C15="SEA",E15&gt;F15,OR(F15&gt;E15,C15=""))</formula1>
    </dataValidation>
    <dataValidation type="custom" allowBlank="1" showDropDown="1" showInputMessage="1" prompt="Enter a value that satisfies the formula: =IF(C16=&quot;IND&quot;,E16&gt;F16,OR(F16&gt;E16,C16=&quot;&quot;))" sqref="E17">
      <formula1>IF(C17="IND",E17&gt;F17,OR(F17&gt;E17,C17=""))</formula1>
    </dataValidation>
    <dataValidation type="custom" allowBlank="1" showDropDown="1" showInputMessage="1" prompt="Enter a value that satisfies the formula: =IF(C8=&quot;TB&quot;,F8&gt;E8,OR(E8&gt;F8,C8=&quot;&quot;))" sqref="F9">
      <formula1>IF(C9="TB",F9&gt;E9,OR(E9&gt;F9,C9=""))</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7=&quot;NYJ&quot;,F7&gt;E7,OR(E7&gt;F7,C7=&quot;&quot;))" sqref="F8">
      <formula1>IF(C8="NYJ",F8&gt;E8,OR(E8&gt;F8,C8=""))</formula1>
    </dataValidation>
    <dataValidation type="custom" allowBlank="1" showDropDown="1" showInputMessage="1" prompt="Enter a value that satisfies the formula: =IF(C11=&quot;DEN&quot;,F11&gt;E11,OR(E11&gt;F11,C11=&quot;&quot;))" sqref="F12">
      <formula1>IF(C12="DEN",F12&gt;E12,OR(E12&gt;F12,C12=""))</formula1>
    </dataValidation>
    <dataValidation type="custom" allowBlank="1" showDropDown="1" showInputMessage="1" prompt="Enter a value that satisfies the formula: =IF(C2=&quot;BUF&quot;,F2&gt;E2,OR(E2&gt;F2,C2=&quot;&quot;))" sqref="F3">
      <formula1>IF(C3="BUF",F3&gt;E3,OR(E3&gt;F3,C3=""))</formula1>
    </dataValidation>
    <dataValidation type="custom" allowBlank="1" showDropDown="1" showInputMessage="1" prompt="Enter a value that satisfies the formula: =IF(C10=&quot;CIN&quot;,E10&gt;F10,OR(F10&gt;E10,C10=&quot;&quot;))" sqref="E11">
      <formula1>IF(C11="CIN",E11&gt;F11,OR(F11&gt;E11,C11=""))</formula1>
    </dataValidation>
    <dataValidation type="list" allowBlank="1" showErrorMessage="1" sqref="C18">
      <formula1>"NYG,LAR"</formula1>
    </dataValidation>
    <dataValidation type="custom" allowBlank="1" showDropDown="1" showInputMessage="1" prompt="Enter a value that satisfies the formula: =IF(C13=&quot;WSH&quot;,E13&gt;F13,OR(F13&gt;E13,C13=&quot;&quot;))" sqref="E14">
      <formula1>IF(C14="WSH",E14&gt;F14,OR(F14&gt;E14,C14=""))</formula1>
    </dataValidation>
    <dataValidation type="list" allowBlank="1" showErrorMessage="1" sqref="C3">
      <formula1>"DET,BUF"</formula1>
    </dataValidation>
    <dataValidation type="custom" allowBlank="1" showDropDown="1" showInputMessage="1" prompt="Enter a value that satisfies the formula: =IF(C14=&quot;AZ&quot;,F14&gt;E14,OR(E14&gt;F14,C14=&quot;&quot;))" sqref="F15">
      <formula1>IF(C15="AZ",F15&gt;E15,OR(E15&gt;F15,C15=""))</formula1>
    </dataValidation>
    <dataValidation type="custom" allowBlank="1" showDropDown="1" showInputMessage="1" prompt="Enter a value that satisfies the formula: =IF(C13=&quot;DAL&quot;,F13&gt;E13,OR(E13&gt;F13,C13=&quot;&quot;))" sqref="F14">
      <formula1>IF(C14="DAL",F14&gt;E14,OR(E14&gt;F14,C14=""))</formula1>
    </dataValidation>
    <dataValidation type="custom" allowBlank="1" showDropDown="1" showInputMessage="1" prompt="Enter a value that satisfies the formula: =IF(C4=&quot;CHI&quot;,F4&gt;E4,OR(E4&gt;F4,C4=&quot;&quot;))" sqref="F5">
      <formula1>IF(C5="CHI",F5&gt;E5,OR(E5&gt;F5,C5=""))</formula1>
    </dataValidation>
    <dataValidation type="custom" allowBlank="1" showDropDown="1" showInputMessage="1" prompt="Enter a value that satisfies the formula: =IF(C9=&quot;NO&quot;,E9&gt;F9,OR(F9&gt;E9,C9=&quot;&quot;))" sqref="E10">
      <formula1>IF(C10="NO",E10&gt;F10,OR(F10&gt;E10,C10=""))</formula1>
    </dataValidation>
    <dataValidation type="custom" allowBlank="1" showDropDown="1" showInputMessage="1" prompt="Enter a value that satisfies the formula: =IF(C11=&quot;JAX&quot;,E11&gt;F11,OR(F11&gt;E11,C11=&quot;&quot;))" sqref="E12">
      <formula1>IF(C12="JAX",E12&gt;F12,OR(F12&gt;E12,C12=""))</formula1>
    </dataValidation>
    <dataValidation type="custom" allowBlank="1" showDropDown="1" showInputMessage="1" prompt="Enter a value that satisfies the formula: =IF(C12=&quot;LAC&quot;,F12&gt;E12,OR(E12&gt;F12,C12=&quot;&quot;))" sqref="F13">
      <formula1>IF(C13="LAC",F13&gt;E13,OR(E13&gt;F13,C13=""))</formula1>
    </dataValidation>
    <dataValidation type="list" allowBlank="1" showErrorMessage="1" sqref="C7">
      <formula1>"PIT,NE"</formula1>
    </dataValidation>
    <dataValidation type="custom" allowBlank="1" showDropDown="1" showInputMessage="1" prompt="Enter a value that satisfies the formula: =IF(C17=&quot;NYG&quot;,E17&gt;F17,OR(F17&gt;E17,C17=&quot;&quot;))" sqref="E18:E19">
      <formula1>IF(C18="NYG",E18&gt;F18,OR(F18&gt;E18,C18=""))</formula1>
    </dataValidation>
    <dataValidation type="list" allowBlank="1" showErrorMessage="1" sqref="C9">
      <formula1>"CLE,TB"</formula1>
    </dataValidation>
    <dataValidation type="list" allowBlank="1" showErrorMessage="1" sqref="C12">
      <formula1>"JAX,DEN"</formula1>
    </dataValidation>
    <dataValidation type="custom" allowBlank="1" showDropDown="1" showInputMessage="1" prompt="Enter a value that satisfies the formula: =IF(C4=&quot;MIN&quot;,E4&gt;F4,OR(F4&gt;E4,C4=&quot;&quot;))" sqref="E5">
      <formula1>IF(C5="MIN",E5&gt;F5,OR(F5&gt;E5,C5=""))</formula1>
    </dataValidation>
    <dataValidation type="custom" allowBlank="1" showDropDown="1" showInputMessage="1" prompt="Enter a value that satisfies the formula: =IF(C12=&quot;LV&quot;,E12&gt;F12,OR(F12&gt;E12,C12=&quot;&quot;))" sqref="E13">
      <formula1>IF(C13="LV",E13&gt;F13,OR(F13&gt;E13,C13=""))</formula1>
    </dataValidation>
    <dataValidation type="list" allowBlank="1" showErrorMessage="1" sqref="C4">
      <formula1>"CAR,ATL"</formula1>
    </dataValidation>
    <dataValidation type="list" allowBlank="1" showErrorMessage="1" sqref="C10">
      <formula1>"NO,BAL"</formula1>
    </dataValidation>
    <dataValidation type="custom" allowBlank="1" showDropDown="1" showInputMessage="1" prompt="Enter a value that satisfies the formula: =IF(C3=&quot;ATL&quot;,F3&gt;E3,OR(E3&gt;F3,C3=&quot;&quot;))" sqref="F4">
      <formula1>IF(C4="ATL",F4&gt;E4,OR(E4&gt;F4,C4=""))</formula1>
    </dataValidation>
    <dataValidation type="custom" allowBlank="1" showDropDown="1" showInputMessage="1" prompt="Enter a value that satisfies the formula: =IF(C9=&quot;BAL&quot;,F9&gt;E9,OR(E9&gt;F9,C9=&quot;&quot;))" sqref="F10">
      <formula1>IF(C10="BAL",F10&gt;E10,OR(E10&gt;F10,C10=""))</formula1>
    </dataValidation>
    <dataValidation type="custom" allowBlank="1" showDropDown="1" showInputMessage="1" prompt="Enter a value that satisfies the formula: =IF(C8=&quot;CLE&quot;,E8&gt;F8,OR(F8&gt;E8,C8=&quot;&quot;))" sqref="E9">
      <formula1>IF(C9="CLE",E9&gt;F9,OR(F9&gt;E9,C9=""))</formula1>
    </dataValidation>
    <dataValidation type="custom" allowBlank="1" showDropDown="1" showInputMessage="1" prompt="Enter a value that satisfies the formula: =IF(C10=&quot;HOU&quot;,F10&gt;E10,OR(E10&gt;F10,C10=&quot;&quot;))" sqref="F11">
      <formula1>IF(C11="HOU",F11&gt;E11,OR(E11&gt;F11,C11=""))</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3" location="'Week 3'!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5.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212</v>
      </c>
      <c r="C2" s="30" t="s">
        <v>36</v>
      </c>
      <c r="D2" s="30"/>
      <c r="E2" s="29" t="s">
        <v>37</v>
      </c>
      <c r="F2" s="29" t="s">
        <v>38</v>
      </c>
      <c r="G2" s="29" t="s">
        <v>100</v>
      </c>
      <c r="H2" s="29" t="s">
        <v>101</v>
      </c>
      <c r="I2" s="29"/>
      <c r="J2" s="29" t="s">
        <v>102</v>
      </c>
      <c r="K2" s="29" t="s">
        <v>103</v>
      </c>
      <c r="L2" s="29" t="s">
        <v>104</v>
      </c>
      <c r="M2" s="29" t="s">
        <v>105</v>
      </c>
    </row>
    <row r="3">
      <c r="A3" s="32" t="s">
        <v>214</v>
      </c>
      <c r="B3" s="33" t="s">
        <v>215</v>
      </c>
      <c r="C3" s="33" t="s">
        <v>146</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17.0</v>
      </c>
      <c r="F3" s="33">
        <v>21.0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223</v>
      </c>
      <c r="B4" s="33" t="s">
        <v>224</v>
      </c>
      <c r="C4" s="33" t="s">
        <v>116</v>
      </c>
      <c r="D4" s="33" t="str">
        <f t="shared" si="1"/>
        <v/>
      </c>
      <c r="E4" s="33">
        <v>21.0</v>
      </c>
      <c r="F4" s="33">
        <v>28.0</v>
      </c>
      <c r="G4" s="33" t="b">
        <v>0</v>
      </c>
      <c r="H4" s="48" t="s">
        <v>119</v>
      </c>
      <c r="I4" s="33"/>
      <c r="J4" s="59"/>
      <c r="K4" s="60" t="s">
        <v>132</v>
      </c>
      <c r="L4" s="59"/>
      <c r="M4" s="60" t="s">
        <v>133</v>
      </c>
    </row>
    <row r="5">
      <c r="A5" s="32" t="s">
        <v>223</v>
      </c>
      <c r="B5" s="33" t="s">
        <v>229</v>
      </c>
      <c r="C5" s="33" t="s">
        <v>184</v>
      </c>
      <c r="D5" s="33" t="str">
        <f t="shared" si="1"/>
        <v/>
      </c>
      <c r="E5" s="33">
        <v>20.0</v>
      </c>
      <c r="F5" s="33">
        <v>14.0</v>
      </c>
      <c r="G5" s="33" t="b">
        <v>0</v>
      </c>
      <c r="H5" s="48" t="s">
        <v>141</v>
      </c>
      <c r="I5" s="33"/>
      <c r="J5" s="59"/>
      <c r="K5" s="60" t="s">
        <v>142</v>
      </c>
      <c r="L5" s="59"/>
      <c r="M5" s="60" t="s">
        <v>142</v>
      </c>
    </row>
    <row r="6">
      <c r="A6" s="32" t="s">
        <v>223</v>
      </c>
      <c r="B6" s="33" t="s">
        <v>233</v>
      </c>
      <c r="C6" s="33" t="s">
        <v>138</v>
      </c>
      <c r="D6" s="33" t="str">
        <f t="shared" si="1"/>
        <v/>
      </c>
      <c r="E6" s="33">
        <v>24.0</v>
      </c>
      <c r="F6" s="33">
        <v>27.0</v>
      </c>
      <c r="G6" s="33" t="b">
        <v>0</v>
      </c>
      <c r="H6" s="48" t="s">
        <v>145</v>
      </c>
      <c r="I6" s="33"/>
      <c r="J6" s="64"/>
      <c r="K6" s="65" t="s">
        <v>147</v>
      </c>
      <c r="L6" s="64"/>
      <c r="M6" s="65" t="s">
        <v>148</v>
      </c>
    </row>
    <row r="7">
      <c r="A7" s="32" t="s">
        <v>223</v>
      </c>
      <c r="B7" s="56" t="s">
        <v>236</v>
      </c>
      <c r="C7" s="33" t="s">
        <v>163</v>
      </c>
      <c r="D7" s="33" t="str">
        <f t="shared" si="1"/>
        <v/>
      </c>
      <c r="E7" s="33">
        <v>31.0</v>
      </c>
      <c r="F7" s="33">
        <v>24.0</v>
      </c>
      <c r="G7" s="33" t="b">
        <v>0</v>
      </c>
      <c r="H7" s="48" t="s">
        <v>156</v>
      </c>
      <c r="I7" s="33"/>
      <c r="J7" s="51"/>
      <c r="K7" s="52" t="s">
        <v>142</v>
      </c>
      <c r="L7" s="51"/>
      <c r="M7" s="52" t="s">
        <v>157</v>
      </c>
    </row>
    <row r="8">
      <c r="A8" s="32" t="s">
        <v>223</v>
      </c>
      <c r="B8" s="33" t="s">
        <v>239</v>
      </c>
      <c r="C8" s="33" t="s">
        <v>40</v>
      </c>
      <c r="D8" s="33" t="str">
        <f t="shared" si="1"/>
        <v/>
      </c>
      <c r="E8" s="33">
        <v>27.0</v>
      </c>
      <c r="F8" s="33">
        <v>20.0</v>
      </c>
      <c r="G8" s="33" t="b">
        <v>1</v>
      </c>
      <c r="H8" s="48" t="s">
        <v>159</v>
      </c>
      <c r="I8" s="33"/>
      <c r="J8" s="59"/>
      <c r="K8" s="60" t="s">
        <v>161</v>
      </c>
      <c r="L8" s="59"/>
      <c r="M8" s="60" t="s">
        <v>133</v>
      </c>
    </row>
    <row r="9">
      <c r="A9" s="32" t="s">
        <v>223</v>
      </c>
      <c r="B9" s="33" t="s">
        <v>242</v>
      </c>
      <c r="C9" s="33" t="s">
        <v>125</v>
      </c>
      <c r="D9" s="33" t="str">
        <f t="shared" si="1"/>
        <v/>
      </c>
      <c r="E9" s="33">
        <v>17.0</v>
      </c>
      <c r="F9" s="33">
        <v>20.0</v>
      </c>
      <c r="G9" s="33" t="b">
        <v>0</v>
      </c>
      <c r="H9" s="48" t="s">
        <v>164</v>
      </c>
      <c r="I9" s="33"/>
      <c r="J9" s="59"/>
      <c r="K9" s="60" t="s">
        <v>165</v>
      </c>
      <c r="L9" s="59"/>
      <c r="M9" s="60" t="s">
        <v>165</v>
      </c>
    </row>
    <row r="10">
      <c r="A10" s="32" t="s">
        <v>223</v>
      </c>
      <c r="B10" s="56" t="s">
        <v>245</v>
      </c>
      <c r="C10" s="33" t="s">
        <v>136</v>
      </c>
      <c r="D10" s="33" t="str">
        <f t="shared" si="1"/>
        <v/>
      </c>
      <c r="E10" s="33">
        <v>27.0</v>
      </c>
      <c r="F10" s="33">
        <v>24.0</v>
      </c>
      <c r="G10" s="33" t="b">
        <v>0</v>
      </c>
      <c r="H10" s="48" t="s">
        <v>170</v>
      </c>
      <c r="I10" s="33"/>
      <c r="J10" s="64"/>
      <c r="K10" s="65" t="s">
        <v>133</v>
      </c>
      <c r="L10" s="64"/>
      <c r="M10" s="65" t="s">
        <v>171</v>
      </c>
    </row>
    <row r="11">
      <c r="A11" s="32" t="s">
        <v>223</v>
      </c>
      <c r="B11" s="33" t="s">
        <v>248</v>
      </c>
      <c r="C11" s="33" t="s">
        <v>109</v>
      </c>
      <c r="D11" s="33" t="str">
        <f t="shared" si="1"/>
        <v/>
      </c>
      <c r="E11" s="33">
        <v>28.0</v>
      </c>
      <c r="F11" s="33">
        <v>21.0</v>
      </c>
      <c r="G11" s="33" t="b">
        <v>0</v>
      </c>
      <c r="H11" s="48" t="s">
        <v>175</v>
      </c>
      <c r="I11" s="33"/>
      <c r="J11" s="51"/>
      <c r="K11" s="52" t="s">
        <v>157</v>
      </c>
      <c r="L11" s="51"/>
      <c r="M11" s="52" t="s">
        <v>157</v>
      </c>
    </row>
    <row r="12">
      <c r="A12" s="32" t="s">
        <v>223</v>
      </c>
      <c r="B12" s="33" t="s">
        <v>253</v>
      </c>
      <c r="C12" s="33" t="s">
        <v>126</v>
      </c>
      <c r="D12" s="33" t="str">
        <f t="shared" si="1"/>
        <v/>
      </c>
      <c r="E12" s="33">
        <v>31.0</v>
      </c>
      <c r="F12" s="33">
        <v>24.0</v>
      </c>
      <c r="G12" s="33" t="b">
        <v>0</v>
      </c>
      <c r="H12" s="48" t="s">
        <v>179</v>
      </c>
      <c r="I12" s="33"/>
      <c r="J12" s="59"/>
      <c r="K12" s="60" t="s">
        <v>165</v>
      </c>
      <c r="L12" s="59"/>
      <c r="M12" s="60" t="s">
        <v>180</v>
      </c>
    </row>
    <row r="13">
      <c r="A13" s="32" t="s">
        <v>260</v>
      </c>
      <c r="B13" s="56" t="s">
        <v>261</v>
      </c>
      <c r="C13" s="33" t="s">
        <v>85</v>
      </c>
      <c r="D13" s="33" t="str">
        <f t="shared" si="1"/>
        <v/>
      </c>
      <c r="E13" s="33">
        <v>24.0</v>
      </c>
      <c r="F13" s="33">
        <v>27.0</v>
      </c>
      <c r="G13" s="33" t="b">
        <v>0</v>
      </c>
      <c r="H13" s="48" t="s">
        <v>185</v>
      </c>
      <c r="I13" s="33"/>
      <c r="J13" s="59"/>
      <c r="K13" s="60" t="s">
        <v>132</v>
      </c>
      <c r="L13" s="59"/>
      <c r="M13" s="60" t="s">
        <v>147</v>
      </c>
    </row>
    <row r="14">
      <c r="A14" s="32" t="s">
        <v>260</v>
      </c>
      <c r="B14" s="33" t="s">
        <v>264</v>
      </c>
      <c r="C14" s="33" t="s">
        <v>154</v>
      </c>
      <c r="D14" s="33" t="str">
        <f t="shared" si="1"/>
        <v/>
      </c>
      <c r="E14" s="33">
        <v>21.0</v>
      </c>
      <c r="F14" s="33">
        <v>17.0</v>
      </c>
      <c r="G14" s="33" t="b">
        <v>0</v>
      </c>
      <c r="H14" s="48" t="s">
        <v>191</v>
      </c>
      <c r="I14" s="33"/>
      <c r="J14" s="64"/>
      <c r="K14" s="65" t="s">
        <v>122</v>
      </c>
      <c r="L14" s="64"/>
      <c r="M14" s="65" t="s">
        <v>122</v>
      </c>
    </row>
    <row r="15">
      <c r="A15" s="32" t="s">
        <v>267</v>
      </c>
      <c r="B15" s="33" t="s">
        <v>268</v>
      </c>
      <c r="C15" s="33" t="s">
        <v>118</v>
      </c>
      <c r="D15" s="33" t="str">
        <f t="shared" si="1"/>
        <v/>
      </c>
      <c r="E15" s="33">
        <v>13.0</v>
      </c>
      <c r="F15" s="33">
        <v>20.0</v>
      </c>
      <c r="G15" s="33" t="b">
        <v>0</v>
      </c>
      <c r="H15" s="48" t="s">
        <v>194</v>
      </c>
      <c r="I15" s="33"/>
      <c r="J15" s="51"/>
      <c r="K15" s="52" t="s">
        <v>122</v>
      </c>
      <c r="L15" s="51"/>
      <c r="M15" s="52" t="s">
        <v>147</v>
      </c>
    </row>
    <row r="16">
      <c r="A16" s="32" t="s">
        <v>273</v>
      </c>
      <c r="B16" s="33" t="s">
        <v>274</v>
      </c>
      <c r="C16" s="33" t="s">
        <v>174</v>
      </c>
      <c r="D16" s="33" t="str">
        <f t="shared" si="1"/>
        <v/>
      </c>
      <c r="E16" s="33">
        <v>24.0</v>
      </c>
      <c r="F16" s="33">
        <v>31.0</v>
      </c>
      <c r="G16" s="33" t="b">
        <v>0</v>
      </c>
      <c r="H16" s="48" t="s">
        <v>198</v>
      </c>
      <c r="I16" s="33"/>
      <c r="J16" s="59"/>
      <c r="K16" s="60" t="s">
        <v>122</v>
      </c>
      <c r="L16" s="59"/>
      <c r="M16" s="60" t="s">
        <v>180</v>
      </c>
    </row>
    <row r="17">
      <c r="A17" s="32" t="s">
        <v>277</v>
      </c>
      <c r="B17" s="33" t="s">
        <v>278</v>
      </c>
      <c r="C17" s="33" t="s">
        <v>111</v>
      </c>
      <c r="D17" s="33" t="str">
        <f t="shared" si="1"/>
        <v/>
      </c>
      <c r="E17" s="33">
        <v>24.0</v>
      </c>
      <c r="F17" s="33">
        <v>31.0</v>
      </c>
      <c r="G17" s="33" t="b">
        <v>0</v>
      </c>
      <c r="H17" s="48" t="s">
        <v>202</v>
      </c>
      <c r="I17" s="33"/>
      <c r="J17" s="59"/>
      <c r="K17" s="60" t="s">
        <v>132</v>
      </c>
      <c r="L17" s="59"/>
      <c r="M17" s="60" t="s">
        <v>147</v>
      </c>
    </row>
    <row r="18">
      <c r="A18" s="32" t="s">
        <v>281</v>
      </c>
      <c r="B18" s="33" t="s">
        <v>282</v>
      </c>
      <c r="C18" s="33" t="s">
        <v>121</v>
      </c>
      <c r="D18" s="33" t="str">
        <f t="shared" si="1"/>
        <v/>
      </c>
      <c r="E18" s="33">
        <v>17.0</v>
      </c>
      <c r="F18" s="33">
        <v>14.0</v>
      </c>
      <c r="G18" s="33" t="b">
        <v>0</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C18="CHI"</formula>
    </cfRule>
  </conditionalFormatting>
  <conditionalFormatting sqref="E18:E19">
    <cfRule type="expression" dxfId="3" priority="5" stopIfTrue="1">
      <formula>C18="PHI"</formula>
    </cfRule>
  </conditionalFormatting>
  <conditionalFormatting sqref="F17">
    <cfRule type="expression" dxfId="3" priority="6" stopIfTrue="1">
      <formula>C17="DEN"</formula>
    </cfRule>
  </conditionalFormatting>
  <conditionalFormatting sqref="E17">
    <cfRule type="expression" dxfId="3" priority="7" stopIfTrue="1">
      <formula>C17="LAR"</formula>
    </cfRule>
  </conditionalFormatting>
  <conditionalFormatting sqref="F16">
    <cfRule type="expression" dxfId="3" priority="8" stopIfTrue="1">
      <formula>C16="NO"</formula>
    </cfRule>
  </conditionalFormatting>
  <conditionalFormatting sqref="E16">
    <cfRule type="expression" dxfId="3" priority="9" stopIfTrue="1">
      <formula>C16="LV"</formula>
    </cfRule>
  </conditionalFormatting>
  <conditionalFormatting sqref="F15">
    <cfRule type="expression" dxfId="3" priority="10" stopIfTrue="1">
      <formula>C15="DAL"</formula>
    </cfRule>
  </conditionalFormatting>
  <conditionalFormatting sqref="E15">
    <cfRule type="expression" dxfId="3" priority="11" stopIfTrue="1">
      <formula>C15="BAL"</formula>
    </cfRule>
  </conditionalFormatting>
  <conditionalFormatting sqref="F14">
    <cfRule type="expression" dxfId="3" priority="12" stopIfTrue="1">
      <formula>C14="TB"</formula>
    </cfRule>
  </conditionalFormatting>
  <conditionalFormatting sqref="E14">
    <cfRule type="expression" dxfId="3" priority="13" stopIfTrue="1">
      <formula>C14="MIN"</formula>
    </cfRule>
  </conditionalFormatting>
  <conditionalFormatting sqref="F13">
    <cfRule type="expression" dxfId="3" priority="14" stopIfTrue="1">
      <formula>C13="SF"</formula>
    </cfRule>
  </conditionalFormatting>
  <conditionalFormatting sqref="E13">
    <cfRule type="expression" dxfId="3" priority="15" stopIfTrue="1">
      <formula>C13="AZ"</formula>
    </cfRule>
  </conditionalFormatting>
  <conditionalFormatting sqref="F12">
    <cfRule type="expression" dxfId="3" priority="16" stopIfTrue="1">
      <formula>C12="JAX"</formula>
    </cfRule>
  </conditionalFormatting>
  <conditionalFormatting sqref="E12">
    <cfRule type="expression" dxfId="3" priority="17" stopIfTrue="1">
      <formula>C12="NE"</formula>
    </cfRule>
  </conditionalFormatting>
  <conditionalFormatting sqref="F11">
    <cfRule type="expression" dxfId="3" priority="18" stopIfTrue="1">
      <formula>C11="WSH"</formula>
    </cfRule>
  </conditionalFormatting>
  <conditionalFormatting sqref="E11">
    <cfRule type="expression" dxfId="3" priority="19" stopIfTrue="1">
      <formula>C11="SEA"</formula>
    </cfRule>
  </conditionalFormatting>
  <conditionalFormatting sqref="F10">
    <cfRule type="expression" dxfId="3" priority="20" stopIfTrue="1">
      <formula>C10="PIT"</formula>
    </cfRule>
  </conditionalFormatting>
  <conditionalFormatting sqref="E10">
    <cfRule type="expression" dxfId="3" priority="21" stopIfTrue="1">
      <formula>C10="CIN"</formula>
    </cfRule>
  </conditionalFormatting>
  <conditionalFormatting sqref="F9">
    <cfRule type="expression" dxfId="3" priority="22" stopIfTrue="1">
      <formula>C9="NYG"</formula>
    </cfRule>
  </conditionalFormatting>
  <conditionalFormatting sqref="E9">
    <cfRule type="expression" dxfId="3" priority="23" stopIfTrue="1">
      <formula>C9="TEN"</formula>
    </cfRule>
  </conditionalFormatting>
  <conditionalFormatting sqref="F8">
    <cfRule type="expression" dxfId="3" priority="24" stopIfTrue="1">
      <formula>C8="MIA"</formula>
    </cfRule>
  </conditionalFormatting>
  <conditionalFormatting sqref="E8">
    <cfRule type="expression" dxfId="3" priority="25" stopIfTrue="1">
      <formula>C8="KC"</formula>
    </cfRule>
  </conditionalFormatting>
  <conditionalFormatting sqref="F7">
    <cfRule type="expression" dxfId="3" priority="26" stopIfTrue="1">
      <formula>C7="IND"</formula>
    </cfRule>
  </conditionalFormatting>
  <conditionalFormatting sqref="E7">
    <cfRule type="expression" dxfId="3" priority="27" stopIfTrue="1">
      <formula>C7="HOU"</formula>
    </cfRule>
  </conditionalFormatting>
  <conditionalFormatting sqref="F6">
    <cfRule type="expression" dxfId="3" priority="28" stopIfTrue="1">
      <formula>C6="DET"</formula>
    </cfRule>
  </conditionalFormatting>
  <conditionalFormatting sqref="E6">
    <cfRule type="expression" dxfId="3" priority="29" stopIfTrue="1">
      <formula>C6="NYJ"</formula>
    </cfRule>
  </conditionalFormatting>
  <conditionalFormatting sqref="F5">
    <cfRule type="expression" dxfId="3" priority="30" stopIfTrue="1">
      <formula>C5="CLE"</formula>
    </cfRule>
  </conditionalFormatting>
  <conditionalFormatting sqref="E5">
    <cfRule type="expression" dxfId="3" priority="31" stopIfTrue="1">
      <formula>C5="CAR"</formula>
    </cfRule>
  </conditionalFormatting>
  <conditionalFormatting sqref="F4">
    <cfRule type="expression" dxfId="3" priority="32" stopIfTrue="1">
      <formula>C4="BUF"</formula>
    </cfRule>
  </conditionalFormatting>
  <conditionalFormatting sqref="E4">
    <cfRule type="expression" dxfId="3" priority="33" stopIfTrue="1">
      <formula>C4="LAC"</formula>
    </cfRule>
  </conditionalFormatting>
  <conditionalFormatting sqref="F3">
    <cfRule type="expression" dxfId="3" priority="34" stopIfTrue="1">
      <formula>C3="GB"</formula>
    </cfRule>
  </conditionalFormatting>
  <conditionalFormatting sqref="E3">
    <cfRule type="expression" dxfId="3" priority="35" stopIfTrue="1">
      <formula>C3="ATL"</formula>
    </cfRule>
  </conditionalFormatting>
  <conditionalFormatting sqref="E3">
    <cfRule type="expression" dxfId="3" priority="36">
      <formula>C3="MIA"</formula>
    </cfRule>
  </conditionalFormatting>
  <conditionalFormatting sqref="F3">
    <cfRule type="expression" dxfId="3" priority="37">
      <formula>C3="BUF"</formula>
    </cfRule>
  </conditionalFormatting>
  <conditionalFormatting sqref="E4">
    <cfRule type="expression" dxfId="3" priority="38">
      <formula>C4="CIN"</formula>
    </cfRule>
  </conditionalFormatting>
  <conditionalFormatting sqref="F4">
    <cfRule type="expression" dxfId="3" priority="39">
      <formula>C4="MIN"</formula>
    </cfRule>
  </conditionalFormatting>
  <conditionalFormatting sqref="E5">
    <cfRule type="expression" dxfId="3" priority="40">
      <formula>C5="PIT"</formula>
    </cfRule>
  </conditionalFormatting>
  <conditionalFormatting sqref="F5">
    <cfRule type="expression" dxfId="3" priority="41">
      <formula>C5="NE"</formula>
    </cfRule>
  </conditionalFormatting>
  <conditionalFormatting sqref="E6">
    <cfRule type="expression" dxfId="3" priority="42">
      <formula>C6="IND"</formula>
    </cfRule>
  </conditionalFormatting>
  <conditionalFormatting sqref="F6">
    <cfRule type="expression" dxfId="3" priority="43">
      <formula>C6="TEN"</formula>
    </cfRule>
  </conditionalFormatting>
  <conditionalFormatting sqref="E7">
    <cfRule type="expression" dxfId="3" priority="44">
      <formula>C7="HOU"</formula>
    </cfRule>
  </conditionalFormatting>
  <conditionalFormatting sqref="F7">
    <cfRule type="expression" dxfId="3" priority="45">
      <formula>C7="JAX"</formula>
    </cfRule>
  </conditionalFormatting>
  <conditionalFormatting sqref="E8">
    <cfRule type="expression" dxfId="3" priority="46">
      <formula>C8="ATL"</formula>
    </cfRule>
  </conditionalFormatting>
  <conditionalFormatting sqref="F8">
    <cfRule type="expression" dxfId="3" priority="47">
      <formula>C8="CAR"</formula>
    </cfRule>
  </conditionalFormatting>
  <conditionalFormatting sqref="E9">
    <cfRule type="expression" dxfId="3" priority="48">
      <formula>C9="LAR"</formula>
    </cfRule>
  </conditionalFormatting>
  <conditionalFormatting sqref="F9">
    <cfRule type="expression" dxfId="3" priority="49">
      <formula>C9="PHI"</formula>
    </cfRule>
  </conditionalFormatting>
  <conditionalFormatting sqref="E10">
    <cfRule type="expression" dxfId="3" priority="50">
      <formula>C10="NYJ"</formula>
    </cfRule>
  </conditionalFormatting>
  <conditionalFormatting sqref="F10">
    <cfRule type="expression" dxfId="3" priority="51">
      <formula>C10="TB"</formula>
    </cfRule>
  </conditionalFormatting>
  <conditionalFormatting sqref="E11">
    <cfRule type="expression" dxfId="3" priority="52">
      <formula>C11="LV"</formula>
    </cfRule>
  </conditionalFormatting>
  <conditionalFormatting sqref="F11">
    <cfRule type="expression" dxfId="3" priority="53">
      <formula>C11="WSH"</formula>
    </cfRule>
  </conditionalFormatting>
  <conditionalFormatting sqref="E12">
    <cfRule type="expression" dxfId="3" priority="54">
      <formula>C12="GB"</formula>
    </cfRule>
  </conditionalFormatting>
  <conditionalFormatting sqref="F12">
    <cfRule type="expression" dxfId="3" priority="55">
      <formula>C12="CLE"</formula>
    </cfRule>
  </conditionalFormatting>
  <conditionalFormatting sqref="E13">
    <cfRule type="expression" dxfId="3" priority="56">
      <formula>C13="DEN"</formula>
    </cfRule>
  </conditionalFormatting>
  <conditionalFormatting sqref="F13">
    <cfRule type="expression" dxfId="3" priority="57">
      <formula>C13="LAC"</formula>
    </cfRule>
  </conditionalFormatting>
  <conditionalFormatting sqref="E14">
    <cfRule type="expression" dxfId="3" priority="58">
      <formula>C14="NO"</formula>
    </cfRule>
  </conditionalFormatting>
  <conditionalFormatting sqref="F14">
    <cfRule type="expression" dxfId="3" priority="59">
      <formula>C14="SEA"</formula>
    </cfRule>
  </conditionalFormatting>
  <conditionalFormatting sqref="E15">
    <cfRule type="expression" dxfId="3" priority="60">
      <formula>C15="AZ"</formula>
    </cfRule>
  </conditionalFormatting>
  <conditionalFormatting sqref="F15">
    <cfRule type="expression" dxfId="3" priority="61">
      <formula>C15="SF"</formula>
    </cfRule>
  </conditionalFormatting>
  <conditionalFormatting sqref="E16">
    <cfRule type="expression" dxfId="3" priority="62">
      <formula>C16="DAL"</formula>
    </cfRule>
  </conditionalFormatting>
  <conditionalFormatting sqref="F16">
    <cfRule type="expression" dxfId="3" priority="63">
      <formula>C16="CHI"</formula>
    </cfRule>
  </conditionalFormatting>
  <conditionalFormatting sqref="E17">
    <cfRule type="expression" dxfId="3" priority="64">
      <formula>C17="KC"</formula>
    </cfRule>
  </conditionalFormatting>
  <conditionalFormatting sqref="F17">
    <cfRule type="expression" dxfId="3" priority="65">
      <formula>C17="NYG"</formula>
    </cfRule>
  </conditionalFormatting>
  <conditionalFormatting sqref="E18:E19">
    <cfRule type="expression" dxfId="3" priority="66">
      <formula>C18="DET"</formula>
    </cfRule>
  </conditionalFormatting>
  <conditionalFormatting sqref="F18:F19">
    <cfRule type="expression" dxfId="3" priority="67">
      <formula>C18="BAL"</formula>
    </cfRule>
  </conditionalFormatting>
  <dataValidations>
    <dataValidation type="custom" allowBlank="1" showDropDown="1" sqref="F10">
      <formula1>if(C10="PIT",F10&gt;E10,or(E10&gt;F10,C10=""))</formula1>
    </dataValidation>
    <dataValidation type="list" allowBlank="1" showErrorMessage="1" sqref="C14">
      <formula1>"MIN,TB"</formula1>
    </dataValidation>
    <dataValidation type="custom" allowBlank="1" showDropDown="1" sqref="E17">
      <formula1>if(C17="LAR",E17&gt;F17,or(F17&gt;E17,C17=""))</formula1>
    </dataValidation>
    <dataValidation type="list" allowBlank="1" showErrorMessage="1" sqref="C7">
      <formula1>"HOU,IND"</formula1>
    </dataValidation>
    <dataValidation type="custom" allowBlank="1" showDropDown="1" sqref="E5">
      <formula1>if(C5="CAR",E5&gt;F5,or(F5&gt;E5,C5=""))</formula1>
    </dataValidation>
    <dataValidation type="custom" allowBlank="1" showDropDown="1" sqref="E16">
      <formula1>if(C16="LV",E16&gt;F16,or(F16&gt;E16,C16=""))</formula1>
    </dataValidation>
    <dataValidation type="custom" allowBlank="1" showDropDown="1" sqref="E14">
      <formula1>if(C14="MIN",E14&gt;F14,or(F14&gt;E14,C14=""))</formula1>
    </dataValidation>
    <dataValidation type="custom" allowBlank="1" showDropDown="1" sqref="E3">
      <formula1>if(C3="ATL",E3&gt;F3,or(F3&gt;E3,C3=""))</formula1>
    </dataValidation>
    <dataValidation type="custom" allowBlank="1" showDropDown="1" sqref="E7">
      <formula1>if(C7="HOU",E7&gt;F7,or(F7&gt;E7,C7=""))</formula1>
    </dataValidation>
    <dataValidation type="list" allowBlank="1" showErrorMessage="1" sqref="C10">
      <formula1>"CIN,PIT"</formula1>
    </dataValidation>
    <dataValidation type="custom" allowBlank="1" showDropDown="1" sqref="F11">
      <formula1>if(C11="WSH",F11&gt;E11,or(E11&gt;F11,C11=""))</formula1>
    </dataValidation>
    <dataValidation type="custom" allowBlank="1" showDropDown="1" sqref="F5">
      <formula1>if(C5="CLE",F5&gt;E5,or(E5&gt;F5,C5=""))</formula1>
    </dataValidation>
    <dataValidation type="list" allowBlank="1" showErrorMessage="1" sqref="C12">
      <formula1>"NE,JAX"</formula1>
    </dataValidation>
    <dataValidation type="custom" allowBlank="1" showDropDown="1" sqref="F14">
      <formula1>if(C14="TB",F14&gt;E14,or(E14&gt;F14,C14=""))</formula1>
    </dataValidation>
    <dataValidation type="custom" allowBlank="1" showDropDown="1" sqref="E6">
      <formula1>if(C6="NYJ",E6&gt;F6,or(F6&gt;E6,C6=""))</formula1>
    </dataValidation>
    <dataValidation type="custom" allowBlank="1" showDropDown="1" sqref="E15">
      <formula1>if(C15="BAL",E15&gt;F15,or(F15&gt;E15,C15=""))</formula1>
    </dataValidation>
    <dataValidation type="custom" allowBlank="1" showDropDown="1" sqref="F4">
      <formula1>if(C4="BUF",F4&gt;E4,or(E4&gt;F4,C4=""))</formula1>
    </dataValidation>
    <dataValidation type="list" allowBlank="1" showErrorMessage="1" sqref="C6">
      <formula1>"NYJ,DET"</formula1>
    </dataValidation>
    <dataValidation type="list" allowBlank="1" showErrorMessage="1" sqref="C11">
      <formula1>"SEA,WSH"</formula1>
    </dataValidation>
    <dataValidation type="list" allowBlank="1" showErrorMessage="1" sqref="C16">
      <formula1>"LV,NO"</formula1>
    </dataValidation>
    <dataValidation type="list" allowBlank="1" showErrorMessage="1" sqref="C18">
      <formula1>"PHI,CHI"</formula1>
    </dataValidation>
    <dataValidation type="custom" allowBlank="1" showDropDown="1" sqref="E18:E19">
      <formula1>if(C18="PHI",E18&gt;F18,or(F18&gt;E18,C18=""))</formula1>
    </dataValidation>
    <dataValidation type="custom" allowBlank="1" showDropDown="1" sqref="F3">
      <formula1>if(C3="GB",F3&gt;E3,or(E3&gt;F3,C3=""))</formula1>
    </dataValidation>
    <dataValidation type="custom" allowBlank="1" showDropDown="1" sqref="F8">
      <formula1>if(C8="MIA",F8&gt;E8,or(E8&gt;F8,C8=""))</formula1>
    </dataValidation>
    <dataValidation type="list" allowBlank="1" showErrorMessage="1" sqref="C15">
      <formula1>"BAL,DAL"</formula1>
    </dataValidation>
    <dataValidation type="custom" allowBlank="1" showDropDown="1" sqref="F17">
      <formula1>if(C17="DEN",F17&gt;E17,or(E17&gt;F17,C17=""))</formula1>
    </dataValidation>
    <dataValidation type="custom" allowBlank="1" showDropDown="1" sqref="E10">
      <formula1>if(C10="CIN",E10&gt;F10,or(F10&gt;E10,C10=""))</formula1>
    </dataValidation>
    <dataValidation type="custom" allowBlank="1" showDropDown="1" sqref="F12">
      <formula1>if(C12="JAX",F12&gt;E12,or(E12&gt;F12,C12=""))</formula1>
    </dataValidation>
    <dataValidation type="custom" allowBlank="1" showDropDown="1" sqref="E4">
      <formula1>if(C4="LAC",E4&gt;F4,or(F4&gt;E4,C4=""))</formula1>
    </dataValidation>
    <dataValidation type="list" allowBlank="1" showErrorMessage="1" sqref="C5">
      <formula1>"CAR,CLE"</formula1>
    </dataValidation>
    <dataValidation type="custom" allowBlank="1" showDropDown="1" sqref="E11">
      <formula1>if(C11="SEA",E11&gt;F11,or(F11&gt;E11,C11=""))</formula1>
    </dataValidation>
    <dataValidation type="list" allowBlank="1" showErrorMessage="1" sqref="C17">
      <formula1>"LAR,DEN"</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qref="F13">
      <formula1>if(C13="SF",F13&gt;E13,or(E13&gt;F13,C13=""))</formula1>
    </dataValidation>
    <dataValidation type="custom" allowBlank="1" showDropDown="1" sqref="F18:F19">
      <formula1>if(C18="CHI",F18&gt;E18,or(E18&gt;F18,C18=""))</formula1>
    </dataValidation>
    <dataValidation type="list" allowBlank="1" showErrorMessage="1" sqref="C8">
      <formula1>"KC,MIA"</formula1>
    </dataValidation>
    <dataValidation type="list" allowBlank="1" showErrorMessage="1" sqref="C4">
      <formula1>"LAC,BUF"</formula1>
    </dataValidation>
    <dataValidation type="custom" allowBlank="1" showDropDown="1" sqref="E9">
      <formula1>if(C9="TEN",E9&gt;F9,or(F9&gt;E9,C9=""))</formula1>
    </dataValidation>
    <dataValidation type="list" allowBlank="1" showErrorMessage="1" sqref="C9">
      <formula1>"TEN,NYG"</formula1>
    </dataValidation>
    <dataValidation type="custom" allowBlank="1" showDropDown="1" sqref="F7">
      <formula1>if(C7="IND",F7&gt;E7,or(E7&gt;F7,C7=""))</formula1>
    </dataValidation>
    <dataValidation type="list" allowBlank="1" showErrorMessage="1" sqref="C13">
      <formula1>"AZ,SF"</formula1>
    </dataValidation>
    <dataValidation type="custom" allowBlank="1" showDropDown="1" sqref="F15">
      <formula1>if(C15="DAL",F15&gt;E15,or(E15&gt;F15,C15=""))</formula1>
    </dataValidation>
    <dataValidation type="custom" allowBlank="1" showDropDown="1" sqref="E8">
      <formula1>if(C8="KC",E8&gt;F8,or(F8&gt;E8,C8=""))</formula1>
    </dataValidation>
    <dataValidation type="list" allowBlank="1" showErrorMessage="1" sqref="C3">
      <formula1>"ATL,GB"</formula1>
    </dataValidation>
    <dataValidation type="custom" allowBlank="1" showDropDown="1" sqref="E12">
      <formula1>if(C12="NE",E12&gt;F12,or(F12&gt;E12,C12=""))</formula1>
    </dataValidation>
    <dataValidation type="custom" allowBlank="1" showDropDown="1" sqref="F9">
      <formula1>if(C9="NYG",F9&gt;E9,or(E9&gt;F9,C9=""))</formula1>
    </dataValidation>
    <dataValidation type="custom" allowBlank="1" showDropDown="1" sqref="F16">
      <formula1>if(C16="NO",F16&gt;E16,or(E16&gt;F16,C16=""))</formula1>
    </dataValidation>
    <dataValidation type="custom" allowBlank="1" showDropDown="1" sqref="F6">
      <formula1>if(C6="DET",F6&gt;E6,or(E6&gt;F6,C6=""))</formula1>
    </dataValidation>
    <dataValidation type="custom" allowBlank="1" showDropDown="1" sqref="E13">
      <formula1>if(C13="AZ",E13&gt;F13,or(F13&gt;E13,C13=""))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4" location="'Week 4'!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38"/>
    <col customWidth="1" min="2" max="2" width="19.25"/>
    <col customWidth="1" min="3" max="3" width="16.75"/>
    <col customWidth="1" min="4" max="4" width="6.13"/>
    <col customWidth="1" min="5" max="5" width="16.75"/>
    <col customWidth="1" min="6" max="6" width="14.63"/>
    <col customWidth="1" min="7" max="7" width="13.75"/>
    <col customWidth="1" min="8" max="9" width="14.25"/>
    <col customWidth="1" min="10" max="10" width="11.38"/>
    <col customWidth="1" min="11" max="11" width="13.0"/>
    <col customWidth="1" min="12" max="12" width="11.5"/>
    <col customWidth="1" min="13" max="13" width="13.13"/>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213</v>
      </c>
      <c r="C2" s="30" t="s">
        <v>36</v>
      </c>
      <c r="D2" s="30"/>
      <c r="E2" s="29" t="s">
        <v>37</v>
      </c>
      <c r="F2" s="29" t="s">
        <v>38</v>
      </c>
      <c r="G2" s="29" t="s">
        <v>100</v>
      </c>
      <c r="H2" s="29" t="s">
        <v>101</v>
      </c>
      <c r="I2" s="29"/>
      <c r="J2" s="29" t="s">
        <v>102</v>
      </c>
      <c r="K2" s="29" t="s">
        <v>103</v>
      </c>
      <c r="L2" s="29" t="s">
        <v>104</v>
      </c>
      <c r="M2" s="29" t="s">
        <v>105</v>
      </c>
    </row>
    <row r="3">
      <c r="A3" s="32" t="s">
        <v>216</v>
      </c>
      <c r="B3" s="56" t="s">
        <v>217</v>
      </c>
      <c r="C3" s="33" t="s">
        <v>153</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31.0</v>
      </c>
      <c r="F3" s="33">
        <v>24.0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221</v>
      </c>
      <c r="B4" s="33" t="s">
        <v>222</v>
      </c>
      <c r="C4" s="33" t="s">
        <v>129</v>
      </c>
      <c r="D4" s="33" t="str">
        <f t="shared" si="1"/>
        <v/>
      </c>
      <c r="E4" s="33">
        <v>21.0</v>
      </c>
      <c r="F4" s="33">
        <v>24.0</v>
      </c>
      <c r="G4" s="33" t="b">
        <v>0</v>
      </c>
      <c r="H4" s="48" t="s">
        <v>119</v>
      </c>
      <c r="I4" s="33"/>
      <c r="J4" s="59"/>
      <c r="K4" s="60" t="s">
        <v>132</v>
      </c>
      <c r="L4" s="59"/>
      <c r="M4" s="60" t="s">
        <v>133</v>
      </c>
    </row>
    <row r="5">
      <c r="A5" s="32" t="s">
        <v>227</v>
      </c>
      <c r="B5" s="56" t="s">
        <v>228</v>
      </c>
      <c r="C5" s="33" t="s">
        <v>126</v>
      </c>
      <c r="D5" s="33" t="str">
        <f t="shared" si="1"/>
        <v/>
      </c>
      <c r="E5" s="33">
        <v>21.0</v>
      </c>
      <c r="F5" s="33">
        <v>17.0</v>
      </c>
      <c r="G5" s="33" t="b">
        <v>0</v>
      </c>
      <c r="H5" s="48" t="s">
        <v>130</v>
      </c>
      <c r="I5" s="33"/>
      <c r="J5" s="59"/>
      <c r="K5" s="60" t="s">
        <v>142</v>
      </c>
      <c r="L5" s="59"/>
      <c r="M5" s="60" t="s">
        <v>142</v>
      </c>
    </row>
    <row r="6">
      <c r="A6" s="32" t="s">
        <v>227</v>
      </c>
      <c r="B6" s="33" t="s">
        <v>230</v>
      </c>
      <c r="C6" s="33" t="s">
        <v>110</v>
      </c>
      <c r="D6" s="33" t="str">
        <f t="shared" si="1"/>
        <v/>
      </c>
      <c r="E6" s="33">
        <v>20.0</v>
      </c>
      <c r="F6" s="33">
        <v>17.0</v>
      </c>
      <c r="G6" s="33" t="b">
        <v>0</v>
      </c>
      <c r="H6" s="48" t="s">
        <v>145</v>
      </c>
      <c r="I6" s="33"/>
      <c r="J6" s="64"/>
      <c r="K6" s="65" t="s">
        <v>147</v>
      </c>
      <c r="L6" s="64"/>
      <c r="M6" s="65" t="s">
        <v>148</v>
      </c>
    </row>
    <row r="7">
      <c r="A7" s="32" t="s">
        <v>227</v>
      </c>
      <c r="B7" s="33" t="s">
        <v>234</v>
      </c>
      <c r="C7" s="33" t="s">
        <v>152</v>
      </c>
      <c r="D7" s="33" t="str">
        <f t="shared" si="1"/>
        <v/>
      </c>
      <c r="E7" s="33">
        <v>24.0</v>
      </c>
      <c r="F7" s="33">
        <v>31.0</v>
      </c>
      <c r="G7" s="33" t="b">
        <v>0</v>
      </c>
      <c r="H7" s="48" t="s">
        <v>156</v>
      </c>
      <c r="I7" s="33"/>
      <c r="J7" s="51"/>
      <c r="K7" s="52" t="s">
        <v>142</v>
      </c>
      <c r="L7" s="51"/>
      <c r="M7" s="52" t="s">
        <v>157</v>
      </c>
    </row>
    <row r="8">
      <c r="A8" s="32" t="s">
        <v>227</v>
      </c>
      <c r="B8" s="33" t="s">
        <v>237</v>
      </c>
      <c r="C8" s="33" t="s">
        <v>173</v>
      </c>
      <c r="D8" s="33" t="str">
        <f t="shared" si="1"/>
        <v/>
      </c>
      <c r="E8" s="33">
        <v>20.0</v>
      </c>
      <c r="F8" s="33">
        <v>14.0</v>
      </c>
      <c r="G8" s="33" t="b">
        <v>0</v>
      </c>
      <c r="H8" s="48" t="s">
        <v>159</v>
      </c>
      <c r="I8" s="33"/>
      <c r="J8" s="59"/>
      <c r="K8" s="60" t="s">
        <v>161</v>
      </c>
      <c r="L8" s="59"/>
      <c r="M8" s="60" t="s">
        <v>133</v>
      </c>
    </row>
    <row r="9">
      <c r="A9" s="32" t="s">
        <v>227</v>
      </c>
      <c r="B9" s="33" t="s">
        <v>240</v>
      </c>
      <c r="C9" s="33" t="s">
        <v>168</v>
      </c>
      <c r="D9" s="33" t="str">
        <f t="shared" si="1"/>
        <v/>
      </c>
      <c r="E9" s="33">
        <v>20.0</v>
      </c>
      <c r="F9" s="33">
        <v>23.0</v>
      </c>
      <c r="G9" s="33" t="b">
        <v>0</v>
      </c>
      <c r="H9" s="48" t="s">
        <v>164</v>
      </c>
      <c r="I9" s="33"/>
      <c r="J9" s="59"/>
      <c r="K9" s="60" t="s">
        <v>165</v>
      </c>
      <c r="L9" s="59"/>
      <c r="M9" s="60" t="s">
        <v>165</v>
      </c>
    </row>
    <row r="10">
      <c r="A10" s="32" t="s">
        <v>227</v>
      </c>
      <c r="B10" s="33" t="s">
        <v>243</v>
      </c>
      <c r="C10" s="33" t="s">
        <v>163</v>
      </c>
      <c r="D10" s="33" t="str">
        <f t="shared" si="1"/>
        <v/>
      </c>
      <c r="E10" s="33">
        <v>21.0</v>
      </c>
      <c r="F10" s="33">
        <v>24.0</v>
      </c>
      <c r="G10" s="33" t="b">
        <v>0</v>
      </c>
      <c r="H10" s="48" t="s">
        <v>170</v>
      </c>
      <c r="I10" s="33"/>
      <c r="J10" s="64"/>
      <c r="K10" s="65" t="s">
        <v>133</v>
      </c>
      <c r="L10" s="64"/>
      <c r="M10" s="65" t="s">
        <v>171</v>
      </c>
    </row>
    <row r="11">
      <c r="A11" s="32" t="s">
        <v>227</v>
      </c>
      <c r="B11" s="33" t="s">
        <v>246</v>
      </c>
      <c r="C11" s="33" t="s">
        <v>131</v>
      </c>
      <c r="D11" s="33" t="str">
        <f t="shared" si="1"/>
        <v/>
      </c>
      <c r="E11" s="33">
        <v>13.0</v>
      </c>
      <c r="F11" s="33">
        <v>20.0</v>
      </c>
      <c r="G11" s="33" t="b">
        <v>1</v>
      </c>
      <c r="H11" s="48" t="s">
        <v>175</v>
      </c>
      <c r="I11" s="33"/>
      <c r="J11" s="51"/>
      <c r="K11" s="52" t="s">
        <v>157</v>
      </c>
      <c r="L11" s="51"/>
      <c r="M11" s="52" t="s">
        <v>157</v>
      </c>
    </row>
    <row r="12">
      <c r="A12" s="32" t="s">
        <v>227</v>
      </c>
      <c r="B12" s="33" t="s">
        <v>249</v>
      </c>
      <c r="C12" s="33" t="s">
        <v>125</v>
      </c>
      <c r="D12" s="33" t="str">
        <f t="shared" si="1"/>
        <v/>
      </c>
      <c r="E12" s="33">
        <v>24.0</v>
      </c>
      <c r="F12" s="33">
        <v>31.0</v>
      </c>
      <c r="G12" s="33" t="b">
        <v>0</v>
      </c>
      <c r="H12" s="48" t="s">
        <v>179</v>
      </c>
      <c r="I12" s="33"/>
      <c r="J12" s="59"/>
      <c r="K12" s="60" t="s">
        <v>165</v>
      </c>
      <c r="L12" s="59"/>
      <c r="M12" s="60" t="s">
        <v>180</v>
      </c>
    </row>
    <row r="13">
      <c r="A13" s="32" t="s">
        <v>251</v>
      </c>
      <c r="B13" s="33" t="s">
        <v>252</v>
      </c>
      <c r="C13" s="33" t="s">
        <v>154</v>
      </c>
      <c r="D13" s="33" t="str">
        <f t="shared" si="1"/>
        <v/>
      </c>
      <c r="E13" s="33">
        <v>10.0</v>
      </c>
      <c r="F13" s="33">
        <v>14.0</v>
      </c>
      <c r="G13" s="33" t="b">
        <v>0</v>
      </c>
      <c r="H13" s="48" t="s">
        <v>185</v>
      </c>
      <c r="I13" s="33"/>
      <c r="J13" s="59"/>
      <c r="K13" s="60" t="s">
        <v>132</v>
      </c>
      <c r="L13" s="59"/>
      <c r="M13" s="60" t="s">
        <v>147</v>
      </c>
    </row>
    <row r="14">
      <c r="A14" s="32" t="s">
        <v>256</v>
      </c>
      <c r="B14" s="33" t="s">
        <v>257</v>
      </c>
      <c r="C14" s="33" t="s">
        <v>109</v>
      </c>
      <c r="D14" s="33" t="str">
        <f t="shared" si="1"/>
        <v/>
      </c>
      <c r="E14" s="33">
        <v>10.0</v>
      </c>
      <c r="F14" s="33">
        <v>14.0</v>
      </c>
      <c r="G14" s="33" t="b">
        <v>0</v>
      </c>
      <c r="H14" s="48" t="s">
        <v>191</v>
      </c>
      <c r="I14" s="33"/>
      <c r="J14" s="64"/>
      <c r="K14" s="65" t="s">
        <v>122</v>
      </c>
      <c r="L14" s="64"/>
      <c r="M14" s="65" t="s">
        <v>122</v>
      </c>
    </row>
    <row r="15">
      <c r="A15" s="32" t="s">
        <v>256</v>
      </c>
      <c r="B15" s="33" t="s">
        <v>262</v>
      </c>
      <c r="C15" s="33" t="s">
        <v>85</v>
      </c>
      <c r="D15" s="33" t="str">
        <f t="shared" si="1"/>
        <v/>
      </c>
      <c r="E15" s="33">
        <v>21.0</v>
      </c>
      <c r="F15" s="33">
        <v>24.0</v>
      </c>
      <c r="G15" s="33" t="b">
        <v>0</v>
      </c>
      <c r="H15" s="48" t="s">
        <v>194</v>
      </c>
      <c r="I15" s="33"/>
      <c r="J15" s="51"/>
      <c r="K15" s="52" t="s">
        <v>122</v>
      </c>
      <c r="L15" s="51"/>
      <c r="M15" s="52" t="s">
        <v>147</v>
      </c>
    </row>
    <row r="16">
      <c r="A16" s="32" t="s">
        <v>256</v>
      </c>
      <c r="B16" s="56" t="s">
        <v>265</v>
      </c>
      <c r="C16" s="33" t="s">
        <v>108</v>
      </c>
      <c r="D16" s="33" t="str">
        <f t="shared" si="1"/>
        <v/>
      </c>
      <c r="E16" s="33">
        <v>21.0</v>
      </c>
      <c r="F16" s="33">
        <v>28.0</v>
      </c>
      <c r="G16" s="33" t="b">
        <v>0</v>
      </c>
      <c r="H16" s="48" t="s">
        <v>198</v>
      </c>
      <c r="I16" s="33"/>
      <c r="J16" s="59"/>
      <c r="K16" s="60" t="s">
        <v>122</v>
      </c>
      <c r="L16" s="59"/>
      <c r="M16" s="60" t="s">
        <v>180</v>
      </c>
    </row>
    <row r="17">
      <c r="A17" s="32" t="s">
        <v>269</v>
      </c>
      <c r="B17" s="33" t="s">
        <v>270</v>
      </c>
      <c r="C17" s="33" t="s">
        <v>138</v>
      </c>
      <c r="D17" s="33" t="str">
        <f t="shared" si="1"/>
        <v/>
      </c>
      <c r="E17" s="33">
        <v>14.0</v>
      </c>
      <c r="F17" s="33">
        <v>10.0</v>
      </c>
      <c r="G17" s="33" t="b">
        <v>0</v>
      </c>
      <c r="H17" s="48" t="s">
        <v>202</v>
      </c>
      <c r="I17" s="33"/>
      <c r="J17" s="59"/>
      <c r="K17" s="60" t="s">
        <v>132</v>
      </c>
      <c r="L17" s="59"/>
      <c r="M17" s="60" t="s">
        <v>147</v>
      </c>
    </row>
    <row r="18">
      <c r="A18" s="32" t="s">
        <v>275</v>
      </c>
      <c r="B18" s="56" t="s">
        <v>276</v>
      </c>
      <c r="C18" s="33" t="s">
        <v>140</v>
      </c>
      <c r="D18" s="33" t="str">
        <f t="shared" si="1"/>
        <v/>
      </c>
      <c r="E18" s="33">
        <v>23.0</v>
      </c>
      <c r="F18" s="33">
        <v>20.0</v>
      </c>
      <c r="G18" s="33" t="b">
        <v>0</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C3="PIT"</formula>
    </cfRule>
  </conditionalFormatting>
  <conditionalFormatting sqref="F3">
    <cfRule type="expression" dxfId="3" priority="5" stopIfTrue="1">
      <formula>C3="CLE"</formula>
    </cfRule>
  </conditionalFormatting>
  <conditionalFormatting sqref="E4">
    <cfRule type="expression" dxfId="3" priority="6" stopIfTrue="1">
      <formula>C4="IND"</formula>
    </cfRule>
  </conditionalFormatting>
  <conditionalFormatting sqref="F4">
    <cfRule type="expression" dxfId="3" priority="7" stopIfTrue="1">
      <formula>C4="WSH"</formula>
    </cfRule>
  </conditionalFormatting>
  <conditionalFormatting sqref="E5">
    <cfRule type="expression" dxfId="3" priority="8" stopIfTrue="1">
      <formula>C5="NE"</formula>
    </cfRule>
  </conditionalFormatting>
  <conditionalFormatting sqref="F5">
    <cfRule type="expression" dxfId="3" priority="9" stopIfTrue="1">
      <formula>C5="BUF"</formula>
    </cfRule>
  </conditionalFormatting>
  <conditionalFormatting sqref="E6">
    <cfRule type="expression" dxfId="3" priority="10" stopIfTrue="1">
      <formula>C6="LAR"</formula>
    </cfRule>
  </conditionalFormatting>
  <conditionalFormatting sqref="F6">
    <cfRule type="expression" dxfId="3" priority="11" stopIfTrue="1">
      <formula>C6="PHI"</formula>
    </cfRule>
  </conditionalFormatting>
  <conditionalFormatting sqref="E7">
    <cfRule type="expression" dxfId="3" priority="12" stopIfTrue="1">
      <formula>C7="NYJ"</formula>
    </cfRule>
  </conditionalFormatting>
  <conditionalFormatting sqref="F7">
    <cfRule type="expression" dxfId="3" priority="13" stopIfTrue="1">
      <formula>C7="CHI"</formula>
    </cfRule>
  </conditionalFormatting>
  <conditionalFormatting sqref="E8">
    <cfRule type="expression" dxfId="3" priority="14" stopIfTrue="1">
      <formula>C8="JAX"</formula>
    </cfRule>
  </conditionalFormatting>
  <conditionalFormatting sqref="F8">
    <cfRule type="expression" dxfId="3" priority="15" stopIfTrue="1">
      <formula>C8="CIN"</formula>
    </cfRule>
  </conditionalFormatting>
  <conditionalFormatting sqref="E9">
    <cfRule type="expression" dxfId="3" priority="16" stopIfTrue="1">
      <formula>C9="GB"</formula>
    </cfRule>
  </conditionalFormatting>
  <conditionalFormatting sqref="F9">
    <cfRule type="expression" dxfId="3" priority="17" stopIfTrue="1">
      <formula>C9="TB"</formula>
    </cfRule>
  </conditionalFormatting>
  <conditionalFormatting sqref="E10">
    <cfRule type="expression" dxfId="3" priority="18" stopIfTrue="1">
      <formula>C10="DAL"</formula>
    </cfRule>
  </conditionalFormatting>
  <conditionalFormatting sqref="F10">
    <cfRule type="expression" dxfId="3" priority="19" stopIfTrue="1">
      <formula>C10="HOU"</formula>
    </cfRule>
  </conditionalFormatting>
  <conditionalFormatting sqref="E11">
    <cfRule type="expression" dxfId="3" priority="20" stopIfTrue="1">
      <formula>C11="TEN"</formula>
    </cfRule>
  </conditionalFormatting>
  <conditionalFormatting sqref="F11">
    <cfRule type="expression" dxfId="3" priority="21" stopIfTrue="1">
      <formula>C11="BAL"</formula>
    </cfRule>
  </conditionalFormatting>
  <conditionalFormatting sqref="E12">
    <cfRule type="expression" dxfId="3" priority="22" stopIfTrue="1">
      <formula>C12="AZ"</formula>
    </cfRule>
  </conditionalFormatting>
  <conditionalFormatting sqref="F12">
    <cfRule type="expression" dxfId="3" priority="23" stopIfTrue="1">
      <formula>C12="NYG"</formula>
    </cfRule>
  </conditionalFormatting>
  <conditionalFormatting sqref="E13">
    <cfRule type="expression" dxfId="3" priority="24" stopIfTrue="1">
      <formula>C13="MIA"</formula>
    </cfRule>
  </conditionalFormatting>
  <conditionalFormatting sqref="F13">
    <cfRule type="expression" dxfId="3" priority="25" stopIfTrue="1">
      <formula>C13="MIN"</formula>
    </cfRule>
  </conditionalFormatting>
  <conditionalFormatting sqref="E14">
    <cfRule type="expression" dxfId="3" priority="26" stopIfTrue="1">
      <formula>C14="LAC"</formula>
    </cfRule>
  </conditionalFormatting>
  <conditionalFormatting sqref="F14">
    <cfRule type="expression" dxfId="3" priority="27" stopIfTrue="1">
      <formula>C14="SEA"</formula>
    </cfRule>
  </conditionalFormatting>
  <conditionalFormatting sqref="E15">
    <cfRule type="expression" dxfId="3" priority="28" stopIfTrue="1">
      <formula>C15="DEN"</formula>
    </cfRule>
  </conditionalFormatting>
  <conditionalFormatting sqref="F15">
    <cfRule type="expression" dxfId="3" priority="29" stopIfTrue="1">
      <formula>C15="SF"</formula>
    </cfRule>
  </conditionalFormatting>
  <conditionalFormatting sqref="E16">
    <cfRule type="expression" dxfId="3" priority="30" stopIfTrue="1">
      <formula>C16="KC"</formula>
    </cfRule>
  </conditionalFormatting>
  <conditionalFormatting sqref="F16">
    <cfRule type="expression" dxfId="3" priority="31" stopIfTrue="1">
      <formula>C16="LV"</formula>
    </cfRule>
  </conditionalFormatting>
  <conditionalFormatting sqref="E17">
    <cfRule type="expression" dxfId="3" priority="32" stopIfTrue="1">
      <formula>C17="DET"</formula>
    </cfRule>
  </conditionalFormatting>
  <conditionalFormatting sqref="F17">
    <cfRule type="expression" dxfId="3" priority="33" stopIfTrue="1">
      <formula>C17="CAR"</formula>
    </cfRule>
  </conditionalFormatting>
  <conditionalFormatting sqref="E18:E19">
    <cfRule type="expression" dxfId="3" priority="34" stopIfTrue="1">
      <formula>C18="ATL"</formula>
    </cfRule>
  </conditionalFormatting>
  <conditionalFormatting sqref="F18:F19">
    <cfRule type="expression" dxfId="3" priority="35" stopIfTrue="1">
      <formula>C18="NO"</formula>
    </cfRule>
  </conditionalFormatting>
  <dataValidations>
    <dataValidation type="custom" allowBlank="1" showDropDown="1" showInputMessage="1" prompt="Enter a value that satisfies the formula: =IF(C2=&quot;CLE&quot;,F2&gt;E2,OR(E2&gt;F2,C2=&quot;&quot;))" sqref="F3">
      <formula1>IF(C3="CLE",F3&gt;E3,OR(E3&gt;F3,C3=""))</formula1>
    </dataValidation>
    <dataValidation type="custom" allowBlank="1" showDropDown="1" showInputMessage="1" prompt="Enter a value that satisfies the formula: =IF(C11=&quot;NYG&quot;,F11&gt;E11,OR(E11&gt;F11,C11=&quot;&quot;))" sqref="F12">
      <formula1>IF(C12="NYG",F12&gt;E12,OR(E12&gt;F12,C12=""))</formula1>
    </dataValidation>
    <dataValidation type="custom" allowBlank="1" showDropDown="1" showInputMessage="1" prompt="Enter a value that satisfies the formula: =IF(C15=&quot;KC&quot;,E15&gt;F15,OR(F15&gt;E15,C15=&quot;&quot;))" sqref="E16">
      <formula1>IF(C16="KC",E16&gt;F16,OR(F16&gt;E16,C16=""))</formula1>
    </dataValidation>
    <dataValidation type="custom" allowBlank="1" showDropDown="1" showInputMessage="1" prompt="Enter a value that satisfies the formula: =IF(C6=&quot;CHI&quot;,F6&gt;E6,OR(E6&gt;F6,C6=&quot;&quot;))" sqref="F7">
      <formula1>IF(C7="CHI",F7&gt;E7,OR(E7&gt;F7,C7=""))</formula1>
    </dataValidation>
    <dataValidation type="list" allowBlank="1" showErrorMessage="1" sqref="C18">
      <formula1>"ATL,NO"</formula1>
    </dataValidation>
    <dataValidation type="list" allowBlank="1" showErrorMessage="1" sqref="C5">
      <formula1>"NE,BUF"</formula1>
    </dataValidation>
    <dataValidation type="custom" allowBlank="1" showDropDown="1" showInputMessage="1" prompt="Enter a value that satisfies the formula: =IF(C10=&quot;BAL&quot;,F10&gt;E10,OR(E10&gt;F10,C10=&quot;&quot;))" sqref="F11">
      <formula1>IF(C11="BAL",F11&gt;E11,OR(E11&gt;F11,C11=""))</formula1>
    </dataValidation>
    <dataValidation type="list" allowBlank="1" showErrorMessage="1" sqref="C6">
      <formula1>"LAR,PHI"</formula1>
    </dataValidation>
    <dataValidation type="custom" allowBlank="1" showDropDown="1" showInputMessage="1" prompt="Enter a value that satisfies the formula: =IF(C10=&quot;TEN&quot;,E10&gt;F10,OR(F10&gt;E10,C10=&quot;&quot;))" sqref="E11">
      <formula1>IF(C11="TEN",E11&gt;F11,OR(F11&gt;E11,C11=""))</formula1>
    </dataValidation>
    <dataValidation type="custom" allowBlank="1" showDropDown="1" showInputMessage="1" prompt="Enter a value that satisfies the formula: =IF(C16=&quot;DET&quot;,E16&gt;F16,OR(F16&gt;E16,C16=&quot;&quot;))" sqref="E17">
      <formula1>IF(C17="DET",E17&gt;F17,OR(F17&gt;E17,C17=""))</formula1>
    </dataValidation>
    <dataValidation type="custom" allowBlank="1" showDropDown="1" showInputMessage="1" prompt="Enter a value that satisfies the formula: =IF(C16=&quot;CAR&quot;,F16&gt;E16,OR(E16&gt;F16,C16=&quot;&quot;))" sqref="F17">
      <formula1>IF(C17="CAR",F17&gt;E17,OR(E17&gt;F17,C17=""))</formula1>
    </dataValidation>
    <dataValidation type="list" allowBlank="1" showErrorMessage="1" sqref="C3">
      <formula1>"PIT,CLE"</formula1>
    </dataValidation>
    <dataValidation type="custom" allowBlank="1" showDropDown="1" showInputMessage="1" prompt="Enter a value that satisfies the formula: =IF(C4=&quot;NE&quot;,E4&gt;F4,OR(F4&gt;E4,C4=&quot;&quot;))" sqref="E5">
      <formula1>IF(C5="NE",E5&gt;F5,OR(F5&gt;E5,C5=""))</formula1>
    </dataValidation>
    <dataValidation type="list" allowBlank="1" showErrorMessage="1" sqref="C12">
      <formula1>"AZ,NYG"</formula1>
    </dataValidation>
    <dataValidation type="list" allowBlank="1" showErrorMessage="1" sqref="C11">
      <formula1>"TEN,BAL"</formula1>
    </dataValidation>
    <dataValidation type="list" allowBlank="1" showErrorMessage="1" sqref="C14">
      <formula1>"LAC,SEA"</formula1>
    </dataValidation>
    <dataValidation type="custom" allowBlank="1" showDropDown="1" showInputMessage="1" prompt="Enter a value that satisfies the formula: =IF(C12=&quot;MIA&quot;,E12&gt;F12,OR(F12&gt;E12,C12=&quot;&quot;))" sqref="E13">
      <formula1>IF(C13="MIA",E13&gt;F13,OR(F13&gt;E13,C13=""))</formula1>
    </dataValidation>
    <dataValidation type="custom" allowBlank="1" showDropDown="1" showInputMessage="1" prompt="Enter a value that satisfies the formula: =IF(C6=&quot;NYJ&quot;,E6&gt;F6,OR(F6&gt;E6,C6=&quot;&quot;))" sqref="E7">
      <formula1>IF(C7="NYJ",E7&gt;F7,OR(F7&gt;E7,C7=""))</formula1>
    </dataValidation>
    <dataValidation type="custom" allowBlank="1" showDropDown="1" showInputMessage="1" prompt="Enter a value that satisfies the formula: =IF(C11=&quot;AZ&quot;,E11&gt;F11,OR(F11&gt;E11,C11=&quot;&quot;))" sqref="E12">
      <formula1>IF(C12="AZ",E12&gt;F12,OR(F12&gt;E12,C12=""))</formula1>
    </dataValidation>
    <dataValidation type="list" allowBlank="1" showErrorMessage="1" sqref="C15">
      <formula1>"DEN,SF"</formula1>
    </dataValidation>
    <dataValidation type="custom" allowBlank="1" showDropDown="1" showInputMessage="1" prompt="Enter a value that satisfies the formula: =IF(C15=&quot;LV&quot;,F15&gt;E15,OR(E15&gt;F15,C15=&quot;&quot;))" sqref="F16">
      <formula1>IF(C16="LV",F16&gt;E16,OR(E16&gt;F16,C16=""))</formula1>
    </dataValidation>
    <dataValidation type="custom" allowBlank="1" showDropDown="1" showInputMessage="1" prompt="Enter a value that satisfies the formula: =IF(C14=&quot;DEN&quot;,E14&gt;F14,OR(F14&gt;E14,C14=&quot;&quot;))" sqref="E15">
      <formula1>IF(C15="DEN",E15&gt;F15,OR(F15&gt;E15,C15=""))</formula1>
    </dataValidation>
    <dataValidation type="custom" allowBlank="1" showDropDown="1" showInputMessage="1" prompt="Enter a value that satisfies the formula: =IF(C17=&quot;NO&quot;,F17&gt;E17,OR(E17&gt;F17,C17=&quot;&quot;))" sqref="F18:F19">
      <formula1>IF(C18="NO",F18&gt;E18,OR(E18&gt;F18,C18=""))</formula1>
    </dataValidation>
    <dataValidation type="list" allowBlank="1" showErrorMessage="1" sqref="C13">
      <formula1>"MIA,MIN"</formula1>
    </dataValidation>
    <dataValidation type="custom" allowBlank="1" showDropDown="1" showInputMessage="1" prompt="Enter a value that satisfies the formula: =IF(C14=&quot;SF&quot;,F14&gt;E14,OR(E14&gt;F14,C14=&quot;&quot;))" sqref="F15">
      <formula1>IF(C15="SF",F15&gt;E15,OR(E15&gt;F15,C15=""))</formula1>
    </dataValidation>
    <dataValidation type="custom" allowBlank="1" showDropDown="1" showInputMessage="1" prompt="Enter a value that satisfies the formula: =IF(C13=&quot;LAC&quot;,E13&gt;F13,OR(F13&gt;E13,C13=&quot;&quot;))" sqref="E14">
      <formula1>IF(C14="LAC",E14&gt;F14,OR(F14&gt;E14,C14=""))</formula1>
    </dataValidation>
    <dataValidation type="custom" allowBlank="1" showDropDown="1" showInputMessage="1" prompt="Enter a value that satisfies the formula: =IF(C8=&quot;TB&quot;,F8&gt;E8,OR(E8&gt;F8,C8=&quot;&quot;))" sqref="F9">
      <formula1>IF(C9="TB",F9&gt;E9,OR(E9&gt;F9,C9=""))</formula1>
    </dataValidation>
    <dataValidation type="custom" allowBlank="1" showDropDown="1" showInputMessage="1" prompt="Enter a value that satisfies the formula: =IF(C3=&quot;IND&quot;,E3&gt;F3,OR(F3&gt;E3,C3=&quot;&quot;))" sqref="E4">
      <formula1>IF(C4="IND",E4&gt;F4,OR(F4&gt;E4,C4=""))</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3=&quot;WSH&quot;,F3&gt;E3,OR(E3&gt;F3,C3=&quot;&quot;))" sqref="F4">
      <formula1>IF(C4="WSH",F4&gt;E4,OR(E4&gt;F4,C4=""))</formula1>
    </dataValidation>
    <dataValidation type="list" allowBlank="1" showErrorMessage="1" sqref="C16">
      <formula1>"KC,LV"</formula1>
    </dataValidation>
    <dataValidation type="custom" allowBlank="1" showDropDown="1" showInputMessage="1" prompt="Enter a value that satisfies the formula: =IF(C5=&quot;PHI&quot;,F5&gt;E5,OR(E5&gt;F5,C5=&quot;&quot;))" sqref="F6">
      <formula1>IF(C6="PHI",F6&gt;E6,OR(E6&gt;F6,C6=""))</formula1>
    </dataValidation>
    <dataValidation type="custom" allowBlank="1" showDropDown="1" showInputMessage="1" prompt="Enter a value that satisfies the formula: =IF(C2=&quot;PIT&quot;,E2&gt;F2,OR(F2&gt;E2,C2=&quot;&quot;))" sqref="E3">
      <formula1>IF(C3="PIT",E3&gt;F3,OR(F3&gt;E3,C3=""))</formula1>
    </dataValidation>
    <dataValidation type="list" allowBlank="1" showErrorMessage="1" sqref="C10">
      <formula1>"DAL,HOU"</formula1>
    </dataValidation>
    <dataValidation type="custom" allowBlank="1" showDropDown="1" showInputMessage="1" prompt="Enter a value that satisfies the formula: =IF(C8=&quot;GB&quot;,E8&gt;F8,OR(F8&gt;E8,C8=&quot;&quot;))" sqref="E9">
      <formula1>IF(C9="GB",E9&gt;F9,OR(F9&gt;E9,C9=""))</formula1>
    </dataValidation>
    <dataValidation type="list" allowBlank="1" showErrorMessage="1" sqref="C8">
      <formula1>"JAX,CIN"</formula1>
    </dataValidation>
    <dataValidation type="custom" allowBlank="1" showDropDown="1" showInputMessage="1" prompt="Enter a value that satisfies the formula: =IF(C5=&quot;LAR&quot;,E5&gt;F5,OR(F5&gt;E5,C5=&quot;&quot;))" sqref="E6">
      <formula1>IF(C6="LAR",E6&gt;F6,OR(F6&gt;E6,C6=""))</formula1>
    </dataValidation>
    <dataValidation type="custom" allowBlank="1" showDropDown="1" showInputMessage="1" prompt="Enter a value that satisfies the formula: =IF(C13=&quot;SEA&quot;,F13&gt;E13,OR(E13&gt;F13,C13=&quot;&quot;))" sqref="F14">
      <formula1>IF(C14="SEA",F14&gt;E14,OR(E14&gt;F14,C14=""))</formula1>
    </dataValidation>
    <dataValidation type="list" allowBlank="1" showErrorMessage="1" sqref="C4">
      <formula1>"IND,WSH"</formula1>
    </dataValidation>
    <dataValidation type="custom" allowBlank="1" showDropDown="1" showInputMessage="1" prompt="Enter a value that satisfies the formula: =IF(C7=&quot;CIN&quot;,F7&gt;E7,OR(E7&gt;F7,C7=&quot;&quot;))" sqref="F8">
      <formula1>IF(C8="CIN",F8&gt;E8,OR(E8&gt;F8,C8=""))</formula1>
    </dataValidation>
    <dataValidation type="list" allowBlank="1" showErrorMessage="1" sqref="C17">
      <formula1>"DET,CAR"</formula1>
    </dataValidation>
    <dataValidation type="custom" allowBlank="1" showDropDown="1" showInputMessage="1" prompt="Enter a value that satisfies the formula: =IF(C4=&quot;BUF&quot;,F4&gt;E4,OR(E4&gt;F4,C4=&quot;&quot;))" sqref="F5">
      <formula1>IF(C5="BUF",F5&gt;E5,OR(E5&gt;F5,C5=""))</formula1>
    </dataValidation>
    <dataValidation type="list" allowBlank="1" showErrorMessage="1" sqref="C9">
      <formula1>"GB,TB"</formula1>
    </dataValidation>
    <dataValidation type="custom" allowBlank="1" showDropDown="1" showInputMessage="1" prompt="Enter a value that satisfies the formula: =IF(C9=&quot;DAL&quot;,E9&gt;F9,OR(F9&gt;E9,C9=&quot;&quot;))" sqref="E10">
      <formula1>IF(C10="DAL",E10&gt;F10,OR(F10&gt;E10,C10=""))</formula1>
    </dataValidation>
    <dataValidation type="custom" allowBlank="1" showDropDown="1" showInputMessage="1" prompt="Enter a value that satisfies the formula: =IF(C9=&quot;HOU&quot;,F9&gt;E9,OR(E9&gt;F9,C9=&quot;&quot;))" sqref="F10">
      <formula1>IF(C10="HOU",F10&gt;E10,OR(E10&gt;F10,C10=""))</formula1>
    </dataValidation>
    <dataValidation type="custom" allowBlank="1" showDropDown="1" showInputMessage="1" prompt="Enter a value that satisfies the formula: =IF(C17=&quot;ATL&quot;,E17&gt;F17,OR(F17&gt;E17,C17=&quot;&quot;))" sqref="E18:E19">
      <formula1>IF(C18="ATL",E18&gt;F18,OR(F18&gt;E18,C18=""))</formula1>
    </dataValidation>
    <dataValidation type="custom" allowBlank="1" showDropDown="1" showInputMessage="1" prompt="Enter a value that satisfies the formula: =IF(C12=&quot;MIN&quot;,F12&gt;E12,OR(E12&gt;F12,C12=&quot;&quot;))" sqref="F13">
      <formula1>IF(C13="MIN",F13&gt;E13,OR(E13&gt;F13,C13=""))</formula1>
    </dataValidation>
    <dataValidation type="list" allowBlank="1" showErrorMessage="1" sqref="C7">
      <formula1>"NYJ,CHI"</formula1>
    </dataValidation>
    <dataValidation type="custom" allowBlank="1" showDropDown="1" showInputMessage="1" prompt="Enter a value that satisfies the formula: =IF(C7=&quot;JAX&quot;,E7&gt;F7,OR(F7&gt;E7,C7=&quot;&quot;))" sqref="E8">
      <formula1>IF(C8="JAX",E8&gt;F8,OR(F8&gt;E8,C8=""))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5" location="'Week 5'!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6.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15 / 15</v>
      </c>
      <c r="G1" s="23" t="s">
        <v>60</v>
      </c>
      <c r="H1" s="23" t="s">
        <v>82</v>
      </c>
      <c r="I1" s="23" t="s">
        <v>84</v>
      </c>
      <c r="J1" s="28"/>
      <c r="K1" s="28"/>
      <c r="L1" s="28"/>
      <c r="M1" s="28"/>
    </row>
    <row r="2">
      <c r="A2" s="29" t="s">
        <v>98</v>
      </c>
      <c r="B2" s="29" t="s">
        <v>218</v>
      </c>
      <c r="C2" s="30" t="s">
        <v>36</v>
      </c>
      <c r="D2" s="30"/>
      <c r="E2" s="29" t="s">
        <v>37</v>
      </c>
      <c r="F2" s="29" t="s">
        <v>38</v>
      </c>
      <c r="G2" s="29" t="s">
        <v>100</v>
      </c>
      <c r="H2" s="29" t="s">
        <v>101</v>
      </c>
      <c r="I2" s="29"/>
      <c r="J2" s="29" t="s">
        <v>102</v>
      </c>
      <c r="K2" s="29" t="s">
        <v>103</v>
      </c>
      <c r="L2" s="29" t="s">
        <v>104</v>
      </c>
      <c r="M2" s="29" t="s">
        <v>105</v>
      </c>
    </row>
    <row r="3">
      <c r="A3" s="32" t="s">
        <v>219</v>
      </c>
      <c r="B3" s="33" t="s">
        <v>220</v>
      </c>
      <c r="C3" s="33" t="s">
        <v>118</v>
      </c>
      <c r="D3" s="33"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21.0</v>
      </c>
      <c r="F3" s="33">
        <v>24.0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225</v>
      </c>
      <c r="B4" s="33" t="s">
        <v>226</v>
      </c>
      <c r="C4" s="33" t="s">
        <v>173</v>
      </c>
      <c r="D4" s="33" t="str">
        <f t="shared" si="1"/>
        <v/>
      </c>
      <c r="E4" s="33">
        <v>10.0</v>
      </c>
      <c r="F4" s="33">
        <v>14.0</v>
      </c>
      <c r="G4" s="33" t="b">
        <v>0</v>
      </c>
      <c r="H4" s="48" t="s">
        <v>119</v>
      </c>
      <c r="I4" s="33"/>
      <c r="J4" s="59"/>
      <c r="K4" s="60" t="s">
        <v>132</v>
      </c>
      <c r="L4" s="59"/>
      <c r="M4" s="60" t="s">
        <v>133</v>
      </c>
    </row>
    <row r="5">
      <c r="A5" s="32" t="s">
        <v>231</v>
      </c>
      <c r="B5" s="33" t="s">
        <v>232</v>
      </c>
      <c r="C5" s="33" t="s">
        <v>126</v>
      </c>
      <c r="D5" s="33" t="str">
        <f t="shared" si="1"/>
        <v/>
      </c>
      <c r="E5" s="33">
        <v>17.0</v>
      </c>
      <c r="F5" s="33">
        <v>21.0</v>
      </c>
      <c r="G5" s="33" t="b">
        <v>0</v>
      </c>
      <c r="H5" s="48" t="s">
        <v>130</v>
      </c>
      <c r="I5" s="33"/>
      <c r="J5" s="59"/>
      <c r="K5" s="60" t="s">
        <v>142</v>
      </c>
      <c r="L5" s="59"/>
      <c r="M5" s="60" t="s">
        <v>142</v>
      </c>
    </row>
    <row r="6">
      <c r="A6" s="32" t="s">
        <v>231</v>
      </c>
      <c r="B6" s="33" t="s">
        <v>235</v>
      </c>
      <c r="C6" s="33" t="s">
        <v>136</v>
      </c>
      <c r="D6" s="33" t="str">
        <f t="shared" si="1"/>
        <v/>
      </c>
      <c r="E6" s="33">
        <v>24.0</v>
      </c>
      <c r="F6" s="33">
        <v>21.0</v>
      </c>
      <c r="G6" s="33" t="b">
        <v>0</v>
      </c>
      <c r="H6" s="48" t="s">
        <v>141</v>
      </c>
      <c r="I6" s="33"/>
      <c r="J6" s="64"/>
      <c r="K6" s="65" t="s">
        <v>147</v>
      </c>
      <c r="L6" s="64"/>
      <c r="M6" s="65" t="s">
        <v>148</v>
      </c>
    </row>
    <row r="7">
      <c r="A7" s="32" t="s">
        <v>231</v>
      </c>
      <c r="B7" s="33" t="s">
        <v>238</v>
      </c>
      <c r="C7" s="33" t="s">
        <v>154</v>
      </c>
      <c r="D7" s="33" t="str">
        <f t="shared" si="1"/>
        <v/>
      </c>
      <c r="E7" s="33">
        <v>20.0</v>
      </c>
      <c r="F7" s="33">
        <v>17.0</v>
      </c>
      <c r="G7" s="33" t="b">
        <v>0</v>
      </c>
      <c r="H7" s="48" t="s">
        <v>156</v>
      </c>
      <c r="I7" s="33"/>
      <c r="J7" s="51"/>
      <c r="K7" s="52" t="s">
        <v>142</v>
      </c>
      <c r="L7" s="51"/>
      <c r="M7" s="52" t="s">
        <v>157</v>
      </c>
    </row>
    <row r="8">
      <c r="A8" s="32" t="s">
        <v>231</v>
      </c>
      <c r="B8" s="56" t="s">
        <v>241</v>
      </c>
      <c r="C8" s="33" t="s">
        <v>163</v>
      </c>
      <c r="D8" s="33" t="str">
        <f t="shared" si="1"/>
        <v/>
      </c>
      <c r="E8" s="33">
        <v>21.0</v>
      </c>
      <c r="F8" s="33">
        <v>17.0</v>
      </c>
      <c r="G8" s="33" t="b">
        <v>1</v>
      </c>
      <c r="H8" s="48" t="s">
        <v>159</v>
      </c>
      <c r="I8" s="33"/>
      <c r="J8" s="59"/>
      <c r="K8" s="60" t="s">
        <v>161</v>
      </c>
      <c r="L8" s="59"/>
      <c r="M8" s="60" t="s">
        <v>133</v>
      </c>
    </row>
    <row r="9">
      <c r="A9" s="32" t="s">
        <v>231</v>
      </c>
      <c r="B9" s="33" t="s">
        <v>244</v>
      </c>
      <c r="C9" s="33" t="s">
        <v>178</v>
      </c>
      <c r="D9" s="33" t="str">
        <f t="shared" si="1"/>
        <v/>
      </c>
      <c r="E9" s="33">
        <v>20.0</v>
      </c>
      <c r="F9" s="33">
        <v>17.0</v>
      </c>
      <c r="G9" s="33" t="b">
        <v>0</v>
      </c>
      <c r="H9" s="48" t="s">
        <v>164</v>
      </c>
      <c r="I9" s="33"/>
      <c r="J9" s="59"/>
      <c r="K9" s="60" t="s">
        <v>165</v>
      </c>
      <c r="L9" s="59"/>
      <c r="M9" s="60" t="s">
        <v>165</v>
      </c>
    </row>
    <row r="10">
      <c r="A10" s="32" t="s">
        <v>231</v>
      </c>
      <c r="B10" s="33" t="s">
        <v>247</v>
      </c>
      <c r="C10" s="33" t="s">
        <v>144</v>
      </c>
      <c r="D10" s="33" t="str">
        <f t="shared" si="1"/>
        <v/>
      </c>
      <c r="E10" s="33">
        <v>28.0</v>
      </c>
      <c r="F10" s="33">
        <v>21.0</v>
      </c>
      <c r="G10" s="33" t="b">
        <v>0</v>
      </c>
      <c r="H10" s="48" t="s">
        <v>170</v>
      </c>
      <c r="I10" s="33"/>
      <c r="J10" s="64"/>
      <c r="K10" s="65" t="s">
        <v>133</v>
      </c>
      <c r="L10" s="64"/>
      <c r="M10" s="65" t="s">
        <v>171</v>
      </c>
    </row>
    <row r="11">
      <c r="A11" s="32" t="s">
        <v>231</v>
      </c>
      <c r="B11" s="56" t="s">
        <v>250</v>
      </c>
      <c r="C11" s="33" t="s">
        <v>129</v>
      </c>
      <c r="D11" s="33" t="str">
        <f t="shared" si="1"/>
        <v/>
      </c>
      <c r="E11" s="33">
        <v>14.0</v>
      </c>
      <c r="F11" s="33">
        <v>20.0</v>
      </c>
      <c r="G11" s="33" t="b">
        <v>0</v>
      </c>
      <c r="H11" s="48" t="s">
        <v>175</v>
      </c>
      <c r="I11" s="33"/>
      <c r="J11" s="51"/>
      <c r="K11" s="52" t="s">
        <v>157</v>
      </c>
      <c r="L11" s="51"/>
      <c r="M11" s="52" t="s">
        <v>157</v>
      </c>
    </row>
    <row r="12">
      <c r="A12" s="32" t="s">
        <v>254</v>
      </c>
      <c r="B12" s="56" t="s">
        <v>255</v>
      </c>
      <c r="C12" s="33" t="s">
        <v>111</v>
      </c>
      <c r="D12" s="33" t="str">
        <f t="shared" si="1"/>
        <v/>
      </c>
      <c r="E12" s="33">
        <v>27.0</v>
      </c>
      <c r="F12" s="33">
        <v>24.0</v>
      </c>
      <c r="G12" s="33" t="b">
        <v>0</v>
      </c>
      <c r="H12" s="48" t="s">
        <v>179</v>
      </c>
      <c r="I12" s="33"/>
      <c r="J12" s="59"/>
      <c r="K12" s="60" t="s">
        <v>165</v>
      </c>
      <c r="L12" s="59"/>
      <c r="M12" s="60" t="s">
        <v>180</v>
      </c>
    </row>
    <row r="13">
      <c r="A13" s="32" t="s">
        <v>258</v>
      </c>
      <c r="B13" s="56" t="s">
        <v>259</v>
      </c>
      <c r="C13" s="33" t="s">
        <v>109</v>
      </c>
      <c r="D13" s="33" t="str">
        <f t="shared" si="1"/>
        <v/>
      </c>
      <c r="E13" s="33">
        <v>17.0</v>
      </c>
      <c r="F13" s="33">
        <v>21.0</v>
      </c>
      <c r="G13" s="33" t="b">
        <v>0</v>
      </c>
      <c r="H13" s="48" t="s">
        <v>185</v>
      </c>
      <c r="I13" s="33"/>
      <c r="J13" s="59"/>
      <c r="K13" s="60" t="s">
        <v>132</v>
      </c>
      <c r="L13" s="59"/>
      <c r="M13" s="60" t="s">
        <v>147</v>
      </c>
    </row>
    <row r="14">
      <c r="A14" s="32" t="s">
        <v>258</v>
      </c>
      <c r="B14" s="56" t="s">
        <v>263</v>
      </c>
      <c r="C14" s="33" t="s">
        <v>146</v>
      </c>
      <c r="D14" s="33" t="str">
        <f t="shared" si="1"/>
        <v/>
      </c>
      <c r="E14" s="33">
        <v>17.0</v>
      </c>
      <c r="F14" s="33">
        <v>20.0</v>
      </c>
      <c r="G14" s="33" t="b">
        <v>0</v>
      </c>
      <c r="H14" s="48" t="s">
        <v>191</v>
      </c>
      <c r="I14" s="33"/>
      <c r="J14" s="64"/>
      <c r="K14" s="65" t="s">
        <v>122</v>
      </c>
      <c r="L14" s="64"/>
      <c r="M14" s="65" t="s">
        <v>122</v>
      </c>
    </row>
    <row r="15">
      <c r="A15" s="32" t="s">
        <v>258</v>
      </c>
      <c r="B15" s="33" t="s">
        <v>266</v>
      </c>
      <c r="C15" s="33" t="s">
        <v>138</v>
      </c>
      <c r="D15" s="33" t="str">
        <f t="shared" si="1"/>
        <v/>
      </c>
      <c r="E15" s="33">
        <v>27.0</v>
      </c>
      <c r="F15" s="33">
        <v>24.0</v>
      </c>
      <c r="G15" s="33" t="b">
        <v>0</v>
      </c>
      <c r="H15" s="48" t="s">
        <v>194</v>
      </c>
      <c r="I15" s="33"/>
      <c r="J15" s="51"/>
      <c r="K15" s="52" t="s">
        <v>122</v>
      </c>
      <c r="L15" s="51"/>
      <c r="M15" s="52" t="s">
        <v>147</v>
      </c>
    </row>
    <row r="16">
      <c r="A16" s="32" t="s">
        <v>271</v>
      </c>
      <c r="B16" s="33" t="s">
        <v>272</v>
      </c>
      <c r="C16" s="33" t="s">
        <v>140</v>
      </c>
      <c r="D16" s="33" t="str">
        <f t="shared" si="1"/>
        <v/>
      </c>
      <c r="E16" s="33">
        <v>17.0</v>
      </c>
      <c r="F16" s="33">
        <v>21.0</v>
      </c>
      <c r="G16" s="33" t="b">
        <v>0</v>
      </c>
      <c r="H16" s="48" t="s">
        <v>198</v>
      </c>
      <c r="I16" s="33"/>
      <c r="J16" s="59"/>
      <c r="K16" s="60" t="s">
        <v>122</v>
      </c>
      <c r="L16" s="59"/>
      <c r="M16" s="60" t="s">
        <v>180</v>
      </c>
    </row>
    <row r="17">
      <c r="A17" s="85" t="s">
        <v>279</v>
      </c>
      <c r="B17" s="86" t="s">
        <v>280</v>
      </c>
      <c r="C17" s="86" t="s">
        <v>110</v>
      </c>
      <c r="D17" s="33" t="str">
        <f t="shared" si="1"/>
        <v/>
      </c>
      <c r="E17" s="87">
        <v>17.0</v>
      </c>
      <c r="F17" s="87">
        <v>20.0</v>
      </c>
      <c r="G17" s="33" t="b">
        <v>0</v>
      </c>
      <c r="H17" s="88" t="s">
        <v>202</v>
      </c>
      <c r="I17" s="89"/>
      <c r="J17" s="90"/>
      <c r="K17" s="91" t="s">
        <v>132</v>
      </c>
      <c r="L17" s="92"/>
      <c r="M17" s="91" t="s">
        <v>147</v>
      </c>
    </row>
    <row r="18">
      <c r="A18" s="93"/>
      <c r="B18" s="94"/>
      <c r="C18" s="94"/>
      <c r="D18" s="95"/>
      <c r="E18" s="95"/>
      <c r="F18" s="95"/>
      <c r="G18" s="95"/>
      <c r="H18" s="96" t="s">
        <v>206</v>
      </c>
      <c r="I18" s="97"/>
      <c r="J18" s="98"/>
      <c r="K18" s="99" t="s">
        <v>161</v>
      </c>
      <c r="L18" s="98"/>
      <c r="M18" s="99" t="s">
        <v>165</v>
      </c>
    </row>
    <row r="19">
      <c r="A19" s="100" t="s">
        <v>283</v>
      </c>
      <c r="B19" s="32"/>
      <c r="C19" s="32"/>
      <c r="D19" s="101"/>
      <c r="E19" s="101"/>
      <c r="F19" s="101"/>
      <c r="G19" s="101"/>
      <c r="H19" s="96" t="s">
        <v>207</v>
      </c>
      <c r="I19" s="97"/>
      <c r="J19" s="97"/>
      <c r="K19" s="97"/>
      <c r="L19" s="97"/>
      <c r="M19" s="97"/>
    </row>
    <row r="20">
      <c r="A20" s="32" t="s">
        <v>184</v>
      </c>
      <c r="B20" s="32"/>
      <c r="C20" s="32"/>
      <c r="D20" s="101"/>
      <c r="E20" s="101"/>
      <c r="F20" s="101"/>
      <c r="G20" s="101"/>
      <c r="H20" s="97"/>
      <c r="I20" s="97"/>
      <c r="J20" s="97"/>
      <c r="K20" s="97"/>
      <c r="L20" s="97"/>
      <c r="M20" s="97"/>
    </row>
    <row r="21">
      <c r="A21" s="32" t="s">
        <v>40</v>
      </c>
      <c r="B21" s="32"/>
      <c r="C21" s="32"/>
      <c r="D21" s="101"/>
      <c r="E21" s="101"/>
      <c r="F21" s="101"/>
      <c r="G21" s="101"/>
      <c r="H21" s="97"/>
      <c r="I21" s="97"/>
      <c r="J21" s="97"/>
      <c r="K21" s="97"/>
      <c r="L21" s="97"/>
      <c r="M21"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5">
    <cfRule type="expression" dxfId="4" priority="4" stopIfTrue="1">
      <formula>$C15="AZ"</formula>
    </cfRule>
  </conditionalFormatting>
  <conditionalFormatting sqref="F17">
    <cfRule type="expression" dxfId="3" priority="5" stopIfTrue="1">
      <formula>C17="LAR"</formula>
    </cfRule>
  </conditionalFormatting>
  <conditionalFormatting sqref="E17">
    <cfRule type="expression" dxfId="3" priority="6" stopIfTrue="1">
      <formula>C17="BUF"</formula>
    </cfRule>
  </conditionalFormatting>
  <conditionalFormatting sqref="F16">
    <cfRule type="expression" dxfId="3" priority="7" stopIfTrue="1">
      <formula>C16="ATL"</formula>
    </cfRule>
  </conditionalFormatting>
  <conditionalFormatting sqref="E16">
    <cfRule type="expression" dxfId="3" priority="8" stopIfTrue="1">
      <formula>C16="BAL"</formula>
    </cfRule>
  </conditionalFormatting>
  <conditionalFormatting sqref="F15">
    <cfRule type="expression" dxfId="3" priority="9" stopIfTrue="1">
      <formula>C15="ARI"</formula>
    </cfRule>
  </conditionalFormatting>
  <conditionalFormatting sqref="E15">
    <cfRule type="expression" dxfId="3" priority="10" stopIfTrue="1">
      <formula>C15="DET"</formula>
    </cfRule>
  </conditionalFormatting>
  <conditionalFormatting sqref="F14">
    <cfRule type="expression" dxfId="3" priority="11" stopIfTrue="1">
      <formula>C14="GB"</formula>
    </cfRule>
  </conditionalFormatting>
  <conditionalFormatting sqref="E14">
    <cfRule type="expression" dxfId="3" priority="12" stopIfTrue="1">
      <formula>C14="CHI"</formula>
    </cfRule>
  </conditionalFormatting>
  <conditionalFormatting sqref="F13">
    <cfRule type="expression" dxfId="3" priority="13" stopIfTrue="1">
      <formula>C13="SEA"</formula>
    </cfRule>
  </conditionalFormatting>
  <conditionalFormatting sqref="E13">
    <cfRule type="expression" dxfId="3" priority="14" stopIfTrue="1">
      <formula>C13="SF"</formula>
    </cfRule>
  </conditionalFormatting>
  <conditionalFormatting sqref="F12">
    <cfRule type="expression" dxfId="3" priority="15" stopIfTrue="1">
      <formula>C12="LAC"</formula>
    </cfRule>
  </conditionalFormatting>
  <conditionalFormatting sqref="E12">
    <cfRule type="expression" dxfId="3" priority="16" stopIfTrue="1">
      <formula>C12="DEN"</formula>
    </cfRule>
  </conditionalFormatting>
  <conditionalFormatting sqref="F11">
    <cfRule type="expression" dxfId="3" priority="17" stopIfTrue="1">
      <formula>C11="WSH"</formula>
    </cfRule>
  </conditionalFormatting>
  <conditionalFormatting sqref="E11">
    <cfRule type="expression" dxfId="3" priority="18" stopIfTrue="1">
      <formula>C11="NYG"</formula>
    </cfRule>
  </conditionalFormatting>
  <conditionalFormatting sqref="F10">
    <cfRule type="expression" dxfId="3" priority="19" stopIfTrue="1">
      <formula>C10="NYJ"</formula>
    </cfRule>
  </conditionalFormatting>
  <conditionalFormatting sqref="E10">
    <cfRule type="expression" dxfId="3" priority="20" stopIfTrue="1">
      <formula>C10="CLE"</formula>
    </cfRule>
  </conditionalFormatting>
  <conditionalFormatting sqref="F9">
    <cfRule type="expression" dxfId="3" priority="21" stopIfTrue="1">
      <formula>C9="PIT"</formula>
    </cfRule>
  </conditionalFormatting>
  <conditionalFormatting sqref="E9">
    <cfRule type="expression" dxfId="3" priority="22" stopIfTrue="1">
      <formula>C9="IND"</formula>
    </cfRule>
  </conditionalFormatting>
  <conditionalFormatting sqref="F8">
    <cfRule type="expression" dxfId="3" priority="23" stopIfTrue="1">
      <formula>C8="TEN"</formula>
    </cfRule>
  </conditionalFormatting>
  <conditionalFormatting sqref="E8">
    <cfRule type="expression" dxfId="3" priority="24" stopIfTrue="1">
      <formula>C8="HOU"</formula>
    </cfRule>
  </conditionalFormatting>
  <conditionalFormatting sqref="F7">
    <cfRule type="expression" dxfId="3" priority="25" stopIfTrue="1">
      <formula>C7="NO"</formula>
    </cfRule>
  </conditionalFormatting>
  <conditionalFormatting sqref="E7">
    <cfRule type="expression" dxfId="3" priority="26" stopIfTrue="1">
      <formula>C7="MIN"</formula>
    </cfRule>
  </conditionalFormatting>
  <conditionalFormatting sqref="F6">
    <cfRule type="expression" dxfId="3" priority="27" stopIfTrue="1">
      <formula>C6="MIA"</formula>
    </cfRule>
  </conditionalFormatting>
  <conditionalFormatting sqref="E6">
    <cfRule type="expression" dxfId="3" priority="28" stopIfTrue="1">
      <formula>C6="CIN"</formula>
    </cfRule>
  </conditionalFormatting>
  <conditionalFormatting sqref="F5">
    <cfRule type="expression" dxfId="3" priority="29" stopIfTrue="1">
      <formula>C5="NE"</formula>
    </cfRule>
  </conditionalFormatting>
  <conditionalFormatting sqref="E5">
    <cfRule type="expression" dxfId="3" priority="30" stopIfTrue="1">
      <formula>C5="LV"</formula>
    </cfRule>
  </conditionalFormatting>
  <conditionalFormatting sqref="F4">
    <cfRule type="expression" dxfId="3" priority="31" stopIfTrue="1">
      <formula>C4="JAX"</formula>
    </cfRule>
  </conditionalFormatting>
  <conditionalFormatting sqref="E4">
    <cfRule type="expression" dxfId="3" priority="32" stopIfTrue="1">
      <formula>C4="PHI"</formula>
    </cfRule>
  </conditionalFormatting>
  <conditionalFormatting sqref="F3">
    <cfRule type="expression" dxfId="3" priority="33" stopIfTrue="1">
      <formula>C3="DAL"</formula>
    </cfRule>
  </conditionalFormatting>
  <conditionalFormatting sqref="E3">
    <cfRule type="expression" dxfId="3" priority="34" stopIfTrue="1">
      <formula>C3="TB"</formula>
    </cfRule>
  </conditionalFormatting>
  <dataValidations>
    <dataValidation type="list" allowBlank="1" showErrorMessage="1" sqref="C3">
      <formula1>"TB,DAL"</formula1>
    </dataValidation>
    <dataValidation type="custom" allowBlank="1" showDropDown="1" showInputMessage="1" prompt="Enter a value that satisfies the formula: =if(C4=&quot;NE&quot;,F4&gt;E4,or(E4&gt;F4,C4=&quot;&quot;))" sqref="F5">
      <formula1>if(C5="NE",F5&gt;E5,or(E5&gt;F5,C5=""))</formula1>
    </dataValidation>
    <dataValidation type="custom" allowBlank="1" showDropDown="1" showInputMessage="1" prompt="Enter a value that satisfies the formula: =if(C7=&quot;TEN&quot;,F7&gt;E7,or(E7&gt;F7,C7=&quot;&quot;))" sqref="F8">
      <formula1>if(C8="TEN",F8&gt;E8,or(E8&gt;F8,C8=""))</formula1>
    </dataValidation>
    <dataValidation type="list" allowBlank="1" showErrorMessage="1" sqref="C12">
      <formula1>"DEN,LAC"</formula1>
    </dataValidation>
    <dataValidation type="list" allowBlank="1" showErrorMessage="1" sqref="C4">
      <formula1>"PHI,JAX"</formula1>
    </dataValidation>
    <dataValidation type="list" allowBlank="1" showErrorMessage="1" sqref="C8">
      <formula1>"HOU,TEN"</formula1>
    </dataValidation>
    <dataValidation type="list" allowBlank="1" showErrorMessage="1" sqref="C11">
      <formula1>"NYG,WSH"</formula1>
    </dataValidation>
    <dataValidation type="custom" allowBlank="1" showDropDown="1" showInputMessage="1" prompt="Enter a value that satisfies the formula: =if(C10=&quot;NYG&quot;,E10&gt;F10,or(F10&gt;E10,C10=&quot;&quot;))" sqref="E11">
      <formula1>if(C11="NYG",E11&gt;F11,or(F11&gt;E11,C11=""))</formula1>
    </dataValidation>
    <dataValidation type="custom" allowBlank="1" showDropDown="1" showInputMessage="1" prompt="Enter a value that satisfies the formula: =if(C8=&quot;IND&quot;,E8&gt;F8,or(F8&gt;E8,C8=&quot;&quot;))" sqref="E9">
      <formula1>if(C9="IND",E9&gt;F9,or(F9&gt;E9,C9=""))</formula1>
    </dataValidation>
    <dataValidation type="custom" allowBlank="1" showDropDown="1" showInputMessage="1" prompt="Enter a value that satisfies the formula: =if(C11=&quot;LAC&quot;,F11&gt;E11,or(E11&gt;F11,C11=&quot;&quot;))" sqref="F12">
      <formula1>if(C12="LAC",F12&gt;E12,or(E12&gt;F12,C12=""))</formula1>
    </dataValidation>
    <dataValidation type="custom" allowBlank="1" showDropDown="1" showInputMessage="1" prompt="Enter a value that satisfies the formula: =if(C5=&quot;CIN&quot;,E5&gt;F5,or(F5&gt;E5,C5=&quot;&quot;))" sqref="E6">
      <formula1>if(C6="CIN",E6&gt;F6,or(F6&gt;E6,C6=""))</formula1>
    </dataValidation>
    <dataValidation type="list" allowBlank="1" showErrorMessage="1" sqref="C7">
      <formula1>"MIN,NO"</formula1>
    </dataValidation>
    <dataValidation type="custom" allowBlank="1" showDropDown="1" showInputMessage="1" prompt="Enter a value that satisfies the formula: =if(C8=&quot;PIT&quot;,F8&gt;E8,or(E8&gt;F8,C8=&quot;&quot;))" sqref="F9">
      <formula1>if(C9="PIT",F9&gt;E9,or(E9&gt;F9,C9=""))</formula1>
    </dataValidation>
    <dataValidation type="custom" allowBlank="1" showDropDown="1" showInputMessage="1" prompt="Enter a value that satisfies the formula: =if(C13=&quot;GB&quot;,F13&gt;E13,or(E13&gt;F13,C13=&quot;&quot;))" sqref="F14">
      <formula1>if(C14="GB",F14&gt;E14,or(E14&gt;F14,C14=""))</formula1>
    </dataValidation>
    <dataValidation type="custom" allowBlank="1" showDropDown="1" showInputMessage="1" prompt="Enter a value that satisfies the formula: =if(C4=&quot;LV&quot;,E4&gt;F4,or(F4&gt;E4,C4=&quot;&quot;))" sqref="E5">
      <formula1>if(C5="LV",E5&gt;F5,or(F5&gt;E5,C5=""))</formula1>
    </dataValidation>
    <dataValidation type="custom" allowBlank="1" showDropDown="1" showInputMessage="1" prompt="Enter a value that satisfies the formula: =if(C14=&quot;DET&quot;,E14&gt;F14,or(F14&gt;E14,C14=&quot;&quot;))" sqref="E15">
      <formula1>if(C15="DET",E15&gt;F15,or(F15&gt;E15,C15=""))</formula1>
    </dataValidation>
    <dataValidation type="custom" allowBlank="1" showDropDown="1" showInputMessage="1" prompt="Enter a value that satisfies the formula: =if(C9=&quot;CLE&quot;,E9&gt;F9,or(F9&gt;E9,C9=&quot;&quot;))" sqref="E10">
      <formula1>if(C10="CLE",E10&gt;F10,or(F10&gt;E10,C10=""))</formula1>
    </dataValidation>
    <dataValidation type="list" allowBlank="1" showErrorMessage="1" sqref="C14">
      <formula1>"CHI,GB"</formula1>
    </dataValidation>
    <dataValidation type="custom" allowBlank="1" showDropDown="1" showInputMessage="1" prompt="Enter a value that satisfies the formula: =if(C15=&quot;BAL&quot;,E15&gt;F15,or(F15&gt;E15,C15=&quot;&quot;))" sqref="E16">
      <formula1>if(C16="BAL",E16&gt;F16,or(F16&gt;E16,C16=""))</formula1>
    </dataValidation>
    <dataValidation type="list" allowBlank="1" showErrorMessage="1" sqref="C10">
      <formula1>"CLE,NYJ"</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howErrorMessage="1" sqref="C17">
      <formula1>"BUF,LAR"</formula1>
    </dataValidation>
    <dataValidation type="list" allowBlank="1" showErrorMessage="1" sqref="C13">
      <formula1>"SF,SEA"</formula1>
    </dataValidation>
    <dataValidation type="custom" allowBlank="1" showDropDown="1" showInputMessage="1" prompt="Enter a value that satisfies the formula: =if(C6=&quot;MIN&quot;,E6&gt;F6,or(F6&gt;E6,C6=&quot;&quot;))" sqref="E7">
      <formula1>if(C7="MIN",E7&gt;F7,or(F7&gt;E7,C7=""))</formula1>
    </dataValidation>
    <dataValidation type="custom" allowBlank="1" showDropDown="1" showInputMessage="1" prompt="Enter a value that satisfies the formula: =if(C13=&quot;CHI&quot;,E13&gt;F13,or(F13&gt;E13,C13=&quot;&quot;))" sqref="E14">
      <formula1>if(C14="CHI",E14&gt;F14,or(F14&gt;E14,C14=""))</formula1>
    </dataValidation>
    <dataValidation type="list" allowBlank="1" showErrorMessage="1" sqref="C5">
      <formula1>"LV,NE"</formula1>
    </dataValidation>
    <dataValidation type="list" allowBlank="1" showErrorMessage="1" sqref="C16">
      <formula1>"BAL,ATL"</formula1>
    </dataValidation>
    <dataValidation type="custom" allowBlank="1" showDropDown="1" showInputMessage="1" prompt="Enter a value that satisfies the formula: =if(C2=&quot;TB&quot;,E2&gt;F2,or(F2&gt;E2,C2=&quot;&quot;))" sqref="E3">
      <formula1>if(C3="TB",E3&gt;F3,or(F3&gt;E3,C3=""))</formula1>
    </dataValidation>
    <dataValidation type="list" allowBlank="1" showErrorMessage="1" sqref="C6">
      <formula1>"CIN,MIA"</formula1>
    </dataValidation>
    <dataValidation type="custom" allowBlank="1" showDropDown="1" showInputMessage="1" prompt="Enter a value that satisfies the formula: =if(C9=&quot;NYJ&quot;,F9&gt;E9,or(E9&gt;F9,C9=&quot;&quot;))" sqref="F10">
      <formula1>if(C10="NYJ",F10&gt;E10,or(E10&gt;F10,C10=""))</formula1>
    </dataValidation>
    <dataValidation type="custom" allowBlank="1" showDropDown="1" showInputMessage="1" prompt="Enter a value that satisfies the formula: =if(C3=&quot;PHI&quot;,E3&gt;F3,or(F3&gt;E3,C3=&quot;&quot;))" sqref="E4">
      <formula1>if(C4="PHI",E4&gt;F4,or(F4&gt;E4,C4=""))</formula1>
    </dataValidation>
    <dataValidation type="custom" allowBlank="1" showDropDown="1" showInputMessage="1" prompt="Enter a value that satisfies the formula: =if(C16=&quot;LAR&quot;,F16&gt;E16,or(E16&gt;F16,C16=&quot;&quot;))" sqref="F17">
      <formula1>if(C17="LAR",F17&gt;E17,or(E17&gt;F17,C17=""))</formula1>
    </dataValidation>
    <dataValidation type="custom" allowBlank="1" showDropDown="1" showInputMessage="1" prompt="Enter a value that satisfies the formula: =if(C5=&quot;MIA&quot;,F5&gt;E5,or(E5&gt;F5,C5=&quot;&quot;))" sqref="F6">
      <formula1>if(C6="MIA",F6&gt;E6,or(E6&gt;F6,C6=""))</formula1>
    </dataValidation>
    <dataValidation type="custom" allowBlank="1" showDropDown="1" showInputMessage="1" prompt="Enter a value that satisfies the formula: =if(C7=&quot;HOU&quot;,E7&gt;F7,or(F7&gt;E7,C7=&quot;&quot;))" sqref="E8">
      <formula1>if(C8="HOU",E8&gt;F8,or(F8&gt;E8,C8=""))</formula1>
    </dataValidation>
    <dataValidation type="custom" allowBlank="1" showDropDown="1" showInputMessage="1" prompt="Enter a value that satisfies the formula: =if(C11=&quot;DEN&quot;,E11&gt;F11,or(F11&gt;E11,C11=&quot;&quot;))" sqref="E12">
      <formula1>if(C12="DEN",E12&gt;F12,or(F12&gt;E12,C12=""))</formula1>
    </dataValidation>
    <dataValidation type="custom" allowBlank="1" showDropDown="1" showInputMessage="1" prompt="Enter a value that satisfies the formula: =if(C2=&quot;DAL&quot;,F2&gt;E2,or(E2&gt;F2,C2=&quot;&quot;))" sqref="F3">
      <formula1>if(C3="DAL",F3&gt;E3,or(E3&gt;F3,C3=""))</formula1>
    </dataValidation>
    <dataValidation type="custom" allowBlank="1" showDropDown="1" showInputMessage="1" prompt="Enter a value that satisfies the formula: =if(C3=&quot;JAX&quot;,F3&gt;E3,or(E3&gt;F3,C3=&quot;&quot;))" sqref="F4">
      <formula1>if(C4="JAX",F4&gt;E4,or(E4&gt;F4,C4=""))</formula1>
    </dataValidation>
    <dataValidation type="custom" allowBlank="1" showDropDown="1" showInputMessage="1" prompt="Enter a value that satisfies the formula: =if(C15=&quot;ATL&quot;,F15&gt;E15,or(E15&gt;F15,C15=&quot;&quot;))" sqref="F16">
      <formula1>if(C16="ATL",F16&gt;E16,or(E16&gt;F16,C16=""))</formula1>
    </dataValidation>
    <dataValidation type="custom" allowBlank="1" showDropDown="1" showInputMessage="1" prompt="Enter a value that satisfies the formula: =if(C10=&quot;WSH&quot;,F10&gt;E10,or(E10&gt;F10,C10=&quot;&quot;))" sqref="F11">
      <formula1>if(C11="WSH",F11&gt;E11,or(E11&gt;F11,C11=""))</formula1>
    </dataValidation>
    <dataValidation type="list" allowBlank="1" showErrorMessage="1" sqref="C9">
      <formula1>"IND,PIT"</formula1>
    </dataValidation>
    <dataValidation type="list" allowBlank="1" showErrorMessage="1" sqref="C15">
      <formula1>"DET,AZ"</formula1>
    </dataValidation>
    <dataValidation type="custom" allowBlank="1" showDropDown="1" showInputMessage="1" prompt="Enter a value that satisfies the formula: =if(C12=&quot;SEA&quot;,F12&gt;E12,or(E12&gt;F12,C12=&quot;&quot;))" sqref="F13">
      <formula1>if(C13="SEA",F13&gt;E13,or(E13&gt;F13,C13=""))</formula1>
    </dataValidation>
    <dataValidation type="custom" allowBlank="1" showDropDown="1" showInputMessage="1" prompt="Enter a value that satisfies the formula: =if(C12=&quot;SF&quot;,E12&gt;F12,or(F12&gt;E12,C12=&quot;&quot;))" sqref="E13">
      <formula1>if(C13="SF",E13&gt;F13,or(F13&gt;E13,C13=""))</formula1>
    </dataValidation>
    <dataValidation type="custom" allowBlank="1" showDropDown="1" showInputMessage="1" prompt="Enter a value that satisfies the formula: =if(C14=&quot;AZ&quot;,F14&gt;E14,or(E14&gt;F14,C14=&quot;&quot;))" sqref="F15">
      <formula1>if(C15="AZ",F15&gt;E15,or(E15&gt;F15,C15=""))</formula1>
    </dataValidation>
    <dataValidation type="custom" allowBlank="1" showDropDown="1" showInputMessage="1" prompt="Enter a value that satisfies the formula: =if(C16=&quot;BUF&quot;,E16&gt;F16,or(F16&gt;E16,C16=&quot;&quot;))" sqref="E17">
      <formula1>if(C17="BUF",E17&gt;F17,or(F17&gt;E17,C17=""))</formula1>
    </dataValidation>
    <dataValidation type="custom" allowBlank="1" showDropDown="1" showInputMessage="1" prompt="Enter a value that satisfies the formula: =if(C6=&quot;NO&quot;,F6&gt;E6,or(E6&gt;F6,C6=&quot;&quot;))" sqref="F7">
      <formula1>if(C7="NO",F7&gt;E7,or(E7&gt;F7,C7=""))</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6" location="'Week 6'!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5.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14 / 14</v>
      </c>
      <c r="G1" s="23" t="s">
        <v>60</v>
      </c>
      <c r="H1" s="23" t="s">
        <v>82</v>
      </c>
      <c r="I1" s="23" t="s">
        <v>84</v>
      </c>
      <c r="J1" s="28"/>
      <c r="K1" s="28"/>
      <c r="L1" s="28"/>
      <c r="M1" s="28"/>
    </row>
    <row r="2">
      <c r="A2" s="29" t="s">
        <v>98</v>
      </c>
      <c r="B2" s="29" t="s">
        <v>284</v>
      </c>
      <c r="C2" s="30" t="s">
        <v>36</v>
      </c>
      <c r="D2" s="30"/>
      <c r="E2" s="29" t="s">
        <v>37</v>
      </c>
      <c r="F2" s="29" t="s">
        <v>38</v>
      </c>
      <c r="G2" s="29" t="s">
        <v>100</v>
      </c>
      <c r="H2" s="29" t="s">
        <v>101</v>
      </c>
      <c r="I2" s="29"/>
      <c r="J2" s="29" t="s">
        <v>102</v>
      </c>
      <c r="K2" s="29" t="s">
        <v>103</v>
      </c>
      <c r="L2" s="29" t="s">
        <v>104</v>
      </c>
      <c r="M2" s="29" t="s">
        <v>105</v>
      </c>
    </row>
    <row r="3">
      <c r="A3" s="32" t="s">
        <v>285</v>
      </c>
      <c r="B3" s="33" t="s">
        <v>286</v>
      </c>
      <c r="C3" s="33" t="s">
        <v>111</v>
      </c>
      <c r="D3" s="33"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24.0</v>
      </c>
      <c r="F3" s="33">
        <v>27.0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293</v>
      </c>
      <c r="B4" s="56" t="s">
        <v>294</v>
      </c>
      <c r="C4" s="33" t="s">
        <v>163</v>
      </c>
      <c r="D4" s="33" t="str">
        <f t="shared" si="1"/>
        <v/>
      </c>
      <c r="E4" s="33">
        <v>24.0</v>
      </c>
      <c r="F4" s="33">
        <v>21.0</v>
      </c>
      <c r="G4" s="33" t="b">
        <v>0</v>
      </c>
      <c r="H4" s="48" t="s">
        <v>119</v>
      </c>
      <c r="I4" s="33"/>
      <c r="J4" s="59"/>
      <c r="K4" s="60" t="s">
        <v>132</v>
      </c>
      <c r="L4" s="59"/>
      <c r="M4" s="60" t="s">
        <v>133</v>
      </c>
    </row>
    <row r="5">
      <c r="A5" s="32" t="s">
        <v>295</v>
      </c>
      <c r="B5" s="33" t="s">
        <v>296</v>
      </c>
      <c r="C5" s="33" t="s">
        <v>152</v>
      </c>
      <c r="D5" s="33" t="str">
        <f t="shared" si="1"/>
        <v/>
      </c>
      <c r="E5" s="33">
        <v>31.0</v>
      </c>
      <c r="F5" s="33">
        <v>24.0</v>
      </c>
      <c r="G5" s="33" t="b">
        <v>0</v>
      </c>
      <c r="H5" s="48" t="s">
        <v>130</v>
      </c>
      <c r="I5" s="33"/>
      <c r="J5" s="59"/>
      <c r="K5" s="60" t="s">
        <v>142</v>
      </c>
      <c r="L5" s="59"/>
      <c r="M5" s="60" t="s">
        <v>142</v>
      </c>
    </row>
    <row r="6">
      <c r="A6" s="32" t="s">
        <v>295</v>
      </c>
      <c r="B6" s="56" t="s">
        <v>297</v>
      </c>
      <c r="C6" s="33" t="s">
        <v>131</v>
      </c>
      <c r="D6" s="33" t="str">
        <f t="shared" si="1"/>
        <v/>
      </c>
      <c r="E6" s="33">
        <v>24.0</v>
      </c>
      <c r="F6" s="33">
        <v>21.0</v>
      </c>
      <c r="G6" s="33" t="b">
        <v>0</v>
      </c>
      <c r="H6" s="48" t="s">
        <v>141</v>
      </c>
      <c r="I6" s="33"/>
      <c r="J6" s="64"/>
      <c r="K6" s="65" t="s">
        <v>147</v>
      </c>
      <c r="L6" s="64"/>
      <c r="M6" s="65" t="s">
        <v>148</v>
      </c>
    </row>
    <row r="7">
      <c r="A7" s="32" t="s">
        <v>295</v>
      </c>
      <c r="B7" s="56" t="s">
        <v>298</v>
      </c>
      <c r="C7" s="33" t="s">
        <v>178</v>
      </c>
      <c r="D7" s="33" t="str">
        <f t="shared" si="1"/>
        <v/>
      </c>
      <c r="E7" s="33">
        <v>21.0</v>
      </c>
      <c r="F7" s="33">
        <v>28.0</v>
      </c>
      <c r="G7" s="33" t="b">
        <v>0</v>
      </c>
      <c r="H7" s="48" t="s">
        <v>145</v>
      </c>
      <c r="I7" s="33"/>
      <c r="J7" s="51"/>
      <c r="K7" s="52" t="s">
        <v>142</v>
      </c>
      <c r="L7" s="51"/>
      <c r="M7" s="52" t="s">
        <v>157</v>
      </c>
    </row>
    <row r="8">
      <c r="A8" s="32" t="s">
        <v>295</v>
      </c>
      <c r="B8" s="56" t="s">
        <v>299</v>
      </c>
      <c r="C8" s="33" t="s">
        <v>124</v>
      </c>
      <c r="D8" s="33" t="str">
        <f t="shared" si="1"/>
        <v/>
      </c>
      <c r="E8" s="33">
        <v>21.0</v>
      </c>
      <c r="F8" s="33">
        <v>17.0</v>
      </c>
      <c r="G8" s="33" t="b">
        <v>0</v>
      </c>
      <c r="H8" s="48" t="s">
        <v>159</v>
      </c>
      <c r="I8" s="33"/>
      <c r="J8" s="59"/>
      <c r="K8" s="60" t="s">
        <v>161</v>
      </c>
      <c r="L8" s="59"/>
      <c r="M8" s="60" t="s">
        <v>133</v>
      </c>
    </row>
    <row r="9">
      <c r="A9" s="32" t="s">
        <v>295</v>
      </c>
      <c r="B9" s="33" t="s">
        <v>300</v>
      </c>
      <c r="C9" s="33" t="s">
        <v>174</v>
      </c>
      <c r="D9" s="33" t="str">
        <f t="shared" si="1"/>
        <v/>
      </c>
      <c r="E9" s="33">
        <v>17.0</v>
      </c>
      <c r="F9" s="33">
        <v>14.0</v>
      </c>
      <c r="G9" s="33" t="b">
        <v>0</v>
      </c>
      <c r="H9" s="48" t="s">
        <v>164</v>
      </c>
      <c r="I9" s="33"/>
      <c r="J9" s="59"/>
      <c r="K9" s="60" t="s">
        <v>165</v>
      </c>
      <c r="L9" s="59"/>
      <c r="M9" s="60" t="s">
        <v>165</v>
      </c>
    </row>
    <row r="10">
      <c r="A10" s="32" t="s">
        <v>295</v>
      </c>
      <c r="B10" s="33" t="s">
        <v>303</v>
      </c>
      <c r="C10" s="33" t="s">
        <v>121</v>
      </c>
      <c r="D10" s="33" t="str">
        <f t="shared" si="1"/>
        <v/>
      </c>
      <c r="E10" s="33">
        <v>14.0</v>
      </c>
      <c r="F10" s="33">
        <v>20.0</v>
      </c>
      <c r="G10" s="33" t="b">
        <v>0</v>
      </c>
      <c r="H10" s="48" t="s">
        <v>170</v>
      </c>
      <c r="I10" s="33"/>
      <c r="J10" s="64"/>
      <c r="K10" s="65" t="s">
        <v>133</v>
      </c>
      <c r="L10" s="64"/>
      <c r="M10" s="65" t="s">
        <v>171</v>
      </c>
    </row>
    <row r="11">
      <c r="A11" s="32" t="s">
        <v>295</v>
      </c>
      <c r="B11" s="33" t="s">
        <v>304</v>
      </c>
      <c r="C11" s="33" t="s">
        <v>168</v>
      </c>
      <c r="D11" s="33" t="str">
        <f t="shared" si="1"/>
        <v/>
      </c>
      <c r="E11" s="33">
        <v>21.0</v>
      </c>
      <c r="F11" s="33">
        <v>24.0</v>
      </c>
      <c r="G11" s="33" t="b">
        <v>0</v>
      </c>
      <c r="H11" s="48" t="s">
        <v>175</v>
      </c>
      <c r="I11" s="33"/>
      <c r="J11" s="51"/>
      <c r="K11" s="52" t="s">
        <v>157</v>
      </c>
      <c r="L11" s="51"/>
      <c r="M11" s="52" t="s">
        <v>157</v>
      </c>
    </row>
    <row r="12">
      <c r="A12" s="32" t="s">
        <v>307</v>
      </c>
      <c r="B12" s="56" t="s">
        <v>308</v>
      </c>
      <c r="C12" s="33" t="s">
        <v>110</v>
      </c>
      <c r="D12" s="33" t="str">
        <f t="shared" si="1"/>
        <v/>
      </c>
      <c r="E12" s="33">
        <v>17.0</v>
      </c>
      <c r="F12" s="33">
        <v>21.0</v>
      </c>
      <c r="G12" s="33" t="b">
        <v>1</v>
      </c>
      <c r="H12" s="48" t="s">
        <v>179</v>
      </c>
      <c r="I12" s="33"/>
      <c r="J12" s="59"/>
      <c r="K12" s="60" t="s">
        <v>165</v>
      </c>
      <c r="L12" s="59"/>
      <c r="M12" s="60" t="s">
        <v>180</v>
      </c>
    </row>
    <row r="13">
      <c r="A13" s="32" t="s">
        <v>309</v>
      </c>
      <c r="B13" s="56" t="s">
        <v>310</v>
      </c>
      <c r="C13" s="33" t="s">
        <v>40</v>
      </c>
      <c r="D13" s="33" t="str">
        <f t="shared" si="1"/>
        <v/>
      </c>
      <c r="E13" s="33">
        <v>21.0</v>
      </c>
      <c r="F13" s="33">
        <v>24.0</v>
      </c>
      <c r="G13" s="33" t="b">
        <v>0</v>
      </c>
      <c r="H13" s="48" t="s">
        <v>185</v>
      </c>
      <c r="I13" s="33"/>
      <c r="J13" s="59"/>
      <c r="K13" s="60" t="s">
        <v>132</v>
      </c>
      <c r="L13" s="59"/>
      <c r="M13" s="60" t="s">
        <v>147</v>
      </c>
    </row>
    <row r="14">
      <c r="A14" s="32" t="s">
        <v>309</v>
      </c>
      <c r="B14" s="33" t="s">
        <v>312</v>
      </c>
      <c r="C14" s="33" t="s">
        <v>116</v>
      </c>
      <c r="D14" s="33" t="str">
        <f t="shared" si="1"/>
        <v/>
      </c>
      <c r="E14" s="33">
        <v>28.0</v>
      </c>
      <c r="F14" s="33">
        <v>21.0</v>
      </c>
      <c r="G14" s="33" t="b">
        <v>0</v>
      </c>
      <c r="H14" s="48" t="s">
        <v>191</v>
      </c>
      <c r="I14" s="33"/>
      <c r="J14" s="64"/>
      <c r="K14" s="65" t="s">
        <v>122</v>
      </c>
      <c r="L14" s="64"/>
      <c r="M14" s="65" t="s">
        <v>122</v>
      </c>
    </row>
    <row r="15">
      <c r="A15" s="32" t="s">
        <v>313</v>
      </c>
      <c r="B15" s="33" t="s">
        <v>314</v>
      </c>
      <c r="C15" s="33" t="s">
        <v>118</v>
      </c>
      <c r="D15" s="33" t="str">
        <f t="shared" si="1"/>
        <v/>
      </c>
      <c r="E15" s="33">
        <v>28.0</v>
      </c>
      <c r="F15" s="33">
        <v>21.0</v>
      </c>
      <c r="G15" s="33" t="b">
        <v>0</v>
      </c>
      <c r="H15" s="48" t="s">
        <v>194</v>
      </c>
      <c r="I15" s="33"/>
      <c r="J15" s="51"/>
      <c r="K15" s="52" t="s">
        <v>122</v>
      </c>
      <c r="L15" s="51"/>
      <c r="M15" s="52" t="s">
        <v>147</v>
      </c>
    </row>
    <row r="16">
      <c r="A16" s="32" t="s">
        <v>316</v>
      </c>
      <c r="B16" s="33" t="s">
        <v>317</v>
      </c>
      <c r="C16" s="33" t="s">
        <v>129</v>
      </c>
      <c r="D16" s="33" t="str">
        <f t="shared" si="1"/>
        <v/>
      </c>
      <c r="E16" s="33">
        <v>23.0</v>
      </c>
      <c r="F16" s="33">
        <v>20.0</v>
      </c>
      <c r="G16" s="33" t="b">
        <v>0</v>
      </c>
      <c r="H16" s="48" t="s">
        <v>198</v>
      </c>
      <c r="I16" s="33"/>
      <c r="J16" s="59"/>
      <c r="K16" s="60" t="s">
        <v>122</v>
      </c>
      <c r="L16" s="59"/>
      <c r="M16" s="60" t="s">
        <v>180</v>
      </c>
    </row>
    <row r="17">
      <c r="A17" s="94"/>
      <c r="B17" s="94"/>
      <c r="C17" s="94"/>
      <c r="D17" s="95"/>
      <c r="E17" s="95"/>
      <c r="F17" s="95"/>
      <c r="G17" s="95"/>
      <c r="H17" s="96" t="s">
        <v>202</v>
      </c>
      <c r="I17" s="97"/>
      <c r="J17" s="102"/>
      <c r="K17" s="103" t="s">
        <v>132</v>
      </c>
      <c r="L17" s="102"/>
      <c r="M17" s="103" t="s">
        <v>147</v>
      </c>
    </row>
    <row r="18">
      <c r="A18" s="100" t="s">
        <v>283</v>
      </c>
      <c r="B18" s="32"/>
      <c r="C18" s="32"/>
      <c r="D18" s="101"/>
      <c r="E18" s="101"/>
      <c r="F18" s="101"/>
      <c r="G18" s="101"/>
      <c r="H18" s="96" t="s">
        <v>206</v>
      </c>
      <c r="I18" s="97"/>
      <c r="J18" s="98"/>
      <c r="K18" s="99" t="s">
        <v>161</v>
      </c>
      <c r="L18" s="98"/>
      <c r="M18" s="99" t="s">
        <v>165</v>
      </c>
    </row>
    <row r="19">
      <c r="A19" s="32" t="s">
        <v>136</v>
      </c>
      <c r="B19" s="32"/>
      <c r="C19" s="32"/>
      <c r="D19" s="101"/>
      <c r="E19" s="101"/>
      <c r="F19" s="101"/>
      <c r="G19" s="101"/>
      <c r="H19" s="96" t="s">
        <v>207</v>
      </c>
      <c r="I19" s="97"/>
      <c r="J19" s="97"/>
      <c r="K19" s="97"/>
      <c r="L19" s="97"/>
      <c r="M19" s="97"/>
    </row>
    <row r="20">
      <c r="A20" s="32" t="s">
        <v>138</v>
      </c>
      <c r="B20" s="32"/>
      <c r="C20" s="32"/>
      <c r="D20" s="101"/>
      <c r="E20" s="101"/>
      <c r="F20" s="101"/>
      <c r="G20" s="101"/>
      <c r="H20" s="97"/>
      <c r="I20" s="97"/>
      <c r="J20" s="97"/>
      <c r="K20" s="97"/>
      <c r="L20" s="97"/>
      <c r="M20" s="97"/>
    </row>
    <row r="21">
      <c r="A21" s="32" t="s">
        <v>120</v>
      </c>
      <c r="B21" s="32"/>
      <c r="C21" s="32"/>
      <c r="D21" s="101"/>
      <c r="E21" s="101"/>
      <c r="F21" s="101"/>
      <c r="G21" s="101"/>
      <c r="H21" s="97"/>
      <c r="I21" s="97"/>
      <c r="J21" s="97"/>
      <c r="K21" s="97"/>
      <c r="L21" s="97"/>
      <c r="M21" s="97"/>
    </row>
    <row r="22">
      <c r="A22" s="32" t="s">
        <v>154</v>
      </c>
      <c r="B22" s="32"/>
      <c r="C22" s="32"/>
      <c r="D22" s="101"/>
      <c r="E22" s="101"/>
      <c r="F22" s="101"/>
      <c r="G22" s="101"/>
      <c r="H22" s="97"/>
      <c r="I22" s="97"/>
      <c r="J22" s="97"/>
      <c r="K22" s="97"/>
      <c r="L22" s="97"/>
      <c r="M22"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6">
    <cfRule type="expression" dxfId="3" priority="4" stopIfTrue="1">
      <formula>AND($C3&lt;&gt;"", $C3=LEFT($B3, LEN($C3)))</formula>
    </cfRule>
  </conditionalFormatting>
  <conditionalFormatting sqref="F3:F16">
    <cfRule type="expression" dxfId="3" priority="5" stopIfTrue="1">
      <formula>AND($C3&lt;&gt;"", $C3=RIGHT($B3, LEN($C3)))</formula>
    </cfRule>
  </conditionalFormatting>
  <conditionalFormatting sqref="E5">
    <cfRule type="expression" dxfId="3" priority="6">
      <formula>C5="AZ"</formula>
    </cfRule>
  </conditionalFormatting>
  <conditionalFormatting sqref="F5">
    <cfRule type="expression" dxfId="3" priority="7">
      <formula>C5="IND"</formula>
    </cfRule>
  </conditionalFormatting>
  <conditionalFormatting sqref="E6">
    <cfRule type="expression" dxfId="3" priority="8">
      <formula>C6="LAC"</formula>
    </cfRule>
  </conditionalFormatting>
  <conditionalFormatting sqref="F6">
    <cfRule type="expression" dxfId="3" priority="9">
      <formula>C6="MIA"</formula>
    </cfRule>
  </conditionalFormatting>
  <conditionalFormatting sqref="E7">
    <cfRule type="expression" dxfId="3" priority="10">
      <formula>C7="CLE"</formula>
    </cfRule>
  </conditionalFormatting>
  <conditionalFormatting sqref="F7">
    <cfRule type="expression" dxfId="3" priority="11">
      <formula>C7="PIT"</formula>
    </cfRule>
  </conditionalFormatting>
  <conditionalFormatting sqref="E8">
    <cfRule type="expression" dxfId="3" priority="12">
      <formula>C8="SF"</formula>
    </cfRule>
  </conditionalFormatting>
  <conditionalFormatting sqref="F8">
    <cfRule type="expression" dxfId="3" priority="13">
      <formula>C8="TB"</formula>
    </cfRule>
  </conditionalFormatting>
  <conditionalFormatting sqref="E9">
    <cfRule type="expression" dxfId="3" priority="14">
      <formula>C9="DAL"</formula>
    </cfRule>
  </conditionalFormatting>
  <conditionalFormatting sqref="F9">
    <cfRule type="expression" dxfId="3" priority="15">
      <formula>C9="CAR"</formula>
    </cfRule>
  </conditionalFormatting>
  <conditionalFormatting sqref="E10">
    <cfRule type="expression" dxfId="3" priority="16">
      <formula>C10="SEA"</formula>
    </cfRule>
  </conditionalFormatting>
  <conditionalFormatting sqref="F10">
    <cfRule type="expression" dxfId="3" priority="17">
      <formula>C10="JAX"</formula>
    </cfRule>
  </conditionalFormatting>
  <conditionalFormatting sqref="E11">
    <cfRule type="expression" dxfId="3" priority="18">
      <formula>C11="LAR"</formula>
    </cfRule>
  </conditionalFormatting>
  <conditionalFormatting sqref="F11">
    <cfRule type="expression" dxfId="3" priority="19">
      <formula>C11="BAL"</formula>
    </cfRule>
  </conditionalFormatting>
  <conditionalFormatting sqref="E12">
    <cfRule type="expression" dxfId="3" priority="20">
      <formula>C12="TEN"</formula>
    </cfRule>
  </conditionalFormatting>
  <conditionalFormatting sqref="F12">
    <cfRule type="expression" dxfId="3" priority="21">
      <formula>C12="LV"</formula>
    </cfRule>
  </conditionalFormatting>
  <conditionalFormatting sqref="E13">
    <cfRule type="expression" dxfId="3" priority="22">
      <formula>C13="CIN"</formula>
    </cfRule>
  </conditionalFormatting>
  <conditionalFormatting sqref="F13">
    <cfRule type="expression" dxfId="3" priority="23">
      <formula>C13="GB"</formula>
    </cfRule>
  </conditionalFormatting>
  <conditionalFormatting sqref="E14">
    <cfRule type="expression" dxfId="3" priority="24">
      <formula>C14="NE"</formula>
    </cfRule>
  </conditionalFormatting>
  <conditionalFormatting sqref="F14">
    <cfRule type="expression" dxfId="3" priority="25">
      <formula>C14="NO"</formula>
    </cfRule>
  </conditionalFormatting>
  <conditionalFormatting sqref="E15">
    <cfRule type="expression" dxfId="3" priority="26">
      <formula>C15="DET"</formula>
    </cfRule>
  </conditionalFormatting>
  <conditionalFormatting sqref="F15">
    <cfRule type="expression" dxfId="3" priority="27">
      <formula>C15="KC"</formula>
    </cfRule>
  </conditionalFormatting>
  <conditionalFormatting sqref="E16">
    <cfRule type="expression" dxfId="3" priority="28">
      <formula>C16="BUF"</formula>
    </cfRule>
  </conditionalFormatting>
  <conditionalFormatting sqref="F16">
    <cfRule type="expression" dxfId="3" priority="29">
      <formula>C16="ATL"</formula>
    </cfRule>
  </conditionalFormatting>
  <dataValidations>
    <dataValidation type="list" allowBlank="1" sqref="C3">
      <formula1>"SEA,DEN"</formula1>
    </dataValidation>
    <dataValidation type="list" allowBlank="1" sqref="C12">
      <formula1>"AZ,LAR"</formula1>
    </dataValidation>
    <dataValidation type="list" allowBlank="1" sqref="C9">
      <formula1>"NO,NYG"</formula1>
    </dataValidation>
    <dataValidation type="list" allowBlank="1" sqref="C5">
      <formula1>"CHI,ATL"</formula1>
    </dataValidation>
    <dataValidation type="custom" allowBlank="1" showDropDown="1" sqref="F3:F16">
      <formula1>IF(AND(C3&lt;&gt;"", C3=RIGHT(B3, LEN(C3))), F3&gt;E3, OR(E3&gt;F3, C3=""))</formula1>
    </dataValidation>
    <dataValidation type="list" allowBlank="1" sqref="C16">
      <formula1>"WSH,SF"</formula1>
    </dataValidation>
    <dataValidation type="list" allowBlank="1" sqref="C13">
      <formula1>"LAC,KC"</formula1>
    </dataValidation>
    <dataValidation type="list" allowBlank="1" sqref="C10">
      <formula1>"CAR,PHI"</formula1>
    </dataValidation>
    <dataValidation type="list" allowBlank="1" sqref="C14">
      <formula1>"BUF,LV"</formula1>
    </dataValidation>
    <dataValidation type="list" allowBlank="1" sqref="C7">
      <formula1>"TEN,IND"</formula1>
    </dataValidation>
    <dataValidation type="list" allowBlank="1" sqref="C4">
      <formula1>"HOU,JAX"</formula1>
    </dataValidation>
    <dataValidation type="list" allowBlank="1" sqref="C8">
      <formula1>"NYJ,NE"</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qref="C11">
      <formula1>"PIT,TB"</formula1>
    </dataValidation>
    <dataValidation type="list" allowBlank="1" sqref="C6">
      <formula1>"BAL,CLE"</formula1>
    </dataValidation>
    <dataValidation type="list" allowBlank="1" sqref="C15">
      <formula1>"DAL,GB"</formula1>
    </dataValidation>
    <dataValidation type="custom" allowBlank="1" showDropDown="1" sqref="E3:E16">
      <formula1>IF(AND(C3&lt;&gt;"", C3=LEFT(B3, LEN(C3))), E3&gt;F3, OR(F3&gt;E3, C3=""))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7" location="'Week 7'!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9.25"/>
    <col customWidth="1" min="3" max="3" width="16.75"/>
    <col customWidth="1" min="4" max="4" width="7.7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14 / 14</v>
      </c>
      <c r="G1" s="23" t="s">
        <v>60</v>
      </c>
      <c r="H1" s="23" t="s">
        <v>82</v>
      </c>
      <c r="I1" s="23" t="s">
        <v>84</v>
      </c>
      <c r="J1" s="28"/>
      <c r="K1" s="28"/>
      <c r="L1" s="28"/>
      <c r="M1" s="28"/>
    </row>
    <row r="2">
      <c r="A2" s="29" t="s">
        <v>98</v>
      </c>
      <c r="B2" s="29" t="s">
        <v>287</v>
      </c>
      <c r="C2" s="30" t="s">
        <v>36</v>
      </c>
      <c r="D2" s="30"/>
      <c r="E2" s="29" t="s">
        <v>37</v>
      </c>
      <c r="F2" s="29" t="s">
        <v>38</v>
      </c>
      <c r="G2" s="29" t="s">
        <v>100</v>
      </c>
      <c r="H2" s="29" t="s">
        <v>101</v>
      </c>
      <c r="I2" s="29"/>
      <c r="J2" s="29" t="s">
        <v>102</v>
      </c>
      <c r="K2" s="29" t="s">
        <v>103</v>
      </c>
      <c r="L2" s="29" t="s">
        <v>104</v>
      </c>
      <c r="M2" s="29" t="s">
        <v>105</v>
      </c>
    </row>
    <row r="3">
      <c r="A3" s="32" t="s">
        <v>288</v>
      </c>
      <c r="B3" s="33" t="s">
        <v>289</v>
      </c>
      <c r="C3" s="33" t="s">
        <v>126</v>
      </c>
      <c r="D3" s="33"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24.0</v>
      </c>
      <c r="F3" s="33">
        <v>21.0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301</v>
      </c>
      <c r="B4" s="33" t="s">
        <v>302</v>
      </c>
      <c r="C4" s="33" t="s">
        <v>174</v>
      </c>
      <c r="D4" s="33" t="str">
        <f t="shared" si="1"/>
        <v/>
      </c>
      <c r="E4" s="33">
        <v>17.0</v>
      </c>
      <c r="F4" s="33">
        <v>21.0</v>
      </c>
      <c r="G4" s="33" t="b">
        <v>0</v>
      </c>
      <c r="H4" s="48" t="s">
        <v>119</v>
      </c>
      <c r="I4" s="33"/>
      <c r="J4" s="59"/>
      <c r="K4" s="60" t="s">
        <v>132</v>
      </c>
      <c r="L4" s="59"/>
      <c r="M4" s="60" t="s">
        <v>133</v>
      </c>
    </row>
    <row r="5">
      <c r="A5" s="32" t="s">
        <v>305</v>
      </c>
      <c r="B5" s="33" t="s">
        <v>306</v>
      </c>
      <c r="C5" s="33" t="s">
        <v>85</v>
      </c>
      <c r="D5" s="33" t="str">
        <f t="shared" si="1"/>
        <v/>
      </c>
      <c r="E5" s="33">
        <v>23.0</v>
      </c>
      <c r="F5" s="33">
        <v>20.0</v>
      </c>
      <c r="G5" s="33" t="b">
        <v>0</v>
      </c>
      <c r="H5" s="48" t="s">
        <v>130</v>
      </c>
      <c r="I5" s="33"/>
      <c r="J5" s="59"/>
      <c r="K5" s="60" t="s">
        <v>142</v>
      </c>
      <c r="L5" s="59"/>
      <c r="M5" s="60" t="s">
        <v>142</v>
      </c>
    </row>
    <row r="6">
      <c r="A6" s="32" t="s">
        <v>305</v>
      </c>
      <c r="B6" s="56" t="s">
        <v>311</v>
      </c>
      <c r="C6" s="33" t="s">
        <v>136</v>
      </c>
      <c r="D6" s="33" t="str">
        <f t="shared" si="1"/>
        <v/>
      </c>
      <c r="E6" s="33">
        <v>20.0</v>
      </c>
      <c r="F6" s="33">
        <v>14.0</v>
      </c>
      <c r="G6" s="33" t="b">
        <v>0</v>
      </c>
      <c r="H6" s="48" t="s">
        <v>141</v>
      </c>
      <c r="I6" s="33"/>
      <c r="J6" s="64"/>
      <c r="K6" s="65" t="s">
        <v>147</v>
      </c>
      <c r="L6" s="64"/>
      <c r="M6" s="65" t="s">
        <v>148</v>
      </c>
    </row>
    <row r="7">
      <c r="A7" s="32" t="s">
        <v>305</v>
      </c>
      <c r="B7" s="56" t="s">
        <v>315</v>
      </c>
      <c r="C7" s="33" t="s">
        <v>184</v>
      </c>
      <c r="D7" s="33" t="str">
        <f t="shared" si="1"/>
        <v/>
      </c>
      <c r="E7" s="33">
        <v>14.0</v>
      </c>
      <c r="F7" s="33">
        <v>17.0</v>
      </c>
      <c r="G7" s="33" t="b">
        <v>0</v>
      </c>
      <c r="H7" s="48" t="s">
        <v>145</v>
      </c>
      <c r="I7" s="33"/>
      <c r="J7" s="51"/>
      <c r="K7" s="52" t="s">
        <v>142</v>
      </c>
      <c r="L7" s="51"/>
      <c r="M7" s="52" t="s">
        <v>157</v>
      </c>
    </row>
    <row r="8">
      <c r="A8" s="32" t="s">
        <v>305</v>
      </c>
      <c r="B8" s="33" t="s">
        <v>318</v>
      </c>
      <c r="C8" s="33" t="s">
        <v>163</v>
      </c>
      <c r="D8" s="33" t="str">
        <f t="shared" si="1"/>
        <v/>
      </c>
      <c r="E8" s="33">
        <v>21.0</v>
      </c>
      <c r="F8" s="33">
        <v>28.0</v>
      </c>
      <c r="G8" s="33" t="b">
        <v>0</v>
      </c>
      <c r="H8" s="48" t="s">
        <v>156</v>
      </c>
      <c r="I8" s="33"/>
      <c r="J8" s="59"/>
      <c r="K8" s="60" t="s">
        <v>161</v>
      </c>
      <c r="L8" s="59"/>
      <c r="M8" s="60" t="s">
        <v>133</v>
      </c>
    </row>
    <row r="9">
      <c r="A9" s="32" t="s">
        <v>305</v>
      </c>
      <c r="B9" s="33" t="s">
        <v>319</v>
      </c>
      <c r="C9" s="33" t="s">
        <v>154</v>
      </c>
      <c r="D9" s="33" t="str">
        <f t="shared" si="1"/>
        <v/>
      </c>
      <c r="E9" s="33">
        <v>21.0</v>
      </c>
      <c r="F9" s="33">
        <v>28.0</v>
      </c>
      <c r="G9" s="33" t="b">
        <v>0</v>
      </c>
      <c r="H9" s="48" t="s">
        <v>164</v>
      </c>
      <c r="I9" s="33"/>
      <c r="J9" s="59"/>
      <c r="K9" s="60" t="s">
        <v>165</v>
      </c>
      <c r="L9" s="59"/>
      <c r="M9" s="60" t="s">
        <v>165</v>
      </c>
    </row>
    <row r="10">
      <c r="A10" s="32" t="s">
        <v>305</v>
      </c>
      <c r="B10" s="56" t="s">
        <v>320</v>
      </c>
      <c r="C10" s="33" t="s">
        <v>120</v>
      </c>
      <c r="D10" s="33" t="str">
        <f t="shared" si="1"/>
        <v/>
      </c>
      <c r="E10" s="33">
        <v>20.0</v>
      </c>
      <c r="F10" s="33">
        <v>17.0</v>
      </c>
      <c r="G10" s="33" t="b">
        <v>0</v>
      </c>
      <c r="H10" s="48" t="s">
        <v>170</v>
      </c>
      <c r="I10" s="33"/>
      <c r="J10" s="64"/>
      <c r="K10" s="65" t="s">
        <v>133</v>
      </c>
      <c r="L10" s="64"/>
      <c r="M10" s="65" t="s">
        <v>171</v>
      </c>
    </row>
    <row r="11">
      <c r="A11" s="32" t="s">
        <v>305</v>
      </c>
      <c r="B11" s="33" t="s">
        <v>323</v>
      </c>
      <c r="C11" s="33" t="s">
        <v>144</v>
      </c>
      <c r="D11" s="33" t="str">
        <f t="shared" si="1"/>
        <v/>
      </c>
      <c r="E11" s="33">
        <v>20.0</v>
      </c>
      <c r="F11" s="33">
        <v>13.0</v>
      </c>
      <c r="G11" s="33" t="b">
        <v>0</v>
      </c>
      <c r="H11" s="48" t="s">
        <v>175</v>
      </c>
      <c r="I11" s="33"/>
      <c r="J11" s="51"/>
      <c r="K11" s="52" t="s">
        <v>157</v>
      </c>
      <c r="L11" s="51"/>
      <c r="M11" s="52" t="s">
        <v>157</v>
      </c>
    </row>
    <row r="12">
      <c r="A12" s="32" t="s">
        <v>324</v>
      </c>
      <c r="B12" s="33" t="s">
        <v>325</v>
      </c>
      <c r="C12" s="33" t="s">
        <v>111</v>
      </c>
      <c r="D12" s="33" t="str">
        <f t="shared" si="1"/>
        <v/>
      </c>
      <c r="E12" s="33">
        <v>20.0</v>
      </c>
      <c r="F12" s="33">
        <v>17.0</v>
      </c>
      <c r="G12" s="33" t="b">
        <v>0</v>
      </c>
      <c r="H12" s="48" t="s">
        <v>179</v>
      </c>
      <c r="I12" s="33"/>
      <c r="J12" s="59"/>
      <c r="K12" s="60" t="s">
        <v>165</v>
      </c>
      <c r="L12" s="59"/>
      <c r="M12" s="60" t="s">
        <v>180</v>
      </c>
    </row>
    <row r="13">
      <c r="A13" s="32" t="s">
        <v>326</v>
      </c>
      <c r="B13" s="56" t="s">
        <v>328</v>
      </c>
      <c r="C13" s="33" t="s">
        <v>146</v>
      </c>
      <c r="D13" s="33" t="str">
        <f t="shared" si="1"/>
        <v/>
      </c>
      <c r="E13" s="33">
        <v>28.0</v>
      </c>
      <c r="F13" s="33">
        <v>21.0</v>
      </c>
      <c r="G13" s="33" t="b">
        <v>0</v>
      </c>
      <c r="H13" s="48" t="s">
        <v>185</v>
      </c>
      <c r="I13" s="33"/>
      <c r="J13" s="59"/>
      <c r="K13" s="60" t="s">
        <v>132</v>
      </c>
      <c r="L13" s="59"/>
      <c r="M13" s="60" t="s">
        <v>147</v>
      </c>
    </row>
    <row r="14">
      <c r="A14" s="32" t="s">
        <v>326</v>
      </c>
      <c r="B14" s="33" t="s">
        <v>329</v>
      </c>
      <c r="C14" s="33" t="s">
        <v>110</v>
      </c>
      <c r="D14" s="33" t="str">
        <f t="shared" si="1"/>
        <v/>
      </c>
      <c r="E14" s="33">
        <v>21.0</v>
      </c>
      <c r="F14" s="33">
        <v>17.0</v>
      </c>
      <c r="G14" s="33" t="b">
        <v>1</v>
      </c>
      <c r="H14" s="48" t="s">
        <v>191</v>
      </c>
      <c r="I14" s="33"/>
      <c r="J14" s="64"/>
      <c r="K14" s="65" t="s">
        <v>122</v>
      </c>
      <c r="L14" s="64"/>
      <c r="M14" s="65" t="s">
        <v>122</v>
      </c>
    </row>
    <row r="15">
      <c r="A15" s="32" t="s">
        <v>334</v>
      </c>
      <c r="B15" s="33" t="s">
        <v>335</v>
      </c>
      <c r="C15" s="33" t="s">
        <v>109</v>
      </c>
      <c r="D15" s="33" t="str">
        <f t="shared" si="1"/>
        <v/>
      </c>
      <c r="E15" s="33">
        <v>24.0</v>
      </c>
      <c r="F15" s="33">
        <v>27.0</v>
      </c>
      <c r="G15" s="33" t="b">
        <v>0</v>
      </c>
      <c r="H15" s="48" t="s">
        <v>194</v>
      </c>
      <c r="I15" s="33"/>
      <c r="J15" s="51"/>
      <c r="K15" s="52" t="s">
        <v>122</v>
      </c>
      <c r="L15" s="51"/>
      <c r="M15" s="52" t="s">
        <v>147</v>
      </c>
    </row>
    <row r="16">
      <c r="A16" s="32" t="s">
        <v>337</v>
      </c>
      <c r="B16" s="56" t="s">
        <v>338</v>
      </c>
      <c r="C16" s="33" t="s">
        <v>118</v>
      </c>
      <c r="D16" s="33" t="str">
        <f t="shared" si="1"/>
        <v/>
      </c>
      <c r="E16" s="33">
        <v>20.0</v>
      </c>
      <c r="F16" s="33">
        <v>17.0</v>
      </c>
      <c r="G16" s="33" t="b">
        <v>0</v>
      </c>
      <c r="H16" s="48" t="s">
        <v>198</v>
      </c>
      <c r="I16" s="33"/>
      <c r="J16" s="59"/>
      <c r="K16" s="60" t="s">
        <v>122</v>
      </c>
      <c r="L16" s="59"/>
      <c r="M16" s="60" t="s">
        <v>180</v>
      </c>
    </row>
    <row r="17">
      <c r="A17" s="94"/>
      <c r="B17" s="94"/>
      <c r="C17" s="94"/>
      <c r="D17" s="95"/>
      <c r="E17" s="95"/>
      <c r="F17" s="95"/>
      <c r="G17" s="95"/>
      <c r="H17" s="96" t="s">
        <v>202</v>
      </c>
      <c r="I17" s="97"/>
      <c r="J17" s="102"/>
      <c r="K17" s="103" t="s">
        <v>132</v>
      </c>
      <c r="L17" s="102"/>
      <c r="M17" s="103" t="s">
        <v>147</v>
      </c>
    </row>
    <row r="18">
      <c r="A18" s="100" t="s">
        <v>283</v>
      </c>
      <c r="B18" s="32"/>
      <c r="C18" s="32"/>
      <c r="D18" s="101"/>
      <c r="E18" s="101"/>
      <c r="F18" s="101"/>
      <c r="G18" s="101"/>
      <c r="H18" s="96" t="s">
        <v>206</v>
      </c>
      <c r="I18" s="97"/>
      <c r="J18" s="98"/>
      <c r="K18" s="99" t="s">
        <v>161</v>
      </c>
      <c r="L18" s="98"/>
      <c r="M18" s="99" t="s">
        <v>165</v>
      </c>
    </row>
    <row r="19">
      <c r="A19" s="32" t="s">
        <v>116</v>
      </c>
      <c r="B19" s="32"/>
      <c r="C19" s="32"/>
      <c r="D19" s="101"/>
      <c r="E19" s="101"/>
      <c r="F19" s="101"/>
      <c r="G19" s="101"/>
      <c r="H19" s="96" t="s">
        <v>207</v>
      </c>
      <c r="I19" s="97"/>
      <c r="J19" s="97"/>
      <c r="K19" s="97"/>
      <c r="L19" s="97"/>
      <c r="M19" s="97"/>
    </row>
    <row r="20">
      <c r="A20" s="32" t="s">
        <v>173</v>
      </c>
      <c r="B20" s="32"/>
      <c r="C20" s="32"/>
      <c r="D20" s="101"/>
      <c r="E20" s="101"/>
      <c r="F20" s="101"/>
      <c r="G20" s="101"/>
      <c r="H20" s="97"/>
      <c r="I20" s="97"/>
      <c r="J20" s="97"/>
      <c r="K20" s="97"/>
      <c r="L20" s="97"/>
      <c r="M20" s="97"/>
    </row>
    <row r="21">
      <c r="A21" s="32" t="s">
        <v>112</v>
      </c>
      <c r="B21" s="32"/>
      <c r="C21" s="32"/>
      <c r="D21" s="101"/>
      <c r="E21" s="101"/>
      <c r="F21" s="101"/>
      <c r="G21" s="101"/>
      <c r="H21" s="97"/>
      <c r="I21" s="97"/>
      <c r="J21" s="97"/>
      <c r="K21" s="97"/>
      <c r="L21" s="97"/>
      <c r="M21" s="97"/>
    </row>
    <row r="22">
      <c r="A22" s="32" t="s">
        <v>129</v>
      </c>
      <c r="B22" s="32"/>
      <c r="C22" s="32"/>
      <c r="D22" s="101"/>
      <c r="E22" s="101"/>
      <c r="F22" s="101"/>
      <c r="G22" s="101"/>
      <c r="H22" s="97"/>
      <c r="I22" s="97"/>
      <c r="J22" s="97"/>
      <c r="K22" s="97"/>
      <c r="L22" s="97"/>
      <c r="M22"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C16="PHI"</formula>
    </cfRule>
  </conditionalFormatting>
  <conditionalFormatting sqref="E16">
    <cfRule type="expression" dxfId="3" priority="5" stopIfTrue="1">
      <formula>C16="DAL"</formula>
    </cfRule>
  </conditionalFormatting>
  <conditionalFormatting sqref="F15">
    <cfRule type="expression" dxfId="3" priority="6" stopIfTrue="1">
      <formula>C15="SEA"</formula>
    </cfRule>
  </conditionalFormatting>
  <conditionalFormatting sqref="E15">
    <cfRule type="expression" dxfId="3" priority="7" stopIfTrue="1">
      <formula>C15="KC"</formula>
    </cfRule>
  </conditionalFormatting>
  <conditionalFormatting sqref="F14">
    <cfRule type="expression" dxfId="3" priority="8" stopIfTrue="1">
      <formula>C14="LV"</formula>
    </cfRule>
  </conditionalFormatting>
  <conditionalFormatting sqref="E14">
    <cfRule type="expression" dxfId="3" priority="9" stopIfTrue="1">
      <formula>C14="LAR"</formula>
    </cfRule>
  </conditionalFormatting>
  <conditionalFormatting sqref="F13">
    <cfRule type="expression" dxfId="3" priority="10" stopIfTrue="1">
      <formula>C13="DET"</formula>
    </cfRule>
  </conditionalFormatting>
  <conditionalFormatting sqref="E13">
    <cfRule type="expression" dxfId="3" priority="11" stopIfTrue="1">
      <formula>C13="GB"</formula>
    </cfRule>
  </conditionalFormatting>
  <conditionalFormatting sqref="F12">
    <cfRule type="expression" dxfId="3" priority="12" stopIfTrue="1">
      <formula>C12="AZ"</formula>
    </cfRule>
  </conditionalFormatting>
  <conditionalFormatting sqref="E12">
    <cfRule type="expression" dxfId="3" priority="13" stopIfTrue="1">
      <formula>C12="DEN"</formula>
    </cfRule>
  </conditionalFormatting>
  <conditionalFormatting sqref="F11">
    <cfRule type="expression" dxfId="3" priority="14" stopIfTrue="1">
      <formula>C11="TEN"</formula>
    </cfRule>
  </conditionalFormatting>
  <conditionalFormatting sqref="E11">
    <cfRule type="expression" dxfId="3" priority="15" stopIfTrue="1">
      <formula>C11="CLE"</formula>
    </cfRule>
  </conditionalFormatting>
  <conditionalFormatting sqref="F10">
    <cfRule type="expression" dxfId="3" priority="16" stopIfTrue="1">
      <formula>C10="NYJ"</formula>
    </cfRule>
  </conditionalFormatting>
  <conditionalFormatting sqref="E10">
    <cfRule type="expression" dxfId="3" priority="17" stopIfTrue="1">
      <formula>C10="MIA"</formula>
    </cfRule>
  </conditionalFormatting>
  <conditionalFormatting sqref="F9">
    <cfRule type="expression" dxfId="3" priority="18" stopIfTrue="1">
      <formula>C9="MIN"</formula>
    </cfRule>
  </conditionalFormatting>
  <conditionalFormatting sqref="E9">
    <cfRule type="expression" dxfId="3" priority="19" stopIfTrue="1">
      <formula>C9="IND"</formula>
    </cfRule>
  </conditionalFormatting>
  <conditionalFormatting sqref="F8">
    <cfRule type="expression" dxfId="3" priority="20" stopIfTrue="1">
      <formula>C8="HOU"</formula>
    </cfRule>
  </conditionalFormatting>
  <conditionalFormatting sqref="E8">
    <cfRule type="expression" dxfId="3" priority="21" stopIfTrue="1">
      <formula>C8="NYG"</formula>
    </cfRule>
  </conditionalFormatting>
  <conditionalFormatting sqref="F7">
    <cfRule type="expression" dxfId="3" priority="22" stopIfTrue="1">
      <formula>C7="CAR"</formula>
    </cfRule>
  </conditionalFormatting>
  <conditionalFormatting sqref="E7">
    <cfRule type="expression" dxfId="3" priority="23" stopIfTrue="1">
      <formula>C7="TB"</formula>
    </cfRule>
  </conditionalFormatting>
  <conditionalFormatting sqref="F6">
    <cfRule type="expression" dxfId="3" priority="24" stopIfTrue="1">
      <formula>C6="BAL"</formula>
    </cfRule>
  </conditionalFormatting>
  <conditionalFormatting sqref="E6">
    <cfRule type="expression" dxfId="3" priority="25" stopIfTrue="1">
      <formula>C6="CIN"</formula>
    </cfRule>
  </conditionalFormatting>
  <conditionalFormatting sqref="F5">
    <cfRule type="expression" dxfId="3" priority="26" stopIfTrue="1">
      <formula>C5="ATL"</formula>
    </cfRule>
  </conditionalFormatting>
  <conditionalFormatting sqref="E5">
    <cfRule type="expression" dxfId="3" priority="27" stopIfTrue="1">
      <formula>C5="SF"</formula>
    </cfRule>
  </conditionalFormatting>
  <conditionalFormatting sqref="F4">
    <cfRule type="expression" dxfId="3" priority="28" stopIfTrue="1">
      <formula>C4="NO"</formula>
    </cfRule>
  </conditionalFormatting>
  <conditionalFormatting sqref="E4">
    <cfRule type="expression" dxfId="3" priority="29" stopIfTrue="1">
      <formula>C4="PIT"</formula>
    </cfRule>
  </conditionalFormatting>
  <conditionalFormatting sqref="F3">
    <cfRule type="expression" dxfId="3" priority="30" stopIfTrue="1">
      <formula>C3="CHI"</formula>
    </cfRule>
  </conditionalFormatting>
  <conditionalFormatting sqref="E3">
    <cfRule type="expression" dxfId="3" priority="31" stopIfTrue="1">
      <formula>C3="NE"</formula>
    </cfRule>
  </conditionalFormatting>
  <conditionalFormatting sqref="E3">
    <cfRule type="expression" dxfId="3" priority="32">
      <formula>C3="PIT"</formula>
    </cfRule>
  </conditionalFormatting>
  <conditionalFormatting sqref="F3">
    <cfRule type="expression" dxfId="3" priority="33">
      <formula>C3="CIN"</formula>
    </cfRule>
  </conditionalFormatting>
  <conditionalFormatting sqref="E4">
    <cfRule type="expression" dxfId="3" priority="34">
      <formula>C4="LAR"</formula>
    </cfRule>
  </conditionalFormatting>
  <conditionalFormatting sqref="F4">
    <cfRule type="expression" dxfId="3" priority="35">
      <formula>C4="JAX"</formula>
    </cfRule>
  </conditionalFormatting>
  <conditionalFormatting sqref="E5">
    <cfRule type="expression" dxfId="3" priority="36">
      <formula>C5="NO"</formula>
    </cfRule>
  </conditionalFormatting>
  <conditionalFormatting sqref="F5">
    <cfRule type="expression" dxfId="3" priority="37">
      <formula>C5="CHI"</formula>
    </cfRule>
  </conditionalFormatting>
  <conditionalFormatting sqref="E6">
    <cfRule type="expression" dxfId="3" priority="38">
      <formula>C6="MIA"</formula>
    </cfRule>
  </conditionalFormatting>
  <conditionalFormatting sqref="F6">
    <cfRule type="expression" dxfId="3" priority="39">
      <formula>C6="CLE"</formula>
    </cfRule>
  </conditionalFormatting>
  <conditionalFormatting sqref="E7">
    <cfRule type="expression" dxfId="3" priority="40">
      <formula>C7="NE"</formula>
    </cfRule>
  </conditionalFormatting>
  <conditionalFormatting sqref="F7">
    <cfRule type="expression" dxfId="3" priority="41">
      <formula>C7="TEN"</formula>
    </cfRule>
  </conditionalFormatting>
  <conditionalFormatting sqref="E8">
    <cfRule type="expression" dxfId="3" priority="42">
      <formula>C8="LV"</formula>
    </cfRule>
  </conditionalFormatting>
  <conditionalFormatting sqref="F8">
    <cfRule type="expression" dxfId="3" priority="43">
      <formula>C8="KC"</formula>
    </cfRule>
  </conditionalFormatting>
  <conditionalFormatting sqref="E9">
    <cfRule type="expression" dxfId="3" priority="44">
      <formula>C9="PHI"</formula>
    </cfRule>
  </conditionalFormatting>
  <conditionalFormatting sqref="F9">
    <cfRule type="expression" dxfId="3" priority="45">
      <formula>C9="MIN"</formula>
    </cfRule>
  </conditionalFormatting>
  <conditionalFormatting sqref="E10">
    <cfRule type="expression" dxfId="3" priority="46">
      <formula>C10="CAR"</formula>
    </cfRule>
  </conditionalFormatting>
  <conditionalFormatting sqref="F10">
    <cfRule type="expression" dxfId="3" priority="47">
      <formula>C10="NYJ"</formula>
    </cfRule>
  </conditionalFormatting>
  <conditionalFormatting sqref="E11">
    <cfRule type="expression" dxfId="3" priority="48">
      <formula>C11="NYG"</formula>
    </cfRule>
  </conditionalFormatting>
  <conditionalFormatting sqref="F11">
    <cfRule type="expression" dxfId="3" priority="49">
      <formula>C11="DEN"</formula>
    </cfRule>
  </conditionalFormatting>
  <conditionalFormatting sqref="E12">
    <cfRule type="expression" dxfId="3" priority="50">
      <formula>C12="IND"</formula>
    </cfRule>
  </conditionalFormatting>
  <conditionalFormatting sqref="F12">
    <cfRule type="expression" dxfId="3" priority="51">
      <formula>C12="LAC"</formula>
    </cfRule>
  </conditionalFormatting>
  <conditionalFormatting sqref="E13">
    <cfRule type="expression" dxfId="3" priority="52">
      <formula>C13="WSH"</formula>
    </cfRule>
  </conditionalFormatting>
  <conditionalFormatting sqref="F13">
    <cfRule type="expression" dxfId="3" priority="53">
      <formula>C13="DAL"</formula>
    </cfRule>
  </conditionalFormatting>
  <conditionalFormatting sqref="E14">
    <cfRule type="expression" dxfId="3" priority="54">
      <formula>C14="GB"</formula>
    </cfRule>
  </conditionalFormatting>
  <conditionalFormatting sqref="F14">
    <cfRule type="expression" dxfId="3" priority="55">
      <formula>C14="AZ"</formula>
    </cfRule>
  </conditionalFormatting>
  <conditionalFormatting sqref="E15">
    <cfRule type="expression" dxfId="3" priority="56">
      <formula>C15="ATL"</formula>
    </cfRule>
  </conditionalFormatting>
  <conditionalFormatting sqref="F15">
    <cfRule type="expression" dxfId="3" priority="57">
      <formula>C15="SF"</formula>
    </cfRule>
  </conditionalFormatting>
  <conditionalFormatting sqref="E16">
    <cfRule type="expression" dxfId="3" priority="58">
      <formula>C16="TB"</formula>
    </cfRule>
  </conditionalFormatting>
  <conditionalFormatting sqref="F16">
    <cfRule type="expression" dxfId="3" priority="59">
      <formula>C16="DET"</formula>
    </cfRule>
  </conditionalFormatting>
  <dataValidations>
    <dataValidation type="custom" allowBlank="1" showDropDown="1" sqref="F15">
      <formula1>if(C15="SEA",F15&gt;E15,or(E15&gt;F15,C15=""))</formula1>
    </dataValidation>
    <dataValidation type="custom" allowBlank="1" showDropDown="1" sqref="E8">
      <formula1>if(C8="NYG",E8&gt;F8,or(F8&gt;E8,C8=""))</formula1>
    </dataValidation>
    <dataValidation type="custom" allowBlank="1" showDropDown="1" sqref="E13">
      <formula1>if(C13="GB",E13&gt;F13,or(F13&gt;E13,C13=""))</formula1>
    </dataValidation>
    <dataValidation type="custom" allowBlank="1" showDropDown="1" sqref="E14">
      <formula1>if(C14="LAR",E14&gt;F14,or(F14&gt;E14,C14=""))</formula1>
    </dataValidation>
    <dataValidation type="custom" allowBlank="1" showDropDown="1" sqref="E6">
      <formula1>if(C6="CIN",E6&gt;F6,or(F6&gt;E6,C6=""))</formula1>
    </dataValidation>
    <dataValidation type="custom" allowBlank="1" showDropDown="1" sqref="F10">
      <formula1>if(C10="NYJ",F10&gt;E10,or(E10&gt;F10,C10=""))</formula1>
    </dataValidation>
    <dataValidation type="custom" allowBlank="1" showDropDown="1" sqref="E12">
      <formula1>if(C12="DEN",E12&gt;F12,or(F12&gt;E12,C12=""))</formula1>
    </dataValidation>
    <dataValidation type="custom" allowBlank="1" showDropDown="1" sqref="E4">
      <formula1>if(C4="PIT",E4&gt;F4,or(F4&gt;E4,C4=""))</formula1>
    </dataValidation>
    <dataValidation type="list" allowBlank="1" sqref="C3">
      <formula1>"NE,CHI"</formula1>
    </dataValidation>
    <dataValidation type="list" allowBlank="1" sqref="C11">
      <formula1>"CLE,TEN"</formula1>
    </dataValidation>
    <dataValidation type="custom" allowBlank="1" showDropDown="1" sqref="F9">
      <formula1>if(C9="MIN",F9&gt;E9,or(E9&gt;F9,C9=""))</formula1>
    </dataValidation>
    <dataValidation type="list" allowBlank="1" sqref="C10">
      <formula1>"MIA,NYJ"</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qref="E9">
      <formula1>if(C9="IND",E9&gt;F9,or(F9&gt;E9,C9=""))</formula1>
    </dataValidation>
    <dataValidation type="custom" allowBlank="1" showDropDown="1" sqref="F6">
      <formula1>if(C6="BAL",F6&gt;E6,or(E6&gt;F6,C6=""))</formula1>
    </dataValidation>
    <dataValidation type="list" allowBlank="1" sqref="C16">
      <formula1>"DAL,PHI"</formula1>
    </dataValidation>
    <dataValidation type="custom" allowBlank="1" showDropDown="1" sqref="F16">
      <formula1>if(C16="PHI",F16&gt;E16,or(E16&gt;F16,C16=""))</formula1>
    </dataValidation>
    <dataValidation type="custom" allowBlank="1" showDropDown="1" sqref="F14">
      <formula1>if(C14="LV",F14&gt;E14,or(E14&gt;F14,C14=""))</formula1>
    </dataValidation>
    <dataValidation type="custom" allowBlank="1" showDropDown="1" sqref="F3">
      <formula1>if(C3="CHI",F3&gt;E3,or(E3&gt;F3,C3=""))</formula1>
    </dataValidation>
    <dataValidation type="custom" allowBlank="1" showDropDown="1" sqref="E7">
      <formula1>if(C7="TB",E7&gt;F7,or(F7&gt;E7,C7=""))</formula1>
    </dataValidation>
    <dataValidation type="list" allowBlank="1" sqref="C5">
      <formula1>"SF,ATL"</formula1>
    </dataValidation>
    <dataValidation type="custom" allowBlank="1" showDropDown="1" sqref="E16">
      <formula1>if(C16="DAL",E16&gt;F16,or(F16&gt;E16,C16=""))</formula1>
    </dataValidation>
    <dataValidation type="list" allowBlank="1" sqref="C6">
      <formula1>"CIN,BAL"</formula1>
    </dataValidation>
    <dataValidation type="list" allowBlank="1" sqref="C4">
      <formula1>"PIT,NO"</formula1>
    </dataValidation>
    <dataValidation type="custom" allowBlank="1" showDropDown="1" sqref="E11">
      <formula1>if(C11="CLE",E11&gt;F11,or(F11&gt;E11,C11=""))</formula1>
    </dataValidation>
    <dataValidation type="custom" allowBlank="1" showDropDown="1" sqref="E5">
      <formula1>if(C5="SF",E5&gt;F5,or(F5&gt;E5,C5=""))</formula1>
    </dataValidation>
    <dataValidation type="list" allowBlank="1" sqref="C13">
      <formula1>"GB,DET"</formula1>
    </dataValidation>
    <dataValidation type="custom" allowBlank="1" showDropDown="1" sqref="F11">
      <formula1>if(C11="TEN",F11&gt;E11,or(E11&gt;F11,C11=""))</formula1>
    </dataValidation>
    <dataValidation type="custom" allowBlank="1" showDropDown="1" sqref="F7">
      <formula1>if(C7="CAR",F7&gt;E7,or(E7&gt;F7,C7=""))</formula1>
    </dataValidation>
    <dataValidation type="custom" allowBlank="1" showDropDown="1" sqref="E15">
      <formula1>if(C15="KC",E15&gt;F15,or(F15&gt;E15,C15=""))</formula1>
    </dataValidation>
    <dataValidation type="list" allowBlank="1" sqref="C8">
      <formula1>"NYG,HOU"</formula1>
    </dataValidation>
    <dataValidation type="custom" allowBlank="1" showDropDown="1" sqref="E10">
      <formula1>if(C10="MIA",E10&gt;F10,or(F10&gt;E10,C10=""))</formula1>
    </dataValidation>
    <dataValidation type="custom" allowBlank="1" showDropDown="1" sqref="F8">
      <formula1>if(C8="HOU",F8&gt;E8,or(E8&gt;F8,C8=""))</formula1>
    </dataValidation>
    <dataValidation type="list" allowBlank="1" sqref="C14">
      <formula1>"LAR,LV"</formula1>
    </dataValidation>
    <dataValidation type="custom" allowBlank="1" showDropDown="1" sqref="F12">
      <formula1>if(C12="AZ",F12&gt;E12,or(E12&gt;F12,C12=""))</formula1>
    </dataValidation>
    <dataValidation type="custom" allowBlank="1" showDropDown="1" sqref="F5">
      <formula1>if(C5="ATL",F5&gt;E5,or(E5&gt;F5,C5=""))</formula1>
    </dataValidation>
    <dataValidation type="custom" allowBlank="1" showDropDown="1" sqref="E3">
      <formula1>if(C3="NE",E3&gt;F3,or(F3&gt;E3,C3=""))</formula1>
    </dataValidation>
    <dataValidation type="list" allowBlank="1" sqref="C7">
      <formula1>"TB,CAR"</formula1>
    </dataValidation>
    <dataValidation type="list" allowBlank="1" sqref="C12">
      <formula1>"DEN,AZ"</formula1>
    </dataValidation>
    <dataValidation type="list" allowBlank="1" sqref="C9">
      <formula1>"IND,MIN"</formula1>
    </dataValidation>
    <dataValidation type="list" allowBlank="1" sqref="C15">
      <formula1>"KC,SEA"</formula1>
    </dataValidation>
    <dataValidation type="custom" allowBlank="1" showDropDown="1" sqref="F4">
      <formula1>if(C4="NO",F4&gt;E4,or(E4&gt;F4,C4=""))</formula1>
    </dataValidation>
    <dataValidation type="custom" allowBlank="1" showDropDown="1" sqref="F13">
      <formula1>if(C13="DET",F13&gt;E13,or(E13&gt;F13,C13=""))</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8" location="'Week 8'!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14 / 14</v>
      </c>
      <c r="G1" s="23" t="s">
        <v>60</v>
      </c>
      <c r="H1" s="23" t="s">
        <v>82</v>
      </c>
      <c r="I1" s="23" t="s">
        <v>84</v>
      </c>
      <c r="J1" s="28"/>
      <c r="K1" s="28"/>
      <c r="L1" s="28"/>
      <c r="M1" s="28"/>
    </row>
    <row r="2">
      <c r="A2" s="29" t="s">
        <v>98</v>
      </c>
      <c r="B2" s="29" t="s">
        <v>290</v>
      </c>
      <c r="C2" s="30" t="s">
        <v>36</v>
      </c>
      <c r="D2" s="30"/>
      <c r="E2" s="29" t="s">
        <v>37</v>
      </c>
      <c r="F2" s="29" t="s">
        <v>38</v>
      </c>
      <c r="G2" s="29" t="s">
        <v>100</v>
      </c>
      <c r="H2" s="29" t="s">
        <v>101</v>
      </c>
      <c r="I2" s="29"/>
      <c r="J2" s="29" t="s">
        <v>102</v>
      </c>
      <c r="K2" s="29" t="s">
        <v>103</v>
      </c>
      <c r="L2" s="29" t="s">
        <v>104</v>
      </c>
      <c r="M2" s="29" t="s">
        <v>105</v>
      </c>
    </row>
    <row r="3">
      <c r="A3" s="32" t="s">
        <v>291</v>
      </c>
      <c r="B3" s="33" t="s">
        <v>292</v>
      </c>
      <c r="C3" s="33" t="s">
        <v>146</v>
      </c>
      <c r="D3" s="33"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17.0</v>
      </c>
      <c r="F3" s="33">
        <v>20.0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321</v>
      </c>
      <c r="B4" s="33" t="s">
        <v>322</v>
      </c>
      <c r="C4" s="33" t="s">
        <v>136</v>
      </c>
      <c r="D4" s="33" t="str">
        <f t="shared" si="1"/>
        <v/>
      </c>
      <c r="E4" s="33">
        <v>20.0</v>
      </c>
      <c r="F4" s="33">
        <v>23.0</v>
      </c>
      <c r="G4" s="33" t="b">
        <v>0</v>
      </c>
      <c r="H4" s="48" t="s">
        <v>119</v>
      </c>
      <c r="I4" s="33"/>
      <c r="J4" s="59"/>
      <c r="K4" s="60" t="s">
        <v>132</v>
      </c>
      <c r="L4" s="59"/>
      <c r="M4" s="60" t="s">
        <v>133</v>
      </c>
    </row>
    <row r="5">
      <c r="A5" s="32" t="s">
        <v>321</v>
      </c>
      <c r="B5" s="56" t="s">
        <v>327</v>
      </c>
      <c r="C5" s="33" t="s">
        <v>168</v>
      </c>
      <c r="D5" s="33" t="str">
        <f t="shared" si="1"/>
        <v/>
      </c>
      <c r="E5" s="33">
        <v>14.0</v>
      </c>
      <c r="F5" s="33">
        <v>17.0</v>
      </c>
      <c r="G5" s="33" t="b">
        <v>0</v>
      </c>
      <c r="H5" s="48" t="s">
        <v>130</v>
      </c>
      <c r="I5" s="33"/>
      <c r="J5" s="59"/>
      <c r="K5" s="60" t="s">
        <v>142</v>
      </c>
      <c r="L5" s="59"/>
      <c r="M5" s="60" t="s">
        <v>142</v>
      </c>
    </row>
    <row r="6">
      <c r="A6" s="32" t="s">
        <v>321</v>
      </c>
      <c r="B6" s="56" t="s">
        <v>330</v>
      </c>
      <c r="C6" s="33" t="s">
        <v>138</v>
      </c>
      <c r="D6" s="33" t="str">
        <f t="shared" si="1"/>
        <v/>
      </c>
      <c r="E6" s="33">
        <v>21.0</v>
      </c>
      <c r="F6" s="33">
        <v>28.0</v>
      </c>
      <c r="G6" s="33" t="b">
        <v>0</v>
      </c>
      <c r="H6" s="48" t="s">
        <v>141</v>
      </c>
      <c r="I6" s="33"/>
      <c r="J6" s="64"/>
      <c r="K6" s="65" t="s">
        <v>147</v>
      </c>
      <c r="L6" s="64"/>
      <c r="M6" s="65" t="s">
        <v>148</v>
      </c>
    </row>
    <row r="7">
      <c r="A7" s="32" t="s">
        <v>321</v>
      </c>
      <c r="B7" s="33" t="s">
        <v>336</v>
      </c>
      <c r="C7" s="33" t="s">
        <v>116</v>
      </c>
      <c r="D7" s="33" t="str">
        <f t="shared" si="1"/>
        <v/>
      </c>
      <c r="E7" s="33">
        <v>24.0</v>
      </c>
      <c r="F7" s="33">
        <v>31.0</v>
      </c>
      <c r="G7" s="33" t="b">
        <v>0</v>
      </c>
      <c r="H7" s="48" t="s">
        <v>145</v>
      </c>
      <c r="I7" s="33"/>
      <c r="J7" s="51"/>
      <c r="K7" s="52" t="s">
        <v>142</v>
      </c>
      <c r="L7" s="51"/>
      <c r="M7" s="52" t="s">
        <v>157</v>
      </c>
    </row>
    <row r="8">
      <c r="A8" s="32" t="s">
        <v>321</v>
      </c>
      <c r="B8" s="56" t="s">
        <v>339</v>
      </c>
      <c r="C8" s="33" t="s">
        <v>173</v>
      </c>
      <c r="D8" s="33" t="str">
        <f t="shared" si="1"/>
        <v/>
      </c>
      <c r="E8" s="33">
        <v>14.0</v>
      </c>
      <c r="F8" s="33">
        <v>20.0</v>
      </c>
      <c r="G8" s="33" t="b">
        <v>0</v>
      </c>
      <c r="H8" s="48" t="s">
        <v>156</v>
      </c>
      <c r="I8" s="33"/>
      <c r="J8" s="59"/>
      <c r="K8" s="60" t="s">
        <v>161</v>
      </c>
      <c r="L8" s="59"/>
      <c r="M8" s="60" t="s">
        <v>133</v>
      </c>
    </row>
    <row r="9">
      <c r="A9" s="32" t="s">
        <v>321</v>
      </c>
      <c r="B9" s="56" t="s">
        <v>340</v>
      </c>
      <c r="C9" s="33" t="s">
        <v>153</v>
      </c>
      <c r="D9" s="33" t="str">
        <f t="shared" si="1"/>
        <v/>
      </c>
      <c r="E9" s="33">
        <v>13.0</v>
      </c>
      <c r="F9" s="33">
        <v>20.0</v>
      </c>
      <c r="G9" s="33" t="b">
        <v>0</v>
      </c>
      <c r="H9" s="48" t="s">
        <v>159</v>
      </c>
      <c r="I9" s="33"/>
      <c r="J9" s="59"/>
      <c r="K9" s="60" t="s">
        <v>165</v>
      </c>
      <c r="L9" s="59"/>
      <c r="M9" s="60" t="s">
        <v>165</v>
      </c>
    </row>
    <row r="10">
      <c r="A10" s="32" t="s">
        <v>321</v>
      </c>
      <c r="B10" s="33" t="s">
        <v>341</v>
      </c>
      <c r="C10" s="33" t="s">
        <v>108</v>
      </c>
      <c r="D10" s="33" t="str">
        <f t="shared" si="1"/>
        <v/>
      </c>
      <c r="E10" s="33">
        <v>23.0</v>
      </c>
      <c r="F10" s="33">
        <v>20.0</v>
      </c>
      <c r="G10" s="33" t="b">
        <v>0</v>
      </c>
      <c r="H10" s="48" t="s">
        <v>170</v>
      </c>
      <c r="I10" s="33"/>
      <c r="J10" s="64"/>
      <c r="K10" s="65" t="s">
        <v>133</v>
      </c>
      <c r="L10" s="64"/>
      <c r="M10" s="65" t="s">
        <v>171</v>
      </c>
    </row>
    <row r="11">
      <c r="A11" s="32" t="s">
        <v>321</v>
      </c>
      <c r="B11" s="33" t="s">
        <v>342</v>
      </c>
      <c r="C11" s="33" t="s">
        <v>117</v>
      </c>
      <c r="D11" s="33" t="str">
        <f t="shared" si="1"/>
        <v/>
      </c>
      <c r="E11" s="33">
        <v>20.0</v>
      </c>
      <c r="F11" s="33">
        <v>17.0</v>
      </c>
      <c r="G11" s="33" t="b">
        <v>0</v>
      </c>
      <c r="H11" s="48" t="s">
        <v>175</v>
      </c>
      <c r="I11" s="33"/>
      <c r="J11" s="51"/>
      <c r="K11" s="52" t="s">
        <v>157</v>
      </c>
      <c r="L11" s="51"/>
      <c r="M11" s="52" t="s">
        <v>157</v>
      </c>
    </row>
    <row r="12">
      <c r="A12" s="32" t="s">
        <v>343</v>
      </c>
      <c r="B12" s="33" t="s">
        <v>344</v>
      </c>
      <c r="C12" s="33" t="s">
        <v>110</v>
      </c>
      <c r="D12" s="33" t="str">
        <f t="shared" si="1"/>
        <v/>
      </c>
      <c r="E12" s="33">
        <v>14.0</v>
      </c>
      <c r="F12" s="33">
        <v>20.0</v>
      </c>
      <c r="G12" s="33" t="b">
        <v>0</v>
      </c>
      <c r="H12" s="48" t="s">
        <v>179</v>
      </c>
      <c r="I12" s="33"/>
      <c r="J12" s="59"/>
      <c r="K12" s="60" t="s">
        <v>165</v>
      </c>
      <c r="L12" s="59"/>
      <c r="M12" s="60" t="s">
        <v>180</v>
      </c>
    </row>
    <row r="13">
      <c r="A13" s="32" t="s">
        <v>347</v>
      </c>
      <c r="B13" s="56" t="s">
        <v>349</v>
      </c>
      <c r="C13" s="33" t="s">
        <v>126</v>
      </c>
      <c r="D13" s="33" t="str">
        <f t="shared" si="1"/>
        <v/>
      </c>
      <c r="E13" s="33">
        <v>17.0</v>
      </c>
      <c r="F13" s="33">
        <v>14.0</v>
      </c>
      <c r="G13" s="33" t="b">
        <v>1</v>
      </c>
      <c r="H13" s="48" t="s">
        <v>185</v>
      </c>
      <c r="I13" s="33"/>
      <c r="J13" s="59"/>
      <c r="K13" s="60" t="s">
        <v>132</v>
      </c>
      <c r="L13" s="59"/>
      <c r="M13" s="60" t="s">
        <v>147</v>
      </c>
    </row>
    <row r="14">
      <c r="A14" s="32" t="s">
        <v>347</v>
      </c>
      <c r="B14" s="56" t="s">
        <v>352</v>
      </c>
      <c r="C14" s="33" t="s">
        <v>111</v>
      </c>
      <c r="D14" s="33" t="str">
        <f t="shared" si="1"/>
        <v/>
      </c>
      <c r="E14" s="33">
        <v>20.0</v>
      </c>
      <c r="F14" s="33">
        <v>23.0</v>
      </c>
      <c r="G14" s="33" t="b">
        <v>0</v>
      </c>
      <c r="H14" s="48" t="s">
        <v>191</v>
      </c>
      <c r="I14" s="33"/>
      <c r="J14" s="64"/>
      <c r="K14" s="65" t="s">
        <v>122</v>
      </c>
      <c r="L14" s="64"/>
      <c r="M14" s="65" t="s">
        <v>122</v>
      </c>
    </row>
    <row r="15">
      <c r="A15" s="32" t="s">
        <v>358</v>
      </c>
      <c r="B15" s="56" t="s">
        <v>359</v>
      </c>
      <c r="C15" s="33" t="s">
        <v>121</v>
      </c>
      <c r="D15" s="33" t="str">
        <f t="shared" si="1"/>
        <v/>
      </c>
      <c r="E15" s="33">
        <v>23.0</v>
      </c>
      <c r="F15" s="33">
        <v>20.0</v>
      </c>
      <c r="G15" s="33" t="b">
        <v>0</v>
      </c>
      <c r="H15" s="48" t="s">
        <v>194</v>
      </c>
      <c r="I15" s="33"/>
      <c r="J15" s="51"/>
      <c r="K15" s="52" t="s">
        <v>122</v>
      </c>
      <c r="L15" s="51"/>
      <c r="M15" s="52" t="s">
        <v>147</v>
      </c>
    </row>
    <row r="16">
      <c r="A16" s="32" t="s">
        <v>361</v>
      </c>
      <c r="B16" s="33" t="s">
        <v>362</v>
      </c>
      <c r="C16" s="33" t="s">
        <v>109</v>
      </c>
      <c r="D16" s="33" t="str">
        <f t="shared" si="1"/>
        <v/>
      </c>
      <c r="E16" s="33">
        <v>14.0</v>
      </c>
      <c r="F16" s="33">
        <v>17.0</v>
      </c>
      <c r="G16" s="33" t="b">
        <v>0</v>
      </c>
      <c r="H16" s="48" t="s">
        <v>198</v>
      </c>
      <c r="I16" s="33"/>
      <c r="J16" s="59"/>
      <c r="K16" s="60" t="s">
        <v>122</v>
      </c>
      <c r="L16" s="59"/>
      <c r="M16" s="60" t="s">
        <v>180</v>
      </c>
    </row>
    <row r="17">
      <c r="A17" s="8"/>
      <c r="B17" s="94"/>
      <c r="C17" s="94"/>
      <c r="D17" s="95"/>
      <c r="E17" s="95"/>
      <c r="F17" s="95"/>
      <c r="G17" s="95"/>
      <c r="H17" s="96" t="s">
        <v>202</v>
      </c>
      <c r="I17" s="97"/>
      <c r="J17" s="102"/>
      <c r="K17" s="103" t="s">
        <v>132</v>
      </c>
      <c r="L17" s="102"/>
      <c r="M17" s="103" t="s">
        <v>147</v>
      </c>
    </row>
    <row r="18">
      <c r="A18" s="100" t="s">
        <v>283</v>
      </c>
      <c r="B18" s="32"/>
      <c r="C18" s="32"/>
      <c r="D18" s="101"/>
      <c r="E18" s="101"/>
      <c r="F18" s="101"/>
      <c r="G18" s="101"/>
      <c r="H18" s="96" t="s">
        <v>206</v>
      </c>
      <c r="I18" s="97"/>
      <c r="J18" s="98"/>
      <c r="K18" s="99" t="s">
        <v>161</v>
      </c>
      <c r="L18" s="98"/>
      <c r="M18" s="99" t="s">
        <v>165</v>
      </c>
    </row>
    <row r="19">
      <c r="A19" s="32" t="s">
        <v>163</v>
      </c>
      <c r="B19" s="32"/>
      <c r="C19" s="32"/>
      <c r="D19" s="101"/>
      <c r="E19" s="101"/>
      <c r="F19" s="101"/>
      <c r="G19" s="101"/>
      <c r="H19" s="96" t="s">
        <v>207</v>
      </c>
      <c r="I19" s="97"/>
      <c r="J19" s="97"/>
      <c r="K19" s="97"/>
      <c r="L19" s="97"/>
      <c r="M19" s="97"/>
    </row>
    <row r="20">
      <c r="A20" s="32" t="s">
        <v>174</v>
      </c>
      <c r="B20" s="32"/>
      <c r="C20" s="32"/>
      <c r="D20" s="101"/>
      <c r="E20" s="101"/>
      <c r="F20" s="101"/>
      <c r="G20" s="101"/>
      <c r="H20" s="97"/>
      <c r="I20" s="97"/>
      <c r="J20" s="97"/>
      <c r="K20" s="97"/>
      <c r="L20" s="97"/>
      <c r="M20" s="97"/>
    </row>
    <row r="21">
      <c r="A21" s="32" t="s">
        <v>125</v>
      </c>
      <c r="B21" s="32"/>
      <c r="C21" s="32"/>
      <c r="D21" s="101"/>
      <c r="E21" s="101"/>
      <c r="F21" s="101"/>
      <c r="G21" s="101"/>
      <c r="H21" s="97"/>
      <c r="I21" s="97"/>
      <c r="J21" s="97"/>
      <c r="K21" s="97"/>
      <c r="L21" s="97"/>
      <c r="M21" s="97"/>
    </row>
    <row r="22">
      <c r="A22" s="32" t="s">
        <v>85</v>
      </c>
      <c r="B22" s="32"/>
      <c r="C22" s="32"/>
      <c r="D22" s="101"/>
      <c r="E22" s="101"/>
      <c r="F22" s="101"/>
      <c r="G22" s="101"/>
      <c r="H22" s="97"/>
      <c r="I22" s="97"/>
      <c r="J22" s="97"/>
      <c r="K22" s="97"/>
      <c r="L22" s="97"/>
      <c r="M22"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C16="SEA"</formula>
    </cfRule>
  </conditionalFormatting>
  <conditionalFormatting sqref="E16">
    <cfRule type="expression" dxfId="3" priority="5" stopIfTrue="1">
      <formula>C16="CHI"</formula>
    </cfRule>
  </conditionalFormatting>
  <conditionalFormatting sqref="F15:F16">
    <cfRule type="expression" dxfId="3" priority="6" stopIfTrue="1">
      <formula>C15="WSH"</formula>
    </cfRule>
  </conditionalFormatting>
  <conditionalFormatting sqref="E15:E16">
    <cfRule type="expression" dxfId="3" priority="7" stopIfTrue="1">
      <formula>C15="PHI"</formula>
    </cfRule>
  </conditionalFormatting>
  <conditionalFormatting sqref="F14">
    <cfRule type="expression" dxfId="3" priority="8" stopIfTrue="1">
      <formula>C14="DEN"</formula>
    </cfRule>
  </conditionalFormatting>
  <conditionalFormatting sqref="E14">
    <cfRule type="expression" dxfId="3" priority="9" stopIfTrue="1">
      <formula>C14="KC"</formula>
    </cfRule>
  </conditionalFormatting>
  <conditionalFormatting sqref="F13">
    <cfRule type="expression" dxfId="3" priority="10" stopIfTrue="1">
      <formula>C13="MIA"</formula>
    </cfRule>
  </conditionalFormatting>
  <conditionalFormatting sqref="E13">
    <cfRule type="expression" dxfId="3" priority="11" stopIfTrue="1">
      <formula>C13="NE"</formula>
    </cfRule>
  </conditionalFormatting>
  <conditionalFormatting sqref="F12">
    <cfRule type="expression" dxfId="3" priority="12" stopIfTrue="1">
      <formula>C12="LAR"</formula>
    </cfRule>
  </conditionalFormatting>
  <conditionalFormatting sqref="E12">
    <cfRule type="expression" dxfId="3" priority="13" stopIfTrue="1">
      <formula>C12="LAC"</formula>
    </cfRule>
  </conditionalFormatting>
  <conditionalFormatting sqref="F11">
    <cfRule type="expression" dxfId="3" priority="14" stopIfTrue="1">
      <formula>C11="DAL"</formula>
    </cfRule>
  </conditionalFormatting>
  <conditionalFormatting sqref="E11">
    <cfRule type="expression" dxfId="3" priority="15" stopIfTrue="1">
      <formula>C11="AZ"</formula>
    </cfRule>
  </conditionalFormatting>
  <conditionalFormatting sqref="F10">
    <cfRule type="expression" dxfId="3" priority="16" stopIfTrue="1">
      <formula>C10="NYJ"</formula>
    </cfRule>
  </conditionalFormatting>
  <conditionalFormatting sqref="E10">
    <cfRule type="expression" dxfId="3" priority="17" stopIfTrue="1">
      <formula>C10="LV"</formula>
    </cfRule>
  </conditionalFormatting>
  <conditionalFormatting sqref="F9">
    <cfRule type="expression" dxfId="3" priority="18" stopIfTrue="1">
      <formula>C9="PIT"</formula>
    </cfRule>
  </conditionalFormatting>
  <conditionalFormatting sqref="E9">
    <cfRule type="expression" dxfId="3" priority="19" stopIfTrue="1">
      <formula>C9="CLE"</formula>
    </cfRule>
  </conditionalFormatting>
  <conditionalFormatting sqref="F8">
    <cfRule type="expression" dxfId="3" priority="20" stopIfTrue="1">
      <formula>C8="JAX"</formula>
    </cfRule>
  </conditionalFormatting>
  <conditionalFormatting sqref="E8">
    <cfRule type="expression" dxfId="3" priority="21" stopIfTrue="1">
      <formula>C8="IND"</formula>
    </cfRule>
  </conditionalFormatting>
  <conditionalFormatting sqref="F7">
    <cfRule type="expression" dxfId="3" priority="22" stopIfTrue="1">
      <formula>C7="BUF"</formula>
    </cfRule>
  </conditionalFormatting>
  <conditionalFormatting sqref="E7">
    <cfRule type="expression" dxfId="3" priority="23" stopIfTrue="1">
      <formula>C7="BAL"</formula>
    </cfRule>
  </conditionalFormatting>
  <conditionalFormatting sqref="F6">
    <cfRule type="expression" dxfId="3" priority="24" stopIfTrue="1">
      <formula>C6="DET"</formula>
    </cfRule>
  </conditionalFormatting>
  <conditionalFormatting sqref="E6">
    <cfRule type="expression" dxfId="3" priority="25" stopIfTrue="1">
      <formula>C6="MIN"</formula>
    </cfRule>
  </conditionalFormatting>
  <conditionalFormatting sqref="F5">
    <cfRule type="expression" dxfId="3" priority="26" stopIfTrue="1">
      <formula>C5="TB"</formula>
    </cfRule>
  </conditionalFormatting>
  <conditionalFormatting sqref="E5">
    <cfRule type="expression" dxfId="3" priority="27" stopIfTrue="1">
      <formula>C5="ATL"</formula>
    </cfRule>
  </conditionalFormatting>
  <conditionalFormatting sqref="F4">
    <cfRule type="expression" dxfId="3" priority="28" stopIfTrue="1">
      <formula>C4="CIN"</formula>
    </cfRule>
  </conditionalFormatting>
  <conditionalFormatting sqref="E4">
    <cfRule type="expression" dxfId="3" priority="29" stopIfTrue="1">
      <formula>C4="TEN"</formula>
    </cfRule>
  </conditionalFormatting>
  <conditionalFormatting sqref="F3">
    <cfRule type="expression" dxfId="3" priority="30" stopIfTrue="1">
      <formula>C3="GB"</formula>
    </cfRule>
  </conditionalFormatting>
  <conditionalFormatting sqref="E3">
    <cfRule type="expression" dxfId="3" priority="31" stopIfTrue="1">
      <formula>C3="CAR"</formula>
    </cfRule>
  </conditionalFormatting>
  <conditionalFormatting sqref="E3">
    <cfRule type="expression" dxfId="3" priority="32">
      <formula>C3="MIN"</formula>
    </cfRule>
  </conditionalFormatting>
  <conditionalFormatting sqref="F3">
    <cfRule type="expression" dxfId="3" priority="33">
      <formula>C3="LAC"</formula>
    </cfRule>
  </conditionalFormatting>
  <conditionalFormatting sqref="E4">
    <cfRule type="expression" dxfId="3" priority="34">
      <formula>C4="MIA"</formula>
    </cfRule>
  </conditionalFormatting>
  <conditionalFormatting sqref="F4">
    <cfRule type="expression" dxfId="3" priority="35">
      <formula>C4="ATL"</formula>
    </cfRule>
  </conditionalFormatting>
  <conditionalFormatting sqref="E5">
    <cfRule type="expression" dxfId="3" priority="36">
      <formula>C5="NYJ"</formula>
    </cfRule>
  </conditionalFormatting>
  <conditionalFormatting sqref="F5">
    <cfRule type="expression" dxfId="3" priority="37">
      <formula>C5="CIN"</formula>
    </cfRule>
  </conditionalFormatting>
  <conditionalFormatting sqref="E6">
    <cfRule type="expression" dxfId="3" priority="38">
      <formula>C6="CLE"</formula>
    </cfRule>
  </conditionalFormatting>
  <conditionalFormatting sqref="F6">
    <cfRule type="expression" dxfId="3" priority="39">
      <formula>C6="NE"</formula>
    </cfRule>
  </conditionalFormatting>
  <conditionalFormatting sqref="E7">
    <cfRule type="expression" dxfId="3" priority="40">
      <formula>C7="NYG"</formula>
    </cfRule>
  </conditionalFormatting>
  <conditionalFormatting sqref="F7">
    <cfRule type="expression" dxfId="3" priority="41">
      <formula>C7="PHI"</formula>
    </cfRule>
  </conditionalFormatting>
  <conditionalFormatting sqref="E8">
    <cfRule type="expression" dxfId="3" priority="42">
      <formula>C8="BUF"</formula>
    </cfRule>
  </conditionalFormatting>
  <conditionalFormatting sqref="F8">
    <cfRule type="expression" dxfId="3" priority="43">
      <formula>C8="CAR"</formula>
    </cfRule>
  </conditionalFormatting>
  <conditionalFormatting sqref="E9">
    <cfRule type="expression" dxfId="3" priority="44">
      <formula>C9="CHI"</formula>
    </cfRule>
  </conditionalFormatting>
  <conditionalFormatting sqref="F9">
    <cfRule type="expression" dxfId="3" priority="45">
      <formula>C9="BAL"</formula>
    </cfRule>
  </conditionalFormatting>
  <conditionalFormatting sqref="E10">
    <cfRule type="expression" dxfId="3" priority="46">
      <formula>C10="SF"</formula>
    </cfRule>
  </conditionalFormatting>
  <conditionalFormatting sqref="F10">
    <cfRule type="expression" dxfId="3" priority="47">
      <formula>C10="HOU"</formula>
    </cfRule>
  </conditionalFormatting>
  <conditionalFormatting sqref="E11">
    <cfRule type="expression" dxfId="3" priority="48">
      <formula>C11="TB"</formula>
    </cfRule>
  </conditionalFormatting>
  <conditionalFormatting sqref="F11">
    <cfRule type="expression" dxfId="3" priority="49">
      <formula>C11="NO"</formula>
    </cfRule>
  </conditionalFormatting>
  <conditionalFormatting sqref="E12">
    <cfRule type="expression" dxfId="3" priority="50">
      <formula>C12="DAL"</formula>
    </cfRule>
  </conditionalFormatting>
  <conditionalFormatting sqref="F12">
    <cfRule type="expression" dxfId="3" priority="51">
      <formula>C12="DEN"</formula>
    </cfRule>
  </conditionalFormatting>
  <conditionalFormatting sqref="E13">
    <cfRule type="expression" dxfId="3" priority="52">
      <formula>C13="TEN"</formula>
    </cfRule>
  </conditionalFormatting>
  <conditionalFormatting sqref="F13">
    <cfRule type="expression" dxfId="3" priority="53">
      <formula>C13="IND"</formula>
    </cfRule>
  </conditionalFormatting>
  <conditionalFormatting sqref="E14">
    <cfRule type="expression" dxfId="3" priority="54">
      <formula>C14="GB"</formula>
    </cfRule>
  </conditionalFormatting>
  <conditionalFormatting sqref="F14">
    <cfRule type="expression" dxfId="3" priority="55">
      <formula>C14="PIT"</formula>
    </cfRule>
  </conditionalFormatting>
  <conditionalFormatting sqref="E15:E16">
    <cfRule type="expression" dxfId="3" priority="56">
      <formula>C15="WSH"</formula>
    </cfRule>
  </conditionalFormatting>
  <conditionalFormatting sqref="F15:F16">
    <cfRule type="expression" dxfId="3" priority="57">
      <formula>C15="KC"</formula>
    </cfRule>
  </conditionalFormatting>
  <dataValidations>
    <dataValidation type="list" allowBlank="1" showErrorMessage="1" sqref="C8">
      <formula1>"IND,JAX"</formula1>
    </dataValidation>
    <dataValidation type="list" allowBlank="1" showErrorMessage="1" sqref="C10">
      <formula1>"LV,NYJ"</formula1>
    </dataValidation>
    <dataValidation type="custom" allowBlank="1" showDropDown="1" showInputMessage="1" prompt="Enter a value that satisfies the formula: =if(C14=&quot;PHI&quot;,E14&gt;F14,or(F14&gt;E14,C14=&quot;&quot;))" sqref="E15">
      <formula1>if(C15="PHI",E15&gt;F15,or(F15&gt;E15,C15=""))</formula1>
    </dataValidation>
    <dataValidation type="custom" allowBlank="1" showDropDown="1" showInputMessage="1" prompt="Enter a value that satisfies the formula: =if(C11=&quot;LAR&quot;,F11&gt;E11,or(E11&gt;F11,C11=&quot;&quot;))" sqref="F12">
      <formula1>if(C12="LAR",F12&gt;E12,or(E12&gt;F12,C12=""))</formula1>
    </dataValidation>
    <dataValidation type="custom" allowBlank="1" showDropDown="1" showInputMessage="1" prompt="Enter a value that satisfies the formula: =if(C6=&quot;BAL&quot;,E6&gt;F6,or(F6&gt;E6,C6=&quot;&quot;))" sqref="E7">
      <formula1>if(C7="BAL",E7&gt;F7,or(F7&gt;E7,C7=""))</formula1>
    </dataValidation>
    <dataValidation type="custom" allowBlank="1" showDropDown="1" showInputMessage="1" prompt="Enter a value that satisfies the formula: =if(C13=&quot;DEN&quot;,F13&gt;E13,or(E13&gt;F13,C13=&quot;&quot;))" sqref="F14">
      <formula1>if(C14="DEN",F14&gt;E14,or(E14&gt;F14,C14=""))</formula1>
    </dataValidation>
    <dataValidation type="list" allowBlank="1" showErrorMessage="1" sqref="C4">
      <formula1>"TEN,CIN"</formula1>
    </dataValidation>
    <dataValidation type="custom" allowBlank="1" showDropDown="1" showInputMessage="1" prompt="Enter a value that satisfies the formula: =if(C12=&quot;NE&quot;,E12&gt;F12,or(F12&gt;E12,C12=&quot;&quot;))" sqref="E13">
      <formula1>if(C13="NE",E13&gt;F13,or(F13&gt;E13,C13=""))</formula1>
    </dataValidation>
    <dataValidation type="custom" allowBlank="1" showDropDown="1" showInputMessage="1" prompt="Enter a value that satisfies the formula: =if(C15=&quot;CHI&quot;,E15&gt;F15,or(F15&gt;E15,C15=&quot;&quot;))" sqref="E16">
      <formula1>if(C16="CHI",E16&gt;F16,or(F16&gt;E16,C16=""))</formula1>
    </dataValidation>
    <dataValidation type="custom" allowBlank="1" showDropDown="1" showInputMessage="1" prompt="Enter a value that satisfies the formula: =if(C6=&quot;BUF&quot;,F6&gt;E6,or(E6&gt;F6,C6=&quot;&quot;))" sqref="F7">
      <formula1>if(C7="BUF",F7&gt;E7,or(E7&gt;F7,C7=""))</formula1>
    </dataValidation>
    <dataValidation type="custom" allowBlank="1" showDropDown="1" showInputMessage="1" prompt="Enter a value that satisfies the formula: =if(C8=&quot;PIT&quot;,F8&gt;E8,or(E8&gt;F8,C8=&quot;&quot;))" sqref="F9">
      <formula1>if(C9="PIT",F9&gt;E9,or(E9&gt;F9,C9=""))</formula1>
    </dataValidation>
    <dataValidation type="list" allowBlank="1" showErrorMessage="1" sqref="C15">
      <formula1>"PHI,WSH"</formula1>
    </dataValidation>
    <dataValidation type="list" allowBlank="1" showErrorMessage="1" sqref="C16">
      <formula1>"CHI,SEA"</formula1>
    </dataValidation>
    <dataValidation type="custom" allowBlank="1" showDropDown="1" showInputMessage="1" prompt="Enter a value that satisfies the formula: =if(C7=&quot;JAX&quot;,F7&gt;E7,or(E7&gt;F7,C7=&quot;&quot;))" sqref="F8">
      <formula1>if(C8="JAX",F8&gt;E8,or(E8&gt;F8,C8=""))</formula1>
    </dataValidation>
    <dataValidation type="custom" allowBlank="1" showDropDown="1" showInputMessage="1" prompt="Enter a value that satisfies the formula: =if(C12=&quot;MIA&quot;,F12&gt;E12,or(E12&gt;F12,C12=&quot;&quot;))" sqref="F13">
      <formula1>if(C13="MIA",F13&gt;E13,or(E13&gt;F13,C13=""))</formula1>
    </dataValidation>
    <dataValidation type="custom" allowBlank="1" showDropDown="1" showInputMessage="1" prompt="Enter a value that satisfies the formula: =if(C13=&quot;KC&quot;,E13&gt;F13,or(F13&gt;E13,C13=&quot;&quot;))" sqref="E14">
      <formula1>if(C14="KC",E14&gt;F14,or(F14&gt;E14,C14=""))</formula1>
    </dataValidation>
    <dataValidation type="list" allowBlank="1" showErrorMessage="1" sqref="C11">
      <formula1>"AZ,DAL"</formula1>
    </dataValidation>
    <dataValidation type="custom" allowBlank="1" showDropDown="1" showInputMessage="1" prompt="Enter a value that satisfies the formula: =if(C4=&quot;TB&quot;,F4&gt;E4,or(E4&gt;F4,C4=&quot;&quot;))" sqref="F5">
      <formula1>if(C5="TB",F5&gt;E5,or(E5&gt;F5,C5=""))</formula1>
    </dataValidation>
    <dataValidation type="list" allowBlank="1" showErrorMessage="1" sqref="C9">
      <formula1>"CLE,PIT"</formula1>
    </dataValidation>
    <dataValidation type="list" allowBlank="1" showErrorMessage="1" sqref="C14">
      <formula1>"KC,DEN"</formula1>
    </dataValidation>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9=&quot;LV&quot;,E9&gt;F9,or(F9&gt;E9,C9=&quot;&quot;))" sqref="E10">
      <formula1>if(C10="LV",E10&gt;F10,or(F10&gt;E10,C10=""))</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howErrorMessage="1" sqref="C5">
      <formula1>"ATL,TB"</formula1>
    </dataValidation>
    <dataValidation type="list" allowBlank="1" showErrorMessage="1" sqref="C12">
      <formula1>"LAC,LAR"</formula1>
    </dataValidation>
    <dataValidation type="custom" allowBlank="1" showDropDown="1" showInputMessage="1" prompt="Enter a value that satisfies the formula: =if(C11=&quot;LAC&quot;,E11&gt;F11,or(F11&gt;E11,C11=&quot;&quot;))" sqref="E12">
      <formula1>if(C12="LAC",E12&gt;F12,or(F12&gt;E12,C12=""))</formula1>
    </dataValidation>
    <dataValidation type="custom" allowBlank="1" showDropDown="1" showInputMessage="1" prompt="Enter a value that satisfies the formula: =if(C2=&quot;CAR&quot;,E2&gt;F2,or(F2&gt;E2,C2=&quot;&quot;))" sqref="E3">
      <formula1>if(C3="CAR",E3&gt;F3,or(F3&gt;E3,C3=""))</formula1>
    </dataValidation>
    <dataValidation type="custom" allowBlank="1" showDropDown="1" showInputMessage="1" prompt="Enter a value that satisfies the formula: =if(C15=&quot;SEA&quot;,F15&gt;E15,or(E15&gt;F15,C15=&quot;&quot;))" sqref="F16">
      <formula1>if(C16="SEA",F16&gt;E16,or(E16&gt;F16,C16=""))</formula1>
    </dataValidation>
    <dataValidation type="custom" allowBlank="1" showDropDown="1" showInputMessage="1" prompt="Enter a value that satisfies the formula: =if(C3=&quot;TEN&quot;,E3&gt;F3,or(F3&gt;E3,C3=&quot;&quot;))" sqref="E4">
      <formula1>if(C4="TEN",E4&gt;F4,or(F4&gt;E4,C4=""))</formula1>
    </dataValidation>
    <dataValidation type="custom" allowBlank="1" showDropDown="1" showInputMessage="1" prompt="Enter a value that satisfies the formula: =if(C3=&quot;CIN&quot;,F3&gt;E3,or(E3&gt;F3,C3=&quot;&quot;))" sqref="F4">
      <formula1>if(C4="CIN",F4&gt;E4,or(E4&gt;F4,C4=""))</formula1>
    </dataValidation>
    <dataValidation type="custom" allowBlank="1" showDropDown="1" showInputMessage="1" prompt="Enter a value that satisfies the formula: =if(C9=&quot;NYJ&quot;,F9&gt;E9,or(E9&gt;F9,C9=&quot;&quot;))" sqref="F10">
      <formula1>if(C10="NYJ",F10&gt;E10,or(E10&gt;F10,C10=""))</formula1>
    </dataValidation>
    <dataValidation type="custom" allowBlank="1" showDropDown="1" showInputMessage="1" prompt="Enter a value that satisfies the formula: =if(C7=&quot;IND&quot;,E7&gt;F7,or(F7&gt;E7,C7=&quot;&quot;))" sqref="E8">
      <formula1>if(C8="IND",E8&gt;F8,or(F8&gt;E8,C8=""))</formula1>
    </dataValidation>
    <dataValidation type="list" allowBlank="1" showErrorMessage="1" sqref="C7">
      <formula1>"BAL,BUF"</formula1>
    </dataValidation>
    <dataValidation type="list" allowBlank="1" showErrorMessage="1" sqref="C6">
      <formula1>"MIN,DET"</formula1>
    </dataValidation>
    <dataValidation type="list" allowBlank="1" showErrorMessage="1" sqref="C3">
      <formula1>"CAR,GB"</formula1>
    </dataValidation>
    <dataValidation type="custom" allowBlank="1" showDropDown="1" showInputMessage="1" prompt="Enter a value that satisfies the formula: =if(C4=&quot;ATL&quot;,E4&gt;F4,or(F4&gt;E4,C4=&quot;&quot;))" sqref="E5">
      <formula1>if(C5="ATL",E5&gt;F5,or(F5&gt;E5,C5=""))</formula1>
    </dataValidation>
    <dataValidation type="custom" allowBlank="1" showDropDown="1" showInputMessage="1" prompt="Enter a value that satisfies the formula: =if(C10=&quot;AZ&quot;,E10&gt;F10,or(F10&gt;E10,C10=&quot;&quot;))" sqref="E11">
      <formula1>if(C11="AZ",E11&gt;F11,or(F11&gt;E11,C11=""))</formula1>
    </dataValidation>
    <dataValidation type="custom" allowBlank="1" showDropDown="1" showInputMessage="1" prompt="Enter a value that satisfies the formula: =if(C10=&quot;DAL&quot;,F10&gt;E10,or(E10&gt;F10,C10=&quot;&quot;))" sqref="F11">
      <formula1>if(C11="DAL",F11&gt;E11,or(E11&gt;F11,C11=""))</formula1>
    </dataValidation>
    <dataValidation type="list" allowBlank="1" showErrorMessage="1" sqref="C13">
      <formula1>"NE,MIA"</formula1>
    </dataValidation>
    <dataValidation type="custom" allowBlank="1" showDropDown="1" showInputMessage="1" prompt="Enter a value that satisfies the formula: =if(C2=&quot;GB&quot;,F2&gt;E2,or(E2&gt;F2,C2=&quot;&quot;))" sqref="F3">
      <formula1>if(C3="GB",F3&gt;E3,or(E3&gt;F3,C3=""))</formula1>
    </dataValidation>
    <dataValidation type="custom" allowBlank="1" showDropDown="1" showInputMessage="1" prompt="Enter a value that satisfies the formula: =if(C14=&quot;WSH&quot;,F14&gt;E14,or(E14&gt;F14,C14=&quot;&quot;))" sqref="F15">
      <formula1>if(C15="WSH",F15&gt;E15,or(E15&gt;F15,C15=""))</formula1>
    </dataValidation>
    <dataValidation type="custom" allowBlank="1" showDropDown="1" showInputMessage="1" prompt="Enter a value that satisfies the formula: =if(C5=&quot;MIN&quot;,E5&gt;F5,or(F5&gt;E5,C5=&quot;&quot;))" sqref="E6">
      <formula1>if(C6="MIN",E6&gt;F6,or(F6&gt;E6,C6=""))</formula1>
    </dataValidation>
    <dataValidation type="custom" allowBlank="1" showDropDown="1" showInputMessage="1" prompt="Enter a value that satisfies the formula: =if(C8=&quot;CLE&quot;,E8&gt;F8,or(F8&gt;E8,C8=&quot;&quot;))" sqref="E9">
      <formula1>if(C9="CLE",E9&gt;F9,or(F9&gt;E9,C9=""))</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9" location="'Week 9'!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19.25"/>
    <col customWidth="1" min="3" max="3" width="16.75"/>
    <col customWidth="1" min="4" max="4" width="5.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15 / 15</v>
      </c>
      <c r="G1" s="23" t="s">
        <v>60</v>
      </c>
      <c r="H1" s="23" t="s">
        <v>82</v>
      </c>
      <c r="I1" s="23" t="s">
        <v>84</v>
      </c>
      <c r="J1" s="28"/>
      <c r="K1" s="28"/>
      <c r="L1" s="28"/>
      <c r="M1" s="28"/>
    </row>
    <row r="2">
      <c r="A2" s="29" t="s">
        <v>98</v>
      </c>
      <c r="B2" s="29" t="s">
        <v>331</v>
      </c>
      <c r="C2" s="30" t="s">
        <v>36</v>
      </c>
      <c r="D2" s="30"/>
      <c r="E2" s="29" t="s">
        <v>37</v>
      </c>
      <c r="F2" s="29" t="s">
        <v>38</v>
      </c>
      <c r="G2" s="29" t="s">
        <v>100</v>
      </c>
      <c r="H2" s="29" t="s">
        <v>101</v>
      </c>
      <c r="I2" s="29"/>
      <c r="J2" s="29" t="s">
        <v>102</v>
      </c>
      <c r="K2" s="29" t="s">
        <v>103</v>
      </c>
      <c r="L2" s="29" t="s">
        <v>104</v>
      </c>
      <c r="M2" s="29" t="s">
        <v>105</v>
      </c>
    </row>
    <row r="3">
      <c r="A3" s="32" t="s">
        <v>332</v>
      </c>
      <c r="B3" s="33" t="s">
        <v>333</v>
      </c>
      <c r="C3" s="33" t="s">
        <v>131</v>
      </c>
      <c r="D3" s="33"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10.0</v>
      </c>
      <c r="F3" s="33">
        <v>14.0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345</v>
      </c>
      <c r="B4" s="33" t="s">
        <v>346</v>
      </c>
      <c r="C4" s="33" t="s">
        <v>140</v>
      </c>
      <c r="D4" s="33" t="str">
        <f t="shared" si="1"/>
        <v/>
      </c>
      <c r="E4" s="33">
        <v>21.0</v>
      </c>
      <c r="F4" s="33">
        <v>28.0</v>
      </c>
      <c r="G4" s="33" t="b">
        <v>0</v>
      </c>
      <c r="H4" s="48" t="s">
        <v>119</v>
      </c>
      <c r="I4" s="33"/>
      <c r="J4" s="59"/>
      <c r="K4" s="60" t="s">
        <v>132</v>
      </c>
      <c r="L4" s="59"/>
      <c r="M4" s="60" t="s">
        <v>133</v>
      </c>
    </row>
    <row r="5">
      <c r="A5" s="32" t="s">
        <v>348</v>
      </c>
      <c r="B5" s="33" t="s">
        <v>350</v>
      </c>
      <c r="C5" s="33" t="s">
        <v>110</v>
      </c>
      <c r="D5" s="33" t="str">
        <f t="shared" si="1"/>
        <v/>
      </c>
      <c r="E5" s="33">
        <v>14.0</v>
      </c>
      <c r="F5" s="33">
        <v>10.0</v>
      </c>
      <c r="G5" s="33" t="b">
        <v>1</v>
      </c>
      <c r="H5" s="48" t="s">
        <v>130</v>
      </c>
      <c r="I5" s="33"/>
      <c r="J5" s="59"/>
      <c r="K5" s="60" t="s">
        <v>142</v>
      </c>
      <c r="L5" s="59"/>
      <c r="M5" s="60" t="s">
        <v>142</v>
      </c>
    </row>
    <row r="6">
      <c r="A6" s="32" t="s">
        <v>348</v>
      </c>
      <c r="B6" s="33" t="s">
        <v>351</v>
      </c>
      <c r="C6" s="33" t="s">
        <v>111</v>
      </c>
      <c r="D6" s="33" t="str">
        <f t="shared" si="1"/>
        <v/>
      </c>
      <c r="E6" s="33">
        <v>24.0</v>
      </c>
      <c r="F6" s="33">
        <v>21.0</v>
      </c>
      <c r="G6" s="33" t="b">
        <v>0</v>
      </c>
      <c r="H6" s="48" t="s">
        <v>141</v>
      </c>
      <c r="I6" s="33"/>
      <c r="J6" s="64"/>
      <c r="K6" s="65" t="s">
        <v>147</v>
      </c>
      <c r="L6" s="64"/>
      <c r="M6" s="65" t="s">
        <v>148</v>
      </c>
    </row>
    <row r="7">
      <c r="A7" s="32" t="s">
        <v>348</v>
      </c>
      <c r="B7" s="33" t="s">
        <v>354</v>
      </c>
      <c r="C7" s="33" t="s">
        <v>138</v>
      </c>
      <c r="D7" s="33" t="str">
        <f t="shared" si="1"/>
        <v/>
      </c>
      <c r="E7" s="33">
        <v>24.0</v>
      </c>
      <c r="F7" s="33">
        <v>21.0</v>
      </c>
      <c r="G7" s="33" t="b">
        <v>0</v>
      </c>
      <c r="H7" s="48" t="s">
        <v>145</v>
      </c>
      <c r="I7" s="33"/>
      <c r="J7" s="51"/>
      <c r="K7" s="52" t="s">
        <v>142</v>
      </c>
      <c r="L7" s="51"/>
      <c r="M7" s="52" t="s">
        <v>157</v>
      </c>
    </row>
    <row r="8">
      <c r="A8" s="32" t="s">
        <v>348</v>
      </c>
      <c r="B8" s="33" t="s">
        <v>357</v>
      </c>
      <c r="C8" s="33" t="s">
        <v>174</v>
      </c>
      <c r="D8" s="33" t="str">
        <f t="shared" si="1"/>
        <v/>
      </c>
      <c r="E8" s="33">
        <v>14.0</v>
      </c>
      <c r="F8" s="33">
        <v>17.0</v>
      </c>
      <c r="G8" s="33" t="b">
        <v>0</v>
      </c>
      <c r="H8" s="48" t="s">
        <v>156</v>
      </c>
      <c r="I8" s="33"/>
      <c r="J8" s="59"/>
      <c r="K8" s="60" t="s">
        <v>161</v>
      </c>
      <c r="L8" s="59"/>
      <c r="M8" s="60" t="s">
        <v>133</v>
      </c>
    </row>
    <row r="9">
      <c r="A9" s="32" t="s">
        <v>348</v>
      </c>
      <c r="B9" s="33" t="s">
        <v>360</v>
      </c>
      <c r="C9" s="33" t="s">
        <v>178</v>
      </c>
      <c r="D9" s="33" t="str">
        <f t="shared" si="1"/>
        <v/>
      </c>
      <c r="E9" s="33">
        <v>20.0</v>
      </c>
      <c r="F9" s="33">
        <v>23.0</v>
      </c>
      <c r="G9" s="33" t="b">
        <v>0</v>
      </c>
      <c r="H9" s="48" t="s">
        <v>159</v>
      </c>
      <c r="I9" s="33"/>
      <c r="J9" s="59"/>
      <c r="K9" s="60" t="s">
        <v>165</v>
      </c>
      <c r="L9" s="59"/>
      <c r="M9" s="60" t="s">
        <v>165</v>
      </c>
    </row>
    <row r="10">
      <c r="A10" s="32" t="s">
        <v>348</v>
      </c>
      <c r="B10" s="33" t="s">
        <v>363</v>
      </c>
      <c r="C10" s="33" t="s">
        <v>40</v>
      </c>
      <c r="D10" s="33" t="str">
        <f t="shared" si="1"/>
        <v/>
      </c>
      <c r="E10" s="33">
        <v>17.0</v>
      </c>
      <c r="F10" s="33">
        <v>20.0</v>
      </c>
      <c r="G10" s="33" t="b">
        <v>0</v>
      </c>
      <c r="H10" s="48" t="s">
        <v>164</v>
      </c>
      <c r="I10" s="33"/>
      <c r="J10" s="64"/>
      <c r="K10" s="65" t="s">
        <v>133</v>
      </c>
      <c r="L10" s="64"/>
      <c r="M10" s="65" t="s">
        <v>171</v>
      </c>
    </row>
    <row r="11">
      <c r="A11" s="32" t="s">
        <v>348</v>
      </c>
      <c r="B11" s="56" t="s">
        <v>364</v>
      </c>
      <c r="C11" s="33" t="s">
        <v>121</v>
      </c>
      <c r="D11" s="33" t="str">
        <f t="shared" si="1"/>
        <v/>
      </c>
      <c r="E11" s="33">
        <v>17.0</v>
      </c>
      <c r="F11" s="33">
        <v>20.0</v>
      </c>
      <c r="G11" s="33" t="b">
        <v>0</v>
      </c>
      <c r="H11" s="48" t="s">
        <v>175</v>
      </c>
      <c r="I11" s="33"/>
      <c r="J11" s="51"/>
      <c r="K11" s="52" t="s">
        <v>157</v>
      </c>
      <c r="L11" s="51"/>
      <c r="M11" s="52" t="s">
        <v>157</v>
      </c>
    </row>
    <row r="12">
      <c r="A12" s="32" t="s">
        <v>365</v>
      </c>
      <c r="B12" s="33" t="s">
        <v>366</v>
      </c>
      <c r="C12" s="33" t="s">
        <v>85</v>
      </c>
      <c r="D12" s="33" t="str">
        <f t="shared" si="1"/>
        <v/>
      </c>
      <c r="E12" s="33">
        <v>10.0</v>
      </c>
      <c r="F12" s="33">
        <v>14.0</v>
      </c>
      <c r="G12" s="33" t="b">
        <v>0</v>
      </c>
      <c r="H12" s="48" t="s">
        <v>179</v>
      </c>
      <c r="I12" s="33"/>
      <c r="J12" s="59"/>
      <c r="K12" s="60" t="s">
        <v>165</v>
      </c>
      <c r="L12" s="59"/>
      <c r="M12" s="60" t="s">
        <v>180</v>
      </c>
    </row>
    <row r="13">
      <c r="A13" s="32" t="s">
        <v>365</v>
      </c>
      <c r="B13" s="33" t="s">
        <v>367</v>
      </c>
      <c r="C13" s="33" t="s">
        <v>112</v>
      </c>
      <c r="D13" s="33" t="str">
        <f t="shared" si="1"/>
        <v/>
      </c>
      <c r="E13" s="33">
        <v>21.0</v>
      </c>
      <c r="F13" s="33">
        <v>24.0</v>
      </c>
      <c r="G13" s="33" t="b">
        <v>0</v>
      </c>
      <c r="H13" s="48" t="s">
        <v>185</v>
      </c>
      <c r="I13" s="33"/>
      <c r="J13" s="59"/>
      <c r="K13" s="60" t="s">
        <v>132</v>
      </c>
      <c r="L13" s="59"/>
      <c r="M13" s="60" t="s">
        <v>147</v>
      </c>
    </row>
    <row r="14">
      <c r="A14" s="32" t="s">
        <v>368</v>
      </c>
      <c r="B14" s="56" t="s">
        <v>369</v>
      </c>
      <c r="C14" s="33" t="s">
        <v>109</v>
      </c>
      <c r="D14" s="33" t="str">
        <f t="shared" si="1"/>
        <v/>
      </c>
      <c r="E14" s="33">
        <v>14.0</v>
      </c>
      <c r="F14" s="33">
        <v>20.0</v>
      </c>
      <c r="G14" s="33" t="b">
        <v>0</v>
      </c>
      <c r="H14" s="48" t="s">
        <v>191</v>
      </c>
      <c r="I14" s="33"/>
      <c r="J14" s="64"/>
      <c r="K14" s="65" t="s">
        <v>122</v>
      </c>
      <c r="L14" s="64"/>
      <c r="M14" s="65" t="s">
        <v>122</v>
      </c>
    </row>
    <row r="15">
      <c r="A15" s="32" t="s">
        <v>368</v>
      </c>
      <c r="B15" s="33" t="s">
        <v>372</v>
      </c>
      <c r="C15" s="33" t="s">
        <v>126</v>
      </c>
      <c r="D15" s="33" t="str">
        <f t="shared" si="1"/>
        <v/>
      </c>
      <c r="E15" s="33">
        <v>21.0</v>
      </c>
      <c r="F15" s="33">
        <v>24.0</v>
      </c>
      <c r="G15" s="33" t="b">
        <v>0</v>
      </c>
      <c r="H15" s="48" t="s">
        <v>194</v>
      </c>
      <c r="I15" s="33"/>
      <c r="J15" s="51"/>
      <c r="K15" s="52" t="s">
        <v>122</v>
      </c>
      <c r="L15" s="51"/>
      <c r="M15" s="52" t="s">
        <v>147</v>
      </c>
    </row>
    <row r="16">
      <c r="A16" s="32" t="s">
        <v>373</v>
      </c>
      <c r="B16" s="33" t="s">
        <v>374</v>
      </c>
      <c r="C16" s="33" t="s">
        <v>152</v>
      </c>
      <c r="D16" s="33" t="str">
        <f t="shared" si="1"/>
        <v/>
      </c>
      <c r="E16" s="33">
        <v>24.0</v>
      </c>
      <c r="F16" s="33">
        <v>31.0</v>
      </c>
      <c r="G16" s="33" t="b">
        <v>0</v>
      </c>
      <c r="H16" s="48" t="s">
        <v>198</v>
      </c>
      <c r="I16" s="33"/>
      <c r="J16" s="59"/>
      <c r="K16" s="60" t="s">
        <v>122</v>
      </c>
      <c r="L16" s="59"/>
      <c r="M16" s="60" t="s">
        <v>180</v>
      </c>
    </row>
    <row r="17">
      <c r="A17" s="32" t="s">
        <v>377</v>
      </c>
      <c r="B17" s="33" t="s">
        <v>378</v>
      </c>
      <c r="C17" s="33" t="s">
        <v>116</v>
      </c>
      <c r="D17" s="33" t="str">
        <f t="shared" si="1"/>
        <v/>
      </c>
      <c r="E17" s="33">
        <v>28.0</v>
      </c>
      <c r="F17" s="33">
        <v>21.0</v>
      </c>
      <c r="G17" s="33" t="b">
        <v>0</v>
      </c>
      <c r="H17" s="48" t="s">
        <v>202</v>
      </c>
      <c r="I17" s="33"/>
      <c r="J17" s="59"/>
      <c r="K17" s="60" t="s">
        <v>132</v>
      </c>
      <c r="L17" s="59"/>
      <c r="M17" s="60" t="s">
        <v>147</v>
      </c>
    </row>
    <row r="18">
      <c r="A18" s="93"/>
      <c r="B18" s="94"/>
      <c r="C18" s="94"/>
      <c r="D18" s="95"/>
      <c r="E18" s="95"/>
      <c r="F18" s="95"/>
      <c r="G18" s="95"/>
      <c r="H18" s="96" t="s">
        <v>206</v>
      </c>
      <c r="I18" s="97"/>
      <c r="J18" s="98"/>
      <c r="K18" s="99" t="s">
        <v>161</v>
      </c>
      <c r="L18" s="98"/>
      <c r="M18" s="99" t="s">
        <v>165</v>
      </c>
    </row>
    <row r="19">
      <c r="A19" s="100" t="s">
        <v>283</v>
      </c>
      <c r="B19" s="32"/>
      <c r="C19" s="32"/>
      <c r="D19" s="101"/>
      <c r="E19" s="101"/>
      <c r="F19" s="101"/>
      <c r="G19" s="101"/>
      <c r="H19" s="96" t="s">
        <v>207</v>
      </c>
      <c r="I19" s="97"/>
      <c r="J19" s="97"/>
      <c r="K19" s="97"/>
      <c r="L19" s="97"/>
      <c r="M19" s="97"/>
    </row>
    <row r="20">
      <c r="A20" s="32" t="s">
        <v>153</v>
      </c>
      <c r="B20" s="32"/>
      <c r="C20" s="32"/>
      <c r="D20" s="101"/>
      <c r="E20" s="101"/>
      <c r="F20" s="101"/>
      <c r="G20" s="101"/>
      <c r="H20" s="97"/>
      <c r="I20" s="97"/>
      <c r="J20" s="97"/>
      <c r="K20" s="97"/>
      <c r="L20" s="97"/>
      <c r="M20" s="97"/>
    </row>
    <row r="21">
      <c r="A21" s="32" t="s">
        <v>151</v>
      </c>
      <c r="B21" s="32"/>
      <c r="C21" s="32"/>
      <c r="D21" s="101"/>
      <c r="E21" s="101"/>
      <c r="F21" s="101"/>
      <c r="G21" s="101"/>
      <c r="H21" s="97"/>
      <c r="I21" s="97"/>
      <c r="J21" s="97"/>
      <c r="K21" s="97"/>
      <c r="L21" s="97"/>
      <c r="M21"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C3="JAX"</formula>
    </cfRule>
  </conditionalFormatting>
  <conditionalFormatting sqref="F3">
    <cfRule type="expression" dxfId="3" priority="5" stopIfTrue="1">
      <formula>C3="BAL"</formula>
    </cfRule>
  </conditionalFormatting>
  <conditionalFormatting sqref="E4">
    <cfRule type="expression" dxfId="3" priority="6" stopIfTrue="1">
      <formula>C4="CIN"</formula>
    </cfRule>
  </conditionalFormatting>
  <conditionalFormatting sqref="F4">
    <cfRule type="expression" dxfId="3" priority="7" stopIfTrue="1">
      <formula>C4="ATL"</formula>
    </cfRule>
  </conditionalFormatting>
  <conditionalFormatting sqref="E5">
    <cfRule type="expression" dxfId="3" priority="8" stopIfTrue="1">
      <formula>C5="LAR"</formula>
    </cfRule>
  </conditionalFormatting>
  <conditionalFormatting sqref="F5">
    <cfRule type="expression" dxfId="3" priority="9" stopIfTrue="1">
      <formula>C5="WSH"</formula>
    </cfRule>
  </conditionalFormatting>
  <conditionalFormatting sqref="E6">
    <cfRule type="expression" dxfId="3" priority="10" stopIfTrue="1">
      <formula>C6="DEN"</formula>
    </cfRule>
  </conditionalFormatting>
  <conditionalFormatting sqref="F6">
    <cfRule type="expression" dxfId="3" priority="11" stopIfTrue="1">
      <formula>C6="CAR"</formula>
    </cfRule>
  </conditionalFormatting>
  <conditionalFormatting sqref="E7">
    <cfRule type="expression" dxfId="3" priority="12" stopIfTrue="1">
      <formula>C7="DET"</formula>
    </cfRule>
  </conditionalFormatting>
  <conditionalFormatting sqref="F7">
    <cfRule type="expression" dxfId="3" priority="13" stopIfTrue="1">
      <formula>C7="MIA"</formula>
    </cfRule>
  </conditionalFormatting>
  <conditionalFormatting sqref="E8">
    <cfRule type="expression" dxfId="3" priority="14" stopIfTrue="1">
      <formula>C8="CLE"</formula>
    </cfRule>
  </conditionalFormatting>
  <conditionalFormatting sqref="F8">
    <cfRule type="expression" dxfId="3" priority="15" stopIfTrue="1">
      <formula>C8="NO"</formula>
    </cfRule>
  </conditionalFormatting>
  <conditionalFormatting sqref="E9">
    <cfRule type="expression" dxfId="3" priority="16" stopIfTrue="1">
      <formula>C9="DAL"</formula>
    </cfRule>
  </conditionalFormatting>
  <conditionalFormatting sqref="F9">
    <cfRule type="expression" dxfId="3" priority="17" stopIfTrue="1">
      <formula>C9="IND"</formula>
    </cfRule>
  </conditionalFormatting>
  <conditionalFormatting sqref="E10">
    <cfRule type="expression" dxfId="3" priority="18" stopIfTrue="1">
      <formula>C10="NYJ"</formula>
    </cfRule>
  </conditionalFormatting>
  <conditionalFormatting sqref="F10">
    <cfRule type="expression" dxfId="3" priority="19" stopIfTrue="1">
      <formula>C10="KC"</formula>
    </cfRule>
  </conditionalFormatting>
  <conditionalFormatting sqref="E11">
    <cfRule type="expression" dxfId="3" priority="20" stopIfTrue="1">
      <formula>C11="NYG"</formula>
    </cfRule>
  </conditionalFormatting>
  <conditionalFormatting sqref="F11">
    <cfRule type="expression" dxfId="3" priority="21" stopIfTrue="1">
      <formula>C11="PHI"</formula>
    </cfRule>
  </conditionalFormatting>
  <conditionalFormatting sqref="E12">
    <cfRule type="expression" dxfId="3" priority="22" stopIfTrue="1">
      <formula>C12="LV"</formula>
    </cfRule>
  </conditionalFormatting>
  <conditionalFormatting sqref="F12">
    <cfRule type="expression" dxfId="3" priority="23" stopIfTrue="1">
      <formula>C12="SF"</formula>
    </cfRule>
  </conditionalFormatting>
  <conditionalFormatting sqref="E13">
    <cfRule type="expression" dxfId="3" priority="24" stopIfTrue="1">
      <formula>C13="HOU"</formula>
    </cfRule>
  </conditionalFormatting>
  <conditionalFormatting sqref="F13">
    <cfRule type="expression" dxfId="3" priority="25" stopIfTrue="1">
      <formula>C13="LAC"</formula>
    </cfRule>
  </conditionalFormatting>
  <conditionalFormatting sqref="E14">
    <cfRule type="expression" dxfId="3" priority="26" stopIfTrue="1">
      <formula>C14="AZ"</formula>
    </cfRule>
  </conditionalFormatting>
  <conditionalFormatting sqref="F14">
    <cfRule type="expression" dxfId="3" priority="27" stopIfTrue="1">
      <formula>C14="SEA"</formula>
    </cfRule>
  </conditionalFormatting>
  <conditionalFormatting sqref="E15">
    <cfRule type="expression" dxfId="3" priority="28" stopIfTrue="1">
      <formula>C15="GB"</formula>
    </cfRule>
  </conditionalFormatting>
  <conditionalFormatting sqref="F15">
    <cfRule type="expression" dxfId="3" priority="29" stopIfTrue="1">
      <formula>C15="NE"</formula>
    </cfRule>
  </conditionalFormatting>
  <conditionalFormatting sqref="E16">
    <cfRule type="expression" dxfId="3" priority="30" stopIfTrue="1">
      <formula>C16="TB"</formula>
    </cfRule>
  </conditionalFormatting>
  <conditionalFormatting sqref="F16">
    <cfRule type="expression" dxfId="3" priority="31" stopIfTrue="1">
      <formula>C16="CHI"</formula>
    </cfRule>
  </conditionalFormatting>
  <conditionalFormatting sqref="E17">
    <cfRule type="expression" dxfId="3" priority="32" stopIfTrue="1">
      <formula>C17="BUF"</formula>
    </cfRule>
  </conditionalFormatting>
  <conditionalFormatting sqref="F17">
    <cfRule type="expression" dxfId="3" priority="33" stopIfTrue="1">
      <formula>C17="MIN"</formula>
    </cfRule>
  </conditionalFormatting>
  <dataValidations>
    <dataValidation type="custom" allowBlank="1" showDropDown="1" showInputMessage="1" prompt="Enter a value that satisfies the formula: =if(C12=&quot;LAC&quot;,F12&gt;E12,or(E12&gt;F12,C12=&quot;&quot;))" sqref="F13">
      <formula1>if(C13="LAC",F13&gt;E13,or(E13&gt;F13,C13=""))</formula1>
    </dataValidation>
    <dataValidation type="list" allowBlank="1" showErrorMessage="1" sqref="C9">
      <formula1>"DAL,IND"</formula1>
    </dataValidation>
    <dataValidation type="custom" allowBlank="1" showDropDown="1" showInputMessage="1" prompt="Enter a value that satisfies the formula: =if(C10=&quot;NYG&quot;,E10&gt;F10,or(F10&gt;E10,C10=&quot;&quot;))" sqref="E11">
      <formula1>if(C11="NYG",E11&gt;F11,or(F11&gt;E11,C11=""))</formula1>
    </dataValidation>
    <dataValidation type="custom" allowBlank="1" showDropDown="1" showInputMessage="1" prompt="Enter a value that satisfies the formula: =if(C11=&quot;SF&quot;,F11&gt;E11,or(E11&gt;F11,C11=&quot;&quot;))" sqref="F12">
      <formula1>if(C12="SF",F12&gt;E12,or(E12&gt;F12,C12=""))</formula1>
    </dataValidation>
    <dataValidation type="custom" allowBlank="1" showDropDown="1" showInputMessage="1" prompt="Enter a value that satisfies the formula: =if(C8=&quot;IND&quot;,F8&gt;E8,or(E8&gt;F8,C8=&quot;&quot;))" sqref="F9">
      <formula1>if(C9="IND",F9&gt;E9,or(E9&gt;F9,C9=""))</formula1>
    </dataValidation>
    <dataValidation type="custom" allowBlank="1" showDropDown="1" showInputMessage="1" prompt="Enter a value that satisfies the formula: =if(C5=&quot;DEN&quot;,E5&gt;F5,or(F5&gt;E5,C5=&quot;&quot;))" sqref="E6">
      <formula1>if(C6="DEN",E6&gt;F6,or(F6&gt;E6,C6=""))</formula1>
    </dataValidation>
    <dataValidation type="custom" allowBlank="1" showDropDown="1" showInputMessage="1" prompt="Enter a value that satisfies the formula: =if(C3=&quot;ATL&quot;,F3&gt;E3,or(E3&gt;F3,C3=&quot;&quot;))" sqref="F4">
      <formula1>if(C4="ATL",F4&gt;E4,or(E4&gt;F4,C4=""))</formula1>
    </dataValidation>
    <dataValidation type="custom" allowBlank="1" showDropDown="1" showInputMessage="1" prompt="Enter a value that satisfies the formula: =if(C4=&quot;WSH&quot;,F4&gt;E4,or(E4&gt;F4,C4=&quot;&quot;))" sqref="F5">
      <formula1>if(C5="WSH",F5&gt;E5,or(E5&gt;F5,C5=""))</formula1>
    </dataValidation>
    <dataValidation type="custom" allowBlank="1" showDropDown="1" showInputMessage="1" prompt="Enter a value that satisfies the formula: =if(C13=&quot;SEA&quot;,F13&gt;E13,or(E13&gt;F13,C13=&quot;&quot;))" sqref="F14">
      <formula1>if(C14="SEA",F14&gt;E14,or(E14&gt;F14,C14=""))</formula1>
    </dataValidation>
    <dataValidation type="list" allowBlank="1" showErrorMessage="1" sqref="C17">
      <formula1>"BUF,MIN"</formula1>
    </dataValidation>
    <dataValidation type="custom" allowBlank="1" showDropDown="1" showInputMessage="1" prompt="Enter a value that satisfies the formula: =if(C5=&quot;CAR&quot;,F5&gt;E5,or(E5&gt;F5,C5=&quot;&quot;))" sqref="F6">
      <formula1>if(C6="CAR",F6&gt;E6,or(E6&gt;F6,C6=""))</formula1>
    </dataValidation>
    <dataValidation type="custom" allowBlank="1" showDropDown="1" showInputMessage="1" prompt="Enter a value that satisfies the formula: =if(C9=&quot;KC&quot;,F9&gt;E9,or(E9&gt;F9,C9=&quot;&quot;))" sqref="F10">
      <formula1>if(C10="KC",F10&gt;E10,or(E10&gt;F10,C10=""))</formula1>
    </dataValidation>
    <dataValidation type="custom" allowBlank="1" showDropDown="1" showInputMessage="1" prompt="Enter a value that satisfies the formula: =if(C4=&quot;LAR&quot;,E4&gt;F4,or(F4&gt;E4,C4=&quot;&quot;))" sqref="E5">
      <formula1>if(C5="LAR",E5&gt;F5,or(F5&gt;E5,C5=""))</formula1>
    </dataValidation>
    <dataValidation type="custom" allowBlank="1" showDropDown="1" showInputMessage="1" prompt="Enter a value that satisfies the formula: =if(C14=&quot;GB&quot;,E14&gt;F14,or(F14&gt;E14,C14=&quot;&quot;))" sqref="E15">
      <formula1>if(C15="GB",E15&gt;F15,or(F15&gt;E15,C15=""))</formula1>
    </dataValidation>
    <dataValidation type="list" allowBlank="1" showErrorMessage="1" sqref="C10">
      <formula1>"NYJ,KC"</formula1>
    </dataValidation>
    <dataValidation type="custom" allowBlank="1" showDropDown="1" showInputMessage="1" prompt="Enter a value that satisfies the formula: =if(C10=&quot;PHI&quot;,F10&gt;E10,or(E10&gt;F10,C10=&quot;&quot;))" sqref="F11">
      <formula1>if(C11="PHI",F11&gt;E11,or(E11&gt;F11,C11=""))</formula1>
    </dataValidation>
    <dataValidation type="custom" allowBlank="1" showDropDown="1" showInputMessage="1" prompt="Enter a value that satisfies the formula: =if(C8=&quot;DAL&quot;,E8&gt;F8,or(F8&gt;E8,C8=&quot;&quot;))" sqref="E9">
      <formula1>if(C9="DAL",E9&gt;F9,or(F9&gt;E9,C9=""))</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3=&quot;CIN&quot;,E3&gt;F3,or(F3&gt;E3,C3=&quot;&quot;))" sqref="E4">
      <formula1>if(C4="CIN",E4&gt;F4,or(F4&gt;E4,C4=""))</formula1>
    </dataValidation>
    <dataValidation type="list" allowBlank="1" showErrorMessage="1" sqref="C7">
      <formula1>"DET,MIA"</formula1>
    </dataValidation>
    <dataValidation type="custom" allowBlank="1" showDropDown="1" showInputMessage="1" prompt="Enter a value that satisfies the formula: =if(C12=&quot;HOU&quot;,E12&gt;F12,or(F12&gt;E12,C12=&quot;&quot;))" sqref="E13">
      <formula1>if(C13="HOU",E13&gt;F13,or(F13&gt;E13,C13=""))</formula1>
    </dataValidation>
    <dataValidation type="list" allowBlank="1" showErrorMessage="1" sqref="C15">
      <formula1>"GB,NE"</formula1>
    </dataValidation>
    <dataValidation type="custom" allowBlank="1" showDropDown="1" showInputMessage="1" prompt="Enter a value that satisfies the formula: =if(C7=&quot;CLE&quot;,E7&gt;F7,or(F7&gt;E7,C7=&quot;&quot;))" sqref="E8">
      <formula1>if(C8="CLE",E8&gt;F8,or(F8&gt;E8,C8=""))</formula1>
    </dataValidation>
    <dataValidation type="list" allowBlank="1" showErrorMessage="1" sqref="C12">
      <formula1>"LV,SF"</formula1>
    </dataValidation>
    <dataValidation type="list" allowBlank="1" showErrorMessage="1" sqref="C8">
      <formula1>"CLE,NO"</formula1>
    </dataValidation>
    <dataValidation type="custom" allowBlank="1" showDropDown="1" showInputMessage="1" prompt="Enter a value that satisfies the formula: =if(C15=&quot;CHI&quot;,F15&gt;E15,or(E15&gt;F15,C15=&quot;&quot;))" sqref="F16">
      <formula1>if(C16="CHI",F16&gt;E16,or(E16&gt;F16,C16=""))</formula1>
    </dataValidation>
    <dataValidation type="custom" allowBlank="1" showDropDown="1" showInputMessage="1" prompt="Enter a value that satisfies the formula: =if(C15=&quot;TB&quot;,E15&gt;F15,or(F15&gt;E15,C15=&quot;&quot;))" sqref="E16">
      <formula1>if(C16="TB",E16&gt;F16,or(F16&gt;E16,C16=""))</formula1>
    </dataValidation>
    <dataValidation type="custom" allowBlank="1" showDropDown="1" showInputMessage="1" prompt="Enter a value that satisfies the formula: =if(C7=&quot;NO&quot;,F7&gt;E7,or(E7&gt;F7,C7=&quot;&quot;))" sqref="F8">
      <formula1>if(C8="NO",F8&gt;E8,or(E8&gt;F8,C8=""))</formula1>
    </dataValidation>
    <dataValidation type="custom" allowBlank="1" showDropDown="1" showInputMessage="1" prompt="Enter a value that satisfies the formula: =if(C9=&quot;NYJ&quot;,E9&gt;F9,or(F9&gt;E9,C9=&quot;&quot;))" sqref="E10">
      <formula1>if(C10="NYJ",E10&gt;F10,or(F10&gt;E10,C10=""))</formula1>
    </dataValidation>
    <dataValidation type="custom" allowBlank="1" showDropDown="1" showInputMessage="1" prompt="Enter a value that satisfies the formula: =if(C13=&quot;AZ&quot;,E13&gt;F13,or(F13&gt;E13,C13=&quot;&quot;))" sqref="E14">
      <formula1>if(C14="AZ",E14&gt;F14,or(F14&gt;E14,C14=""))</formula1>
    </dataValidation>
    <dataValidation type="custom" allowBlank="1" showDropDown="1" showInputMessage="1" prompt="Enter a value that satisfies the formula: =if(C14=&quot;NE&quot;,F14&gt;E14,or(E14&gt;F14,C14=&quot;&quot;))" sqref="F15">
      <formula1>if(C15="NE",F15&gt;E15,or(E15&gt;F15,C15=""))</formula1>
    </dataValidation>
    <dataValidation type="list" allowBlank="1" showErrorMessage="1" sqref="C16">
      <formula1>"TB,CHI"</formula1>
    </dataValidation>
    <dataValidation type="list" allowBlank="1" showErrorMessage="1" sqref="C14">
      <formula1>"AZ,SEA"</formula1>
    </dataValidation>
    <dataValidation type="list" allowBlank="1" showErrorMessage="1" sqref="C5">
      <formula1>"LAR,WSH"</formula1>
    </dataValidation>
    <dataValidation type="custom" allowBlank="1" showDropDown="1" showInputMessage="1" prompt="Enter a value that satisfies the formula: =if(C2=&quot;JAX&quot;,E2&gt;F2,or(F2&gt;E2,C2=&quot;&quot;))" sqref="E3">
      <formula1>if(C3="JAX",E3&gt;F3,or(F3&gt;E3,C3=""))</formula1>
    </dataValidation>
    <dataValidation type="list" allowBlank="1" showErrorMessage="1" sqref="C3">
      <formula1>"JAX,BAL"</formula1>
    </dataValidation>
    <dataValidation type="list" allowBlank="1" showErrorMessage="1" sqref="C4">
      <formula1>"CIN,ATL"</formula1>
    </dataValidation>
    <dataValidation type="list" allowBlank="1" showErrorMessage="1" sqref="C6">
      <formula1>"DEN,CAR"</formula1>
    </dataValidation>
    <dataValidation type="custom" allowBlank="1" showDropDown="1" showInputMessage="1" prompt="Enter a value that satisfies the formula: =if(C11=&quot;LV&quot;,E11&gt;F11,or(F11&gt;E11,C11=&quot;&quot;))" sqref="E12">
      <formula1>if(C12="LV",E12&gt;F12,or(F12&gt;E12,C12=""))</formula1>
    </dataValidation>
    <dataValidation type="custom" allowBlank="1" showDropDown="1" showInputMessage="1" prompt="Enter a value that satisfies the formula: =if(C2=&quot;BAL&quot;,F2&gt;E2,or(E2&gt;F2,C2=&quot;&quot;))" sqref="F3">
      <formula1>if(C3="BAL",F3&gt;E3,or(E3&gt;F3,C3=""))</formula1>
    </dataValidation>
    <dataValidation type="custom" allowBlank="1" showDropDown="1" showInputMessage="1" prompt="Enter a value that satisfies the formula: =if(C6=&quot;MIA&quot;,F6&gt;E6,or(E6&gt;F6,C6=&quot;&quot;))" sqref="F7">
      <formula1>if(C7="MIA",F7&gt;E7,or(E7&gt;F7,C7=""))</formula1>
    </dataValidation>
    <dataValidation type="custom" allowBlank="1" showDropDown="1" showInputMessage="1" prompt="Enter a value that satisfies the formula: =if(C6=&quot;DET&quot;,E6&gt;F6,or(F6&gt;E6,C6=&quot;&quot;))" sqref="E7">
      <formula1>if(C7="DET",E7&gt;F7,or(F7&gt;E7,C7=""))</formula1>
    </dataValidation>
    <dataValidation type="custom" allowBlank="1" showDropDown="1" showInputMessage="1" prompt="Enter a value that satisfies the formula: =if(C16=&quot;BUF&quot;,E16&gt;F16,or(F16&gt;E16,C16=&quot;&quot;))" sqref="E17">
      <formula1>if(C17="BUF",E17&gt;F17,or(F17&gt;E17,C17=""))</formula1>
    </dataValidation>
    <dataValidation type="list" allowBlank="1" showErrorMessage="1" sqref="C11">
      <formula1>"NYG,PHI"</formula1>
    </dataValidation>
    <dataValidation type="custom" allowBlank="1" showDropDown="1" showInputMessage="1" prompt="Enter a value that satisfies the formula: =if(C16=&quot;MIN&quot;,F16&gt;E16,or(E16&gt;F16,C16=&quot;&quot;))" sqref="F17">
      <formula1>if(C17="MIN",F17&gt;E17,or(E17&gt;F17,C17=""))</formula1>
    </dataValidation>
    <dataValidation type="list" allowBlank="1" showErrorMessage="1" sqref="C13">
      <formula1>"HOU,LAC"</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10" location="'Week 10'!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5"/>
    <col customWidth="1" min="3" max="3" width="16.75"/>
    <col customWidth="1" min="4" max="4" width="6.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14 / 14</v>
      </c>
      <c r="G1" s="23" t="s">
        <v>60</v>
      </c>
      <c r="H1" s="23" t="s">
        <v>82</v>
      </c>
      <c r="I1" s="23" t="s">
        <v>84</v>
      </c>
      <c r="J1" s="28"/>
      <c r="K1" s="28"/>
      <c r="L1" s="28"/>
      <c r="M1" s="28"/>
    </row>
    <row r="2">
      <c r="A2" s="29" t="s">
        <v>98</v>
      </c>
      <c r="B2" s="29" t="s">
        <v>353</v>
      </c>
      <c r="C2" s="30" t="s">
        <v>36</v>
      </c>
      <c r="D2" s="30"/>
      <c r="E2" s="29" t="s">
        <v>37</v>
      </c>
      <c r="F2" s="29" t="s">
        <v>38</v>
      </c>
      <c r="G2" s="29" t="s">
        <v>100</v>
      </c>
      <c r="H2" s="29" t="s">
        <v>101</v>
      </c>
      <c r="I2" s="29"/>
      <c r="J2" s="29" t="s">
        <v>102</v>
      </c>
      <c r="K2" s="29" t="s">
        <v>103</v>
      </c>
      <c r="L2" s="29" t="s">
        <v>104</v>
      </c>
      <c r="M2" s="29" t="s">
        <v>105</v>
      </c>
    </row>
    <row r="3">
      <c r="A3" s="32" t="s">
        <v>355</v>
      </c>
      <c r="B3" s="56" t="s">
        <v>356</v>
      </c>
      <c r="C3" s="33" t="s">
        <v>129</v>
      </c>
      <c r="D3" s="33"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14.0</v>
      </c>
      <c r="F3" s="33">
        <v>10.0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370</v>
      </c>
      <c r="B4" s="33" t="s">
        <v>371</v>
      </c>
      <c r="C4" s="33" t="s">
        <v>126</v>
      </c>
      <c r="D4" s="33" t="str">
        <f t="shared" si="1"/>
        <v/>
      </c>
      <c r="E4" s="33">
        <v>21.0</v>
      </c>
      <c r="F4" s="33">
        <v>17.0</v>
      </c>
      <c r="G4" s="33" t="b">
        <v>0</v>
      </c>
      <c r="H4" s="48" t="s">
        <v>119</v>
      </c>
      <c r="I4" s="33"/>
      <c r="J4" s="59"/>
      <c r="K4" s="60" t="s">
        <v>132</v>
      </c>
      <c r="L4" s="59"/>
      <c r="M4" s="60" t="s">
        <v>133</v>
      </c>
    </row>
    <row r="5">
      <c r="A5" s="32" t="s">
        <v>375</v>
      </c>
      <c r="B5" s="33" t="s">
        <v>376</v>
      </c>
      <c r="C5" s="33" t="s">
        <v>40</v>
      </c>
      <c r="D5" s="33" t="str">
        <f t="shared" si="1"/>
        <v/>
      </c>
      <c r="E5" s="33">
        <v>28.0</v>
      </c>
      <c r="F5" s="33">
        <v>21.0</v>
      </c>
      <c r="G5" s="33" t="b">
        <v>0</v>
      </c>
      <c r="H5" s="48" t="s">
        <v>130</v>
      </c>
      <c r="I5" s="33"/>
      <c r="J5" s="59"/>
      <c r="K5" s="60" t="s">
        <v>142</v>
      </c>
      <c r="L5" s="59"/>
      <c r="M5" s="60" t="s">
        <v>142</v>
      </c>
    </row>
    <row r="6">
      <c r="A6" s="32" t="s">
        <v>375</v>
      </c>
      <c r="B6" s="33" t="s">
        <v>379</v>
      </c>
      <c r="C6" s="33" t="s">
        <v>144</v>
      </c>
      <c r="D6" s="33" t="str">
        <f t="shared" si="1"/>
        <v/>
      </c>
      <c r="E6" s="33">
        <v>24.0</v>
      </c>
      <c r="F6" s="33">
        <v>27.0</v>
      </c>
      <c r="G6" s="33" t="b">
        <v>0</v>
      </c>
      <c r="H6" s="48" t="s">
        <v>141</v>
      </c>
      <c r="I6" s="33"/>
      <c r="J6" s="64"/>
      <c r="K6" s="65" t="s">
        <v>147</v>
      </c>
      <c r="L6" s="64"/>
      <c r="M6" s="65" t="s">
        <v>148</v>
      </c>
    </row>
    <row r="7">
      <c r="A7" s="32" t="s">
        <v>375</v>
      </c>
      <c r="B7" s="56" t="s">
        <v>380</v>
      </c>
      <c r="C7" s="33" t="s">
        <v>146</v>
      </c>
      <c r="D7" s="33" t="str">
        <f t="shared" si="1"/>
        <v/>
      </c>
      <c r="E7" s="33">
        <v>21.0</v>
      </c>
      <c r="F7" s="33">
        <v>24.0</v>
      </c>
      <c r="G7" s="33" t="b">
        <v>0</v>
      </c>
      <c r="H7" s="48" t="s">
        <v>145</v>
      </c>
      <c r="I7" s="33"/>
      <c r="J7" s="51"/>
      <c r="K7" s="52" t="s">
        <v>142</v>
      </c>
      <c r="L7" s="51"/>
      <c r="M7" s="52" t="s">
        <v>157</v>
      </c>
    </row>
    <row r="8">
      <c r="A8" s="32" t="s">
        <v>375</v>
      </c>
      <c r="B8" s="33" t="s">
        <v>381</v>
      </c>
      <c r="C8" s="33" t="s">
        <v>120</v>
      </c>
      <c r="D8" s="33" t="str">
        <f t="shared" si="1"/>
        <v/>
      </c>
      <c r="E8" s="33">
        <v>20.0</v>
      </c>
      <c r="F8" s="33">
        <v>14.0</v>
      </c>
      <c r="G8" s="33" t="b">
        <v>0</v>
      </c>
      <c r="H8" s="48" t="s">
        <v>156</v>
      </c>
      <c r="I8" s="33"/>
      <c r="J8" s="59"/>
      <c r="K8" s="60" t="s">
        <v>161</v>
      </c>
      <c r="L8" s="59"/>
      <c r="M8" s="60" t="s">
        <v>133</v>
      </c>
    </row>
    <row r="9">
      <c r="A9" s="32" t="s">
        <v>375</v>
      </c>
      <c r="B9" s="56" t="s">
        <v>382</v>
      </c>
      <c r="C9" s="33" t="s">
        <v>174</v>
      </c>
      <c r="D9" s="33" t="str">
        <f t="shared" si="1"/>
        <v/>
      </c>
      <c r="E9" s="33">
        <v>10.0</v>
      </c>
      <c r="F9" s="33">
        <v>14.0</v>
      </c>
      <c r="G9" s="33" t="b">
        <v>0</v>
      </c>
      <c r="H9" s="48" t="s">
        <v>159</v>
      </c>
      <c r="I9" s="33"/>
      <c r="J9" s="59"/>
      <c r="K9" s="60" t="s">
        <v>165</v>
      </c>
      <c r="L9" s="59"/>
      <c r="M9" s="60" t="s">
        <v>165</v>
      </c>
    </row>
    <row r="10">
      <c r="A10" s="32" t="s">
        <v>375</v>
      </c>
      <c r="B10" s="56" t="s">
        <v>383</v>
      </c>
      <c r="C10" s="33" t="s">
        <v>124</v>
      </c>
      <c r="D10" s="33" t="str">
        <f t="shared" si="1"/>
        <v/>
      </c>
      <c r="E10" s="33">
        <v>21.0</v>
      </c>
      <c r="F10" s="33">
        <v>28.0</v>
      </c>
      <c r="G10" s="33" t="b">
        <v>0</v>
      </c>
      <c r="H10" s="48" t="s">
        <v>164</v>
      </c>
      <c r="I10" s="33"/>
      <c r="J10" s="64"/>
      <c r="K10" s="65" t="s">
        <v>133</v>
      </c>
      <c r="L10" s="64"/>
      <c r="M10" s="65" t="s">
        <v>171</v>
      </c>
    </row>
    <row r="11">
      <c r="A11" s="32" t="s">
        <v>375</v>
      </c>
      <c r="B11" s="56" t="s">
        <v>384</v>
      </c>
      <c r="C11" s="33" t="s">
        <v>173</v>
      </c>
      <c r="D11" s="33" t="str">
        <f t="shared" si="1"/>
        <v/>
      </c>
      <c r="E11" s="33">
        <v>24.0</v>
      </c>
      <c r="F11" s="33">
        <v>21.0</v>
      </c>
      <c r="G11" s="33" t="b">
        <v>1</v>
      </c>
      <c r="H11" s="48" t="s">
        <v>170</v>
      </c>
      <c r="I11" s="33"/>
      <c r="J11" s="51"/>
      <c r="K11" s="52" t="s">
        <v>157</v>
      </c>
      <c r="L11" s="51"/>
      <c r="M11" s="52" t="s">
        <v>157</v>
      </c>
    </row>
    <row r="12">
      <c r="A12" s="32" t="s">
        <v>385</v>
      </c>
      <c r="B12" s="56" t="s">
        <v>386</v>
      </c>
      <c r="C12" s="33" t="s">
        <v>117</v>
      </c>
      <c r="D12" s="33" t="str">
        <f t="shared" si="1"/>
        <v/>
      </c>
      <c r="E12" s="33">
        <v>20.0</v>
      </c>
      <c r="F12" s="33">
        <v>23.0</v>
      </c>
      <c r="G12" s="33" t="b">
        <v>0</v>
      </c>
      <c r="H12" s="48" t="s">
        <v>179</v>
      </c>
      <c r="I12" s="33"/>
      <c r="J12" s="59"/>
      <c r="K12" s="60" t="s">
        <v>165</v>
      </c>
      <c r="L12" s="59"/>
      <c r="M12" s="60" t="s">
        <v>180</v>
      </c>
    </row>
    <row r="13">
      <c r="A13" s="32" t="s">
        <v>385</v>
      </c>
      <c r="B13" s="33" t="s">
        <v>387</v>
      </c>
      <c r="C13" s="33" t="s">
        <v>108</v>
      </c>
      <c r="D13" s="33" t="str">
        <f t="shared" si="1"/>
        <v/>
      </c>
      <c r="E13" s="33">
        <v>24.0</v>
      </c>
      <c r="F13" s="33">
        <v>31.0</v>
      </c>
      <c r="G13" s="33" t="b">
        <v>0</v>
      </c>
      <c r="H13" s="48" t="s">
        <v>185</v>
      </c>
      <c r="I13" s="33"/>
      <c r="J13" s="59"/>
      <c r="K13" s="60" t="s">
        <v>132</v>
      </c>
      <c r="L13" s="59"/>
      <c r="M13" s="60" t="s">
        <v>147</v>
      </c>
    </row>
    <row r="14">
      <c r="A14" s="32" t="s">
        <v>388</v>
      </c>
      <c r="B14" s="33" t="s">
        <v>389</v>
      </c>
      <c r="C14" s="33" t="s">
        <v>118</v>
      </c>
      <c r="D14" s="33" t="str">
        <f t="shared" si="1"/>
        <v/>
      </c>
      <c r="E14" s="33">
        <v>21.0</v>
      </c>
      <c r="F14" s="33">
        <v>24.0</v>
      </c>
      <c r="G14" s="33" t="b">
        <v>0</v>
      </c>
      <c r="H14" s="48" t="s">
        <v>191</v>
      </c>
      <c r="I14" s="33"/>
      <c r="J14" s="64"/>
      <c r="K14" s="65" t="s">
        <v>122</v>
      </c>
      <c r="L14" s="64"/>
      <c r="M14" s="65" t="s">
        <v>122</v>
      </c>
    </row>
    <row r="15">
      <c r="A15" s="32" t="s">
        <v>390</v>
      </c>
      <c r="B15" s="56" t="s">
        <v>391</v>
      </c>
      <c r="C15" s="33" t="s">
        <v>136</v>
      </c>
      <c r="D15" s="33" t="str">
        <f t="shared" si="1"/>
        <v/>
      </c>
      <c r="E15" s="33">
        <v>13.0</v>
      </c>
      <c r="F15" s="33">
        <v>20.0</v>
      </c>
      <c r="G15" s="33" t="b">
        <v>0</v>
      </c>
      <c r="H15" s="48" t="s">
        <v>194</v>
      </c>
      <c r="I15" s="33"/>
      <c r="J15" s="51"/>
      <c r="K15" s="52" t="s">
        <v>122</v>
      </c>
      <c r="L15" s="51"/>
      <c r="M15" s="52" t="s">
        <v>147</v>
      </c>
    </row>
    <row r="16">
      <c r="A16" s="32" t="s">
        <v>395</v>
      </c>
      <c r="B16" s="33" t="s">
        <v>396</v>
      </c>
      <c r="C16" s="33" t="s">
        <v>131</v>
      </c>
      <c r="D16" s="33" t="str">
        <f t="shared" si="1"/>
        <v/>
      </c>
      <c r="E16" s="33">
        <v>10.0</v>
      </c>
      <c r="F16" s="33">
        <v>14.0</v>
      </c>
      <c r="G16" s="33" t="b">
        <v>0</v>
      </c>
      <c r="H16" s="48" t="s">
        <v>198</v>
      </c>
      <c r="I16" s="33"/>
      <c r="J16" s="59"/>
      <c r="K16" s="60" t="s">
        <v>122</v>
      </c>
      <c r="L16" s="59"/>
      <c r="M16" s="60" t="s">
        <v>180</v>
      </c>
    </row>
    <row r="17">
      <c r="A17" s="94"/>
      <c r="B17" s="94"/>
      <c r="C17" s="94"/>
      <c r="D17" s="95"/>
      <c r="E17" s="95"/>
      <c r="F17" s="95"/>
      <c r="G17" s="95"/>
      <c r="H17" s="96" t="s">
        <v>202</v>
      </c>
      <c r="I17" s="97"/>
      <c r="J17" s="102"/>
      <c r="K17" s="103" t="s">
        <v>132</v>
      </c>
      <c r="L17" s="102"/>
      <c r="M17" s="103" t="s">
        <v>147</v>
      </c>
    </row>
    <row r="18">
      <c r="A18" s="100" t="s">
        <v>283</v>
      </c>
      <c r="B18" s="32"/>
      <c r="C18" s="32"/>
      <c r="D18" s="101"/>
      <c r="E18" s="101"/>
      <c r="F18" s="101"/>
      <c r="G18" s="101"/>
      <c r="H18" s="96" t="s">
        <v>206</v>
      </c>
      <c r="I18" s="97"/>
      <c r="J18" s="98"/>
      <c r="K18" s="99" t="s">
        <v>161</v>
      </c>
      <c r="L18" s="98"/>
      <c r="M18" s="99" t="s">
        <v>165</v>
      </c>
    </row>
    <row r="19">
      <c r="A19" s="32" t="s">
        <v>152</v>
      </c>
      <c r="B19" s="32"/>
      <c r="C19" s="32"/>
      <c r="D19" s="101"/>
      <c r="E19" s="101"/>
      <c r="F19" s="101"/>
      <c r="G19" s="101"/>
      <c r="H19" s="96" t="s">
        <v>207</v>
      </c>
      <c r="I19" s="97"/>
      <c r="J19" s="97"/>
      <c r="K19" s="97"/>
      <c r="L19" s="97"/>
      <c r="M19" s="97"/>
    </row>
    <row r="20">
      <c r="A20" s="32" t="s">
        <v>111</v>
      </c>
      <c r="B20" s="32"/>
      <c r="C20" s="32"/>
      <c r="D20" s="101"/>
      <c r="E20" s="101"/>
      <c r="F20" s="101"/>
      <c r="G20" s="101"/>
      <c r="H20" s="97"/>
      <c r="I20" s="97"/>
      <c r="J20" s="97"/>
      <c r="K20" s="97"/>
      <c r="L20" s="97"/>
      <c r="M20" s="97"/>
    </row>
    <row r="21">
      <c r="A21" s="32" t="s">
        <v>121</v>
      </c>
      <c r="B21" s="32"/>
      <c r="C21" s="32"/>
      <c r="D21" s="101"/>
      <c r="E21" s="101"/>
      <c r="F21" s="101"/>
      <c r="G21" s="101"/>
      <c r="H21" s="97"/>
      <c r="I21" s="97"/>
      <c r="J21" s="97"/>
      <c r="K21" s="97"/>
      <c r="L21" s="97"/>
      <c r="M21" s="97"/>
    </row>
    <row r="22">
      <c r="A22" s="32" t="s">
        <v>168</v>
      </c>
      <c r="B22" s="32"/>
      <c r="C22" s="32"/>
      <c r="D22" s="101"/>
      <c r="E22" s="101"/>
      <c r="F22" s="101"/>
      <c r="G22" s="101"/>
      <c r="H22" s="97"/>
      <c r="I22" s="97"/>
      <c r="J22" s="97"/>
      <c r="K22" s="97"/>
      <c r="L22" s="97"/>
      <c r="M22"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C16="BAL"</formula>
    </cfRule>
  </conditionalFormatting>
  <conditionalFormatting sqref="E16">
    <cfRule type="expression" dxfId="3" priority="5" stopIfTrue="1">
      <formula>C16="LAC"</formula>
    </cfRule>
  </conditionalFormatting>
  <conditionalFormatting sqref="F15">
    <cfRule type="expression" dxfId="3" priority="6" stopIfTrue="1">
      <formula>C15="CIN"</formula>
    </cfRule>
  </conditionalFormatting>
  <conditionalFormatting sqref="E15">
    <cfRule type="expression" dxfId="3" priority="7" stopIfTrue="1">
      <formula>C15="PIT"</formula>
    </cfRule>
  </conditionalFormatting>
  <conditionalFormatting sqref="F14">
    <cfRule type="expression" dxfId="3" priority="8" stopIfTrue="1">
      <formula>C14="DAL"</formula>
    </cfRule>
  </conditionalFormatting>
  <conditionalFormatting sqref="E14">
    <cfRule type="expression" dxfId="3" priority="9" stopIfTrue="1">
      <formula>C14="SF"</formula>
    </cfRule>
  </conditionalFormatting>
  <conditionalFormatting sqref="F13">
    <cfRule type="expression" dxfId="3" priority="10" stopIfTrue="1">
      <formula>C13="LV"</formula>
    </cfRule>
  </conditionalFormatting>
  <conditionalFormatting sqref="E13">
    <cfRule type="expression" dxfId="3" priority="11" stopIfTrue="1">
      <formula>C13="SEA"</formula>
    </cfRule>
  </conditionalFormatting>
  <conditionalFormatting sqref="F12">
    <cfRule type="expression" dxfId="3" priority="12" stopIfTrue="1">
      <formula>C12="AZ"</formula>
    </cfRule>
  </conditionalFormatting>
  <conditionalFormatting sqref="E12">
    <cfRule type="expression" dxfId="3" priority="13" stopIfTrue="1">
      <formula>C12="LAR"</formula>
    </cfRule>
  </conditionalFormatting>
  <conditionalFormatting sqref="F11">
    <cfRule type="expression" dxfId="3" priority="14" stopIfTrue="1">
      <formula>C11="TEN"</formula>
    </cfRule>
  </conditionalFormatting>
  <conditionalFormatting sqref="E11">
    <cfRule type="expression" dxfId="3" priority="15" stopIfTrue="1">
      <formula>C11="JAX"</formula>
    </cfRule>
  </conditionalFormatting>
  <conditionalFormatting sqref="F10">
    <cfRule type="expression" dxfId="3" priority="16" stopIfTrue="1">
      <formula>C10="NYJ"</formula>
    </cfRule>
  </conditionalFormatting>
  <conditionalFormatting sqref="E10">
    <cfRule type="expression" dxfId="3" priority="17" stopIfTrue="1">
      <formula>C10="BUF"</formula>
    </cfRule>
  </conditionalFormatting>
  <conditionalFormatting sqref="F9">
    <cfRule type="expression" dxfId="3" priority="18" stopIfTrue="1">
      <formula>C9="NO"</formula>
    </cfRule>
  </conditionalFormatting>
  <conditionalFormatting sqref="E9">
    <cfRule type="expression" dxfId="3" priority="19" stopIfTrue="1">
      <formula>C9="CAR"</formula>
    </cfRule>
  </conditionalFormatting>
  <conditionalFormatting sqref="F8">
    <cfRule type="expression" dxfId="3" priority="20" stopIfTrue="1">
      <formula>C8="IND"</formula>
    </cfRule>
  </conditionalFormatting>
  <conditionalFormatting sqref="E8">
    <cfRule type="expression" dxfId="3" priority="21" stopIfTrue="1">
      <formula>C8="MIA"</formula>
    </cfRule>
  </conditionalFormatting>
  <conditionalFormatting sqref="F7">
    <cfRule type="expression" dxfId="3" priority="22" stopIfTrue="1">
      <formula>C7="GB"</formula>
    </cfRule>
  </conditionalFormatting>
  <conditionalFormatting sqref="E7">
    <cfRule type="expression" dxfId="3" priority="23" stopIfTrue="1">
      <formula>C7="MIN"</formula>
    </cfRule>
  </conditionalFormatting>
  <conditionalFormatting sqref="F6">
    <cfRule type="expression" dxfId="3" priority="24" stopIfTrue="1">
      <formula>C6="CLE"</formula>
    </cfRule>
  </conditionalFormatting>
  <conditionalFormatting sqref="E6">
    <cfRule type="expression" dxfId="3" priority="25" stopIfTrue="1">
      <formula>C6="HOU"</formula>
    </cfRule>
  </conditionalFormatting>
  <conditionalFormatting sqref="F5">
    <cfRule type="expression" dxfId="3" priority="26" stopIfTrue="1">
      <formula>C5="ATL"</formula>
    </cfRule>
  </conditionalFormatting>
  <conditionalFormatting sqref="E5">
    <cfRule type="expression" dxfId="3" priority="27" stopIfTrue="1">
      <formula>C5="KC"</formula>
    </cfRule>
  </conditionalFormatting>
  <conditionalFormatting sqref="F4">
    <cfRule type="expression" dxfId="3" priority="28" stopIfTrue="1">
      <formula>C4="DET"</formula>
    </cfRule>
  </conditionalFormatting>
  <conditionalFormatting sqref="E4">
    <cfRule type="expression" dxfId="3" priority="29" stopIfTrue="1">
      <formula>C4="NE"</formula>
    </cfRule>
  </conditionalFormatting>
  <conditionalFormatting sqref="F3">
    <cfRule type="expression" dxfId="3" priority="30" stopIfTrue="1">
      <formula>C3="NYG"</formula>
    </cfRule>
  </conditionalFormatting>
  <conditionalFormatting sqref="E3">
    <cfRule type="expression" dxfId="3" priority="31" stopIfTrue="1">
      <formula>C3="WSH"</formula>
    </cfRule>
  </conditionalFormatting>
  <dataValidations>
    <dataValidation type="custom" allowBlank="1" showDropDown="1" showInputMessage="1" prompt="Enter a value that satisfies the formula: =IF(C9=&quot;NYJ&quot;,F9&gt;E9,OR(E9&gt;F9,C9=&quot;&quot;))" sqref="F10">
      <formula1>IF(C10="NYJ",F10&gt;E10,OR(E10&gt;F10,C10=""))</formula1>
    </dataValidation>
    <dataValidation type="list" allowBlank="1" showErrorMessage="1" sqref="C12">
      <formula1>"LAR,AZ"</formula1>
    </dataValidation>
    <dataValidation type="custom" allowBlank="1" showDropDown="1" showInputMessage="1" prompt="Enter a value that satisfies the formula: =IF(C3=&quot;NE&quot;,E3&gt;F3,OR(F3&gt;E3,C3=&quot;&quot;))" sqref="E4">
      <formula1>IF(C4="NE",E4&gt;F4,OR(F4&gt;E4,C4=""))</formula1>
    </dataValidation>
    <dataValidation type="custom" allowBlank="1" showDropDown="1" showInputMessage="1" prompt="Enter a value that satisfies the formula: =IF(C12=&quot;LV&quot;,F12&gt;E12,OR(E12&gt;F12,C12=&quot;&quot;))" sqref="F13">
      <formula1>IF(C13="LV",F13&gt;E13,OR(E13&gt;F13,C13=""))</formula1>
    </dataValidation>
    <dataValidation type="custom" allowBlank="1" showDropDown="1" showInputMessage="1" prompt="Enter a value that satisfies the formula: =IF(C8=&quot;NO&quot;,F8&gt;E8,OR(E8&gt;F8,C8=&quot;&quot;))" sqref="F9">
      <formula1>IF(C9="NO",F9&gt;E9,OR(E9&gt;F9,C9=""))</formula1>
    </dataValidation>
    <dataValidation type="custom" allowBlank="1" showDropDown="1" showInputMessage="1" prompt="Enter a value that satisfies the formula: =IF(C10=&quot;TEN&quot;,F10&gt;E10,OR(E10&gt;F10,C10=&quot;&quot;))" sqref="F11">
      <formula1>IF(C11="TEN",F11&gt;E11,OR(E11&gt;F11,C11=""))</formula1>
    </dataValidation>
    <dataValidation type="custom" allowBlank="1" showDropDown="1" showInputMessage="1" prompt="Enter a value that satisfies the formula: =IF(C8=&quot;CAR&quot;,E8&gt;F8,OR(F8&gt;E8,C8=&quot;&quot;))" sqref="E9">
      <formula1>IF(C9="CAR",E9&gt;F9,OR(F9&gt;E9,C9=""))</formula1>
    </dataValidation>
    <dataValidation type="custom" allowBlank="1" showDropDown="1" showInputMessage="1" prompt="Enter a value that satisfies the formula: =IF(C2=&quot;NYG&quot;,F2&gt;E2,OR(E2&gt;F2,C2=&quot;&quot;))" sqref="F3">
      <formula1>IF(C3="NYG",F3&gt;E3,OR(E3&gt;F3,C3=""))</formula1>
    </dataValidation>
    <dataValidation type="custom" allowBlank="1" showDropDown="1" showInputMessage="1" prompt="Enter a value that satisfies the formula: =IF(C2=&quot;WSH&quot;,E2&gt;F2,OR(F2&gt;E2,C2=&quot;&quot;))" sqref="E3">
      <formula1>IF(C3="WSH",E3&gt;F3,OR(F3&gt;E3,C3=""))</formula1>
    </dataValidation>
    <dataValidation type="custom" allowBlank="1" showDropDown="1" showInputMessage="1" prompt="Enter a value that satisfies the formula: =IF(C14=&quot;CIN&quot;,F14&gt;E14,OR(E14&gt;F14,C14=&quot;&quot;))" sqref="F15">
      <formula1>IF(C15="CIN",F15&gt;E15,OR(E15&gt;F15,C15=""))</formula1>
    </dataValidation>
    <dataValidation type="list" allowBlank="1" showErrorMessage="1" sqref="C8">
      <formula1>"MIA,IND"</formula1>
    </dataValidation>
    <dataValidation type="custom" allowBlank="1" showDropDown="1" showInputMessage="1" prompt="Enter a value that satisfies the formula: =IF(C9=&quot;BUF&quot;,E9&gt;F9,OR(F9&gt;E9,C9=&quot;&quot;))" sqref="E10">
      <formula1>IF(C10="BUF",E10&gt;F10,OR(F10&gt;E10,C10=""))</formula1>
    </dataValidation>
    <dataValidation type="custom" allowBlank="1" showDropDown="1" showInputMessage="1" prompt="Enter a value that satisfies the formula: =IF(C6=&quot;MIN&quot;,E6&gt;F6,OR(F6&gt;E6,C6=&quot;&quot;))" sqref="E7">
      <formula1>IF(C7="MIN",E7&gt;F7,OR(F7&gt;E7,C7=""))</formula1>
    </dataValidation>
    <dataValidation type="custom" allowBlank="1" showDropDown="1" showInputMessage="1" prompt="Enter a value that satisfies the formula: =IF(C7=&quot;MIA&quot;,E7&gt;F7,OR(F7&gt;E7,C7=&quot;&quot;))" sqref="E8">
      <formula1>IF(C8="MIA",E8&gt;F8,OR(F8&gt;E8,C8=""))</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4=&quot;KC&quot;,E4&gt;F4,OR(F4&gt;E4,C4=&quot;&quot;))" sqref="E5">
      <formula1>IF(C5="KC",E5&gt;F5,OR(F5&gt;E5,C5=""))</formula1>
    </dataValidation>
    <dataValidation type="list" allowBlank="1" showErrorMessage="1" sqref="C16">
      <formula1>"LAC,BAL"</formula1>
    </dataValidation>
    <dataValidation type="list" allowBlank="1" showErrorMessage="1" sqref="C13">
      <formula1>"SEA,LV"</formula1>
    </dataValidation>
    <dataValidation type="custom" allowBlank="1" showDropDown="1" showInputMessage="1" prompt="Enter a value that satisfies the formula: =IF(C3=&quot;DET&quot;,F3&gt;E3,OR(E3&gt;F3,C3=&quot;&quot;))" sqref="F4">
      <formula1>IF(C4="DET",F4&gt;E4,OR(E4&gt;F4,C4=""))</formula1>
    </dataValidation>
    <dataValidation type="custom" allowBlank="1" showDropDown="1" showInputMessage="1" prompt="Enter a value that satisfies the formula: =IF(C14=&quot;PIT&quot;,E14&gt;F14,OR(F14&gt;E14,C14=&quot;&quot;))" sqref="E15">
      <formula1>IF(C15="PIT",E15&gt;F15,OR(F15&gt;E15,C15=""))</formula1>
    </dataValidation>
    <dataValidation type="list" allowBlank="1" showErrorMessage="1" sqref="C3">
      <formula1>"WSH,NYG"</formula1>
    </dataValidation>
    <dataValidation type="custom" allowBlank="1" showDropDown="1" showInputMessage="1" prompt="Enter a value that satisfies the formula: =IF(C12=&quot;SEA&quot;,E12&gt;F12,OR(F12&gt;E12,C12=&quot;&quot;))" sqref="E13">
      <formula1>IF(C13="SEA",E13&gt;F13,OR(F13&gt;E13,C13=""))</formula1>
    </dataValidation>
    <dataValidation type="custom" allowBlank="1" showDropDown="1" showInputMessage="1" prompt="Enter a value that satisfies the formula: =IF(C13=&quot;SF&quot;,E13&gt;F13,OR(F13&gt;E13,C13=&quot;&quot;))" sqref="E14">
      <formula1>IF(C14="SF",E14&gt;F14,OR(F14&gt;E14,C14=""))</formula1>
    </dataValidation>
    <dataValidation type="list" allowBlank="1" showErrorMessage="1" sqref="C6">
      <formula1>"HOU,CLE"</formula1>
    </dataValidation>
    <dataValidation type="custom" allowBlank="1" showDropDown="1" showInputMessage="1" prompt="Enter a value that satisfies the formula: =IF(C13=&quot;DAL&quot;,F13&gt;E13,OR(E13&gt;F13,C13=&quot;&quot;))" sqref="F14">
      <formula1>IF(C14="DAL",F14&gt;E14,OR(E14&gt;F14,C14=""))</formula1>
    </dataValidation>
    <dataValidation type="list" allowBlank="1" showErrorMessage="1" sqref="C15">
      <formula1>"PIT,CIN"</formula1>
    </dataValidation>
    <dataValidation type="custom" allowBlank="1" showDropDown="1" showInputMessage="1" prompt="Enter a value that satisfies the formula: =IF(C10=&quot;JAX&quot;,E10&gt;F10,OR(F10&gt;E10,C10=&quot;&quot;))" sqref="E11">
      <formula1>IF(C11="JAX",E11&gt;F11,OR(F11&gt;E11,C11=""))</formula1>
    </dataValidation>
    <dataValidation type="custom" allowBlank="1" showDropDown="1" showInputMessage="1" prompt="Enter a value that satisfies the formula: =IF(C5=&quot;CLE&quot;,F5&gt;E5,OR(E5&gt;F5,C5=&quot;&quot;))" sqref="F6">
      <formula1>IF(C6="CLE",F6&gt;E6,OR(E6&gt;F6,C6=""))</formula1>
    </dataValidation>
    <dataValidation type="list" allowBlank="1" showErrorMessage="1" sqref="C11">
      <formula1>"JAX,TEN"</formula1>
    </dataValidation>
    <dataValidation type="list" allowBlank="1" showErrorMessage="1" sqref="C7">
      <formula1>"MIN,GB"</formula1>
    </dataValidation>
    <dataValidation type="custom" allowBlank="1" showDropDown="1" showInputMessage="1" prompt="Enter a value that satisfies the formula: =IF(C11=&quot;AZ&quot;,F11&gt;E11,OR(E11&gt;F11,C11=&quot;&quot;))" sqref="F12">
      <formula1>IF(C12="AZ",F12&gt;E12,OR(E12&gt;F12,C12=""))</formula1>
    </dataValidation>
    <dataValidation type="custom" allowBlank="1" showDropDown="1" showInputMessage="1" prompt="Enter a value that satisfies the formula: =IF(C4=&quot;ATL&quot;,F4&gt;E4,OR(E4&gt;F4,C4=&quot;&quot;))" sqref="F5">
      <formula1>IF(C5="ATL",F5&gt;E5,OR(E5&gt;F5,C5=""))</formula1>
    </dataValidation>
    <dataValidation type="list" allowBlank="1" showErrorMessage="1" sqref="C9">
      <formula1>"CAR,NO"</formula1>
    </dataValidation>
    <dataValidation type="list" allowBlank="1" showErrorMessage="1" sqref="C5">
      <formula1>"KC,ATL"</formula1>
    </dataValidation>
    <dataValidation type="list" allowBlank="1" showErrorMessage="1" sqref="C4">
      <formula1>"NE,DET"</formula1>
    </dataValidation>
    <dataValidation type="custom" allowBlank="1" showDropDown="1" showInputMessage="1" prompt="Enter a value that satisfies the formula: =IF(C6=&quot;GB&quot;,F6&gt;E6,OR(E6&gt;F6,C6=&quot;&quot;))" sqref="F7">
      <formula1>IF(C7="GB",F7&gt;E7,OR(E7&gt;F7,C7=""))</formula1>
    </dataValidation>
    <dataValidation type="custom" allowBlank="1" showDropDown="1" showInputMessage="1" prompt="Enter a value that satisfies the formula: =IF(C7=&quot;IND&quot;,F7&gt;E7,OR(E7&gt;F7,C7=&quot;&quot;))" sqref="F8">
      <formula1>IF(C8="IND",F8&gt;E8,OR(E8&gt;F8,C8=""))</formula1>
    </dataValidation>
    <dataValidation type="list" allowBlank="1" showErrorMessage="1" sqref="C14">
      <formula1>"SF,DAL"</formula1>
    </dataValidation>
    <dataValidation type="custom" allowBlank="1" showDropDown="1" showInputMessage="1" prompt="Enter a value that satisfies the formula: =IF(C15=&quot;BAL&quot;,F15&gt;E15,OR(E15&gt;F15,C15=&quot;&quot;))" sqref="F16">
      <formula1>IF(C16="BAL",F16&gt;E16,OR(E16&gt;F16,C16=""))</formula1>
    </dataValidation>
    <dataValidation type="custom" allowBlank="1" showDropDown="1" showInputMessage="1" prompt="Enter a value that satisfies the formula: =IF(C11=&quot;LAR&quot;,E11&gt;F11,OR(F11&gt;E11,C11=&quot;&quot;))" sqref="E12">
      <formula1>IF(C12="LAR",E12&gt;F12,OR(F12&gt;E12,C12=""))</formula1>
    </dataValidation>
    <dataValidation type="custom" allowBlank="1" showDropDown="1" showInputMessage="1" prompt="Enter a value that satisfies the formula: =IF(C5=&quot;HOU&quot;,E5&gt;F5,OR(F5&gt;E5,C5=&quot;&quot;))" sqref="E6">
      <formula1>IF(C6="HOU",E6&gt;F6,OR(F6&gt;E6,C6=""))</formula1>
    </dataValidation>
    <dataValidation type="list" allowBlank="1" showErrorMessage="1" sqref="C10">
      <formula1>"BUF,NYJ"</formula1>
    </dataValidation>
    <dataValidation type="custom" allowBlank="1" showDropDown="1" showInputMessage="1" prompt="Enter a value that satisfies the formula: =IF(C15=&quot;LAC&quot;,E15&gt;F15,OR(F15&gt;E15,C15=&quot;&quot;))" sqref="E16">
      <formula1>IF(C16="LAC",E16&gt;F16,OR(F16&gt;E16,C16=""))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1" location="'Week 11'!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38"/>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13 / 13</v>
      </c>
      <c r="G1" s="23" t="s">
        <v>60</v>
      </c>
      <c r="H1" s="23" t="s">
        <v>82</v>
      </c>
      <c r="I1" s="23" t="s">
        <v>84</v>
      </c>
      <c r="J1" s="28"/>
      <c r="K1" s="28"/>
      <c r="L1" s="28"/>
      <c r="M1" s="28"/>
    </row>
    <row r="2">
      <c r="A2" s="29" t="s">
        <v>98</v>
      </c>
      <c r="B2" s="29" t="s">
        <v>397</v>
      </c>
      <c r="C2" s="30" t="s">
        <v>36</v>
      </c>
      <c r="D2" s="30"/>
      <c r="E2" s="29" t="s">
        <v>37</v>
      </c>
      <c r="F2" s="29" t="s">
        <v>38</v>
      </c>
      <c r="G2" s="29" t="s">
        <v>100</v>
      </c>
      <c r="H2" s="29" t="s">
        <v>101</v>
      </c>
      <c r="I2" s="29"/>
      <c r="J2" s="29" t="s">
        <v>102</v>
      </c>
      <c r="K2" s="29" t="s">
        <v>103</v>
      </c>
      <c r="L2" s="29" t="s">
        <v>104</v>
      </c>
      <c r="M2" s="29" t="s">
        <v>105</v>
      </c>
    </row>
    <row r="3">
      <c r="A3" s="32" t="s">
        <v>398</v>
      </c>
      <c r="B3" s="56" t="s">
        <v>399</v>
      </c>
      <c r="C3" s="33" t="s">
        <v>163</v>
      </c>
      <c r="D3" s="33" t="str">
        <f t="shared" ref="D3:D15"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24.0</v>
      </c>
      <c r="F3" s="33">
        <v>31.0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414</v>
      </c>
      <c r="B4" s="33" t="s">
        <v>415</v>
      </c>
      <c r="C4" s="33" t="s">
        <v>184</v>
      </c>
      <c r="D4" s="33" t="str">
        <f t="shared" si="1"/>
        <v/>
      </c>
      <c r="E4" s="33">
        <v>24.0</v>
      </c>
      <c r="F4" s="33">
        <v>27.0</v>
      </c>
      <c r="G4" s="33" t="b">
        <v>0</v>
      </c>
      <c r="H4" s="48" t="s">
        <v>119</v>
      </c>
      <c r="I4" s="33"/>
      <c r="J4" s="59"/>
      <c r="K4" s="60" t="s">
        <v>132</v>
      </c>
      <c r="L4" s="59"/>
      <c r="M4" s="60" t="s">
        <v>133</v>
      </c>
    </row>
    <row r="5">
      <c r="A5" s="32" t="s">
        <v>414</v>
      </c>
      <c r="B5" s="33" t="s">
        <v>418</v>
      </c>
      <c r="C5" s="33" t="s">
        <v>152</v>
      </c>
      <c r="D5" s="33" t="str">
        <f t="shared" si="1"/>
        <v/>
      </c>
      <c r="E5" s="33">
        <v>24.0</v>
      </c>
      <c r="F5" s="33">
        <v>27.0</v>
      </c>
      <c r="G5" s="33" t="b">
        <v>0</v>
      </c>
      <c r="H5" s="48" t="s">
        <v>130</v>
      </c>
      <c r="I5" s="33"/>
      <c r="J5" s="59"/>
      <c r="K5" s="60" t="s">
        <v>142</v>
      </c>
      <c r="L5" s="59"/>
      <c r="M5" s="60" t="s">
        <v>142</v>
      </c>
    </row>
    <row r="6">
      <c r="A6" s="32" t="s">
        <v>414</v>
      </c>
      <c r="B6" s="33" t="s">
        <v>427</v>
      </c>
      <c r="C6" s="33" t="s">
        <v>168</v>
      </c>
      <c r="D6" s="33" t="str">
        <f t="shared" si="1"/>
        <v/>
      </c>
      <c r="E6" s="33">
        <v>23.0</v>
      </c>
      <c r="F6" s="33">
        <v>20.0</v>
      </c>
      <c r="G6" s="33" t="b">
        <v>0</v>
      </c>
      <c r="H6" s="48" t="s">
        <v>141</v>
      </c>
      <c r="I6" s="33"/>
      <c r="J6" s="64"/>
      <c r="K6" s="65" t="s">
        <v>147</v>
      </c>
      <c r="L6" s="64"/>
      <c r="M6" s="65" t="s">
        <v>148</v>
      </c>
    </row>
    <row r="7">
      <c r="A7" s="32" t="s">
        <v>414</v>
      </c>
      <c r="B7" s="56" t="s">
        <v>433</v>
      </c>
      <c r="C7" s="33" t="s">
        <v>116</v>
      </c>
      <c r="D7" s="33" t="str">
        <f t="shared" si="1"/>
        <v/>
      </c>
      <c r="E7" s="33">
        <v>14.0</v>
      </c>
      <c r="F7" s="33">
        <v>20.0</v>
      </c>
      <c r="G7" s="33" t="b">
        <v>0</v>
      </c>
      <c r="H7" s="48" t="s">
        <v>145</v>
      </c>
      <c r="I7" s="33"/>
      <c r="J7" s="51"/>
      <c r="K7" s="52" t="s">
        <v>142</v>
      </c>
      <c r="L7" s="51"/>
      <c r="M7" s="52" t="s">
        <v>157</v>
      </c>
    </row>
    <row r="8">
      <c r="A8" s="32" t="s">
        <v>414</v>
      </c>
      <c r="B8" s="33" t="s">
        <v>439</v>
      </c>
      <c r="C8" s="33" t="s">
        <v>125</v>
      </c>
      <c r="D8" s="33" t="str">
        <f t="shared" si="1"/>
        <v/>
      </c>
      <c r="E8" s="33">
        <v>14.0</v>
      </c>
      <c r="F8" s="33">
        <v>17.0</v>
      </c>
      <c r="G8" s="33" t="b">
        <v>0</v>
      </c>
      <c r="H8" s="48" t="s">
        <v>156</v>
      </c>
      <c r="I8" s="33"/>
      <c r="J8" s="59"/>
      <c r="K8" s="60" t="s">
        <v>161</v>
      </c>
      <c r="L8" s="59"/>
      <c r="M8" s="60" t="s">
        <v>133</v>
      </c>
    </row>
    <row r="9">
      <c r="A9" s="32" t="s">
        <v>414</v>
      </c>
      <c r="B9" s="33" t="s">
        <v>444</v>
      </c>
      <c r="C9" s="33" t="s">
        <v>118</v>
      </c>
      <c r="D9" s="33" t="str">
        <f t="shared" si="1"/>
        <v/>
      </c>
      <c r="E9" s="33">
        <v>21.0</v>
      </c>
      <c r="F9" s="33">
        <v>24.0</v>
      </c>
      <c r="G9" s="33" t="b">
        <v>0</v>
      </c>
      <c r="H9" s="48" t="s">
        <v>159</v>
      </c>
      <c r="I9" s="33"/>
      <c r="J9" s="59"/>
      <c r="K9" s="60" t="s">
        <v>165</v>
      </c>
      <c r="L9" s="59"/>
      <c r="M9" s="60" t="s">
        <v>165</v>
      </c>
    </row>
    <row r="10">
      <c r="A10" s="32" t="s">
        <v>414</v>
      </c>
      <c r="B10" s="33" t="s">
        <v>447</v>
      </c>
      <c r="C10" s="33" t="s">
        <v>40</v>
      </c>
      <c r="D10" s="33" t="str">
        <f t="shared" si="1"/>
        <v/>
      </c>
      <c r="E10" s="33">
        <v>13.0</v>
      </c>
      <c r="F10" s="33">
        <v>20.0</v>
      </c>
      <c r="G10" s="33" t="b">
        <v>1</v>
      </c>
      <c r="H10" s="48" t="s">
        <v>164</v>
      </c>
      <c r="I10" s="33"/>
      <c r="J10" s="64"/>
      <c r="K10" s="65" t="s">
        <v>133</v>
      </c>
      <c r="L10" s="64"/>
      <c r="M10" s="65" t="s">
        <v>171</v>
      </c>
    </row>
    <row r="11">
      <c r="A11" s="32" t="s">
        <v>449</v>
      </c>
      <c r="B11" s="33" t="s">
        <v>450</v>
      </c>
      <c r="C11" s="33" t="s">
        <v>112</v>
      </c>
      <c r="D11" s="33" t="str">
        <f t="shared" si="1"/>
        <v/>
      </c>
      <c r="E11" s="33">
        <v>17.0</v>
      </c>
      <c r="F11" s="33">
        <v>20.0</v>
      </c>
      <c r="G11" s="33" t="b">
        <v>0</v>
      </c>
      <c r="H11" s="48" t="s">
        <v>170</v>
      </c>
      <c r="I11" s="33"/>
      <c r="J11" s="51"/>
      <c r="K11" s="52" t="s">
        <v>157</v>
      </c>
      <c r="L11" s="51"/>
      <c r="M11" s="52" t="s">
        <v>157</v>
      </c>
    </row>
    <row r="12">
      <c r="A12" s="32" t="s">
        <v>456</v>
      </c>
      <c r="B12" s="33" t="s">
        <v>457</v>
      </c>
      <c r="C12" s="33" t="s">
        <v>121</v>
      </c>
      <c r="D12" s="33" t="str">
        <f t="shared" si="1"/>
        <v/>
      </c>
      <c r="E12" s="33">
        <v>17.0</v>
      </c>
      <c r="F12" s="33">
        <v>21.0</v>
      </c>
      <c r="G12" s="33" t="b">
        <v>0</v>
      </c>
      <c r="H12" s="48" t="s">
        <v>175</v>
      </c>
      <c r="I12" s="33"/>
      <c r="J12" s="59"/>
      <c r="K12" s="60" t="s">
        <v>165</v>
      </c>
      <c r="L12" s="59"/>
      <c r="M12" s="60" t="s">
        <v>180</v>
      </c>
    </row>
    <row r="13">
      <c r="A13" s="32" t="s">
        <v>456</v>
      </c>
      <c r="B13" s="56" t="s">
        <v>462</v>
      </c>
      <c r="C13" s="33" t="s">
        <v>111</v>
      </c>
      <c r="D13" s="33" t="str">
        <f t="shared" si="1"/>
        <v/>
      </c>
      <c r="E13" s="33">
        <v>14.0</v>
      </c>
      <c r="F13" s="33">
        <v>17.0</v>
      </c>
      <c r="G13" s="33" t="b">
        <v>0</v>
      </c>
      <c r="H13" s="48" t="s">
        <v>185</v>
      </c>
      <c r="I13" s="33"/>
      <c r="J13" s="59"/>
      <c r="K13" s="60" t="s">
        <v>132</v>
      </c>
      <c r="L13" s="59"/>
      <c r="M13" s="60" t="s">
        <v>147</v>
      </c>
    </row>
    <row r="14">
      <c r="A14" s="32" t="s">
        <v>467</v>
      </c>
      <c r="B14" s="33" t="s">
        <v>468</v>
      </c>
      <c r="C14" s="33" t="s">
        <v>154</v>
      </c>
      <c r="D14" s="33" t="str">
        <f t="shared" si="1"/>
        <v/>
      </c>
      <c r="E14" s="33">
        <v>17.0</v>
      </c>
      <c r="F14" s="33">
        <v>14.0</v>
      </c>
      <c r="G14" s="33" t="b">
        <v>0</v>
      </c>
      <c r="H14" s="48" t="s">
        <v>191</v>
      </c>
      <c r="I14" s="33"/>
      <c r="J14" s="64"/>
      <c r="K14" s="65" t="s">
        <v>122</v>
      </c>
      <c r="L14" s="64"/>
      <c r="M14" s="65" t="s">
        <v>122</v>
      </c>
    </row>
    <row r="15">
      <c r="A15" s="32" t="s">
        <v>472</v>
      </c>
      <c r="B15" s="33" t="s">
        <v>473</v>
      </c>
      <c r="C15" s="33" t="s">
        <v>129</v>
      </c>
      <c r="D15" s="33" t="str">
        <f t="shared" si="1"/>
        <v/>
      </c>
      <c r="E15" s="33">
        <v>14.0</v>
      </c>
      <c r="F15" s="33">
        <v>17.0</v>
      </c>
      <c r="G15" s="33" t="b">
        <v>0</v>
      </c>
      <c r="H15" s="48" t="s">
        <v>194</v>
      </c>
      <c r="I15" s="33"/>
      <c r="J15" s="51"/>
      <c r="K15" s="52" t="s">
        <v>122</v>
      </c>
      <c r="L15" s="51"/>
      <c r="M15" s="52" t="s">
        <v>147</v>
      </c>
    </row>
    <row r="16">
      <c r="A16" s="8"/>
      <c r="B16" s="8"/>
      <c r="C16" s="8"/>
      <c r="D16" s="8"/>
      <c r="E16" s="8"/>
      <c r="F16" s="8"/>
      <c r="G16" s="8"/>
      <c r="H16" s="96" t="s">
        <v>198</v>
      </c>
      <c r="I16" s="97"/>
      <c r="J16" s="102"/>
      <c r="K16" s="103" t="s">
        <v>122</v>
      </c>
      <c r="L16" s="102"/>
      <c r="M16" s="103" t="s">
        <v>180</v>
      </c>
    </row>
    <row r="17">
      <c r="A17" s="100" t="s">
        <v>283</v>
      </c>
      <c r="B17" s="32"/>
      <c r="C17" s="32"/>
      <c r="D17" s="101"/>
      <c r="E17" s="101"/>
      <c r="F17" s="101"/>
      <c r="G17" s="101"/>
      <c r="H17" s="96" t="s">
        <v>202</v>
      </c>
      <c r="I17" s="97"/>
      <c r="J17" s="102"/>
      <c r="K17" s="103" t="s">
        <v>132</v>
      </c>
      <c r="L17" s="102"/>
      <c r="M17" s="103" t="s">
        <v>147</v>
      </c>
    </row>
    <row r="18">
      <c r="A18" s="32" t="s">
        <v>140</v>
      </c>
      <c r="B18" s="32"/>
      <c r="C18" s="32"/>
      <c r="D18" s="101"/>
      <c r="E18" s="101"/>
      <c r="F18" s="101"/>
      <c r="G18" s="101"/>
      <c r="H18" s="96" t="s">
        <v>206</v>
      </c>
      <c r="I18" s="97"/>
      <c r="J18" s="98"/>
      <c r="K18" s="99" t="s">
        <v>161</v>
      </c>
      <c r="L18" s="98"/>
      <c r="M18" s="99" t="s">
        <v>165</v>
      </c>
    </row>
    <row r="19">
      <c r="A19" s="32" t="s">
        <v>144</v>
      </c>
      <c r="B19" s="32"/>
      <c r="C19" s="32"/>
      <c r="D19" s="101"/>
      <c r="E19" s="101"/>
      <c r="F19" s="101"/>
      <c r="G19" s="101"/>
      <c r="H19" s="96" t="s">
        <v>207</v>
      </c>
      <c r="I19" s="97"/>
      <c r="J19" s="97"/>
      <c r="K19" s="97"/>
      <c r="L19" s="97"/>
      <c r="M19" s="97"/>
    </row>
    <row r="20">
      <c r="A20" s="32" t="s">
        <v>146</v>
      </c>
      <c r="B20" s="32"/>
      <c r="C20" s="32"/>
      <c r="D20" s="101"/>
      <c r="E20" s="101"/>
      <c r="F20" s="101"/>
      <c r="G20" s="101"/>
      <c r="H20" s="97"/>
      <c r="I20" s="97"/>
      <c r="J20" s="97"/>
      <c r="K20" s="97"/>
      <c r="L20" s="97"/>
      <c r="M20" s="97"/>
    </row>
    <row r="21">
      <c r="A21" s="32" t="s">
        <v>110</v>
      </c>
      <c r="B21" s="32"/>
      <c r="C21" s="32"/>
      <c r="D21" s="101"/>
      <c r="E21" s="101"/>
      <c r="F21" s="101"/>
      <c r="G21" s="101"/>
      <c r="H21" s="97"/>
      <c r="I21" s="97"/>
      <c r="J21" s="97"/>
      <c r="K21" s="97"/>
      <c r="L21" s="97"/>
      <c r="M21" s="97"/>
    </row>
    <row r="22">
      <c r="A22" s="32" t="s">
        <v>126</v>
      </c>
      <c r="B22" s="32"/>
      <c r="C22" s="32"/>
      <c r="D22" s="101"/>
      <c r="E22" s="101"/>
      <c r="F22" s="101"/>
      <c r="G22" s="101"/>
      <c r="H22" s="97"/>
      <c r="I22" s="97"/>
      <c r="J22" s="97"/>
      <c r="K22" s="97"/>
      <c r="L22" s="97"/>
      <c r="M22" s="97"/>
    </row>
    <row r="23">
      <c r="A23" s="32" t="s">
        <v>109</v>
      </c>
      <c r="B23" s="32"/>
      <c r="C23" s="32"/>
      <c r="D23" s="101"/>
      <c r="E23" s="101"/>
      <c r="F23" s="101"/>
      <c r="G23" s="101"/>
      <c r="H23" s="97"/>
      <c r="I23" s="97"/>
      <c r="J23" s="97"/>
      <c r="K23" s="97"/>
      <c r="L23" s="97"/>
      <c r="M23"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
    <cfRule type="expression" dxfId="3" priority="4" stopIfTrue="1">
      <formula>C3="IND"</formula>
    </cfRule>
  </conditionalFormatting>
  <conditionalFormatting sqref="F3">
    <cfRule type="expression" dxfId="3" priority="5" stopIfTrue="1">
      <formula>C3="HOU"</formula>
    </cfRule>
  </conditionalFormatting>
  <conditionalFormatting sqref="E4">
    <cfRule type="expression" dxfId="3" priority="6" stopIfTrue="1">
      <formula>C4="BAL"</formula>
    </cfRule>
  </conditionalFormatting>
  <conditionalFormatting sqref="F4">
    <cfRule type="expression" dxfId="3" priority="7" stopIfTrue="1">
      <formula>C4="CAR"</formula>
    </cfRule>
  </conditionalFormatting>
  <conditionalFormatting sqref="E5">
    <cfRule type="expression" dxfId="3" priority="8" stopIfTrue="1">
      <formula>C5="NO"</formula>
    </cfRule>
  </conditionalFormatting>
  <conditionalFormatting sqref="F5">
    <cfRule type="expression" dxfId="3" priority="9" stopIfTrue="1">
      <formula>C5="CHI"</formula>
    </cfRule>
  </conditionalFormatting>
  <conditionalFormatting sqref="E6">
    <cfRule type="expression" dxfId="3" priority="10" stopIfTrue="1">
      <formula>C6="TB"</formula>
    </cfRule>
  </conditionalFormatting>
  <conditionalFormatting sqref="F6">
    <cfRule type="expression" dxfId="3" priority="11" stopIfTrue="1">
      <formula>C6="DET"</formula>
    </cfRule>
  </conditionalFormatting>
  <conditionalFormatting sqref="E7">
    <cfRule type="expression" dxfId="3" priority="12" stopIfTrue="1">
      <formula>C7="MIA"</formula>
    </cfRule>
  </conditionalFormatting>
  <conditionalFormatting sqref="F7">
    <cfRule type="expression" dxfId="3" priority="13" stopIfTrue="1">
      <formula>C7="BUF"</formula>
    </cfRule>
  </conditionalFormatting>
  <conditionalFormatting sqref="E8">
    <cfRule type="expression" dxfId="3" priority="14" stopIfTrue="1">
      <formula>C8="JAX"</formula>
    </cfRule>
  </conditionalFormatting>
  <conditionalFormatting sqref="F8">
    <cfRule type="expression" dxfId="3" priority="15" stopIfTrue="1">
      <formula>C8="NYG"</formula>
    </cfRule>
  </conditionalFormatting>
  <conditionalFormatting sqref="E9">
    <cfRule type="expression" dxfId="3" priority="16" stopIfTrue="1">
      <formula>C9="TEN"</formula>
    </cfRule>
  </conditionalFormatting>
  <conditionalFormatting sqref="F9">
    <cfRule type="expression" dxfId="3" priority="17" stopIfTrue="1">
      <formula>C9="DAL"</formula>
    </cfRule>
  </conditionalFormatting>
  <conditionalFormatting sqref="E10">
    <cfRule type="expression" dxfId="3" priority="18" stopIfTrue="1">
      <formula>C10="AZ"</formula>
    </cfRule>
  </conditionalFormatting>
  <conditionalFormatting sqref="F10">
    <cfRule type="expression" dxfId="3" priority="19" stopIfTrue="1">
      <formula>C10="KC"</formula>
    </cfRule>
  </conditionalFormatting>
  <conditionalFormatting sqref="E11">
    <cfRule type="expression" dxfId="3" priority="20" stopIfTrue="1">
      <formula>C11="NYJ"</formula>
    </cfRule>
  </conditionalFormatting>
  <conditionalFormatting sqref="F11">
    <cfRule type="expression" dxfId="3" priority="21" stopIfTrue="1">
      <formula>C11="LAC"</formula>
    </cfRule>
  </conditionalFormatting>
  <conditionalFormatting sqref="E12">
    <cfRule type="expression" dxfId="3" priority="22" stopIfTrue="1">
      <formula>C12="PIT"</formula>
    </cfRule>
  </conditionalFormatting>
  <conditionalFormatting sqref="F12">
    <cfRule type="expression" dxfId="3" priority="23" stopIfTrue="1">
      <formula>C12="PHI"</formula>
    </cfRule>
  </conditionalFormatting>
  <conditionalFormatting sqref="E13">
    <cfRule type="expression" dxfId="3" priority="24" stopIfTrue="1">
      <formula>C13="LV"</formula>
    </cfRule>
  </conditionalFormatting>
  <conditionalFormatting sqref="F13">
    <cfRule type="expression" dxfId="3" priority="25" stopIfTrue="1">
      <formula>C13="DEN"</formula>
    </cfRule>
  </conditionalFormatting>
  <conditionalFormatting sqref="E14">
    <cfRule type="expression" dxfId="3" priority="26" stopIfTrue="1">
      <formula>C14="MIN"</formula>
    </cfRule>
  </conditionalFormatting>
  <conditionalFormatting sqref="F14">
    <cfRule type="expression" dxfId="3" priority="27" stopIfTrue="1">
      <formula>C14="SF"</formula>
    </cfRule>
  </conditionalFormatting>
  <conditionalFormatting sqref="E15">
    <cfRule type="expression" dxfId="3" priority="28" stopIfTrue="1">
      <formula>C15="CIN"</formula>
    </cfRule>
  </conditionalFormatting>
  <conditionalFormatting sqref="F15">
    <cfRule type="expression" dxfId="3" priority="29" stopIfTrue="1">
      <formula>C15="WSH"</formula>
    </cfRule>
  </conditionalFormatting>
  <dataValidations>
    <dataValidation type="list" allowBlank="1" showErrorMessage="1" sqref="C13">
      <formula1>"LV,DEN"</formula1>
    </dataValidation>
    <dataValidation type="list" allowBlank="1" showErrorMessage="1" sqref="C7">
      <formula1>"MIA,BUF"</formula1>
    </dataValidation>
    <dataValidation type="custom" allowBlank="1" showDropDown="1" showInputMessage="1" prompt="Enter a value that satisfies the formula: =IF(C8=&quot;TEN&quot;,E8&gt;F8,OR(F8&gt;E8,C8=&quot;&quot;))" sqref="E9">
      <formula1>IF(C9="TEN",E9&gt;F9,OR(F9&gt;E9,C9=""))</formula1>
    </dataValidation>
    <dataValidation type="list" allowBlank="1" showErrorMessage="1" sqref="C5">
      <formula1>"NO,CHI"</formula1>
    </dataValidation>
    <dataValidation type="custom" allowBlank="1" showDropDown="1" showInputMessage="1" prompt="Enter a value that satisfies the formula: =IF(C2=&quot;IND&quot;,E2&gt;F2,OR(F2&gt;E2,C2=&quot;&quot;))" sqref="E3">
      <formula1>IF(C3="IND",E3&gt;F3,OR(F3&gt;E3,C3=""))</formula1>
    </dataValidation>
    <dataValidation type="list" allowBlank="1" showErrorMessage="1" sqref="C4">
      <formula1>"BAL,CAR"</formula1>
    </dataValidation>
    <dataValidation type="custom" allowBlank="1" showDropDown="1" showInputMessage="1" prompt="Enter a value that satisfies the formula: =IF(C10=&quot;LAC&quot;,F10&gt;E10,OR(E10&gt;F10,C10=&quot;&quot;))" sqref="F11">
      <formula1>IF(C11="LAC",F11&gt;E11,OR(E11&gt;F11,C11=""))</formula1>
    </dataValidation>
    <dataValidation type="custom" allowBlank="1" showDropDown="1" showInputMessage="1" prompt="Enter a value that satisfies the formula: =IF(C3=&quot;CAR&quot;,F3&gt;E3,OR(E3&gt;F3,C3=&quot;&quot;))" sqref="F4">
      <formula1>IF(C4="CAR",F4&gt;E4,OR(E4&gt;F4,C4=""))</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5=&quot;TB&quot;,E5&gt;F5,OR(F5&gt;E5,C5=&quot;&quot;))" sqref="E6">
      <formula1>IF(C6="TB",E6&gt;F6,OR(F6&gt;E6,C6=""))</formula1>
    </dataValidation>
    <dataValidation type="custom" allowBlank="1" showDropDown="1" showInputMessage="1" prompt="Enter a value that satisfies the formula: =IF(C10=&quot;NYJ&quot;,E10&gt;F10,OR(F10&gt;E10,C10=&quot;&quot;))" sqref="E11">
      <formula1>IF(C11="NYJ",E11&gt;F11,OR(F11&gt;E11,C11=""))</formula1>
    </dataValidation>
    <dataValidation type="list" allowBlank="1" showErrorMessage="1" sqref="C14">
      <formula1>"MIN,SF"</formula1>
    </dataValidation>
    <dataValidation type="custom" allowBlank="1" showDropDown="1" showInputMessage="1" prompt="Enter a value that satisfies the formula: =IF(C14=&quot;WSH&quot;,F14&gt;E14,OR(E14&gt;F14,C14=&quot;&quot;))" sqref="F15">
      <formula1>IF(C15="WSH",F15&gt;E15,OR(E15&gt;F15,C15=""))</formula1>
    </dataValidation>
    <dataValidation type="custom" allowBlank="1" showDropDown="1" showInputMessage="1" prompt="Enter a value that satisfies the formula: =IF(C7=&quot;NYG&quot;,F7&gt;E7,OR(E7&gt;F7,C7=&quot;&quot;))" sqref="F8">
      <formula1>IF(C8="NYG",F8&gt;E8,OR(E8&gt;F8,C8=""))</formula1>
    </dataValidation>
    <dataValidation type="custom" allowBlank="1" showDropDown="1" showInputMessage="1" prompt="Enter a value that satisfies the formula: =IF(C2=&quot;HOU&quot;,F2&gt;E2,OR(E2&gt;F2,C2=&quot;&quot;))" sqref="F3">
      <formula1>IF(C3="HOU",F3&gt;E3,OR(E3&gt;F3,C3=""))</formula1>
    </dataValidation>
    <dataValidation type="custom" allowBlank="1" showDropDown="1" showInputMessage="1" prompt="Enter a value that satisfies the formula: =IF(C4=&quot;NO&quot;,E4&gt;F4,OR(F4&gt;E4,C4=&quot;&quot;))" sqref="E5">
      <formula1>IF(C5="NO",E5&gt;F5,OR(F5&gt;E5,C5=""))</formula1>
    </dataValidation>
    <dataValidation type="custom" allowBlank="1" showDropDown="1" showInputMessage="1" prompt="Enter a value that satisfies the formula: =IF(C6=&quot;BUF&quot;,F6&gt;E6,OR(E6&gt;F6,C6=&quot;&quot;))" sqref="F7">
      <formula1>IF(C7="BUF",F7&gt;E7,OR(E7&gt;F7,C7=""))</formula1>
    </dataValidation>
    <dataValidation type="custom" allowBlank="1" showDropDown="1" showInputMessage="1" prompt="Enter a value that satisfies the formula: =IF(C9=&quot;AZ&quot;,E9&gt;F9,OR(F9&gt;E9,C9=&quot;&quot;))" sqref="E10">
      <formula1>IF(C10="AZ",E10&gt;F10,OR(F10&gt;E10,C10=""))</formula1>
    </dataValidation>
    <dataValidation type="list" allowBlank="1" showErrorMessage="1" sqref="C12">
      <formula1>"PIT,PHI"</formula1>
    </dataValidation>
    <dataValidation type="list" allowBlank="1" showErrorMessage="1" sqref="C15">
      <formula1>"CIN,WSH"</formula1>
    </dataValidation>
    <dataValidation type="custom" allowBlank="1" showDropDown="1" showInputMessage="1" prompt="Enter a value that satisfies the formula: =IF(C4=&quot;CHI&quot;,F4&gt;E4,OR(E4&gt;F4,C4=&quot;&quot;))" sqref="F5">
      <formula1>IF(C5="CHI",F5&gt;E5,OR(E5&gt;F5,C5=""))</formula1>
    </dataValidation>
    <dataValidation type="list" allowBlank="1" showErrorMessage="1" sqref="C6">
      <formula1>"TB,DET"</formula1>
    </dataValidation>
    <dataValidation type="custom" allowBlank="1" showDropDown="1" showInputMessage="1" prompt="Enter a value that satisfies the formula: =IF(C9=&quot;KC&quot;,F9&gt;E9,OR(E9&gt;F9,C9=&quot;&quot;))" sqref="F10">
      <formula1>IF(C10="KC",F10&gt;E10,OR(E10&gt;F10,C10=""))</formula1>
    </dataValidation>
    <dataValidation type="custom" allowBlank="1" showDropDown="1" showInputMessage="1" prompt="Enter a value that satisfies the formula: =IF(C13=&quot;SF&quot;,F13&gt;E13,OR(E13&gt;F13,C13=&quot;&quot;))" sqref="F14">
      <formula1>IF(C14="SF",F14&gt;E14,OR(E14&gt;F14,C14=""))</formula1>
    </dataValidation>
    <dataValidation type="list" allowBlank="1" showErrorMessage="1" sqref="C10">
      <formula1>"AZ,KC"</formula1>
    </dataValidation>
    <dataValidation type="custom" allowBlank="1" showDropDown="1" showInputMessage="1" prompt="Enter a value that satisfies the formula: =IF(C12=&quot;DEN&quot;,F12&gt;E12,OR(E12&gt;F12,C12=&quot;&quot;))" sqref="F13">
      <formula1>IF(C13="DEN",F13&gt;E13,OR(E13&gt;F13,C13=""))</formula1>
    </dataValidation>
    <dataValidation type="list" allowBlank="1" showErrorMessage="1" sqref="C8">
      <formula1>"JAX,NYG"</formula1>
    </dataValidation>
    <dataValidation type="custom" allowBlank="1" showDropDown="1" showInputMessage="1" prompt="Enter a value that satisfies the formula: =IF(C13=&quot;MIN&quot;,E13&gt;F13,OR(F13&gt;E13,C13=&quot;&quot;))" sqref="E14">
      <formula1>IF(C14="MIN",E14&gt;F14,OR(F14&gt;E14,C14=""))</formula1>
    </dataValidation>
    <dataValidation type="custom" allowBlank="1" showDropDown="1" showInputMessage="1" prompt="Enter a value that satisfies the formula: =IF(C8=&quot;DAL&quot;,F8&gt;E8,OR(E8&gt;F8,C8=&quot;&quot;))" sqref="F9">
      <formula1>IF(C9="DAL",F9&gt;E9,OR(E9&gt;F9,C9=""))</formula1>
    </dataValidation>
    <dataValidation type="list" allowBlank="1" showErrorMessage="1" sqref="C11">
      <formula1>"NYJ,LAC"</formula1>
    </dataValidation>
    <dataValidation type="custom" allowBlank="1" showDropDown="1" showInputMessage="1" prompt="Enter a value that satisfies the formula: =IF(C6=&quot;MIA&quot;,E6&gt;F6,OR(F6&gt;E6,C6=&quot;&quot;))" sqref="E7">
      <formula1>IF(C7="MIA",E7&gt;F7,OR(F7&gt;E7,C7=""))</formula1>
    </dataValidation>
    <dataValidation type="custom" allowBlank="1" showDropDown="1" showInputMessage="1" prompt="Enter a value that satisfies the formula: =IF(C11=&quot;PIT&quot;,E11&gt;F11,OR(F11&gt;E11,C11=&quot;&quot;))" sqref="E12">
      <formula1>IF(C12="PIT",E12&gt;F12,OR(F12&gt;E12,C12=""))</formula1>
    </dataValidation>
    <dataValidation type="custom" allowBlank="1" showDropDown="1" showInputMessage="1" prompt="Enter a value that satisfies the formula: =IF(C11=&quot;PHI&quot;,F11&gt;E11,OR(E11&gt;F11,C11=&quot;&quot;))" sqref="F12">
      <formula1>IF(C12="PHI",F12&gt;E12,OR(E12&gt;F12,C12=""))</formula1>
    </dataValidation>
    <dataValidation type="list" allowBlank="1" showErrorMessage="1" sqref="C9">
      <formula1>"TEN,DAL"</formula1>
    </dataValidation>
    <dataValidation type="custom" allowBlank="1" showDropDown="1" showInputMessage="1" prompt="Enter a value that satisfies the formula: =IF(C12=&quot;LV&quot;,E12&gt;F12,OR(F12&gt;E12,C12=&quot;&quot;))" sqref="E13">
      <formula1>IF(C13="LV",E13&gt;F13,OR(F13&gt;E13,C13=""))</formula1>
    </dataValidation>
    <dataValidation type="custom" allowBlank="1" showDropDown="1" showInputMessage="1" prompt="Enter a value that satisfies the formula: =IF(C3=&quot;BAL&quot;,E3&gt;F3,OR(F3&gt;E3,C3=&quot;&quot;))" sqref="E4">
      <formula1>IF(C4="BAL",E4&gt;F4,OR(F4&gt;E4,C4=""))</formula1>
    </dataValidation>
    <dataValidation type="custom" allowBlank="1" showDropDown="1" showInputMessage="1" prompt="Enter a value that satisfies the formula: =IF(C14=&quot;CIN&quot;,E14&gt;F14,OR(F14&gt;E14,C14=&quot;&quot;))" sqref="E15">
      <formula1>IF(C15="CIN",E15&gt;F15,OR(F15&gt;E15,C15=""))</formula1>
    </dataValidation>
    <dataValidation type="list" allowBlank="1" showErrorMessage="1" sqref="C3">
      <formula1>"IND,HOU"</formula1>
    </dataValidation>
    <dataValidation type="custom" allowBlank="1" showDropDown="1" showInputMessage="1" prompt="Enter a value that satisfies the formula: =IF(C5=&quot;DET&quot;,F5&gt;E5,OR(E5&gt;F5,C5=&quot;&quot;))" sqref="F6">
      <formula1>IF(C6="DET",F6&gt;E6,OR(E6&gt;F6,C6=""))</formula1>
    </dataValidation>
    <dataValidation type="custom" allowBlank="1" showDropDown="1" showInputMessage="1" prompt="Enter a value that satisfies the formula: =IF(C7=&quot;JAX&quot;,E7&gt;F7,OR(F7&gt;E7,C7=&quot;&quot;))" sqref="E8">
      <formula1>IF(C8="JAX",E8&gt;F8,OR(F8&gt;E8,C8=""))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2" location="'Week 12'!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20.5"/>
    <col customWidth="1" min="3" max="3" width="16.75"/>
    <col customWidth="1" min="4" max="4" width="7.0"/>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392</v>
      </c>
      <c r="C2" s="30" t="s">
        <v>36</v>
      </c>
      <c r="D2" s="30"/>
      <c r="E2" s="29" t="s">
        <v>37</v>
      </c>
      <c r="F2" s="29" t="s">
        <v>38</v>
      </c>
      <c r="G2" s="29" t="s">
        <v>100</v>
      </c>
      <c r="H2" s="29" t="s">
        <v>101</v>
      </c>
      <c r="I2" s="29"/>
      <c r="J2" s="29" t="s">
        <v>102</v>
      </c>
      <c r="K2" s="29" t="s">
        <v>103</v>
      </c>
      <c r="L2" s="29" t="s">
        <v>104</v>
      </c>
      <c r="M2" s="29" t="s">
        <v>105</v>
      </c>
    </row>
    <row r="3">
      <c r="A3" s="32" t="s">
        <v>393</v>
      </c>
      <c r="B3" s="33" t="s">
        <v>394</v>
      </c>
      <c r="C3" s="33" t="s">
        <v>110</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14.0</v>
      </c>
      <c r="F3" s="33">
        <v>20.0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400</v>
      </c>
      <c r="B4" s="56" t="s">
        <v>401</v>
      </c>
      <c r="C4" s="33" t="s">
        <v>152</v>
      </c>
      <c r="D4" s="33" t="str">
        <f t="shared" si="1"/>
        <v/>
      </c>
      <c r="E4" s="33">
        <v>27.0</v>
      </c>
      <c r="F4" s="33">
        <v>24.0</v>
      </c>
      <c r="G4" s="33" t="b">
        <v>0</v>
      </c>
      <c r="H4" s="48" t="s">
        <v>119</v>
      </c>
      <c r="I4" s="33"/>
      <c r="J4" s="59"/>
      <c r="K4" s="60" t="s">
        <v>132</v>
      </c>
      <c r="L4" s="59"/>
      <c r="M4" s="60" t="s">
        <v>133</v>
      </c>
    </row>
    <row r="5">
      <c r="A5" s="32" t="s">
        <v>402</v>
      </c>
      <c r="B5" s="56" t="s">
        <v>403</v>
      </c>
      <c r="C5" s="33" t="s">
        <v>121</v>
      </c>
      <c r="D5" s="33" t="str">
        <f t="shared" si="1"/>
        <v/>
      </c>
      <c r="E5" s="33">
        <v>21.0</v>
      </c>
      <c r="F5" s="33">
        <v>17.0</v>
      </c>
      <c r="G5" s="33" t="b">
        <v>0</v>
      </c>
      <c r="H5" s="48" t="s">
        <v>130</v>
      </c>
      <c r="I5" s="33"/>
      <c r="J5" s="59"/>
      <c r="K5" s="60" t="s">
        <v>142</v>
      </c>
      <c r="L5" s="59"/>
      <c r="M5" s="60" t="s">
        <v>142</v>
      </c>
    </row>
    <row r="6">
      <c r="A6" s="32" t="s">
        <v>407</v>
      </c>
      <c r="B6" s="33" t="s">
        <v>408</v>
      </c>
      <c r="C6" s="33" t="s">
        <v>116</v>
      </c>
      <c r="D6" s="33" t="str">
        <f t="shared" si="1"/>
        <v/>
      </c>
      <c r="E6" s="33">
        <v>21.0</v>
      </c>
      <c r="F6" s="33">
        <v>28.0</v>
      </c>
      <c r="G6" s="33" t="b">
        <v>0</v>
      </c>
      <c r="H6" s="48" t="s">
        <v>141</v>
      </c>
      <c r="I6" s="33"/>
      <c r="J6" s="64"/>
      <c r="K6" s="65" t="s">
        <v>147</v>
      </c>
      <c r="L6" s="64"/>
      <c r="M6" s="65" t="s">
        <v>148</v>
      </c>
    </row>
    <row r="7">
      <c r="A7" s="32" t="s">
        <v>409</v>
      </c>
      <c r="B7" s="33" t="s">
        <v>410</v>
      </c>
      <c r="C7" s="33" t="s">
        <v>111</v>
      </c>
      <c r="D7" s="33" t="str">
        <f t="shared" si="1"/>
        <v/>
      </c>
      <c r="E7" s="33">
        <v>21.0</v>
      </c>
      <c r="F7" s="33">
        <v>17.0</v>
      </c>
      <c r="G7" s="33" t="b">
        <v>0</v>
      </c>
      <c r="H7" s="48" t="s">
        <v>145</v>
      </c>
      <c r="I7" s="33"/>
      <c r="J7" s="51"/>
      <c r="K7" s="52" t="s">
        <v>142</v>
      </c>
      <c r="L7" s="51"/>
      <c r="M7" s="52" t="s">
        <v>157</v>
      </c>
    </row>
    <row r="8">
      <c r="A8" s="32" t="s">
        <v>411</v>
      </c>
      <c r="B8" s="33" t="s">
        <v>412</v>
      </c>
      <c r="C8" s="33" t="s">
        <v>136</v>
      </c>
      <c r="D8" s="33" t="str">
        <f t="shared" si="1"/>
        <v/>
      </c>
      <c r="E8" s="33">
        <v>17.0</v>
      </c>
      <c r="F8" s="33">
        <v>21.0</v>
      </c>
      <c r="G8" s="33" t="b">
        <v>0</v>
      </c>
      <c r="H8" s="48" t="s">
        <v>156</v>
      </c>
      <c r="I8" s="33"/>
      <c r="J8" s="59"/>
      <c r="K8" s="60" t="s">
        <v>161</v>
      </c>
      <c r="L8" s="59"/>
      <c r="M8" s="60" t="s">
        <v>133</v>
      </c>
    </row>
    <row r="9">
      <c r="A9" s="32" t="s">
        <v>411</v>
      </c>
      <c r="B9" s="33" t="s">
        <v>413</v>
      </c>
      <c r="C9" s="33" t="s">
        <v>131</v>
      </c>
      <c r="D9" s="33" t="str">
        <f t="shared" si="1"/>
        <v/>
      </c>
      <c r="E9" s="33">
        <v>24.0</v>
      </c>
      <c r="F9" s="33">
        <v>21.0</v>
      </c>
      <c r="G9" s="33" t="b">
        <v>0</v>
      </c>
      <c r="H9" s="48" t="s">
        <v>159</v>
      </c>
      <c r="I9" s="33"/>
      <c r="J9" s="59"/>
      <c r="K9" s="60" t="s">
        <v>165</v>
      </c>
      <c r="L9" s="59"/>
      <c r="M9" s="60" t="s">
        <v>165</v>
      </c>
    </row>
    <row r="10">
      <c r="A10" s="32" t="s">
        <v>411</v>
      </c>
      <c r="B10" s="33" t="s">
        <v>416</v>
      </c>
      <c r="C10" s="33" t="s">
        <v>178</v>
      </c>
      <c r="D10" s="33" t="str">
        <f t="shared" si="1"/>
        <v/>
      </c>
      <c r="E10" s="33">
        <v>10.0</v>
      </c>
      <c r="F10" s="33">
        <v>14.0</v>
      </c>
      <c r="G10" s="33" t="b">
        <v>0</v>
      </c>
      <c r="H10" s="48" t="s">
        <v>164</v>
      </c>
      <c r="I10" s="33"/>
      <c r="J10" s="64"/>
      <c r="K10" s="65" t="s">
        <v>133</v>
      </c>
      <c r="L10" s="64"/>
      <c r="M10" s="65" t="s">
        <v>171</v>
      </c>
    </row>
    <row r="11">
      <c r="A11" s="32" t="s">
        <v>411</v>
      </c>
      <c r="B11" s="33" t="s">
        <v>417</v>
      </c>
      <c r="C11" s="33" t="s">
        <v>108</v>
      </c>
      <c r="D11" s="33" t="str">
        <f t="shared" si="1"/>
        <v/>
      </c>
      <c r="E11" s="33">
        <v>27.0</v>
      </c>
      <c r="F11" s="33">
        <v>24.0</v>
      </c>
      <c r="G11" s="33" t="b">
        <v>0</v>
      </c>
      <c r="H11" s="48" t="s">
        <v>170</v>
      </c>
      <c r="I11" s="33"/>
      <c r="J11" s="51"/>
      <c r="K11" s="52" t="s">
        <v>157</v>
      </c>
      <c r="L11" s="51"/>
      <c r="M11" s="52" t="s">
        <v>157</v>
      </c>
    </row>
    <row r="12">
      <c r="A12" s="32" t="s">
        <v>411</v>
      </c>
      <c r="B12" s="33" t="s">
        <v>419</v>
      </c>
      <c r="C12" s="33" t="s">
        <v>140</v>
      </c>
      <c r="D12" s="33" t="str">
        <f t="shared" si="1"/>
        <v/>
      </c>
      <c r="E12" s="33">
        <v>14.0</v>
      </c>
      <c r="F12" s="33">
        <v>10.0</v>
      </c>
      <c r="G12" s="33" t="b">
        <v>0</v>
      </c>
      <c r="H12" s="48" t="s">
        <v>175</v>
      </c>
      <c r="I12" s="33"/>
      <c r="J12" s="59"/>
      <c r="K12" s="60" t="s">
        <v>165</v>
      </c>
      <c r="L12" s="59"/>
      <c r="M12" s="60" t="s">
        <v>180</v>
      </c>
    </row>
    <row r="13">
      <c r="A13" s="32" t="s">
        <v>411</v>
      </c>
      <c r="B13" s="56" t="s">
        <v>425</v>
      </c>
      <c r="C13" s="33" t="s">
        <v>124</v>
      </c>
      <c r="D13" s="33" t="str">
        <f t="shared" si="1"/>
        <v/>
      </c>
      <c r="E13" s="33">
        <v>28.0</v>
      </c>
      <c r="F13" s="33">
        <v>21.0</v>
      </c>
      <c r="G13" s="33" t="b">
        <v>0</v>
      </c>
      <c r="H13" s="48" t="s">
        <v>179</v>
      </c>
      <c r="I13" s="33"/>
      <c r="J13" s="59"/>
      <c r="K13" s="60" t="s">
        <v>132</v>
      </c>
      <c r="L13" s="59"/>
      <c r="M13" s="60" t="s">
        <v>147</v>
      </c>
    </row>
    <row r="14">
      <c r="A14" s="32" t="s">
        <v>428</v>
      </c>
      <c r="B14" s="56" t="s">
        <v>429</v>
      </c>
      <c r="C14" s="33" t="s">
        <v>173</v>
      </c>
      <c r="D14" s="33" t="str">
        <f t="shared" si="1"/>
        <v/>
      </c>
      <c r="E14" s="33">
        <v>24.0</v>
      </c>
      <c r="F14" s="33">
        <v>27.0</v>
      </c>
      <c r="G14" s="33" t="b">
        <v>1</v>
      </c>
      <c r="H14" s="48" t="s">
        <v>191</v>
      </c>
      <c r="I14" s="33"/>
      <c r="J14" s="64"/>
      <c r="K14" s="65" t="s">
        <v>122</v>
      </c>
      <c r="L14" s="64"/>
      <c r="M14" s="65" t="s">
        <v>122</v>
      </c>
    </row>
    <row r="15">
      <c r="A15" s="32" t="s">
        <v>431</v>
      </c>
      <c r="B15" s="56" t="s">
        <v>432</v>
      </c>
      <c r="C15" s="33" t="s">
        <v>85</v>
      </c>
      <c r="D15" s="33" t="str">
        <f t="shared" si="1"/>
        <v/>
      </c>
      <c r="E15" s="33">
        <v>13.0</v>
      </c>
      <c r="F15" s="33">
        <v>20.0</v>
      </c>
      <c r="G15" s="33" t="b">
        <v>0</v>
      </c>
      <c r="H15" s="48" t="s">
        <v>194</v>
      </c>
      <c r="I15" s="33"/>
      <c r="J15" s="51"/>
      <c r="K15" s="52" t="s">
        <v>122</v>
      </c>
      <c r="L15" s="51"/>
      <c r="M15" s="52" t="s">
        <v>147</v>
      </c>
    </row>
    <row r="16">
      <c r="A16" s="32" t="s">
        <v>431</v>
      </c>
      <c r="B16" s="33" t="s">
        <v>435</v>
      </c>
      <c r="C16" s="33" t="s">
        <v>117</v>
      </c>
      <c r="D16" s="33" t="str">
        <f t="shared" si="1"/>
        <v/>
      </c>
      <c r="E16" s="33">
        <v>14.0</v>
      </c>
      <c r="F16" s="33">
        <v>20.0</v>
      </c>
      <c r="G16" s="33" t="b">
        <v>0</v>
      </c>
      <c r="H16" s="48" t="s">
        <v>198</v>
      </c>
      <c r="I16" s="33"/>
      <c r="J16" s="59"/>
      <c r="K16" s="60" t="s">
        <v>122</v>
      </c>
      <c r="L16" s="59"/>
      <c r="M16" s="60" t="s">
        <v>180</v>
      </c>
    </row>
    <row r="17">
      <c r="A17" s="32" t="s">
        <v>437</v>
      </c>
      <c r="B17" s="33" t="s">
        <v>438</v>
      </c>
      <c r="C17" s="33" t="s">
        <v>126</v>
      </c>
      <c r="D17" s="33" t="str">
        <f t="shared" si="1"/>
        <v/>
      </c>
      <c r="E17" s="33">
        <v>24.0</v>
      </c>
      <c r="F17" s="33">
        <v>21.0</v>
      </c>
      <c r="G17" s="33" t="b">
        <v>0</v>
      </c>
      <c r="H17" s="48" t="s">
        <v>202</v>
      </c>
      <c r="I17" s="33"/>
      <c r="J17" s="59"/>
      <c r="K17" s="60" t="s">
        <v>132</v>
      </c>
      <c r="L17" s="59"/>
      <c r="M17" s="60" t="s">
        <v>147</v>
      </c>
    </row>
    <row r="18">
      <c r="A18" s="32" t="s">
        <v>441</v>
      </c>
      <c r="B18" s="56" t="s">
        <v>442</v>
      </c>
      <c r="C18" s="33" t="s">
        <v>168</v>
      </c>
      <c r="D18" s="33" t="str">
        <f t="shared" si="1"/>
        <v/>
      </c>
      <c r="E18" s="33">
        <v>17.0</v>
      </c>
      <c r="F18" s="33">
        <v>21.0</v>
      </c>
      <c r="G18" s="33" t="b">
        <v>0</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C18="TB"</formula>
    </cfRule>
  </conditionalFormatting>
  <conditionalFormatting sqref="E18:E19">
    <cfRule type="expression" dxfId="3" priority="5" stopIfTrue="1">
      <formula>C18="CAR"</formula>
    </cfRule>
  </conditionalFormatting>
  <conditionalFormatting sqref="F17">
    <cfRule type="expression" dxfId="3" priority="6" stopIfTrue="1">
      <formula>C17="LAC"</formula>
    </cfRule>
  </conditionalFormatting>
  <conditionalFormatting sqref="E17">
    <cfRule type="expression" dxfId="3" priority="7" stopIfTrue="1">
      <formula>C17="NE"</formula>
    </cfRule>
  </conditionalFormatting>
  <conditionalFormatting sqref="F16">
    <cfRule type="expression" dxfId="3" priority="8" stopIfTrue="1">
      <formula>C16="AZ"</formula>
    </cfRule>
  </conditionalFormatting>
  <conditionalFormatting sqref="E16">
    <cfRule type="expression" dxfId="3" priority="9" stopIfTrue="1">
      <formula>C16="WSH"</formula>
    </cfRule>
  </conditionalFormatting>
  <conditionalFormatting sqref="F15">
    <cfRule type="expression" dxfId="3" priority="10" stopIfTrue="1">
      <formula>C15="SF"</formula>
    </cfRule>
  </conditionalFormatting>
  <conditionalFormatting sqref="E15">
    <cfRule type="expression" dxfId="3" priority="11" stopIfTrue="1">
      <formula>C15="SEA"</formula>
    </cfRule>
  </conditionalFormatting>
  <conditionalFormatting sqref="F14">
    <cfRule type="expression" dxfId="3" priority="12" stopIfTrue="1">
      <formula>C14="JAX"</formula>
    </cfRule>
  </conditionalFormatting>
  <conditionalFormatting sqref="E14">
    <cfRule type="expression" dxfId="3" priority="13" stopIfTrue="1">
      <formula>C14="TEN"</formula>
    </cfRule>
  </conditionalFormatting>
  <conditionalFormatting sqref="F13">
    <cfRule type="expression" dxfId="3" priority="14" stopIfTrue="1">
      <formula>C13="MIA"</formula>
    </cfRule>
  </conditionalFormatting>
  <conditionalFormatting sqref="E13">
    <cfRule type="expression" dxfId="3" priority="15" stopIfTrue="1">
      <formula>C13="NYJ"</formula>
    </cfRule>
  </conditionalFormatting>
  <conditionalFormatting sqref="F12">
    <cfRule type="expression" dxfId="3" priority="16" stopIfTrue="1">
      <formula>C12="MIN"</formula>
    </cfRule>
  </conditionalFormatting>
  <conditionalFormatting sqref="E12">
    <cfRule type="expression" dxfId="3" priority="17" stopIfTrue="1">
      <formula>C12="ATL"</formula>
    </cfRule>
  </conditionalFormatting>
  <conditionalFormatting sqref="F11">
    <cfRule type="expression" dxfId="3" priority="18" stopIfTrue="1">
      <formula>C11="CLE"</formula>
    </cfRule>
  </conditionalFormatting>
  <conditionalFormatting sqref="E11">
    <cfRule type="expression" dxfId="3" priority="19" stopIfTrue="1">
      <formula>C11="LV"</formula>
    </cfRule>
  </conditionalFormatting>
  <conditionalFormatting sqref="F10">
    <cfRule type="expression" dxfId="3" priority="20" stopIfTrue="1">
      <formula>C10="IND"</formula>
    </cfRule>
  </conditionalFormatting>
  <conditionalFormatting sqref="E10">
    <cfRule type="expression" dxfId="3" priority="21" stopIfTrue="1">
      <formula>C10="NYG"</formula>
    </cfRule>
  </conditionalFormatting>
  <conditionalFormatting sqref="F9">
    <cfRule type="expression" dxfId="3" priority="22" stopIfTrue="1">
      <formula>C9="HOU"</formula>
    </cfRule>
  </conditionalFormatting>
  <conditionalFormatting sqref="E9">
    <cfRule type="expression" dxfId="3" priority="23" stopIfTrue="1">
      <formula>C9="BAL"</formula>
    </cfRule>
  </conditionalFormatting>
  <conditionalFormatting sqref="F8">
    <cfRule type="expression" dxfId="3" priority="24" stopIfTrue="1">
      <formula>C8="CIN"</formula>
    </cfRule>
  </conditionalFormatting>
  <conditionalFormatting sqref="E8">
    <cfRule type="expression" dxfId="3" priority="25" stopIfTrue="1">
      <formula>C8="NO"</formula>
    </cfRule>
  </conditionalFormatting>
  <conditionalFormatting sqref="F7">
    <cfRule type="expression" dxfId="3" priority="26" stopIfTrue="1">
      <formula>C7="PIT"</formula>
    </cfRule>
  </conditionalFormatting>
  <conditionalFormatting sqref="E7">
    <cfRule type="expression" dxfId="3" priority="27" stopIfTrue="1">
      <formula>C7="DEN"</formula>
    </cfRule>
  </conditionalFormatting>
  <conditionalFormatting sqref="F6">
    <cfRule type="expression" dxfId="3" priority="28" stopIfTrue="1">
      <formula>C6="BUF"</formula>
    </cfRule>
  </conditionalFormatting>
  <conditionalFormatting sqref="E6">
    <cfRule type="expression" dxfId="3" priority="29" stopIfTrue="1">
      <formula>C6="KC"</formula>
    </cfRule>
  </conditionalFormatting>
  <conditionalFormatting sqref="F5">
    <cfRule type="expression" dxfId="3" priority="30" stopIfTrue="1">
      <formula>C5="DAL"</formula>
    </cfRule>
  </conditionalFormatting>
  <conditionalFormatting sqref="E5">
    <cfRule type="expression" dxfId="3" priority="31" stopIfTrue="1">
      <formula>C5="PHI"</formula>
    </cfRule>
  </conditionalFormatting>
  <conditionalFormatting sqref="F4">
    <cfRule type="expression" dxfId="3" priority="32" stopIfTrue="1">
      <formula>C4="DET"</formula>
    </cfRule>
  </conditionalFormatting>
  <conditionalFormatting sqref="E4">
    <cfRule type="expression" dxfId="3" priority="33" stopIfTrue="1">
      <formula>C4="CHI"</formula>
    </cfRule>
  </conditionalFormatting>
  <conditionalFormatting sqref="F3">
    <cfRule type="expression" dxfId="3" priority="34" stopIfTrue="1">
      <formula>C3="LAR"</formula>
    </cfRule>
  </conditionalFormatting>
  <conditionalFormatting sqref="E3">
    <cfRule type="expression" dxfId="3" priority="35" stopIfTrue="1">
      <formula>C3="GB"</formula>
    </cfRule>
  </conditionalFormatting>
  <dataValidations>
    <dataValidation type="list" allowBlank="1" showErrorMessage="1" sqref="C4">
      <formula1>"CHI,DET"</formula1>
    </dataValidation>
    <dataValidation type="custom" allowBlank="1" showDropDown="1" showInputMessage="1" prompt="Enter a value that satisfies the formula: =if(C4=&quot;PHI&quot;,E4&gt;F4,or(F4&gt;E4,C4=&quot;&quot;))" sqref="E5">
      <formula1>if(C5="PHI",E5&gt;F5,or(F5&gt;E5,C5=""))</formula1>
    </dataValidation>
    <dataValidation type="list" allowBlank="1" showErrorMessage="1" sqref="C9">
      <formula1>"BAL,HOU"</formula1>
    </dataValidation>
    <dataValidation type="list" allowBlank="1" showErrorMessage="1" sqref="C8">
      <formula1>"NO,CIN"</formula1>
    </dataValidation>
    <dataValidation type="custom" allowBlank="1" showDropDown="1" showInputMessage="1" prompt="Enter a value that satisfies the formula: =if(C7=&quot;NO&quot;,E7&gt;F7,or(F7&gt;E7,C7=&quot;&quot;))" sqref="E8">
      <formula1>if(C8="NO",E8&gt;F8,or(F8&gt;E8,C8=""))</formula1>
    </dataValidation>
    <dataValidation type="custom" allowBlank="1" showDropDown="1" showInputMessage="1" prompt="Enter a value that satisfies the formula: =if(C10=&quot;CLE&quot;,F10&gt;E10,or(E10&gt;F10,C10=&quot;&quot;))" sqref="F11">
      <formula1>if(C11="CLE",F11&gt;E11,or(E11&gt;F11,C11=""))</formula1>
    </dataValidation>
    <dataValidation type="custom" allowBlank="1" showDropDown="1" showInputMessage="1" prompt="Enter a value that satisfies the formula: =if(C11=&quot;ATL&quot;,E11&gt;F11,or(F11&gt;E11,C11=&quot;&quot;))" sqref="E12">
      <formula1>if(C12="ATL",E12&gt;F12,or(F12&gt;E12,C12=""))</formula1>
    </dataValidation>
    <dataValidation type="custom" allowBlank="1" showDropDown="1" showInputMessage="1" prompt="Enter a value that satisfies the formula: =if(C14=&quot;SEA&quot;,E14&gt;F14,or(F14&gt;E14,C14=&quot;&quot;))" sqref="E15">
      <formula1>if(C15="SEA",E15&gt;F15,or(F15&gt;E15,C15=""))</formula1>
    </dataValidation>
    <dataValidation type="custom" allowBlank="1" showDropDown="1" showInputMessage="1" prompt="Enter a value that satisfies the formula: =if(C9=&quot;NYG&quot;,E9&gt;F9,or(F9&gt;E9,C9=&quot;&quot;))" sqref="E10">
      <formula1>if(C10="NYG",E10&gt;F10,or(F10&gt;E10,C10=""))</formula1>
    </dataValidation>
    <dataValidation type="list" allowBlank="1" showErrorMessage="1" sqref="C15">
      <formula1>"SEA,SF"</formula1>
    </dataValidation>
    <dataValidation type="list" allowBlank="1" showErrorMessage="1" sqref="C7">
      <formula1>"DEN,PIT"</formula1>
    </dataValidation>
    <dataValidation type="custom" allowBlank="1" showDropDown="1" showInputMessage="1" prompt="Enter a value that satisfies the formula: =if(C16=&quot;LAC&quot;,F16&gt;E16,or(E16&gt;F16,C16=&quot;&quot;))" sqref="F17">
      <formula1>if(C17="LAC",F17&gt;E17,or(E17&gt;F17,C17=""))</formula1>
    </dataValidation>
    <dataValidation type="list" allowBlank="1" showErrorMessage="1" sqref="C3">
      <formula1>"GB,LAR"</formula1>
    </dataValidation>
    <dataValidation type="custom" allowBlank="1" showDropDown="1" showInputMessage="1" prompt="Enter a value that satisfies the formula: =if(C13=&quot;JAX&quot;,F13&gt;E13,or(E13&gt;F13,C13=&quot;&quot;))" sqref="F14">
      <formula1>if(C14="JAX",F14&gt;E14,or(E14&gt;F14,C14=""))</formula1>
    </dataValidation>
    <dataValidation type="custom" allowBlank="1" showDropDown="1" showInputMessage="1" prompt="Enter a value that satisfies the formula: =if(C16=&quot;NE&quot;,E16&gt;F16,or(F16&gt;E16,C16=&quot;&quot;))" sqref="E17">
      <formula1>if(C17="NE",E17&gt;F17,or(F17&gt;E17,C17=""))</formula1>
    </dataValidation>
    <dataValidation type="custom" allowBlank="1" showDropDown="1" showInputMessage="1" prompt="Enter a value that satisfies the formula: =if(C9=&quot;IND&quot;,F9&gt;E9,or(E9&gt;F9,C9=&quot;&quot;))" sqref="F10">
      <formula1>if(C10="IND",F10&gt;E10,or(E10&gt;F10,C10=""))</formula1>
    </dataValidation>
    <dataValidation type="list" allowBlank="1" showErrorMessage="1" sqref="C12">
      <formula1>"ATL,MIN"</formula1>
    </dataValidation>
    <dataValidation type="list" allowBlank="1" showErrorMessage="1" sqref="C10">
      <formula1>"NYG,IND"</formula1>
    </dataValidation>
    <dataValidation type="custom" allowBlank="1" showDropDown="1" showInputMessage="1" prompt="Enter a value that satisfies the formula: =if(C15=&quot;WSH&quot;,E15&gt;F15,or(F15&gt;E15,C15=&quot;&quot;))" sqref="E16">
      <formula1>if(C16="WSH",E16&gt;F16,or(F16&gt;E16,C16=""))</formula1>
    </dataValidation>
    <dataValidation type="custom" allowBlank="1" showDropDown="1" showInputMessage="1" prompt="Enter a value that satisfies the formula: =if(C8=&quot;BAL&quot;,E8&gt;F8,or(F8&gt;E8,C8=&quot;&quot;))" sqref="E9">
      <formula1>if(C9="BAL",E9&gt;F9,or(F9&gt;E9,C9=""))</formula1>
    </dataValidation>
    <dataValidation type="custom" allowBlank="1" showDropDown="1" showInputMessage="1" prompt="Enter a value that satisfies the formula: =if(C3=&quot;CHI&quot;,E3&gt;F3,or(F3&gt;E3,C3=&quot;&quot;))" sqref="E4">
      <formula1>if(C4="CHI",E4&gt;F4,or(F4&gt;E4,C4=""))</formula1>
    </dataValidation>
    <dataValidation type="custom" allowBlank="1" showDropDown="1" showInputMessage="1" prompt="Enter a value that satisfies the formula: =if(C5=&quot;BUF&quot;,F5&gt;E5,or(E5&gt;F5,C5=&quot;&quot;))" sqref="F6">
      <formula1>if(C6="BUF",F6&gt;E6,or(E6&gt;F6,C6=""))</formula1>
    </dataValidation>
    <dataValidation type="list" allowBlank="1" showErrorMessage="1" sqref="C17">
      <formula1>"NE,LAC"</formula1>
    </dataValidation>
    <dataValidation type="custom" allowBlank="1" showDropDown="1" showInputMessage="1" prompt="Enter a value that satisfies the formula: =if(C7=&quot;CIN&quot;,F7&gt;E7,or(E7&gt;F7,C7=&quot;&quot;))" sqref="F8">
      <formula1>if(C8="CIN",F8&gt;E8,or(E8&gt;F8,C8=""))</formula1>
    </dataValidation>
    <dataValidation type="custom" allowBlank="1" showDropDown="1" showInputMessage="1" prompt="Enter a value that satisfies the formula: =if(C12=&quot;MIA&quot;,F12&gt;E12,or(E12&gt;F12,C12=&quot;&quot;))" sqref="F13">
      <formula1>if(C13="MIA",F13&gt;E13,or(E13&gt;F13,C13=""))</formula1>
    </dataValidation>
    <dataValidation type="custom" allowBlank="1" showDropDown="1" showInputMessage="1" prompt="Enter a value that satisfies the formula: =if(C2=&quot;GB&quot;,E2&gt;F2,or(F2&gt;E2,C2=&quot;&quot;))" sqref="E3">
      <formula1>if(C3="GB",E3&gt;F3,or(F3&gt;E3,C3=""))</formula1>
    </dataValidation>
    <dataValidation type="list" allowBlank="1" showErrorMessage="1" sqref="C11">
      <formula1>"LV,CLE"</formula1>
    </dataValidation>
    <dataValidation type="list" allowBlank="1" showErrorMessage="1" sqref="C5">
      <formula1>"PHI,DAL"</formula1>
    </dataValidation>
    <dataValidation type="custom" allowBlank="1" showDropDown="1" showInputMessage="1" prompt="Enter a value that satisfies the formula: =if(C8=&quot;HOU&quot;,F8&gt;E8,or(E8&gt;F8,C8=&quot;&quot;))" sqref="F9">
      <formula1>if(C9="HOU",F9&gt;E9,or(E9&gt;F9,C9=""))</formula1>
    </dataValidation>
    <dataValidation type="list" allowBlank="1" showErrorMessage="1" sqref="C16">
      <formula1>"WSH,AZ"</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11=&quot;MIN&quot;,F11&gt;E11,or(E11&gt;F11,C11=&quot;&quot;))" sqref="F12">
      <formula1>if(C12="MIN",F12&gt;E12,or(E12&gt;F12,C12=""))</formula1>
    </dataValidation>
    <dataValidation type="custom" allowBlank="1" showDropDown="1" showInputMessage="1" prompt="Enter a value that satisfies the formula: =if(C15=&quot;AZ&quot;,F15&gt;E15,or(E15&gt;F15,C15=&quot;&quot;))" sqref="F16">
      <formula1>if(C16="AZ",F16&gt;E16,or(E16&gt;F16,C16=""))</formula1>
    </dataValidation>
    <dataValidation type="custom" allowBlank="1" showDropDown="1" showInputMessage="1" prompt="Enter a value that satisfies the formula: =if(C2=&quot;LAR&quot;,F2&gt;E2,or(E2&gt;F2,C2=&quot;&quot;))" sqref="F3">
      <formula1>if(C3="LAR",F3&gt;E3,or(E3&gt;F3,C3=""))</formula1>
    </dataValidation>
    <dataValidation type="custom" allowBlank="1" showDropDown="1" showInputMessage="1" prompt="Enter a value that satisfies the formula: =if(C6=&quot;DEN&quot;,E6&gt;F6,or(F6&gt;E6,C6=&quot;&quot;))" sqref="E7">
      <formula1>if(C7="DEN",E7&gt;F7,or(F7&gt;E7,C7=""))</formula1>
    </dataValidation>
    <dataValidation type="custom" allowBlank="1" showDropDown="1" showInputMessage="1" prompt="Enter a value that satisfies the formula: =if(C3=&quot;DET&quot;,F3&gt;E3,or(E3&gt;F3,C3=&quot;&quot;))" sqref="F4">
      <formula1>if(C4="DET",F4&gt;E4,or(E4&gt;F4,C4=""))</formula1>
    </dataValidation>
    <dataValidation type="custom" allowBlank="1" showDropDown="1" showInputMessage="1" prompt="Enter a value that satisfies the formula: =if(C10=&quot;LV&quot;,E10&gt;F10,or(F10&gt;E10,C10=&quot;&quot;))" sqref="E11">
      <formula1>if(C11="LV",E11&gt;F11,or(F11&gt;E11,C11=""))</formula1>
    </dataValidation>
    <dataValidation type="custom" allowBlank="1" showDropDown="1" showInputMessage="1" prompt="Enter a value that satisfies the formula: =if(C12=&quot;NYJ&quot;,E12&gt;F12,or(F12&gt;E12,C12=&quot;&quot;))" sqref="E13">
      <formula1>if(C13="NYJ",E13&gt;F13,or(F13&gt;E13,C13=""))</formula1>
    </dataValidation>
    <dataValidation type="list" allowBlank="1" showErrorMessage="1" sqref="C14">
      <formula1>"TEN,JAX"</formula1>
    </dataValidation>
    <dataValidation type="list" allowBlank="1" showErrorMessage="1" sqref="C13">
      <formula1>"NYJ,MIA"</formula1>
    </dataValidation>
    <dataValidation type="custom" allowBlank="1" showDropDown="1" showInputMessage="1" prompt="Enter a value that satisfies the formula: =if(C6=&quot;PIT&quot;,F6&gt;E6,or(E6&gt;F6,C6=&quot;&quot;))" sqref="F7">
      <formula1>if(C7="PIT",F7&gt;E7,or(E7&gt;F7,C7=""))</formula1>
    </dataValidation>
    <dataValidation type="custom" allowBlank="1" showDropDown="1" showInputMessage="1" prompt="Enter a value that satisfies the formula: =if(C4=&quot;DAL&quot;,F4&gt;E4,or(E4&gt;F4,C4=&quot;&quot;))" sqref="F5">
      <formula1>if(C5="DAL",F5&gt;E5,or(E5&gt;F5,C5=""))</formula1>
    </dataValidation>
    <dataValidation type="list" allowBlank="1" showErrorMessage="1" sqref="C6">
      <formula1>"KC,BUF"</formula1>
    </dataValidation>
    <dataValidation type="custom" allowBlank="1" showDropDown="1" showInputMessage="1" prompt="Enter a value that satisfies the formula: =if(C14=&quot;SF&quot;,F14&gt;E14,or(E14&gt;F14,C14=&quot;&quot;))" sqref="F15">
      <formula1>if(C15="SF",F15&gt;E15,or(E15&gt;F15,C15=""))</formula1>
    </dataValidation>
    <dataValidation type="list" allowBlank="1" showErrorMessage="1" sqref="C18">
      <formula1>"CAR,TB"</formula1>
    </dataValidation>
    <dataValidation type="custom" allowBlank="1" showDropDown="1" showInputMessage="1" prompt="Enter a value that satisfies the formula: =if(C17=&quot;TB&quot;,F17&gt;E17,or(E17&gt;F17,C17=&quot;&quot;))" sqref="F18:F19">
      <formula1>if(C18="TB",F18&gt;E18,or(E18&gt;F18,C18=""))</formula1>
    </dataValidation>
    <dataValidation type="custom" allowBlank="1" showDropDown="1" showInputMessage="1" prompt="Enter a value that satisfies the formula: =if(C17=&quot;CAR&quot;,E17&gt;F17,or(F17&gt;E17,C17=&quot;&quot;))" sqref="E18:E19">
      <formula1>if(C18="CAR",E18&gt;F18,or(F18&gt;E18,C18=""))</formula1>
    </dataValidation>
    <dataValidation type="custom" allowBlank="1" showDropDown="1" showInputMessage="1" prompt="Enter a value that satisfies the formula: =if(C13=&quot;TEN&quot;,E13&gt;F13,or(F13&gt;E13,C13=&quot;&quot;))" sqref="E14">
      <formula1>if(C14="TEN",E14&gt;F14,or(F14&gt;E14,C14=""))</formula1>
    </dataValidation>
    <dataValidation type="custom" allowBlank="1" showDropDown="1" showInputMessage="1" prompt="Enter a value that satisfies the formula: =if(C5=&quot;KC&quot;,E5&gt;F5,or(F5&gt;E5,C5=&quot;&quot;))" sqref="E6">
      <formula1>if(C6="KC",E6&gt;F6,or(F6&gt;E6,C6=""))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3" location="'Week 13'!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5.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"&amp;COUNTA(C3:C30)&amp;" / "&amp;COUNTA(B3:B30)</f>
        <v>Picks: 14 / 14</v>
      </c>
      <c r="G1" s="23" t="s">
        <v>60</v>
      </c>
      <c r="H1" s="23" t="s">
        <v>82</v>
      </c>
      <c r="I1" s="23" t="s">
        <v>84</v>
      </c>
      <c r="J1" s="28"/>
      <c r="K1" s="28"/>
      <c r="L1" s="28"/>
      <c r="M1" s="28"/>
    </row>
    <row r="2">
      <c r="A2" s="29" t="s">
        <v>98</v>
      </c>
      <c r="B2" s="29" t="s">
        <v>404</v>
      </c>
      <c r="C2" s="30" t="s">
        <v>36</v>
      </c>
      <c r="D2" s="30"/>
      <c r="E2" s="29" t="s">
        <v>37</v>
      </c>
      <c r="F2" s="29" t="s">
        <v>38</v>
      </c>
      <c r="G2" s="29" t="s">
        <v>100</v>
      </c>
      <c r="H2" s="29" t="s">
        <v>101</v>
      </c>
      <c r="I2" s="29"/>
      <c r="J2" s="29" t="s">
        <v>102</v>
      </c>
      <c r="K2" s="29" t="s">
        <v>103</v>
      </c>
      <c r="L2" s="29" t="s">
        <v>104</v>
      </c>
      <c r="M2" s="29" t="s">
        <v>105</v>
      </c>
    </row>
    <row r="3">
      <c r="A3" s="32" t="s">
        <v>405</v>
      </c>
      <c r="B3" s="33" t="s">
        <v>406</v>
      </c>
      <c r="C3" s="33" t="s">
        <v>110</v>
      </c>
      <c r="D3" s="33" t="str">
        <f t="shared" ref="D3:D16"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10.0</v>
      </c>
      <c r="F3" s="33">
        <v>14.0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420</v>
      </c>
      <c r="B4" s="33" t="s">
        <v>421</v>
      </c>
      <c r="C4" s="33" t="s">
        <v>138</v>
      </c>
      <c r="D4" s="33" t="str">
        <f t="shared" si="1"/>
        <v/>
      </c>
      <c r="E4" s="33">
        <v>17.0</v>
      </c>
      <c r="F4" s="33">
        <v>14.0</v>
      </c>
      <c r="G4" s="33" t="b">
        <v>0</v>
      </c>
      <c r="H4" s="48" t="s">
        <v>119</v>
      </c>
      <c r="I4" s="33"/>
      <c r="J4" s="59"/>
      <c r="K4" s="60" t="s">
        <v>132</v>
      </c>
      <c r="L4" s="59"/>
      <c r="M4" s="60" t="s">
        <v>133</v>
      </c>
    </row>
    <row r="5">
      <c r="A5" s="32" t="s">
        <v>420</v>
      </c>
      <c r="B5" s="33" t="s">
        <v>426</v>
      </c>
      <c r="C5" s="33" t="s">
        <v>173</v>
      </c>
      <c r="D5" s="33" t="str">
        <f t="shared" si="1"/>
        <v/>
      </c>
      <c r="E5" s="33">
        <v>24.0</v>
      </c>
      <c r="F5" s="33">
        <v>21.0</v>
      </c>
      <c r="G5" s="33" t="b">
        <v>0</v>
      </c>
      <c r="H5" s="48" t="s">
        <v>130</v>
      </c>
      <c r="I5" s="33"/>
      <c r="J5" s="59"/>
      <c r="K5" s="60" t="s">
        <v>142</v>
      </c>
      <c r="L5" s="59"/>
      <c r="M5" s="60" t="s">
        <v>142</v>
      </c>
    </row>
    <row r="6">
      <c r="A6" s="32" t="s">
        <v>420</v>
      </c>
      <c r="B6" s="56" t="s">
        <v>430</v>
      </c>
      <c r="C6" s="33" t="s">
        <v>136</v>
      </c>
      <c r="D6" s="33" t="str">
        <f t="shared" si="1"/>
        <v/>
      </c>
      <c r="E6" s="33">
        <v>20.0</v>
      </c>
      <c r="F6" s="33">
        <v>17.0</v>
      </c>
      <c r="G6" s="33" t="b">
        <v>0</v>
      </c>
      <c r="H6" s="48" t="s">
        <v>141</v>
      </c>
      <c r="I6" s="33"/>
      <c r="J6" s="64"/>
      <c r="K6" s="65" t="s">
        <v>147</v>
      </c>
      <c r="L6" s="64"/>
      <c r="M6" s="65" t="s">
        <v>148</v>
      </c>
    </row>
    <row r="7">
      <c r="A7" s="32" t="s">
        <v>420</v>
      </c>
      <c r="B7" s="33" t="s">
        <v>434</v>
      </c>
      <c r="C7" s="33" t="s">
        <v>146</v>
      </c>
      <c r="D7" s="33" t="str">
        <f t="shared" si="1"/>
        <v/>
      </c>
      <c r="E7" s="33">
        <v>20.0</v>
      </c>
      <c r="F7" s="33">
        <v>14.0</v>
      </c>
      <c r="G7" s="33" t="b">
        <v>0</v>
      </c>
      <c r="H7" s="48" t="s">
        <v>145</v>
      </c>
      <c r="I7" s="33"/>
      <c r="J7" s="51"/>
      <c r="K7" s="52" t="s">
        <v>142</v>
      </c>
      <c r="L7" s="51"/>
      <c r="M7" s="52" t="s">
        <v>157</v>
      </c>
    </row>
    <row r="8">
      <c r="A8" s="32" t="s">
        <v>420</v>
      </c>
      <c r="B8" s="33" t="s">
        <v>436</v>
      </c>
      <c r="C8" s="33" t="s">
        <v>85</v>
      </c>
      <c r="D8" s="33" t="str">
        <f t="shared" si="1"/>
        <v/>
      </c>
      <c r="E8" s="33">
        <v>24.0</v>
      </c>
      <c r="F8" s="33">
        <v>21.0</v>
      </c>
      <c r="G8" s="33" t="b">
        <v>0</v>
      </c>
      <c r="H8" s="48" t="s">
        <v>156</v>
      </c>
      <c r="I8" s="33"/>
      <c r="J8" s="59"/>
      <c r="K8" s="60" t="s">
        <v>161</v>
      </c>
      <c r="L8" s="59"/>
      <c r="M8" s="60" t="s">
        <v>133</v>
      </c>
    </row>
    <row r="9">
      <c r="A9" s="32" t="s">
        <v>420</v>
      </c>
      <c r="B9" s="33" t="s">
        <v>440</v>
      </c>
      <c r="C9" s="33" t="s">
        <v>168</v>
      </c>
      <c r="D9" s="33" t="str">
        <f t="shared" si="1"/>
        <v/>
      </c>
      <c r="E9" s="33">
        <v>21.0</v>
      </c>
      <c r="F9" s="33">
        <v>24.0</v>
      </c>
      <c r="G9" s="33" t="b">
        <v>0</v>
      </c>
      <c r="H9" s="48" t="s">
        <v>159</v>
      </c>
      <c r="I9" s="33"/>
      <c r="J9" s="59"/>
      <c r="K9" s="60" t="s">
        <v>165</v>
      </c>
      <c r="L9" s="59"/>
      <c r="M9" s="60" t="s">
        <v>165</v>
      </c>
    </row>
    <row r="10">
      <c r="A10" s="32" t="s">
        <v>420</v>
      </c>
      <c r="B10" s="33" t="s">
        <v>443</v>
      </c>
      <c r="C10" s="33" t="s">
        <v>151</v>
      </c>
      <c r="D10" s="33" t="str">
        <f t="shared" si="1"/>
        <v/>
      </c>
      <c r="E10" s="33">
        <v>21.0</v>
      </c>
      <c r="F10" s="33">
        <v>24.0</v>
      </c>
      <c r="G10" s="33" t="b">
        <v>0</v>
      </c>
      <c r="H10" s="48" t="s">
        <v>164</v>
      </c>
      <c r="I10" s="33"/>
      <c r="J10" s="64"/>
      <c r="K10" s="65" t="s">
        <v>133</v>
      </c>
      <c r="L10" s="64"/>
      <c r="M10" s="65" t="s">
        <v>171</v>
      </c>
    </row>
    <row r="11">
      <c r="A11" s="32" t="s">
        <v>445</v>
      </c>
      <c r="B11" s="33" t="s">
        <v>446</v>
      </c>
      <c r="C11" s="33" t="s">
        <v>121</v>
      </c>
      <c r="D11" s="33" t="str">
        <f t="shared" si="1"/>
        <v/>
      </c>
      <c r="E11" s="33">
        <v>21.0</v>
      </c>
      <c r="F11" s="33">
        <v>17.0</v>
      </c>
      <c r="G11" s="33" t="b">
        <v>0</v>
      </c>
      <c r="H11" s="48" t="s">
        <v>170</v>
      </c>
      <c r="I11" s="33"/>
      <c r="J11" s="51"/>
      <c r="K11" s="52" t="s">
        <v>157</v>
      </c>
      <c r="L11" s="51"/>
      <c r="M11" s="52" t="s">
        <v>157</v>
      </c>
    </row>
    <row r="12">
      <c r="A12" s="32" t="s">
        <v>445</v>
      </c>
      <c r="B12" s="33" t="s">
        <v>448</v>
      </c>
      <c r="C12" s="33" t="s">
        <v>111</v>
      </c>
      <c r="D12" s="33" t="str">
        <f t="shared" si="1"/>
        <v/>
      </c>
      <c r="E12" s="33">
        <v>24.0</v>
      </c>
      <c r="F12" s="33">
        <v>31.0</v>
      </c>
      <c r="G12" s="33" t="b">
        <v>1</v>
      </c>
      <c r="H12" s="48" t="s">
        <v>175</v>
      </c>
      <c r="I12" s="33"/>
      <c r="J12" s="59"/>
      <c r="K12" s="60" t="s">
        <v>165</v>
      </c>
      <c r="L12" s="59"/>
      <c r="M12" s="60" t="s">
        <v>180</v>
      </c>
    </row>
    <row r="13">
      <c r="A13" s="32" t="s">
        <v>451</v>
      </c>
      <c r="B13" s="33" t="s">
        <v>452</v>
      </c>
      <c r="C13" s="33" t="s">
        <v>154</v>
      </c>
      <c r="D13" s="33" t="str">
        <f t="shared" si="1"/>
        <v/>
      </c>
      <c r="E13" s="33">
        <v>17.0</v>
      </c>
      <c r="F13" s="33">
        <v>20.0</v>
      </c>
      <c r="G13" s="33" t="b">
        <v>0</v>
      </c>
      <c r="H13" s="48" t="s">
        <v>179</v>
      </c>
      <c r="I13" s="33"/>
      <c r="J13" s="59"/>
      <c r="K13" s="60" t="s">
        <v>132</v>
      </c>
      <c r="L13" s="59"/>
      <c r="M13" s="60" t="s">
        <v>147</v>
      </c>
    </row>
    <row r="14">
      <c r="A14" s="32" t="s">
        <v>451</v>
      </c>
      <c r="B14" s="56" t="s">
        <v>455</v>
      </c>
      <c r="C14" s="33" t="s">
        <v>126</v>
      </c>
      <c r="D14" s="33" t="str">
        <f t="shared" si="1"/>
        <v/>
      </c>
      <c r="E14" s="33">
        <v>14.0</v>
      </c>
      <c r="F14" s="33">
        <v>17.0</v>
      </c>
      <c r="G14" s="33" t="b">
        <v>0</v>
      </c>
      <c r="H14" s="48" t="s">
        <v>185</v>
      </c>
      <c r="I14" s="33"/>
      <c r="J14" s="64"/>
      <c r="K14" s="65" t="s">
        <v>122</v>
      </c>
      <c r="L14" s="64"/>
      <c r="M14" s="65" t="s">
        <v>122</v>
      </c>
    </row>
    <row r="15">
      <c r="A15" s="32" t="s">
        <v>459</v>
      </c>
      <c r="B15" s="33" t="s">
        <v>460</v>
      </c>
      <c r="C15" s="33" t="s">
        <v>163</v>
      </c>
      <c r="D15" s="33" t="str">
        <f t="shared" si="1"/>
        <v/>
      </c>
      <c r="E15" s="33">
        <v>14.0</v>
      </c>
      <c r="F15" s="33">
        <v>10.0</v>
      </c>
      <c r="G15" s="33" t="b">
        <v>0</v>
      </c>
      <c r="H15" s="48" t="s">
        <v>194</v>
      </c>
      <c r="I15" s="33"/>
      <c r="J15" s="51"/>
      <c r="K15" s="52" t="s">
        <v>122</v>
      </c>
      <c r="L15" s="51"/>
      <c r="M15" s="52" t="s">
        <v>147</v>
      </c>
    </row>
    <row r="16">
      <c r="A16" s="32" t="s">
        <v>463</v>
      </c>
      <c r="B16" s="33" t="s">
        <v>464</v>
      </c>
      <c r="C16" s="33" t="s">
        <v>109</v>
      </c>
      <c r="D16" s="33" t="str">
        <f t="shared" si="1"/>
        <v/>
      </c>
      <c r="E16" s="33">
        <v>14.0</v>
      </c>
      <c r="F16" s="33">
        <v>17.0</v>
      </c>
      <c r="G16" s="33" t="b">
        <v>0</v>
      </c>
      <c r="H16" s="48" t="s">
        <v>198</v>
      </c>
      <c r="I16" s="33"/>
      <c r="J16" s="59"/>
      <c r="K16" s="60" t="s">
        <v>122</v>
      </c>
      <c r="L16" s="59"/>
      <c r="M16" s="60" t="s">
        <v>180</v>
      </c>
    </row>
    <row r="17">
      <c r="A17" s="94"/>
      <c r="B17" s="94"/>
      <c r="C17" s="94"/>
      <c r="D17" s="94"/>
      <c r="E17" s="94"/>
      <c r="F17" s="94"/>
      <c r="G17" s="94"/>
      <c r="H17" s="48" t="s">
        <v>202</v>
      </c>
      <c r="I17" s="33"/>
      <c r="J17" s="59"/>
      <c r="K17" s="60" t="s">
        <v>132</v>
      </c>
      <c r="L17" s="59"/>
      <c r="M17" s="60" t="s">
        <v>147</v>
      </c>
    </row>
    <row r="18">
      <c r="A18" s="100" t="s">
        <v>283</v>
      </c>
      <c r="B18" s="32"/>
      <c r="C18" s="32"/>
      <c r="D18" s="32"/>
      <c r="E18" s="32"/>
      <c r="F18" s="32"/>
      <c r="G18" s="32"/>
      <c r="H18" s="48" t="s">
        <v>206</v>
      </c>
      <c r="I18" s="33"/>
      <c r="J18" s="64"/>
      <c r="K18" s="65" t="s">
        <v>161</v>
      </c>
      <c r="L18" s="64"/>
      <c r="M18" s="65" t="s">
        <v>165</v>
      </c>
    </row>
    <row r="19">
      <c r="A19" s="32" t="s">
        <v>131</v>
      </c>
      <c r="B19" s="32"/>
      <c r="C19" s="32"/>
      <c r="D19" s="32"/>
      <c r="E19" s="32"/>
      <c r="F19" s="32"/>
      <c r="G19" s="32"/>
      <c r="H19" s="48" t="s">
        <v>207</v>
      </c>
      <c r="I19" s="33"/>
      <c r="J19" s="33"/>
      <c r="K19" s="33"/>
      <c r="L19" s="33"/>
      <c r="M19" s="33"/>
    </row>
    <row r="20">
      <c r="A20" s="32" t="s">
        <v>178</v>
      </c>
      <c r="B20" s="32"/>
      <c r="C20" s="32"/>
      <c r="D20" s="32"/>
      <c r="E20" s="32"/>
      <c r="F20" s="32"/>
      <c r="G20" s="32"/>
      <c r="H20" s="33"/>
      <c r="I20" s="33"/>
      <c r="J20" s="33"/>
      <c r="K20" s="33"/>
      <c r="L20" s="33"/>
      <c r="M20" s="33"/>
    </row>
    <row r="21">
      <c r="A21" s="32" t="s">
        <v>108</v>
      </c>
      <c r="B21" s="32"/>
      <c r="C21" s="32"/>
      <c r="D21" s="32"/>
      <c r="E21" s="32"/>
      <c r="F21" s="32"/>
      <c r="G21" s="32"/>
      <c r="H21" s="33"/>
      <c r="I21" s="33"/>
      <c r="J21" s="33"/>
      <c r="K21" s="33"/>
      <c r="L21" s="33"/>
      <c r="M21" s="33"/>
    </row>
    <row r="22">
      <c r="A22" s="32" t="s">
        <v>124</v>
      </c>
      <c r="B22" s="32"/>
      <c r="C22" s="32"/>
      <c r="D22" s="32"/>
      <c r="E22" s="32"/>
      <c r="F22" s="32"/>
      <c r="G22" s="32"/>
      <c r="H22" s="33"/>
      <c r="I22" s="33"/>
      <c r="J22" s="33"/>
      <c r="K22" s="33"/>
      <c r="L22" s="33"/>
      <c r="M22"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6">
    <cfRule type="expression" dxfId="3" priority="4" stopIfTrue="1">
      <formula>C16="SEA"</formula>
    </cfRule>
  </conditionalFormatting>
  <conditionalFormatting sqref="E16">
    <cfRule type="expression" dxfId="3" priority="5" stopIfTrue="1">
      <formula>C16="DAL"</formula>
    </cfRule>
  </conditionalFormatting>
  <conditionalFormatting sqref="F15">
    <cfRule type="expression" dxfId="3" priority="6" stopIfTrue="1">
      <formula>C15="PIT"</formula>
    </cfRule>
  </conditionalFormatting>
  <conditionalFormatting sqref="E15">
    <cfRule type="expression" dxfId="3" priority="7" stopIfTrue="1">
      <formula>C15="HOU"</formula>
    </cfRule>
  </conditionalFormatting>
  <conditionalFormatting sqref="F14">
    <cfRule type="expression" dxfId="3" priority="8" stopIfTrue="1">
      <formula>C14="NE"</formula>
    </cfRule>
  </conditionalFormatting>
  <conditionalFormatting sqref="E14">
    <cfRule type="expression" dxfId="3" priority="9" stopIfTrue="1">
      <formula>C14="BUF"</formula>
    </cfRule>
  </conditionalFormatting>
  <conditionalFormatting sqref="F13">
    <cfRule type="expression" dxfId="3" priority="10" stopIfTrue="1">
      <formula>C13="MIN"</formula>
    </cfRule>
  </conditionalFormatting>
  <conditionalFormatting sqref="E13">
    <cfRule type="expression" dxfId="3" priority="11" stopIfTrue="1">
      <formula>C13="CAR"</formula>
    </cfRule>
  </conditionalFormatting>
  <conditionalFormatting sqref="F12">
    <cfRule type="expression" dxfId="3" priority="12" stopIfTrue="1">
      <formula>C12="DEN"</formula>
    </cfRule>
  </conditionalFormatting>
  <conditionalFormatting sqref="E12">
    <cfRule type="expression" dxfId="3" priority="13" stopIfTrue="1">
      <formula>C12="MIA"</formula>
    </cfRule>
  </conditionalFormatting>
  <conditionalFormatting sqref="F11">
    <cfRule type="expression" dxfId="3" priority="14" stopIfTrue="1">
      <formula>C11="AZ"</formula>
    </cfRule>
  </conditionalFormatting>
  <conditionalFormatting sqref="E11">
    <cfRule type="expression" dxfId="3" priority="15" stopIfTrue="1">
      <formula>C11="PHI"</formula>
    </cfRule>
  </conditionalFormatting>
  <conditionalFormatting sqref="F10">
    <cfRule type="expression" dxfId="3" priority="16" stopIfTrue="1">
      <formula>C10="TEN"</formula>
    </cfRule>
  </conditionalFormatting>
  <conditionalFormatting sqref="E10">
    <cfRule type="expression" dxfId="3" priority="17" stopIfTrue="1">
      <formula>C10="WSH"</formula>
    </cfRule>
  </conditionalFormatting>
  <conditionalFormatting sqref="F9">
    <cfRule type="expression" dxfId="3" priority="18" stopIfTrue="1">
      <formula>C9="TB"</formula>
    </cfRule>
  </conditionalFormatting>
  <conditionalFormatting sqref="E9">
    <cfRule type="expression" dxfId="3" priority="19" stopIfTrue="1">
      <formula>C9="LAC"</formula>
    </cfRule>
  </conditionalFormatting>
  <conditionalFormatting sqref="F8">
    <cfRule type="expression" dxfId="3" priority="20" stopIfTrue="1">
      <formula>C8="NYG"</formula>
    </cfRule>
  </conditionalFormatting>
  <conditionalFormatting sqref="E8">
    <cfRule type="expression" dxfId="3" priority="21" stopIfTrue="1">
      <formula>C8="SF"</formula>
    </cfRule>
  </conditionalFormatting>
  <conditionalFormatting sqref="F7">
    <cfRule type="expression" dxfId="3" priority="22" stopIfTrue="1">
      <formula>C7="NO"</formula>
    </cfRule>
  </conditionalFormatting>
  <conditionalFormatting sqref="E7">
    <cfRule type="expression" dxfId="3" priority="23" stopIfTrue="1">
      <formula>C7="GB"</formula>
    </cfRule>
  </conditionalFormatting>
  <conditionalFormatting sqref="F6">
    <cfRule type="expression" dxfId="3" priority="24" stopIfTrue="1">
      <formula>C6="CLE"</formula>
    </cfRule>
  </conditionalFormatting>
  <conditionalFormatting sqref="E6">
    <cfRule type="expression" dxfId="3" priority="25" stopIfTrue="1">
      <formula>C6="CIN"</formula>
    </cfRule>
  </conditionalFormatting>
  <conditionalFormatting sqref="F5">
    <cfRule type="expression" dxfId="3" priority="26" stopIfTrue="1">
      <formula>C5="CHI"</formula>
    </cfRule>
  </conditionalFormatting>
  <conditionalFormatting sqref="E5">
    <cfRule type="expression" dxfId="3" priority="27" stopIfTrue="1">
      <formula>C5="JAX"</formula>
    </cfRule>
  </conditionalFormatting>
  <conditionalFormatting sqref="F4">
    <cfRule type="expression" dxfId="3" priority="28" stopIfTrue="1">
      <formula>C4="ATL"</formula>
    </cfRule>
  </conditionalFormatting>
  <conditionalFormatting sqref="E4">
    <cfRule type="expression" dxfId="3" priority="29" stopIfTrue="1">
      <formula>C4="DET"</formula>
    </cfRule>
  </conditionalFormatting>
  <conditionalFormatting sqref="F3">
    <cfRule type="expression" dxfId="3" priority="30" stopIfTrue="1">
      <formula>C3="LAR"</formula>
    </cfRule>
  </conditionalFormatting>
  <conditionalFormatting sqref="E3">
    <cfRule type="expression" dxfId="3" priority="31" stopIfTrue="1">
      <formula>C3="KC"</formula>
    </cfRule>
  </conditionalFormatting>
  <conditionalFormatting sqref="E3:E16">
    <cfRule type="expression" dxfId="3" priority="32" stopIfTrue="1">
      <formula>C3=LEFT(B3, FIND(" @", B3)-1)</formula>
    </cfRule>
  </conditionalFormatting>
  <conditionalFormatting sqref="F3:F16">
    <cfRule type="expression" dxfId="3" priority="33" stopIfTrue="1">
      <formula>C3=RIGHT(B3, LEN(B3)-FIND("@ ", B3)-1)</formula>
    </cfRule>
  </conditionalFormatting>
  <conditionalFormatting sqref="E3:E16">
    <cfRule type="expression" dxfId="3" priority="34" stopIfTrue="1">
      <formula>C3=TRIM(LEFT(B3, FIND("@", B3)-1))</formula>
    </cfRule>
  </conditionalFormatting>
  <conditionalFormatting sqref="F3:F16">
    <cfRule type="expression" dxfId="3" priority="35" stopIfTrue="1">
      <formula>C3=TRIM(MID(B3, FIND("@", B3)+1, LEN(B3)))</formula>
    </cfRule>
  </conditionalFormatting>
  <conditionalFormatting sqref="E3">
    <cfRule type="expression" dxfId="3" priority="36">
      <formula>C3="GB"</formula>
    </cfRule>
  </conditionalFormatting>
  <conditionalFormatting sqref="F3">
    <cfRule type="expression" dxfId="3" priority="37">
      <formula>C3="DET"</formula>
    </cfRule>
  </conditionalFormatting>
  <conditionalFormatting sqref="E4">
    <cfRule type="expression" dxfId="3" priority="38">
      <formula>C4="KC"</formula>
    </cfRule>
  </conditionalFormatting>
  <conditionalFormatting sqref="F4">
    <cfRule type="expression" dxfId="3" priority="39">
      <formula>C4="DAL"</formula>
    </cfRule>
  </conditionalFormatting>
  <conditionalFormatting sqref="E5">
    <cfRule type="expression" dxfId="3" priority="40">
      <formula>C5="CIN"</formula>
    </cfRule>
  </conditionalFormatting>
  <conditionalFormatting sqref="F5">
    <cfRule type="expression" dxfId="3" priority="41">
      <formula>C5="BAL"</formula>
    </cfRule>
  </conditionalFormatting>
  <conditionalFormatting sqref="E6">
    <cfRule type="expression" dxfId="3" priority="42">
      <formula>C6="CHI"</formula>
    </cfRule>
  </conditionalFormatting>
  <conditionalFormatting sqref="F6">
    <cfRule type="expression" dxfId="3" priority="43">
      <formula>C6="PHI"</formula>
    </cfRule>
  </conditionalFormatting>
  <conditionalFormatting sqref="E7">
    <cfRule type="expression" dxfId="3" priority="44">
      <formula>C7="SF"</formula>
    </cfRule>
  </conditionalFormatting>
  <conditionalFormatting sqref="F7">
    <cfRule type="expression" dxfId="3" priority="45">
      <formula>C7="CLE"</formula>
    </cfRule>
  </conditionalFormatting>
  <conditionalFormatting sqref="E8">
    <cfRule type="expression" dxfId="3" priority="46">
      <formula>C8="JAX"</formula>
    </cfRule>
  </conditionalFormatting>
  <conditionalFormatting sqref="F8">
    <cfRule type="expression" dxfId="3" priority="47">
      <formula>C8="TEN"</formula>
    </cfRule>
  </conditionalFormatting>
  <conditionalFormatting sqref="E9">
    <cfRule type="expression" dxfId="3" priority="48">
      <formula>C9="HOU"</formula>
    </cfRule>
  </conditionalFormatting>
  <conditionalFormatting sqref="F9">
    <cfRule type="expression" dxfId="3" priority="49">
      <formula>C9="IND"</formula>
    </cfRule>
  </conditionalFormatting>
  <conditionalFormatting sqref="E10">
    <cfRule type="expression" dxfId="3" priority="50">
      <formula>C10="NO"</formula>
    </cfRule>
  </conditionalFormatting>
  <conditionalFormatting sqref="F10">
    <cfRule type="expression" dxfId="3" priority="51">
      <formula>C10="MIA"</formula>
    </cfRule>
  </conditionalFormatting>
  <conditionalFormatting sqref="E11">
    <cfRule type="expression" dxfId="3" priority="52">
      <formula>C11="ATL"</formula>
    </cfRule>
  </conditionalFormatting>
  <conditionalFormatting sqref="F11">
    <cfRule type="expression" dxfId="3" priority="53">
      <formula>C11="NYJ"</formula>
    </cfRule>
  </conditionalFormatting>
  <conditionalFormatting sqref="E12">
    <cfRule type="expression" dxfId="3" priority="54">
      <formula>C12="AZ"</formula>
    </cfRule>
  </conditionalFormatting>
  <conditionalFormatting sqref="F12">
    <cfRule type="expression" dxfId="3" priority="55">
      <formula>C12="TB"</formula>
    </cfRule>
  </conditionalFormatting>
  <conditionalFormatting sqref="E13">
    <cfRule type="expression" dxfId="3" priority="56">
      <formula>C13="LAR"</formula>
    </cfRule>
  </conditionalFormatting>
  <conditionalFormatting sqref="F13">
    <cfRule type="expression" dxfId="3" priority="57">
      <formula>C13="CAR"</formula>
    </cfRule>
  </conditionalFormatting>
  <conditionalFormatting sqref="E14">
    <cfRule type="expression" dxfId="3" priority="58">
      <formula>C14="MIN"</formula>
    </cfRule>
  </conditionalFormatting>
  <conditionalFormatting sqref="F14">
    <cfRule type="expression" dxfId="3" priority="59">
      <formula>C14="SEA"</formula>
    </cfRule>
  </conditionalFormatting>
  <conditionalFormatting sqref="E15">
    <cfRule type="expression" dxfId="3" priority="60">
      <formula>C15="BUF"</formula>
    </cfRule>
  </conditionalFormatting>
  <conditionalFormatting sqref="F15">
    <cfRule type="expression" dxfId="3" priority="61">
      <formula>C15="PIT"</formula>
    </cfRule>
  </conditionalFormatting>
  <conditionalFormatting sqref="E16">
    <cfRule type="expression" dxfId="3" priority="62">
      <formula>C16="LV"</formula>
    </cfRule>
  </conditionalFormatting>
  <conditionalFormatting sqref="F16">
    <cfRule type="expression" dxfId="3" priority="63">
      <formula>C16="LAC"</formula>
    </cfRule>
  </conditionalFormatting>
  <conditionalFormatting sqref="E18">
    <cfRule type="expression" dxfId="3" priority="64">
      <formula>C18="DEN"</formula>
    </cfRule>
  </conditionalFormatting>
  <conditionalFormatting sqref="F18">
    <cfRule type="expression" dxfId="3" priority="65">
      <formula>C18="WSH"</formula>
    </cfRule>
  </conditionalFormatting>
  <conditionalFormatting sqref="E17 E19:E22">
    <cfRule type="expression" dxfId="3" priority="66">
      <formula>C17="NYG"</formula>
    </cfRule>
  </conditionalFormatting>
  <conditionalFormatting sqref="F17 F19:F22">
    <cfRule type="expression" dxfId="3" priority="67">
      <formula>C17="NE"</formula>
    </cfRule>
  </conditionalFormatting>
  <dataValidations>
    <dataValidation type="custom" allowBlank="1" showDropDown="1" sqref="F15">
      <formula1>if(C15="PIT",F15&gt;E15,or(E15&gt;F15,C15=""))</formula1>
    </dataValidation>
    <dataValidation type="custom" allowBlank="1" showDropDown="1" sqref="F16">
      <formula1>if(C16="SEA",F16&gt;E16,or(E16&gt;F16,C16=""))</formula1>
    </dataValidation>
    <dataValidation type="custom" allowBlank="1" showDropDown="1" sqref="F12">
      <formula1>if(C12="DEN",F12&gt;E12,or(E12&gt;F12,C12=""))</formula1>
    </dataValidation>
    <dataValidation type="custom" allowBlank="1" showDropDown="1" sqref="E14">
      <formula1>if(C14="BUF",E14&gt;F14,or(F14&gt;E14,C14=""))</formula1>
    </dataValidation>
    <dataValidation type="custom" allowBlank="1" showDropDown="1" sqref="E7">
      <formula1>if(C7="GB",E7&gt;F7,or(F7&gt;E7,C7=""))</formula1>
    </dataValidation>
    <dataValidation type="custom" allowBlank="1" showDropDown="1" sqref="F14">
      <formula1>if(C14="NE",F14&gt;E14,or(E14&gt;F14,C14=""))</formula1>
    </dataValidation>
    <dataValidation type="custom" allowBlank="1" showDropDown="1" sqref="E6">
      <formula1>if(C6="CIN",E6&gt;F6,or(F6&gt;E6,C6=""))</formula1>
    </dataValidation>
    <dataValidation type="custom" allowBlank="1" showDropDown="1" sqref="E9">
      <formula1>if(C9="LAC",E9&gt;F9,or(F9&gt;E9,C9=""))</formula1>
    </dataValidation>
    <dataValidation type="custom" allowBlank="1" showDropDown="1" sqref="E13">
      <formula1>if(C13="CAR",E13&gt;F13,or(F13&gt;E13,C13=""))</formula1>
    </dataValidation>
    <dataValidation type="list" allowBlank="1" showErrorMessage="1" sqref="C16">
      <formula1>"DAL,SEA"</formula1>
    </dataValidation>
    <dataValidation type="list" allowBlank="1" showErrorMessage="1" sqref="C3">
      <formula1>"KC,LAR"</formula1>
    </dataValidation>
    <dataValidation type="list" allowBlank="1" showErrorMessage="1" sqref="C8">
      <formula1>"SF,NYG"</formula1>
    </dataValidation>
    <dataValidation type="list" allowBlank="1" showErrorMessage="1" sqref="C14">
      <formula1>"BUF,NE"</formula1>
    </dataValidation>
    <dataValidation type="custom" allowBlank="1" showDropDown="1" sqref="E15">
      <formula1>if(C15="HOU",E15&gt;F15,or(F15&gt;E15,C15=""))</formula1>
    </dataValidation>
    <dataValidation type="list" allowBlank="1" showErrorMessage="1" sqref="C6">
      <formula1>"CIN,CLE"</formula1>
    </dataValidation>
    <dataValidation type="custom" allowBlank="1" showDropDown="1" sqref="F13">
      <formula1>if(C13="MIN",F13&gt;E13,or(E13&gt;F13,C13=""))</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qref="F6">
      <formula1>if(C6="CLE",F6&gt;E6,or(E6&gt;F6,C6=""))</formula1>
    </dataValidation>
    <dataValidation type="list" allowBlank="1" showErrorMessage="1" sqref="C9">
      <formula1>"LAC,TB"</formula1>
    </dataValidation>
    <dataValidation type="list" allowBlank="1" showErrorMessage="1" sqref="C11">
      <formula1>"PHI,AZ"</formula1>
    </dataValidation>
    <dataValidation type="custom" allowBlank="1" showDropDown="1" sqref="F9">
      <formula1>if(C9="TB",F9&gt;E9,or(E9&gt;F9,C9=""))</formula1>
    </dataValidation>
    <dataValidation type="list" allowBlank="1" showErrorMessage="1" sqref="C12">
      <formula1>"MIA,DEN"</formula1>
    </dataValidation>
    <dataValidation type="list" allowBlank="1" showErrorMessage="1" sqref="C13">
      <formula1>"CAR,MIN"</formula1>
    </dataValidation>
    <dataValidation type="custom" allowBlank="1" showDropDown="1" sqref="F5">
      <formula1>if(C5="CHI",F5&gt;E5,or(E5&gt;F5,C5=""))</formula1>
    </dataValidation>
    <dataValidation type="list" allowBlank="1" showErrorMessage="1" sqref="C15">
      <formula1>"HOU,PIT"</formula1>
    </dataValidation>
    <dataValidation type="custom" allowBlank="1" showDropDown="1" sqref="F3">
      <formula1>if(C3="LAR",F3&gt;E3,or(E3&gt;F3,C3=""))</formula1>
    </dataValidation>
    <dataValidation type="custom" allowBlank="1" showDropDown="1" sqref="E16">
      <formula1>if(C16="DAL",E16&gt;F16,or(F16&gt;E16,C16=""))</formula1>
    </dataValidation>
    <dataValidation type="custom" allowBlank="1" showDropDown="1" sqref="E5">
      <formula1>if(C5="JAX",E5&gt;F5,or(F5&gt;E5,C5=""))</formula1>
    </dataValidation>
    <dataValidation type="custom" allowBlank="1" showDropDown="1" sqref="E10">
      <formula1>if(C10="WSH",E10&gt;F10,or(F10&gt;E10,C10=""))</formula1>
    </dataValidation>
    <dataValidation type="custom" allowBlank="1" showDropDown="1" sqref="E8">
      <formula1>if(C8="SF",E8&gt;F8,or(F8&gt;E8,C8=""))</formula1>
    </dataValidation>
    <dataValidation type="list" allowBlank="1" showErrorMessage="1" sqref="C10">
      <formula1>"WSH,TEN"</formula1>
    </dataValidation>
    <dataValidation type="custom" allowBlank="1" showDropDown="1" sqref="F10">
      <formula1>if(C10="TEN",F10&gt;E10,or(E10&gt;F10,C10=""))</formula1>
    </dataValidation>
    <dataValidation type="custom" allowBlank="1" showDropDown="1" sqref="E3">
      <formula1>if(C3="KC",E3&gt;F3,or(F3&gt;E3,C3=""))</formula1>
    </dataValidation>
    <dataValidation type="custom" allowBlank="1" showDropDown="1" sqref="E12">
      <formula1>if(C12="MIA",E12&gt;F12,or(F12&gt;E12,C12=""))</formula1>
    </dataValidation>
    <dataValidation type="list" allowBlank="1" showErrorMessage="1" sqref="C7">
      <formula1>"GB,NO"</formula1>
    </dataValidation>
    <dataValidation type="list" allowBlank="1" showErrorMessage="1" sqref="C5">
      <formula1>"JAX,CHI"</formula1>
    </dataValidation>
    <dataValidation type="list" allowBlank="1" showErrorMessage="1" sqref="C4">
      <formula1>"DET,ATL"</formula1>
    </dataValidation>
    <dataValidation type="custom" allowBlank="1" showDropDown="1" sqref="F11">
      <formula1>if(C11="AZ",F11&gt;E11,or(E11&gt;F11,C11=""))</formula1>
    </dataValidation>
    <dataValidation type="custom" allowBlank="1" showDropDown="1" sqref="F4">
      <formula1>if(C4="ATL",F4&gt;E4,or(E4&gt;F4,C4=""))</formula1>
    </dataValidation>
    <dataValidation type="custom" allowBlank="1" showDropDown="1" sqref="E11">
      <formula1>if(C11="PHI",E11&gt;F11,or(F11&gt;E11,C11=""))</formula1>
    </dataValidation>
    <dataValidation type="custom" allowBlank="1" showDropDown="1" sqref="F8">
      <formula1>if(C8="NYG",F8&gt;E8,or(E8&gt;F8,C8=""))</formula1>
    </dataValidation>
    <dataValidation type="custom" allowBlank="1" showDropDown="1" sqref="E4">
      <formula1>if(C4="DET",E4&gt;F4,or(F4&gt;E4,C4=""))</formula1>
    </dataValidation>
    <dataValidation type="custom" allowBlank="1" showDropDown="1" sqref="F7">
      <formula1>if(C7="NO",F7&gt;E7,or(E7&gt;F7,C7=""))</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4" location="'Week 14'!A1" ref="H15"/>
    <hyperlink display="Week 15" location="'Week 15'!A1" ref="H16"/>
    <hyperlink display="Week 16" location="'Week 16'!A1" ref="H17"/>
    <hyperlink display="Week 17" location="'Week 17'!A1" ref="H18"/>
    <hyperlink display="Week 18" location="'Week 18'!A1" ref="H19"/>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20.5"/>
    <col customWidth="1" min="3" max="3" width="16.75"/>
    <col customWidth="1" min="4" max="4" width="6.75"/>
    <col customWidth="1" min="5" max="5" width="16.75"/>
    <col customWidth="1" min="6" max="7" width="14.63"/>
    <col customWidth="1" min="8" max="8" width="14.25"/>
    <col customWidth="1" min="9" max="9" width="12.63"/>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"&amp;COUNTA(C3:C29)&amp;" / "&amp;COUNTA(B3:B29)</f>
        <v>Picks: 15 / 15</v>
      </c>
      <c r="G1" s="23" t="s">
        <v>60</v>
      </c>
      <c r="H1" s="23" t="s">
        <v>82</v>
      </c>
      <c r="I1" s="23" t="s">
        <v>84</v>
      </c>
      <c r="J1" s="28"/>
      <c r="K1" s="28"/>
      <c r="L1" s="28"/>
      <c r="M1" s="28"/>
    </row>
    <row r="2">
      <c r="A2" s="29" t="s">
        <v>98</v>
      </c>
      <c r="B2" s="29" t="s">
        <v>422</v>
      </c>
      <c r="C2" s="30" t="s">
        <v>36</v>
      </c>
      <c r="D2" s="30"/>
      <c r="E2" s="29" t="s">
        <v>37</v>
      </c>
      <c r="F2" s="29" t="s">
        <v>38</v>
      </c>
      <c r="G2" s="29" t="s">
        <v>100</v>
      </c>
      <c r="H2" s="29" t="s">
        <v>101</v>
      </c>
      <c r="I2" s="29"/>
      <c r="J2" s="29" t="s">
        <v>102</v>
      </c>
      <c r="K2" s="29" t="s">
        <v>103</v>
      </c>
      <c r="L2" s="29" t="s">
        <v>104</v>
      </c>
      <c r="M2" s="29" t="s">
        <v>105</v>
      </c>
    </row>
    <row r="3">
      <c r="A3" s="104" t="s">
        <v>423</v>
      </c>
      <c r="B3" s="105" t="s">
        <v>424</v>
      </c>
      <c r="C3" s="33" t="s">
        <v>126</v>
      </c>
      <c r="D3" s="33" t="str">
        <f t="shared" ref="D3:D17"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21.0</v>
      </c>
      <c r="F3" s="33">
        <v>24.0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104" t="s">
        <v>453</v>
      </c>
      <c r="B4" s="105" t="s">
        <v>454</v>
      </c>
      <c r="C4" s="33" t="s">
        <v>131</v>
      </c>
      <c r="D4" s="33" t="str">
        <f t="shared" si="1"/>
        <v/>
      </c>
      <c r="E4" s="33">
        <v>10.0</v>
      </c>
      <c r="F4" s="33">
        <v>14.0</v>
      </c>
      <c r="G4" s="33" t="b">
        <v>0</v>
      </c>
      <c r="H4" s="48" t="s">
        <v>119</v>
      </c>
      <c r="I4" s="33"/>
      <c r="J4" s="59"/>
      <c r="K4" s="60" t="s">
        <v>132</v>
      </c>
      <c r="L4" s="59"/>
      <c r="M4" s="60" t="s">
        <v>133</v>
      </c>
    </row>
    <row r="5">
      <c r="A5" s="104" t="s">
        <v>453</v>
      </c>
      <c r="B5" s="106" t="s">
        <v>458</v>
      </c>
      <c r="C5" s="33" t="s">
        <v>174</v>
      </c>
      <c r="D5" s="33" t="str">
        <f t="shared" si="1"/>
        <v/>
      </c>
      <c r="E5" s="33">
        <v>17.0</v>
      </c>
      <c r="F5" s="33">
        <v>14.0</v>
      </c>
      <c r="G5" s="33" t="b">
        <v>0</v>
      </c>
      <c r="H5" s="48" t="s">
        <v>130</v>
      </c>
      <c r="I5" s="33"/>
      <c r="J5" s="59"/>
      <c r="K5" s="60" t="s">
        <v>142</v>
      </c>
      <c r="L5" s="59"/>
      <c r="M5" s="60" t="s">
        <v>142</v>
      </c>
    </row>
    <row r="6">
      <c r="A6" s="104" t="s">
        <v>453</v>
      </c>
      <c r="B6" s="105" t="s">
        <v>461</v>
      </c>
      <c r="C6" s="33" t="s">
        <v>144</v>
      </c>
      <c r="D6" s="33" t="str">
        <f t="shared" si="1"/>
        <v/>
      </c>
      <c r="E6" s="33">
        <v>21.0</v>
      </c>
      <c r="F6" s="33">
        <v>28.0</v>
      </c>
      <c r="G6" s="33" t="b">
        <v>0</v>
      </c>
      <c r="H6" s="48" t="s">
        <v>141</v>
      </c>
      <c r="I6" s="33"/>
      <c r="J6" s="64"/>
      <c r="K6" s="65" t="s">
        <v>147</v>
      </c>
      <c r="L6" s="64"/>
      <c r="M6" s="65" t="s">
        <v>148</v>
      </c>
    </row>
    <row r="7">
      <c r="A7" s="104" t="s">
        <v>453</v>
      </c>
      <c r="B7" s="105" t="s">
        <v>465</v>
      </c>
      <c r="C7" s="33" t="s">
        <v>138</v>
      </c>
      <c r="D7" s="33" t="str">
        <f t="shared" si="1"/>
        <v/>
      </c>
      <c r="E7" s="33">
        <v>21.0</v>
      </c>
      <c r="F7" s="33">
        <v>28.0</v>
      </c>
      <c r="G7" s="33" t="b">
        <v>0</v>
      </c>
      <c r="H7" s="48" t="s">
        <v>145</v>
      </c>
      <c r="I7" s="33"/>
      <c r="J7" s="51"/>
      <c r="K7" s="52" t="s">
        <v>142</v>
      </c>
      <c r="L7" s="51"/>
      <c r="M7" s="52" t="s">
        <v>157</v>
      </c>
    </row>
    <row r="8">
      <c r="A8" s="104" t="s">
        <v>453</v>
      </c>
      <c r="B8" s="105" t="s">
        <v>466</v>
      </c>
      <c r="C8" s="33" t="s">
        <v>120</v>
      </c>
      <c r="D8" s="33" t="str">
        <f t="shared" si="1"/>
        <v/>
      </c>
      <c r="E8" s="33">
        <v>14.0</v>
      </c>
      <c r="F8" s="33">
        <v>17.0</v>
      </c>
      <c r="G8" s="33" t="b">
        <v>0</v>
      </c>
      <c r="H8" s="48" t="s">
        <v>156</v>
      </c>
      <c r="I8" s="33"/>
      <c r="J8" s="59"/>
      <c r="K8" s="60" t="s">
        <v>161</v>
      </c>
      <c r="L8" s="59"/>
      <c r="M8" s="60" t="s">
        <v>133</v>
      </c>
    </row>
    <row r="9">
      <c r="A9" s="104" t="s">
        <v>453</v>
      </c>
      <c r="B9" s="105" t="s">
        <v>469</v>
      </c>
      <c r="C9" s="33" t="s">
        <v>111</v>
      </c>
      <c r="D9" s="33" t="str">
        <f t="shared" si="1"/>
        <v/>
      </c>
      <c r="E9" s="33">
        <v>23.0</v>
      </c>
      <c r="F9" s="33">
        <v>20.0</v>
      </c>
      <c r="G9" s="33" t="b">
        <v>0</v>
      </c>
      <c r="H9" s="48" t="s">
        <v>159</v>
      </c>
      <c r="I9" s="33"/>
      <c r="J9" s="59"/>
      <c r="K9" s="60" t="s">
        <v>165</v>
      </c>
      <c r="L9" s="59"/>
      <c r="M9" s="60" t="s">
        <v>165</v>
      </c>
    </row>
    <row r="10">
      <c r="A10" s="104" t="s">
        <v>453</v>
      </c>
      <c r="B10" s="105" t="s">
        <v>470</v>
      </c>
      <c r="C10" s="33" t="s">
        <v>121</v>
      </c>
      <c r="D10" s="33" t="str">
        <f t="shared" si="1"/>
        <v/>
      </c>
      <c r="E10" s="33">
        <v>24.0</v>
      </c>
      <c r="F10" s="33">
        <v>27.0</v>
      </c>
      <c r="G10" s="33" t="b">
        <v>0</v>
      </c>
      <c r="H10" s="48" t="s">
        <v>164</v>
      </c>
      <c r="I10" s="33"/>
      <c r="J10" s="64"/>
      <c r="K10" s="65" t="s">
        <v>133</v>
      </c>
      <c r="L10" s="64"/>
      <c r="M10" s="65" t="s">
        <v>171</v>
      </c>
    </row>
    <row r="11">
      <c r="A11" s="104" t="s">
        <v>453</v>
      </c>
      <c r="B11" s="105" t="s">
        <v>471</v>
      </c>
      <c r="C11" s="33" t="s">
        <v>129</v>
      </c>
      <c r="D11" s="33" t="str">
        <f t="shared" si="1"/>
        <v/>
      </c>
      <c r="E11" s="33">
        <v>24.0</v>
      </c>
      <c r="F11" s="33">
        <v>27.0</v>
      </c>
      <c r="G11" s="33" t="b">
        <v>0</v>
      </c>
      <c r="H11" s="48" t="s">
        <v>170</v>
      </c>
      <c r="I11" s="33"/>
      <c r="J11" s="51"/>
      <c r="K11" s="52" t="s">
        <v>157</v>
      </c>
      <c r="L11" s="51"/>
      <c r="M11" s="52" t="s">
        <v>157</v>
      </c>
    </row>
    <row r="12">
      <c r="A12" s="104" t="s">
        <v>477</v>
      </c>
      <c r="B12" s="106" t="s">
        <v>478</v>
      </c>
      <c r="C12" s="33" t="s">
        <v>112</v>
      </c>
      <c r="D12" s="33" t="str">
        <f t="shared" si="1"/>
        <v/>
      </c>
      <c r="E12" s="33">
        <v>20.0</v>
      </c>
      <c r="F12" s="33">
        <v>17.0</v>
      </c>
      <c r="G12" s="33" t="b">
        <v>0</v>
      </c>
      <c r="H12" s="48" t="s">
        <v>175</v>
      </c>
      <c r="I12" s="33"/>
      <c r="J12" s="59"/>
      <c r="K12" s="60" t="s">
        <v>165</v>
      </c>
      <c r="L12" s="59"/>
      <c r="M12" s="60" t="s">
        <v>180</v>
      </c>
    </row>
    <row r="13">
      <c r="A13" s="104" t="s">
        <v>479</v>
      </c>
      <c r="B13" s="105" t="s">
        <v>480</v>
      </c>
      <c r="C13" s="33" t="s">
        <v>40</v>
      </c>
      <c r="D13" s="33" t="str">
        <f t="shared" si="1"/>
        <v/>
      </c>
      <c r="E13" s="33">
        <v>27.0</v>
      </c>
      <c r="F13" s="33">
        <v>24.0</v>
      </c>
      <c r="G13" s="33" t="b">
        <v>0</v>
      </c>
      <c r="H13" s="48" t="s">
        <v>179</v>
      </c>
      <c r="I13" s="33"/>
      <c r="J13" s="59"/>
      <c r="K13" s="60" t="s">
        <v>132</v>
      </c>
      <c r="L13" s="59"/>
      <c r="M13" s="60" t="s">
        <v>147</v>
      </c>
    </row>
    <row r="14">
      <c r="A14" s="104" t="s">
        <v>479</v>
      </c>
      <c r="B14" s="105" t="s">
        <v>481</v>
      </c>
      <c r="C14" s="33" t="s">
        <v>109</v>
      </c>
      <c r="D14" s="33" t="str">
        <f t="shared" si="1"/>
        <v/>
      </c>
      <c r="E14" s="33">
        <v>14.0</v>
      </c>
      <c r="F14" s="33">
        <v>20.0</v>
      </c>
      <c r="G14" s="33" t="b">
        <v>1</v>
      </c>
      <c r="H14" s="48" t="s">
        <v>185</v>
      </c>
      <c r="I14" s="33"/>
      <c r="J14" s="64"/>
      <c r="K14" s="65" t="s">
        <v>122</v>
      </c>
      <c r="L14" s="64"/>
      <c r="M14" s="65" t="s">
        <v>122</v>
      </c>
    </row>
    <row r="15">
      <c r="A15" s="104" t="s">
        <v>479</v>
      </c>
      <c r="B15" s="106" t="s">
        <v>482</v>
      </c>
      <c r="C15" s="33" t="s">
        <v>85</v>
      </c>
      <c r="D15" s="33" t="str">
        <f t="shared" si="1"/>
        <v/>
      </c>
      <c r="E15" s="33">
        <v>14.0</v>
      </c>
      <c r="F15" s="33">
        <v>17.0</v>
      </c>
      <c r="G15" s="33" t="b">
        <v>0</v>
      </c>
      <c r="H15" s="48" t="s">
        <v>191</v>
      </c>
      <c r="I15" s="33"/>
      <c r="J15" s="51"/>
      <c r="K15" s="52" t="s">
        <v>122</v>
      </c>
      <c r="L15" s="51"/>
      <c r="M15" s="52" t="s">
        <v>147</v>
      </c>
    </row>
    <row r="16">
      <c r="A16" s="104" t="s">
        <v>483</v>
      </c>
      <c r="B16" s="105" t="s">
        <v>484</v>
      </c>
      <c r="C16" s="33" t="s">
        <v>146</v>
      </c>
      <c r="D16" s="33" t="str">
        <f t="shared" si="1"/>
        <v/>
      </c>
      <c r="E16" s="33">
        <v>24.0</v>
      </c>
      <c r="F16" s="33">
        <v>27.0</v>
      </c>
      <c r="G16" s="33" t="b">
        <v>0</v>
      </c>
      <c r="H16" s="48" t="s">
        <v>198</v>
      </c>
      <c r="I16" s="33"/>
      <c r="J16" s="59"/>
      <c r="K16" s="60" t="s">
        <v>122</v>
      </c>
      <c r="L16" s="59"/>
      <c r="M16" s="60" t="s">
        <v>180</v>
      </c>
    </row>
    <row r="17">
      <c r="A17" s="104" t="s">
        <v>485</v>
      </c>
      <c r="B17" s="105" t="s">
        <v>486</v>
      </c>
      <c r="C17" s="107" t="s">
        <v>153</v>
      </c>
      <c r="D17" s="33" t="str">
        <f t="shared" si="1"/>
        <v/>
      </c>
      <c r="E17" s="108">
        <v>14.0</v>
      </c>
      <c r="F17" s="108">
        <v>10.0</v>
      </c>
      <c r="G17" s="107" t="b">
        <v>0</v>
      </c>
      <c r="H17" s="109" t="s">
        <v>202</v>
      </c>
      <c r="I17" s="110"/>
      <c r="J17" s="111"/>
      <c r="K17" s="112" t="s">
        <v>132</v>
      </c>
      <c r="L17" s="111"/>
      <c r="M17" s="112" t="s">
        <v>147</v>
      </c>
    </row>
    <row r="18">
      <c r="A18" s="93"/>
      <c r="B18" s="94"/>
      <c r="C18" s="94"/>
      <c r="D18" s="95"/>
      <c r="E18" s="95"/>
      <c r="F18" s="95"/>
      <c r="G18" s="95"/>
      <c r="H18" s="96" t="s">
        <v>206</v>
      </c>
      <c r="I18" s="97"/>
      <c r="J18" s="98"/>
      <c r="K18" s="99" t="s">
        <v>161</v>
      </c>
      <c r="L18" s="98"/>
      <c r="M18" s="99" t="s">
        <v>165</v>
      </c>
    </row>
    <row r="19">
      <c r="A19" s="100" t="s">
        <v>283</v>
      </c>
      <c r="B19" s="32"/>
      <c r="C19" s="32"/>
      <c r="D19" s="101"/>
      <c r="E19" s="101"/>
      <c r="F19" s="101"/>
      <c r="G19" s="101"/>
      <c r="H19" s="96" t="s">
        <v>207</v>
      </c>
      <c r="I19" s="97"/>
      <c r="J19" s="97"/>
      <c r="K19" s="97"/>
      <c r="L19" s="97"/>
      <c r="M19" s="97"/>
    </row>
    <row r="20">
      <c r="A20" s="32" t="s">
        <v>117</v>
      </c>
      <c r="B20" s="32"/>
      <c r="C20" s="32"/>
      <c r="D20" s="101"/>
      <c r="E20" s="101"/>
      <c r="F20" s="101"/>
      <c r="G20" s="101"/>
      <c r="H20" s="97"/>
      <c r="I20" s="97"/>
      <c r="J20" s="97"/>
      <c r="K20" s="97"/>
      <c r="L20" s="97"/>
      <c r="M20" s="97"/>
    </row>
    <row r="21">
      <c r="A21" s="32" t="s">
        <v>118</v>
      </c>
      <c r="B21" s="32"/>
      <c r="C21" s="32"/>
      <c r="D21" s="101"/>
      <c r="E21" s="101"/>
      <c r="F21" s="101"/>
      <c r="G21" s="101"/>
      <c r="H21" s="97"/>
      <c r="I21" s="97"/>
      <c r="J21" s="97"/>
      <c r="K21" s="97"/>
      <c r="L21" s="97"/>
      <c r="M21" s="97"/>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E3:E17">
    <cfRule type="expression" dxfId="3" priority="4" stopIfTrue="1">
      <formula>C3=TRIM(LEFT(B3, FIND("@", B3)-1))</formula>
    </cfRule>
  </conditionalFormatting>
  <conditionalFormatting sqref="F3:F17">
    <cfRule type="expression" dxfId="3" priority="5" stopIfTrue="1">
      <formula>C3=TRIM(MID(B3, FIND("@", B3)+1, LEN(B3)))</formula>
    </cfRule>
  </conditionalFormatting>
  <conditionalFormatting sqref="E5">
    <cfRule type="expression" dxfId="3" priority="6">
      <formula>C5="TEN"</formula>
    </cfRule>
  </conditionalFormatting>
  <conditionalFormatting sqref="F5">
    <cfRule type="expression" dxfId="3" priority="7">
      <formula>C5="CLE"</formula>
    </cfRule>
  </conditionalFormatting>
  <conditionalFormatting sqref="E6">
    <cfRule type="expression" dxfId="3" priority="8">
      <formula>C6="CHI"</formula>
    </cfRule>
  </conditionalFormatting>
  <conditionalFormatting sqref="F6">
    <cfRule type="expression" dxfId="3" priority="9">
      <formula>C6="GB"</formula>
    </cfRule>
  </conditionalFormatting>
  <conditionalFormatting sqref="E7">
    <cfRule type="expression" dxfId="3" priority="10">
      <formula>C7="WSH"</formula>
    </cfRule>
  </conditionalFormatting>
  <conditionalFormatting sqref="F7">
    <cfRule type="expression" dxfId="3" priority="11">
      <formula>C7="MIN"</formula>
    </cfRule>
  </conditionalFormatting>
  <conditionalFormatting sqref="F8">
    <cfRule type="expression" dxfId="3" priority="12">
      <formula>C8="NYJ"</formula>
    </cfRule>
  </conditionalFormatting>
  <conditionalFormatting sqref="E9">
    <cfRule type="expression" dxfId="3" priority="13">
      <formula>C9="NO"</formula>
    </cfRule>
  </conditionalFormatting>
  <conditionalFormatting sqref="F9">
    <cfRule type="expression" dxfId="3" priority="14">
      <formula>C9="TB"</formula>
    </cfRule>
  </conditionalFormatting>
  <conditionalFormatting sqref="E10">
    <cfRule type="expression" dxfId="3" priority="15">
      <formula>C10="IND"</formula>
    </cfRule>
  </conditionalFormatting>
  <conditionalFormatting sqref="F10">
    <cfRule type="expression" dxfId="3" priority="16">
      <formula>C10="JAX"</formula>
    </cfRule>
  </conditionalFormatting>
  <conditionalFormatting sqref="E11">
    <cfRule type="expression" dxfId="3" priority="17">
      <formula>C11="PIT"</formula>
    </cfRule>
  </conditionalFormatting>
  <conditionalFormatting sqref="F11">
    <cfRule type="expression" dxfId="3" priority="18">
      <formula>C11="BAL"</formula>
    </cfRule>
  </conditionalFormatting>
  <conditionalFormatting sqref="E12">
    <cfRule type="expression" dxfId="3" priority="19">
      <formula>C12="DEN"</formula>
    </cfRule>
  </conditionalFormatting>
  <conditionalFormatting sqref="F12">
    <cfRule type="expression" dxfId="3" priority="20">
      <formula>C12="LV"</formula>
    </cfRule>
  </conditionalFormatting>
  <conditionalFormatting sqref="E13">
    <cfRule type="expression" dxfId="3" priority="21">
      <formula>C13="CIN"</formula>
    </cfRule>
  </conditionalFormatting>
  <conditionalFormatting sqref="F13">
    <cfRule type="expression" dxfId="3" priority="22">
      <formula>C13="BUF"</formula>
    </cfRule>
  </conditionalFormatting>
  <conditionalFormatting sqref="E14">
    <cfRule type="expression" dxfId="3" priority="23">
      <formula>C14="LAR"</formula>
    </cfRule>
  </conditionalFormatting>
  <conditionalFormatting sqref="F14">
    <cfRule type="expression" dxfId="3" priority="24">
      <formula>C14="AZ"</formula>
    </cfRule>
  </conditionalFormatting>
  <conditionalFormatting sqref="E15">
    <cfRule type="expression" dxfId="3" priority="25">
      <formula>C15="HOU"</formula>
    </cfRule>
  </conditionalFormatting>
  <conditionalFormatting sqref="F15">
    <cfRule type="expression" dxfId="3" priority="26">
      <formula>C15="KC"</formula>
    </cfRule>
  </conditionalFormatting>
  <conditionalFormatting sqref="E16">
    <cfRule type="expression" dxfId="3" priority="27">
      <formula>C16="PHI"</formula>
    </cfRule>
  </conditionalFormatting>
  <conditionalFormatting sqref="F16">
    <cfRule type="expression" dxfId="3" priority="28">
      <formula>C16="LAC"</formula>
    </cfRule>
  </conditionalFormatting>
  <dataValidations>
    <dataValidation type="list" allowBlank="1" showErrorMessage="1" sqref="C11">
      <formula1>"HOU,WSH"</formula1>
    </dataValidation>
    <dataValidation type="list" allowBlank="1" showErrorMessage="1" sqref="C8">
      <formula1>"CHI,MIA"</formula1>
    </dataValidation>
    <dataValidation type="list" allowBlank="1" showErrorMessage="1" sqref="C9">
      <formula1>"DEN,NYJ"</formula1>
    </dataValidation>
    <dataValidation type="list" allowBlank="1" showErrorMessage="1" sqref="C12">
      <formula1>"LAC,LV"</formula1>
    </dataValidation>
    <dataValidation type="list" allowBlank="1" showErrorMessage="1" sqref="C13">
      <formula1>"KC,CIN"</formula1>
    </dataValidation>
    <dataValidation type="list" allowBlank="1" showErrorMessage="1" sqref="C17">
      <formula1>"PIT,JAX"</formula1>
    </dataValidation>
    <dataValidation type="list" allowBlank="1" showErrorMessage="1" sqref="C5">
      <formula1>"NO,CAR"</formula1>
    </dataValidation>
    <dataValidation type="list" allowBlank="1" showErrorMessage="1" sqref="C14">
      <formula1>"NYG,SEA"</formula1>
    </dataValidation>
    <dataValidation type="custom" allowBlank="1" showDropDown="1" showErrorMessage="1" sqref="E3:E17">
      <formula1>IF(C3=TRIM(LEFT(B3, FIND("@", B3)-1)), E3&gt;F3, OR(F3&gt;E3, C3=""))</formula1>
    </dataValidation>
    <dataValidation type="list" allowBlank="1" showErrorMessage="1" sqref="C4">
      <formula1>"TB,BAL"</formula1>
    </dataValidation>
    <dataValidation type="list" allowBlank="1" showErrorMessage="1" sqref="C15">
      <formula1>"LAR,SF"</formula1>
    </dataValidation>
    <dataValidation type="list" allowBlank="1" showErrorMessage="1" sqref="C7">
      <formula1>"TEN,DET"</formula1>
    </dataValidation>
    <dataValidation type="list" allowBlank="1" showErrorMessage="1" sqref="C6">
      <formula1>"ATL,CLE"</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ErrorMessage="1" sqref="F3:F17">
      <formula1>IF(C3=TRIM(MID(B3, FIND("@", B3)+1, LEN(B3))), F3&gt;E3, OR(E3&gt;F3, C3=""))</formula1>
    </dataValidation>
    <dataValidation type="list" allowBlank="1" showErrorMessage="1" sqref="C10">
      <formula1>"IND,PHI"</formula1>
    </dataValidation>
    <dataValidation type="list" allowBlank="1" showErrorMessage="1" sqref="C16">
      <formula1>"BUF,GB"</formula1>
    </dataValidation>
    <dataValidation type="list" allowBlank="1" showErrorMessage="1" sqref="C3">
      <formula1>"MIN,NE"</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5" location="'Week 15'!A1" ref="H16"/>
    <hyperlink display="Week 16" location="'Week 16'!A1" ref="H17"/>
    <hyperlink display="Week 17" location="'Week 17'!A1" ref="H18"/>
    <hyperlink display="Week 18" location="'Week 18'!A1" ref="H19"/>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20.5"/>
    <col customWidth="1" min="3" max="3" width="16.75"/>
    <col customWidth="1" min="4" max="4" width="7.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474</v>
      </c>
      <c r="C2" s="30" t="s">
        <v>36</v>
      </c>
      <c r="D2" s="30"/>
      <c r="E2" s="29" t="s">
        <v>37</v>
      </c>
      <c r="F2" s="29" t="s">
        <v>38</v>
      </c>
      <c r="G2" s="29" t="s">
        <v>100</v>
      </c>
      <c r="H2" s="29" t="s">
        <v>101</v>
      </c>
      <c r="I2" s="29"/>
      <c r="J2" s="29" t="s">
        <v>102</v>
      </c>
      <c r="K2" s="29" t="s">
        <v>103</v>
      </c>
      <c r="L2" s="29" t="s">
        <v>104</v>
      </c>
      <c r="M2" s="29" t="s">
        <v>105</v>
      </c>
    </row>
    <row r="3">
      <c r="A3" s="32" t="s">
        <v>475</v>
      </c>
      <c r="B3" s="33" t="s">
        <v>476</v>
      </c>
      <c r="C3" s="33" t="s">
        <v>112</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24.0</v>
      </c>
      <c r="F3" s="33">
        <v>27.0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488</v>
      </c>
      <c r="B4" s="33" t="s">
        <v>489</v>
      </c>
      <c r="C4" s="33" t="s">
        <v>121</v>
      </c>
      <c r="D4" s="33" t="str">
        <f t="shared" si="1"/>
        <v/>
      </c>
      <c r="E4" s="33">
        <v>24.0</v>
      </c>
      <c r="F4" s="33">
        <v>27.0</v>
      </c>
      <c r="G4" s="33" t="b">
        <v>0</v>
      </c>
      <c r="H4" s="48" t="s">
        <v>119</v>
      </c>
      <c r="I4" s="33"/>
      <c r="J4" s="59"/>
      <c r="K4" s="60" t="s">
        <v>132</v>
      </c>
      <c r="L4" s="59"/>
      <c r="M4" s="60" t="s">
        <v>133</v>
      </c>
    </row>
    <row r="5">
      <c r="A5" s="32" t="s">
        <v>492</v>
      </c>
      <c r="B5" s="33" t="s">
        <v>493</v>
      </c>
      <c r="C5" s="33" t="s">
        <v>116</v>
      </c>
      <c r="D5" s="33" t="str">
        <f t="shared" si="1"/>
        <v/>
      </c>
      <c r="E5" s="33">
        <v>24.0</v>
      </c>
      <c r="F5" s="33">
        <v>27.0</v>
      </c>
      <c r="G5" s="33" t="b">
        <v>0</v>
      </c>
      <c r="H5" s="48" t="s">
        <v>130</v>
      </c>
      <c r="I5" s="33"/>
      <c r="J5" s="59"/>
      <c r="K5" s="60" t="s">
        <v>142</v>
      </c>
      <c r="L5" s="59"/>
      <c r="M5" s="60" t="s">
        <v>142</v>
      </c>
    </row>
    <row r="6">
      <c r="A6" s="32" t="s">
        <v>494</v>
      </c>
      <c r="B6" s="33" t="s">
        <v>495</v>
      </c>
      <c r="C6" s="33" t="s">
        <v>184</v>
      </c>
      <c r="D6" s="33" t="str">
        <f t="shared" si="1"/>
        <v/>
      </c>
      <c r="E6" s="33">
        <v>21.0</v>
      </c>
      <c r="F6" s="33">
        <v>28.0</v>
      </c>
      <c r="G6" s="33" t="b">
        <v>0</v>
      </c>
      <c r="H6" s="48" t="s">
        <v>141</v>
      </c>
      <c r="I6" s="33"/>
      <c r="J6" s="64"/>
      <c r="K6" s="65" t="s">
        <v>147</v>
      </c>
      <c r="L6" s="64"/>
      <c r="M6" s="65" t="s">
        <v>148</v>
      </c>
    </row>
    <row r="7">
      <c r="A7" s="32" t="s">
        <v>494</v>
      </c>
      <c r="B7" s="56" t="s">
        <v>496</v>
      </c>
      <c r="C7" s="33" t="s">
        <v>168</v>
      </c>
      <c r="D7" s="33" t="str">
        <f t="shared" si="1"/>
        <v/>
      </c>
      <c r="E7" s="33">
        <v>14.0</v>
      </c>
      <c r="F7" s="33">
        <v>20.0</v>
      </c>
      <c r="G7" s="33" t="b">
        <v>0</v>
      </c>
      <c r="H7" s="48" t="s">
        <v>145</v>
      </c>
      <c r="I7" s="33"/>
      <c r="J7" s="51"/>
      <c r="K7" s="52" t="s">
        <v>142</v>
      </c>
      <c r="L7" s="51"/>
      <c r="M7" s="52" t="s">
        <v>157</v>
      </c>
    </row>
    <row r="8">
      <c r="A8" s="32" t="s">
        <v>494</v>
      </c>
      <c r="B8" s="56" t="s">
        <v>500</v>
      </c>
      <c r="C8" s="33" t="s">
        <v>173</v>
      </c>
      <c r="D8" s="33" t="str">
        <f t="shared" si="1"/>
        <v/>
      </c>
      <c r="E8" s="33">
        <v>21.0</v>
      </c>
      <c r="F8" s="33">
        <v>17.0</v>
      </c>
      <c r="G8" s="33" t="b">
        <v>0</v>
      </c>
      <c r="H8" s="48" t="s">
        <v>156</v>
      </c>
      <c r="I8" s="33"/>
      <c r="J8" s="59"/>
      <c r="K8" s="60" t="s">
        <v>161</v>
      </c>
      <c r="L8" s="59"/>
      <c r="M8" s="60" t="s">
        <v>133</v>
      </c>
    </row>
    <row r="9">
      <c r="A9" s="32" t="s">
        <v>494</v>
      </c>
      <c r="B9" s="56" t="s">
        <v>501</v>
      </c>
      <c r="C9" s="33" t="s">
        <v>178</v>
      </c>
      <c r="D9" s="33" t="str">
        <f t="shared" si="1"/>
        <v/>
      </c>
      <c r="E9" s="33">
        <v>23.0</v>
      </c>
      <c r="F9" s="33">
        <v>20.0</v>
      </c>
      <c r="G9" s="33" t="b">
        <v>0</v>
      </c>
      <c r="H9" s="48" t="s">
        <v>159</v>
      </c>
      <c r="I9" s="33"/>
      <c r="J9" s="59"/>
      <c r="K9" s="60" t="s">
        <v>165</v>
      </c>
      <c r="L9" s="59"/>
      <c r="M9" s="60" t="s">
        <v>165</v>
      </c>
    </row>
    <row r="10">
      <c r="A10" s="32" t="s">
        <v>494</v>
      </c>
      <c r="B10" s="56" t="s">
        <v>502</v>
      </c>
      <c r="C10" s="33" t="s">
        <v>153</v>
      </c>
      <c r="D10" s="33" t="str">
        <f t="shared" si="1"/>
        <v/>
      </c>
      <c r="E10" s="33">
        <v>20.0</v>
      </c>
      <c r="F10" s="33">
        <v>23.0</v>
      </c>
      <c r="G10" s="33" t="b">
        <v>0</v>
      </c>
      <c r="H10" s="48" t="s">
        <v>164</v>
      </c>
      <c r="I10" s="33"/>
      <c r="J10" s="64"/>
      <c r="K10" s="65" t="s">
        <v>133</v>
      </c>
      <c r="L10" s="64"/>
      <c r="M10" s="65" t="s">
        <v>171</v>
      </c>
    </row>
    <row r="11">
      <c r="A11" s="32" t="s">
        <v>494</v>
      </c>
      <c r="B11" s="33" t="s">
        <v>506</v>
      </c>
      <c r="C11" s="33" t="s">
        <v>125</v>
      </c>
      <c r="D11" s="33" t="str">
        <f t="shared" si="1"/>
        <v/>
      </c>
      <c r="E11" s="33">
        <v>14.0</v>
      </c>
      <c r="F11" s="33">
        <v>17.0</v>
      </c>
      <c r="G11" s="33" t="b">
        <v>0</v>
      </c>
      <c r="H11" s="48" t="s">
        <v>170</v>
      </c>
      <c r="I11" s="33"/>
      <c r="J11" s="51"/>
      <c r="K11" s="52" t="s">
        <v>157</v>
      </c>
      <c r="L11" s="51"/>
      <c r="M11" s="52" t="s">
        <v>157</v>
      </c>
    </row>
    <row r="12">
      <c r="A12" s="32" t="s">
        <v>494</v>
      </c>
      <c r="B12" s="33" t="s">
        <v>507</v>
      </c>
      <c r="C12" s="33" t="s">
        <v>140</v>
      </c>
      <c r="D12" s="33" t="str">
        <f t="shared" si="1"/>
        <v/>
      </c>
      <c r="E12" s="33">
        <v>20.0</v>
      </c>
      <c r="F12" s="33">
        <v>13.0</v>
      </c>
      <c r="G12" s="33" t="b">
        <v>0</v>
      </c>
      <c r="H12" s="48" t="s">
        <v>175</v>
      </c>
      <c r="I12" s="33"/>
      <c r="J12" s="59"/>
      <c r="K12" s="60" t="s">
        <v>165</v>
      </c>
      <c r="L12" s="59"/>
      <c r="M12" s="60" t="s">
        <v>180</v>
      </c>
    </row>
    <row r="13">
      <c r="A13" s="32" t="s">
        <v>494</v>
      </c>
      <c r="B13" s="33" t="s">
        <v>512</v>
      </c>
      <c r="C13" s="33" t="s">
        <v>146</v>
      </c>
      <c r="D13" s="33" t="str">
        <f t="shared" si="1"/>
        <v/>
      </c>
      <c r="E13" s="33">
        <v>17.0</v>
      </c>
      <c r="F13" s="33">
        <v>21.0</v>
      </c>
      <c r="G13" s="33" t="b">
        <v>1</v>
      </c>
      <c r="H13" s="48" t="s">
        <v>179</v>
      </c>
      <c r="I13" s="33"/>
      <c r="J13" s="59"/>
      <c r="K13" s="60" t="s">
        <v>132</v>
      </c>
      <c r="L13" s="59"/>
      <c r="M13" s="60" t="s">
        <v>147</v>
      </c>
    </row>
    <row r="14">
      <c r="A14" s="32" t="s">
        <v>513</v>
      </c>
      <c r="B14" s="33" t="s">
        <v>514</v>
      </c>
      <c r="C14" s="33" t="s">
        <v>117</v>
      </c>
      <c r="D14" s="33" t="str">
        <f t="shared" si="1"/>
        <v/>
      </c>
      <c r="E14" s="33">
        <v>14.0</v>
      </c>
      <c r="F14" s="33">
        <v>17.0</v>
      </c>
      <c r="G14" s="33" t="b">
        <v>0</v>
      </c>
      <c r="H14" s="48" t="s">
        <v>185</v>
      </c>
      <c r="I14" s="33"/>
      <c r="J14" s="64"/>
      <c r="K14" s="65" t="s">
        <v>122</v>
      </c>
      <c r="L14" s="64"/>
      <c r="M14" s="65" t="s">
        <v>122</v>
      </c>
    </row>
    <row r="15">
      <c r="A15" s="32" t="s">
        <v>517</v>
      </c>
      <c r="B15" s="33" t="s">
        <v>518</v>
      </c>
      <c r="C15" s="33" t="s">
        <v>110</v>
      </c>
      <c r="D15" s="33" t="str">
        <f t="shared" si="1"/>
        <v/>
      </c>
      <c r="E15" s="33">
        <v>10.0</v>
      </c>
      <c r="F15" s="33">
        <v>17.0</v>
      </c>
      <c r="G15" s="33" t="b">
        <v>0</v>
      </c>
      <c r="H15" s="48" t="s">
        <v>191</v>
      </c>
      <c r="I15" s="33"/>
      <c r="J15" s="51"/>
      <c r="K15" s="52" t="s">
        <v>122</v>
      </c>
      <c r="L15" s="51"/>
      <c r="M15" s="52" t="s">
        <v>147</v>
      </c>
    </row>
    <row r="16">
      <c r="A16" s="32" t="s">
        <v>517</v>
      </c>
      <c r="B16" s="56" t="s">
        <v>521</v>
      </c>
      <c r="C16" s="33" t="s">
        <v>108</v>
      </c>
      <c r="D16" s="33" t="str">
        <f t="shared" si="1"/>
        <v/>
      </c>
      <c r="E16" s="33">
        <v>13.0</v>
      </c>
      <c r="F16" s="33">
        <v>20.0</v>
      </c>
      <c r="G16" s="33" t="b">
        <v>0</v>
      </c>
      <c r="H16" s="48" t="s">
        <v>194</v>
      </c>
      <c r="I16" s="33"/>
      <c r="J16" s="59"/>
      <c r="K16" s="60" t="s">
        <v>122</v>
      </c>
      <c r="L16" s="59"/>
      <c r="M16" s="60" t="s">
        <v>180</v>
      </c>
    </row>
    <row r="17">
      <c r="A17" s="32" t="s">
        <v>525</v>
      </c>
      <c r="B17" s="56" t="s">
        <v>526</v>
      </c>
      <c r="C17" s="33" t="s">
        <v>138</v>
      </c>
      <c r="D17" s="33" t="str">
        <f t="shared" si="1"/>
        <v/>
      </c>
      <c r="E17" s="33">
        <v>20.0</v>
      </c>
      <c r="F17" s="75">
        <v>17.0</v>
      </c>
      <c r="G17" s="75" t="b">
        <v>0</v>
      </c>
      <c r="H17" s="113" t="s">
        <v>202</v>
      </c>
      <c r="I17" s="75"/>
      <c r="J17" s="114"/>
      <c r="K17" s="115" t="s">
        <v>132</v>
      </c>
      <c r="L17" s="114"/>
      <c r="M17" s="115" t="s">
        <v>147</v>
      </c>
    </row>
    <row r="18">
      <c r="A18" s="32" t="s">
        <v>529</v>
      </c>
      <c r="B18" s="33" t="s">
        <v>530</v>
      </c>
      <c r="C18" s="33" t="s">
        <v>40</v>
      </c>
      <c r="D18" s="33" t="str">
        <f t="shared" si="1"/>
        <v/>
      </c>
      <c r="E18" s="33">
        <v>14.0</v>
      </c>
      <c r="F18" s="33">
        <v>20.0</v>
      </c>
      <c r="G18" s="33" t="b">
        <v>0</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2">
    <cfRule type="expression" dxfId="3" priority="4" stopIfTrue="1">
      <formula>C12="WSH"</formula>
    </cfRule>
  </conditionalFormatting>
  <conditionalFormatting sqref="F18:F19">
    <cfRule type="expression" dxfId="3" priority="5" stopIfTrue="1">
      <formula>C18="KC"</formula>
    </cfRule>
  </conditionalFormatting>
  <conditionalFormatting sqref="E18:E19">
    <cfRule type="expression" dxfId="3" priority="6" stopIfTrue="1">
      <formula>C18="NE"</formula>
    </cfRule>
  </conditionalFormatting>
  <conditionalFormatting sqref="F17">
    <cfRule type="expression" dxfId="3" priority="7" stopIfTrue="1">
      <formula>C17="MIN"</formula>
    </cfRule>
  </conditionalFormatting>
  <conditionalFormatting sqref="E17">
    <cfRule type="expression" dxfId="3" priority="8" stopIfTrue="1">
      <formula>C17="DET"</formula>
    </cfRule>
  </conditionalFormatting>
  <conditionalFormatting sqref="F16">
    <cfRule type="expression" dxfId="3" priority="9" stopIfTrue="1">
      <formula>C16="LV"</formula>
    </cfRule>
  </conditionalFormatting>
  <conditionalFormatting sqref="E16">
    <cfRule type="expression" dxfId="3" priority="10" stopIfTrue="1">
      <formula>C16="DEN"</formula>
    </cfRule>
  </conditionalFormatting>
  <conditionalFormatting sqref="F15">
    <cfRule type="expression" dxfId="3" priority="11" stopIfTrue="1">
      <formula>C15="LAR"</formula>
    </cfRule>
  </conditionalFormatting>
  <conditionalFormatting sqref="E15">
    <cfRule type="expression" dxfId="3" priority="12" stopIfTrue="1">
      <formula>C15="DAL"</formula>
    </cfRule>
  </conditionalFormatting>
  <conditionalFormatting sqref="F14">
    <cfRule type="expression" dxfId="3" priority="13" stopIfTrue="1">
      <formula>C14="AZ"</formula>
    </cfRule>
  </conditionalFormatting>
  <conditionalFormatting sqref="E14">
    <cfRule type="expression" dxfId="3" priority="14" stopIfTrue="1">
      <formula>C14="NYJ"</formula>
    </cfRule>
  </conditionalFormatting>
  <conditionalFormatting sqref="F13">
    <cfRule type="expression" dxfId="3" priority="15" stopIfTrue="1">
      <formula>C13="GB"</formula>
    </cfRule>
  </conditionalFormatting>
  <conditionalFormatting sqref="E13">
    <cfRule type="expression" dxfId="3" priority="16" stopIfTrue="1">
      <formula>C13="MIA"</formula>
    </cfRule>
  </conditionalFormatting>
  <conditionalFormatting sqref="E12">
    <cfRule type="expression" dxfId="3" priority="17" stopIfTrue="1">
      <formula>C12="ATL"</formula>
    </cfRule>
  </conditionalFormatting>
  <conditionalFormatting sqref="F11">
    <cfRule type="expression" dxfId="3" priority="18" stopIfTrue="1">
      <formula>C11="NYG"</formula>
    </cfRule>
  </conditionalFormatting>
  <conditionalFormatting sqref="E11">
    <cfRule type="expression" dxfId="3" priority="19" stopIfTrue="1">
      <formula>C11="CLE"</formula>
    </cfRule>
  </conditionalFormatting>
  <conditionalFormatting sqref="F10">
    <cfRule type="expression" dxfId="3" priority="20" stopIfTrue="1">
      <formula>C10="PIT"</formula>
    </cfRule>
  </conditionalFormatting>
  <conditionalFormatting sqref="E10">
    <cfRule type="expression" dxfId="3" priority="21" stopIfTrue="1">
      <formula>C10="BAL"</formula>
    </cfRule>
  </conditionalFormatting>
  <conditionalFormatting sqref="F9">
    <cfRule type="expression" dxfId="3" priority="22" stopIfTrue="1">
      <formula>C9="TEN"</formula>
    </cfRule>
  </conditionalFormatting>
  <conditionalFormatting sqref="E9">
    <cfRule type="expression" dxfId="3" priority="23" stopIfTrue="1">
      <formula>C9="IND"</formula>
    </cfRule>
  </conditionalFormatting>
  <conditionalFormatting sqref="F8">
    <cfRule type="expression" dxfId="3" priority="24" stopIfTrue="1">
      <formula>C8="HOU"</formula>
    </cfRule>
  </conditionalFormatting>
  <conditionalFormatting sqref="E8">
    <cfRule type="expression" dxfId="3" priority="25" stopIfTrue="1">
      <formula>C8="JAX"</formula>
    </cfRule>
  </conditionalFormatting>
  <conditionalFormatting sqref="F7">
    <cfRule type="expression" dxfId="3" priority="26" stopIfTrue="1">
      <formula>C7="TB"</formula>
    </cfRule>
  </conditionalFormatting>
  <conditionalFormatting sqref="E7">
    <cfRule type="expression" dxfId="3" priority="27" stopIfTrue="1">
      <formula>C7="NO"</formula>
    </cfRule>
  </conditionalFormatting>
  <conditionalFormatting sqref="F6">
    <cfRule type="expression" dxfId="3" priority="28" stopIfTrue="1">
      <formula>C6="CAR"</formula>
    </cfRule>
  </conditionalFormatting>
  <conditionalFormatting sqref="E6">
    <cfRule type="expression" dxfId="3" priority="29" stopIfTrue="1">
      <formula>C6="CIN"</formula>
    </cfRule>
  </conditionalFormatting>
  <conditionalFormatting sqref="F5">
    <cfRule type="expression" dxfId="3" priority="30" stopIfTrue="1">
      <formula>C5="BUF"</formula>
    </cfRule>
  </conditionalFormatting>
  <conditionalFormatting sqref="E5">
    <cfRule type="expression" dxfId="3" priority="31" stopIfTrue="1">
      <formula>C5="CHI"</formula>
    </cfRule>
  </conditionalFormatting>
  <conditionalFormatting sqref="F4">
    <cfRule type="expression" dxfId="3" priority="32" stopIfTrue="1">
      <formula>C4="PHI"</formula>
    </cfRule>
  </conditionalFormatting>
  <conditionalFormatting sqref="E4">
    <cfRule type="expression" dxfId="3" priority="33" stopIfTrue="1">
      <formula>C4="SEA"</formula>
    </cfRule>
  </conditionalFormatting>
  <conditionalFormatting sqref="F3">
    <cfRule type="expression" dxfId="3" priority="34" stopIfTrue="1">
      <formula>C3="LAC"</formula>
    </cfRule>
  </conditionalFormatting>
  <conditionalFormatting sqref="E3">
    <cfRule type="expression" dxfId="3" priority="35" stopIfTrue="1">
      <formula>C3="SF"</formula>
    </cfRule>
  </conditionalFormatting>
  <dataValidations>
    <dataValidation type="list" allowBlank="1" showErrorMessage="1" sqref="C5">
      <formula1>"CHI,BUF"</formula1>
    </dataValidation>
    <dataValidation type="custom" allowBlank="1" showDropDown="1" showErrorMessage="1" sqref="F6">
      <formula1>if(C6="CAR",F6&gt;E6,or(E6&gt;F6,C6=""))</formula1>
    </dataValidation>
    <dataValidation type="list" allowBlank="1" showErrorMessage="1" sqref="C15">
      <formula1>"DAL,LAR"</formula1>
    </dataValidation>
    <dataValidation type="custom" allowBlank="1" showDropDown="1" showErrorMessage="1" sqref="F13">
      <formula1>if(C13="GB",F13&gt;E13,or(E13&gt;F13,C13=""))</formula1>
    </dataValidation>
    <dataValidation type="list" allowBlank="1" showErrorMessage="1" sqref="C3">
      <formula1>"SF,LAC"</formula1>
    </dataValidation>
    <dataValidation type="list" allowBlank="1" showErrorMessage="1" sqref="C7">
      <formula1>"NO,TB"</formula1>
    </dataValidation>
    <dataValidation type="list" allowBlank="1" showErrorMessage="1" sqref="C16">
      <formula1>"DEN,LV"</formula1>
    </dataValidation>
    <dataValidation type="custom" allowBlank="1" showDropDown="1" showErrorMessage="1" sqref="F5">
      <formula1>if(C5="BUF",F5&gt;E5,or(E5&gt;F5,C5=""))</formula1>
    </dataValidation>
    <dataValidation type="custom" allowBlank="1" showDropDown="1" showErrorMessage="1" sqref="F7">
      <formula1>if(C7="TB",F7&gt;E7,or(E7&gt;F7,C7=""))</formula1>
    </dataValidation>
    <dataValidation type="custom" allowBlank="1" showDropDown="1" showErrorMessage="1" sqref="F10">
      <formula1>if(C10="PIT",F10&gt;E10,or(E10&gt;F10,C10=""))</formula1>
    </dataValidation>
    <dataValidation type="custom" allowBlank="1" showDropDown="1" showErrorMessage="1" sqref="E11">
      <formula1>if(C11="CLE",E11&gt;F11,or(F11&gt;E11,C11=""))</formula1>
    </dataValidation>
    <dataValidation type="list" allowBlank="1" showErrorMessage="1" sqref="C13">
      <formula1>"MIA,GB"</formula1>
    </dataValidation>
    <dataValidation type="custom" allowBlank="1" showDropDown="1" showErrorMessage="1" sqref="F3">
      <formula1>if(C3="LAC",F3&gt;E3,or(E3&gt;F3,C3=""))</formula1>
    </dataValidation>
    <dataValidation type="custom" allowBlank="1" showDropDown="1" showErrorMessage="1" sqref="F4">
      <formula1>if(C4="PHI",F4&gt;E4,or(E4&gt;F4,C4=""))</formula1>
    </dataValidation>
    <dataValidation type="custom" allowBlank="1" showDropDown="1" showErrorMessage="1" sqref="F18:F19">
      <formula1>if(C18="KC",F18&gt;E18,or(E18&gt;F18,C18=""))</formula1>
    </dataValidation>
    <dataValidation type="custom" allowBlank="1" showDropDown="1" showErrorMessage="1" sqref="F12">
      <formula1>if(C12="WSH",F12&gt;E12,or(E12&gt;F12,C12=""))</formula1>
    </dataValidation>
    <dataValidation type="custom" allowBlank="1" showDropDown="1" showErrorMessage="1" sqref="F9">
      <formula1>if(C9="TEN",F9&gt;E9,or(E9&gt;F9,C9=""))</formula1>
    </dataValidation>
    <dataValidation type="custom" allowBlank="1" showDropDown="1" showErrorMessage="1" sqref="E9">
      <formula1>if(C9="IND",E9&gt;F9,or(F9&gt;E9,C9=""))</formula1>
    </dataValidation>
    <dataValidation type="custom" allowBlank="1" showDropDown="1" showErrorMessage="1" sqref="F15">
      <formula1>if(C15="LAR",F15&gt;E15,or(E15&gt;F15,C15=""))</formula1>
    </dataValidation>
    <dataValidation type="custom" allowBlank="1" showDropDown="1" showErrorMessage="1" sqref="E4">
      <formula1>if(C4="SEA",E4&gt;F4,or(F4&gt;E4,C4=""))</formula1>
    </dataValidation>
    <dataValidation type="custom" allowBlank="1" showDropDown="1" showErrorMessage="1" sqref="F14">
      <formula1>if(C14="AZ",F14&gt;E14,or(E14&gt;F14,C14=""))</formula1>
    </dataValidation>
    <dataValidation type="list" allowBlank="1" showErrorMessage="1" sqref="C4">
      <formula1>"SEA,PHI"</formula1>
    </dataValidation>
    <dataValidation type="custom" allowBlank="1" showDropDown="1" showErrorMessage="1" sqref="E3">
      <formula1>if(C3="SF",E3&gt;F3,or(F3&gt;E3,C3=""))</formula1>
    </dataValidation>
    <dataValidation type="custom" allowBlank="1" showDropDown="1" showErrorMessage="1" sqref="E6">
      <formula1>if(C6="CIN",E6&gt;F6,or(F6&gt;E6,C6=""))</formula1>
    </dataValidation>
    <dataValidation type="custom" allowBlank="1" showDropDown="1" showErrorMessage="1" sqref="E7">
      <formula1>if(C7="NO",E7&gt;F7,or(F7&gt;E7,C7=""))</formula1>
    </dataValidation>
    <dataValidation type="custom" allowBlank="1" showDropDown="1" showErrorMessage="1" sqref="E13">
      <formula1>if(C13="MIA",E13&gt;F13,or(F13&gt;E13,C13=""))</formula1>
    </dataValidation>
    <dataValidation type="list" allowBlank="1" showErrorMessage="1" sqref="C6">
      <formula1>"CIN,CAR"</formula1>
    </dataValidation>
    <dataValidation type="custom" allowBlank="1" showDropDown="1" showErrorMessage="1" sqref="E17">
      <formula1>if(C17="DET",E17&gt;F17,or(F17&gt;E17,C17=""))</formula1>
    </dataValidation>
    <dataValidation type="custom" allowBlank="1" showDropDown="1" showErrorMessage="1" sqref="E5">
      <formula1>if(C5="CHI",E5&gt;F5,or(F5&gt;E5,C5=""))</formula1>
    </dataValidation>
    <dataValidation type="list" allowBlank="1" showErrorMessage="1" sqref="C14">
      <formula1>"NYJ,AZ"</formula1>
    </dataValidation>
    <dataValidation type="custom" allowBlank="1" showDropDown="1" showErrorMessage="1" sqref="E8">
      <formula1>if(C8="JAX",E8&gt;F8,or(F8&gt;E8,C8=""))</formula1>
    </dataValidation>
    <dataValidation type="list" allowBlank="1" showErrorMessage="1" sqref="C10">
      <formula1>"BAL,PIT"</formula1>
    </dataValidation>
    <dataValidation type="list" allowBlank="1" showErrorMessage="1" sqref="C17">
      <formula1>"DET,MIN"</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howErrorMessage="1" sqref="C18">
      <formula1>"NE,KC"</formula1>
    </dataValidation>
    <dataValidation type="custom" allowBlank="1" showDropDown="1" showErrorMessage="1" sqref="E15">
      <formula1>if(C15="DAL",E15&gt;F15,or(F15&gt;E15,C15=""))</formula1>
    </dataValidation>
    <dataValidation type="custom" allowBlank="1" showDropDown="1" showErrorMessage="1" sqref="F17">
      <formula1>if(C17="MIN",F17&gt;E17,or(E17&gt;F17,C17=""))</formula1>
    </dataValidation>
    <dataValidation type="custom" allowBlank="1" showDropDown="1" showErrorMessage="1" sqref="E10">
      <formula1>if(C10="BAL",E10&gt;F10,or(F10&gt;E10,C10=""))</formula1>
    </dataValidation>
    <dataValidation type="custom" allowBlank="1" showDropDown="1" showErrorMessage="1" sqref="E14">
      <formula1>if(C14="NYJ",E14&gt;F14,or(F14&gt;E14,C14=""))</formula1>
    </dataValidation>
    <dataValidation type="custom" allowBlank="1" showDropDown="1" showErrorMessage="1" sqref="E18:E19">
      <formula1>if(C18="NE",E18&gt;F18,or(F18&gt;E18,C18=""))</formula1>
    </dataValidation>
    <dataValidation type="list" allowBlank="1" showErrorMessage="1" sqref="C11">
      <formula1>"CLE,NYG"</formula1>
    </dataValidation>
    <dataValidation type="list" allowBlank="1" showErrorMessage="1" sqref="C9">
      <formula1>"IND,TEN"</formula1>
    </dataValidation>
    <dataValidation type="custom" allowBlank="1" showDropDown="1" showErrorMessage="1" sqref="F16">
      <formula1>if(C16="LV",F16&gt;E16,or(E16&gt;F16,C16=""))</formula1>
    </dataValidation>
    <dataValidation type="list" allowBlank="1" showErrorMessage="1" sqref="C8">
      <formula1>"JAX,HOU"</formula1>
    </dataValidation>
    <dataValidation type="custom" allowBlank="1" showDropDown="1" showErrorMessage="1" sqref="E12">
      <formula1>if(C12="ATL",E12&gt;F12,or(F12&gt;E12,C12=""))</formula1>
    </dataValidation>
    <dataValidation type="list" allowBlank="1" showErrorMessage="1" sqref="C12">
      <formula1>"ATL,WSH"</formula1>
    </dataValidation>
    <dataValidation type="custom" allowBlank="1" showDropDown="1" showErrorMessage="1" sqref="F11">
      <formula1>if(C11="NYG",F11&gt;E11,or(E11&gt;F11,C11=""))</formula1>
    </dataValidation>
    <dataValidation type="custom" allowBlank="1" showDropDown="1" showErrorMessage="1" sqref="E16">
      <formula1>if(C16="DEN",E16&gt;F16,or(F16&gt;E16,C16=""))</formula1>
    </dataValidation>
    <dataValidation type="custom" allowBlank="1" showDropDown="1" showErrorMessage="1" sqref="F8">
      <formula1>if(C8="HOU",F8&gt;E8,or(E8&gt;F8,C8=""))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6" location="'Week 16'!A1" ref="H17"/>
    <hyperlink display="Week 17" location="'Week 17'!A1" ref="H18"/>
    <hyperlink display="Week 18" location="'Week 18'!A1" ref="H1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63"/>
    <col customWidth="1" min="2" max="2" width="20.5"/>
    <col customWidth="1" min="3" max="3" width="16.75"/>
    <col customWidth="1" min="4" max="4" width="7.2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487</v>
      </c>
      <c r="C2" s="30" t="s">
        <v>36</v>
      </c>
      <c r="D2" s="30"/>
      <c r="E2" s="29" t="s">
        <v>37</v>
      </c>
      <c r="F2" s="29" t="s">
        <v>38</v>
      </c>
      <c r="G2" s="29" t="s">
        <v>100</v>
      </c>
      <c r="H2" s="29" t="s">
        <v>101</v>
      </c>
      <c r="I2" s="29"/>
      <c r="J2" s="29" t="s">
        <v>102</v>
      </c>
      <c r="K2" s="29" t="s">
        <v>103</v>
      </c>
      <c r="L2" s="29" t="s">
        <v>104</v>
      </c>
      <c r="M2" s="29" t="s">
        <v>105</v>
      </c>
    </row>
    <row r="3">
      <c r="A3" s="32" t="s">
        <v>490</v>
      </c>
      <c r="B3" s="33" t="s">
        <v>491</v>
      </c>
      <c r="C3" s="33" t="s">
        <v>121</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24.0</v>
      </c>
      <c r="F3" s="33">
        <v>31.0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508</v>
      </c>
      <c r="B4" s="56" t="s">
        <v>509</v>
      </c>
      <c r="C4" s="33" t="s">
        <v>152</v>
      </c>
      <c r="D4" s="33" t="str">
        <f t="shared" si="1"/>
        <v/>
      </c>
      <c r="E4" s="33">
        <v>21.0</v>
      </c>
      <c r="F4" s="33">
        <v>24.0</v>
      </c>
      <c r="G4" s="33" t="b">
        <v>0</v>
      </c>
      <c r="H4" s="48" t="s">
        <v>119</v>
      </c>
      <c r="I4" s="33"/>
      <c r="J4" s="59"/>
      <c r="K4" s="60" t="s">
        <v>132</v>
      </c>
      <c r="L4" s="59"/>
      <c r="M4" s="60" t="s">
        <v>133</v>
      </c>
    </row>
    <row r="5">
      <c r="A5" s="32" t="s">
        <v>510</v>
      </c>
      <c r="B5" s="33" t="s">
        <v>511</v>
      </c>
      <c r="C5" s="33" t="s">
        <v>116</v>
      </c>
      <c r="D5" s="33" t="str">
        <f t="shared" si="1"/>
        <v/>
      </c>
      <c r="E5" s="33">
        <v>24.0</v>
      </c>
      <c r="F5" s="33">
        <v>21.0</v>
      </c>
      <c r="G5" s="33" t="b">
        <v>0</v>
      </c>
      <c r="H5" s="48" t="s">
        <v>130</v>
      </c>
      <c r="I5" s="33"/>
      <c r="J5" s="59"/>
      <c r="K5" s="60" t="s">
        <v>142</v>
      </c>
      <c r="L5" s="59"/>
      <c r="M5" s="60" t="s">
        <v>142</v>
      </c>
    </row>
    <row r="6">
      <c r="A6" s="32" t="s">
        <v>515</v>
      </c>
      <c r="B6" s="56" t="s">
        <v>516</v>
      </c>
      <c r="C6" s="33" t="s">
        <v>110</v>
      </c>
      <c r="D6" s="33" t="str">
        <f t="shared" si="1"/>
        <v/>
      </c>
      <c r="E6" s="33">
        <v>28.0</v>
      </c>
      <c r="F6" s="33">
        <v>21.0</v>
      </c>
      <c r="G6" s="33" t="b">
        <v>0</v>
      </c>
      <c r="H6" s="48" t="s">
        <v>141</v>
      </c>
      <c r="I6" s="33"/>
      <c r="J6" s="64"/>
      <c r="K6" s="65" t="s">
        <v>147</v>
      </c>
      <c r="L6" s="64"/>
      <c r="M6" s="65" t="s">
        <v>148</v>
      </c>
    </row>
    <row r="7">
      <c r="A7" s="32" t="s">
        <v>519</v>
      </c>
      <c r="B7" s="56" t="s">
        <v>520</v>
      </c>
      <c r="C7" s="33" t="s">
        <v>140</v>
      </c>
      <c r="D7" s="33" t="str">
        <f t="shared" si="1"/>
        <v/>
      </c>
      <c r="E7" s="33">
        <v>14.0</v>
      </c>
      <c r="F7" s="33">
        <v>20.0</v>
      </c>
      <c r="G7" s="33" t="b">
        <v>0</v>
      </c>
      <c r="H7" s="48" t="s">
        <v>145</v>
      </c>
      <c r="I7" s="33"/>
      <c r="J7" s="51"/>
      <c r="K7" s="52" t="s">
        <v>142</v>
      </c>
      <c r="L7" s="51"/>
      <c r="M7" s="52" t="s">
        <v>157</v>
      </c>
    </row>
    <row r="8">
      <c r="A8" s="32" t="s">
        <v>519</v>
      </c>
      <c r="B8" s="33" t="s">
        <v>524</v>
      </c>
      <c r="C8" s="33" t="s">
        <v>136</v>
      </c>
      <c r="D8" s="33" t="str">
        <f t="shared" si="1"/>
        <v/>
      </c>
      <c r="E8" s="33">
        <v>20.0</v>
      </c>
      <c r="F8" s="33">
        <v>17.0</v>
      </c>
      <c r="G8" s="33" t="b">
        <v>0</v>
      </c>
      <c r="H8" s="48" t="s">
        <v>156</v>
      </c>
      <c r="I8" s="33"/>
      <c r="J8" s="59"/>
      <c r="K8" s="60" t="s">
        <v>161</v>
      </c>
      <c r="L8" s="59"/>
      <c r="M8" s="60" t="s">
        <v>133</v>
      </c>
    </row>
    <row r="9">
      <c r="A9" s="32" t="s">
        <v>519</v>
      </c>
      <c r="B9" s="33" t="s">
        <v>527</v>
      </c>
      <c r="C9" s="33" t="s">
        <v>154</v>
      </c>
      <c r="D9" s="33" t="str">
        <f t="shared" si="1"/>
        <v/>
      </c>
      <c r="E9" s="33">
        <v>10.0</v>
      </c>
      <c r="F9" s="33">
        <v>14.0</v>
      </c>
      <c r="G9" s="33" t="b">
        <v>0</v>
      </c>
      <c r="H9" s="48" t="s">
        <v>159</v>
      </c>
      <c r="I9" s="33"/>
      <c r="J9" s="59"/>
      <c r="K9" s="60" t="s">
        <v>165</v>
      </c>
      <c r="L9" s="59"/>
      <c r="M9" s="60" t="s">
        <v>165</v>
      </c>
    </row>
    <row r="10">
      <c r="A10" s="32" t="s">
        <v>519</v>
      </c>
      <c r="B10" s="33" t="s">
        <v>531</v>
      </c>
      <c r="C10" s="33" t="s">
        <v>153</v>
      </c>
      <c r="D10" s="33" t="str">
        <f t="shared" si="1"/>
        <v/>
      </c>
      <c r="E10" s="33">
        <v>20.0</v>
      </c>
      <c r="F10" s="33">
        <v>23.0</v>
      </c>
      <c r="G10" s="33" t="b">
        <v>0</v>
      </c>
      <c r="H10" s="48" t="s">
        <v>164</v>
      </c>
      <c r="I10" s="33"/>
      <c r="J10" s="64"/>
      <c r="K10" s="65" t="s">
        <v>133</v>
      </c>
      <c r="L10" s="64"/>
      <c r="M10" s="65" t="s">
        <v>171</v>
      </c>
    </row>
    <row r="11">
      <c r="A11" s="32" t="s">
        <v>519</v>
      </c>
      <c r="B11" s="33" t="s">
        <v>533</v>
      </c>
      <c r="C11" s="33" t="s">
        <v>112</v>
      </c>
      <c r="D11" s="33" t="str">
        <f t="shared" si="1"/>
        <v/>
      </c>
      <c r="E11" s="33">
        <v>21.0</v>
      </c>
      <c r="F11" s="33">
        <v>17.0</v>
      </c>
      <c r="G11" s="33" t="b">
        <v>1</v>
      </c>
      <c r="H11" s="48" t="s">
        <v>170</v>
      </c>
      <c r="I11" s="33"/>
      <c r="J11" s="51"/>
      <c r="K11" s="52" t="s">
        <v>157</v>
      </c>
      <c r="L11" s="51"/>
      <c r="M11" s="52" t="s">
        <v>157</v>
      </c>
    </row>
    <row r="12">
      <c r="A12" s="32" t="s">
        <v>519</v>
      </c>
      <c r="B12" s="33" t="s">
        <v>535</v>
      </c>
      <c r="C12" s="33" t="s">
        <v>174</v>
      </c>
      <c r="D12" s="33" t="str">
        <f t="shared" si="1"/>
        <v/>
      </c>
      <c r="E12" s="33">
        <v>21.0</v>
      </c>
      <c r="F12" s="33">
        <v>28.0</v>
      </c>
      <c r="G12" s="33" t="b">
        <v>0</v>
      </c>
      <c r="H12" s="48" t="s">
        <v>175</v>
      </c>
      <c r="I12" s="33"/>
      <c r="J12" s="59"/>
      <c r="K12" s="60" t="s">
        <v>165</v>
      </c>
      <c r="L12" s="59"/>
      <c r="M12" s="60" t="s">
        <v>180</v>
      </c>
    </row>
    <row r="13">
      <c r="A13" s="32" t="s">
        <v>519</v>
      </c>
      <c r="B13" s="56" t="s">
        <v>537</v>
      </c>
      <c r="C13" s="33" t="s">
        <v>126</v>
      </c>
      <c r="D13" s="33" t="str">
        <f t="shared" si="1"/>
        <v/>
      </c>
      <c r="E13" s="33">
        <v>20.0</v>
      </c>
      <c r="F13" s="33">
        <v>13.0</v>
      </c>
      <c r="G13" s="33" t="b">
        <v>0</v>
      </c>
      <c r="H13" s="48" t="s">
        <v>179</v>
      </c>
      <c r="I13" s="33"/>
      <c r="J13" s="59"/>
      <c r="K13" s="60" t="s">
        <v>132</v>
      </c>
      <c r="L13" s="59"/>
      <c r="M13" s="60" t="s">
        <v>147</v>
      </c>
    </row>
    <row r="14">
      <c r="A14" s="32" t="s">
        <v>519</v>
      </c>
      <c r="B14" s="56" t="s">
        <v>539</v>
      </c>
      <c r="C14" s="33" t="s">
        <v>131</v>
      </c>
      <c r="D14" s="33" t="str">
        <f t="shared" si="1"/>
        <v/>
      </c>
      <c r="E14" s="33">
        <v>21.0</v>
      </c>
      <c r="F14" s="33">
        <v>24.0</v>
      </c>
      <c r="G14" s="33" t="b">
        <v>0</v>
      </c>
      <c r="H14" s="48" t="s">
        <v>185</v>
      </c>
      <c r="I14" s="33"/>
      <c r="J14" s="64"/>
      <c r="K14" s="65" t="s">
        <v>122</v>
      </c>
      <c r="L14" s="64"/>
      <c r="M14" s="65" t="s">
        <v>122</v>
      </c>
    </row>
    <row r="15">
      <c r="A15" s="32" t="s">
        <v>542</v>
      </c>
      <c r="B15" s="33" t="s">
        <v>543</v>
      </c>
      <c r="C15" s="33" t="s">
        <v>108</v>
      </c>
      <c r="D15" s="33" t="str">
        <f t="shared" si="1"/>
        <v/>
      </c>
      <c r="E15" s="33">
        <v>21.0</v>
      </c>
      <c r="F15" s="33">
        <v>24.0</v>
      </c>
      <c r="G15" s="33" t="b">
        <v>0</v>
      </c>
      <c r="H15" s="48" t="s">
        <v>191</v>
      </c>
      <c r="I15" s="33"/>
      <c r="J15" s="51"/>
      <c r="K15" s="52" t="s">
        <v>122</v>
      </c>
      <c r="L15" s="51"/>
      <c r="M15" s="52" t="s">
        <v>147</v>
      </c>
    </row>
    <row r="16">
      <c r="A16" s="32" t="s">
        <v>545</v>
      </c>
      <c r="B16" s="33" t="s">
        <v>546</v>
      </c>
      <c r="C16" s="33" t="s">
        <v>40</v>
      </c>
      <c r="D16" s="33" t="str">
        <f t="shared" si="1"/>
        <v/>
      </c>
      <c r="E16" s="33">
        <v>10.0</v>
      </c>
      <c r="F16" s="33">
        <v>14.0</v>
      </c>
      <c r="G16" s="33" t="b">
        <v>0</v>
      </c>
      <c r="H16" s="48" t="s">
        <v>194</v>
      </c>
      <c r="I16" s="33"/>
      <c r="J16" s="59"/>
      <c r="K16" s="60" t="s">
        <v>122</v>
      </c>
      <c r="L16" s="59"/>
      <c r="M16" s="60" t="s">
        <v>180</v>
      </c>
    </row>
    <row r="17">
      <c r="A17" s="32" t="s">
        <v>550</v>
      </c>
      <c r="B17" s="33" t="s">
        <v>551</v>
      </c>
      <c r="C17" s="33" t="s">
        <v>118</v>
      </c>
      <c r="D17" s="33" t="str">
        <f t="shared" si="1"/>
        <v/>
      </c>
      <c r="E17" s="33">
        <v>21.0</v>
      </c>
      <c r="F17" s="33">
        <v>24.0</v>
      </c>
      <c r="G17" s="33" t="b">
        <v>0</v>
      </c>
      <c r="H17" s="48" t="s">
        <v>198</v>
      </c>
      <c r="I17" s="33"/>
      <c r="J17" s="59"/>
      <c r="K17" s="60" t="s">
        <v>132</v>
      </c>
      <c r="L17" s="59"/>
      <c r="M17" s="60" t="s">
        <v>147</v>
      </c>
    </row>
    <row r="18">
      <c r="A18" s="32" t="s">
        <v>555</v>
      </c>
      <c r="B18" s="33" t="s">
        <v>556</v>
      </c>
      <c r="C18" s="33" t="s">
        <v>138</v>
      </c>
      <c r="D18" s="33" t="str">
        <f t="shared" si="1"/>
        <v/>
      </c>
      <c r="E18" s="33">
        <v>20.0</v>
      </c>
      <c r="F18" s="33">
        <v>23.0</v>
      </c>
      <c r="G18" s="33" t="b">
        <v>0</v>
      </c>
      <c r="H18" s="48" t="s">
        <v>206</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C18="DET"</formula>
    </cfRule>
  </conditionalFormatting>
  <conditionalFormatting sqref="E18:E19">
    <cfRule type="expression" dxfId="3" priority="5" stopIfTrue="1">
      <formula>C18="NYG"</formula>
    </cfRule>
  </conditionalFormatting>
  <conditionalFormatting sqref="F17">
    <cfRule type="expression" dxfId="3" priority="6" stopIfTrue="1">
      <formula>C17="DAL"</formula>
    </cfRule>
  </conditionalFormatting>
  <conditionalFormatting sqref="E17">
    <cfRule type="expression" dxfId="3" priority="7" stopIfTrue="1">
      <formula>C17="JAX"</formula>
    </cfRule>
  </conditionalFormatting>
  <conditionalFormatting sqref="F16">
    <cfRule type="expression" dxfId="3" priority="8" stopIfTrue="1">
      <formula>C16="KC"</formula>
    </cfRule>
  </conditionalFormatting>
  <conditionalFormatting sqref="E16">
    <cfRule type="expression" dxfId="3" priority="9" stopIfTrue="1">
      <formula>C16="SF"</formula>
    </cfRule>
  </conditionalFormatting>
  <conditionalFormatting sqref="F15">
    <cfRule type="expression" dxfId="3" priority="10" stopIfTrue="1">
      <formula>C15="LV"</formula>
    </cfRule>
  </conditionalFormatting>
  <conditionalFormatting sqref="E15">
    <cfRule type="expression" dxfId="3" priority="11" stopIfTrue="1">
      <formula>C15="TEN"</formula>
    </cfRule>
  </conditionalFormatting>
  <conditionalFormatting sqref="F14">
    <cfRule type="expression" dxfId="3" priority="12" stopIfTrue="1">
      <formula>C14="BAL"</formula>
    </cfRule>
  </conditionalFormatting>
  <conditionalFormatting sqref="E14">
    <cfRule type="expression" dxfId="3" priority="13" stopIfTrue="1">
      <formula>C14="CLE"</formula>
    </cfRule>
  </conditionalFormatting>
  <conditionalFormatting sqref="F13">
    <cfRule type="expression" dxfId="3" priority="14" stopIfTrue="1">
      <formula>C13="NYJ"</formula>
    </cfRule>
  </conditionalFormatting>
  <conditionalFormatting sqref="E13">
    <cfRule type="expression" dxfId="3" priority="15" stopIfTrue="1">
      <formula>C13="NE"</formula>
    </cfRule>
  </conditionalFormatting>
  <conditionalFormatting sqref="F12">
    <cfRule type="expression" dxfId="3" priority="16" stopIfTrue="1">
      <formula>C12="NO"</formula>
    </cfRule>
  </conditionalFormatting>
  <conditionalFormatting sqref="E12">
    <cfRule type="expression" dxfId="3" priority="17" stopIfTrue="1">
      <formula>C12="AZ"</formula>
    </cfRule>
  </conditionalFormatting>
  <conditionalFormatting sqref="F11">
    <cfRule type="expression" dxfId="3" priority="18" stopIfTrue="1">
      <formula>C11="MIA"</formula>
    </cfRule>
  </conditionalFormatting>
  <conditionalFormatting sqref="E11">
    <cfRule type="expression" dxfId="3" priority="19" stopIfTrue="1">
      <formula>C11="LAC"</formula>
    </cfRule>
  </conditionalFormatting>
  <conditionalFormatting sqref="F10">
    <cfRule type="expression" dxfId="3" priority="20" stopIfTrue="1">
      <formula>C10="PIT"</formula>
    </cfRule>
  </conditionalFormatting>
  <conditionalFormatting sqref="E10">
    <cfRule type="expression" dxfId="3" priority="21" stopIfTrue="1">
      <formula>C10="CAR"</formula>
    </cfRule>
  </conditionalFormatting>
  <conditionalFormatting sqref="F9">
    <cfRule type="expression" dxfId="3" priority="22" stopIfTrue="1">
      <formula>C9="MIN"</formula>
    </cfRule>
  </conditionalFormatting>
  <conditionalFormatting sqref="E9">
    <cfRule type="expression" dxfId="3" priority="23" stopIfTrue="1">
      <formula>C9="WSH"</formula>
    </cfRule>
  </conditionalFormatting>
  <conditionalFormatting sqref="F8">
    <cfRule type="expression" dxfId="3" priority="24" stopIfTrue="1">
      <formula>C8="IND"</formula>
    </cfRule>
  </conditionalFormatting>
  <conditionalFormatting sqref="E8">
    <cfRule type="expression" dxfId="3" priority="25" stopIfTrue="1">
      <formula>C8="CIN"</formula>
    </cfRule>
  </conditionalFormatting>
  <conditionalFormatting sqref="F7">
    <cfRule type="expression" dxfId="3" priority="26" stopIfTrue="1">
      <formula>C7="ATL"</formula>
    </cfRule>
  </conditionalFormatting>
  <conditionalFormatting sqref="E7">
    <cfRule type="expression" dxfId="3" priority="27" stopIfTrue="1">
      <formula>C7="TB"</formula>
    </cfRule>
  </conditionalFormatting>
  <conditionalFormatting sqref="F6">
    <cfRule type="expression" dxfId="3" priority="28" stopIfTrue="1">
      <formula>C6="SEA"</formula>
    </cfRule>
  </conditionalFormatting>
  <conditionalFormatting sqref="E6">
    <cfRule type="expression" dxfId="3" priority="29" stopIfTrue="1">
      <formula>C6="LAR"</formula>
    </cfRule>
  </conditionalFormatting>
  <conditionalFormatting sqref="F5">
    <cfRule type="expression" dxfId="3" priority="30" stopIfTrue="1">
      <formula>C5="DEN"</formula>
    </cfRule>
  </conditionalFormatting>
  <conditionalFormatting sqref="E5">
    <cfRule type="expression" dxfId="3" priority="31" stopIfTrue="1">
      <formula>C5="BUF"</formula>
    </cfRule>
  </conditionalFormatting>
  <conditionalFormatting sqref="F4">
    <cfRule type="expression" dxfId="3" priority="32" stopIfTrue="1">
      <formula>C4="CHI"</formula>
    </cfRule>
  </conditionalFormatting>
  <conditionalFormatting sqref="E4">
    <cfRule type="expression" dxfId="3" priority="33" stopIfTrue="1">
      <formula>C4="GB"</formula>
    </cfRule>
  </conditionalFormatting>
  <conditionalFormatting sqref="F3">
    <cfRule type="expression" dxfId="3" priority="34" stopIfTrue="1">
      <formula>C3="PHI"</formula>
    </cfRule>
  </conditionalFormatting>
  <conditionalFormatting sqref="E3">
    <cfRule type="expression" dxfId="3" priority="35" stopIfTrue="1">
      <formula>C3="HOU"</formula>
    </cfRule>
  </conditionalFormatting>
  <dataValidations>
    <dataValidation type="list" allowBlank="1" showErrorMessage="1" sqref="C3">
      <formula1>"HOU,PHI"</formula1>
    </dataValidation>
    <dataValidation type="custom" allowBlank="1" showDropDown="1" showInputMessage="1" prompt="Enter a value that satisfies the formula: =IF(C7=&quot;CIN&quot;,E7&gt;F7,OR(F7&gt;E7,C7=&quot;&quot;))" sqref="E8">
      <formula1>IF(C8="CIN",E8&gt;F8,OR(F8&gt;E8,C8=""))</formula1>
    </dataValidation>
    <dataValidation type="list" allowBlank="1" showErrorMessage="1" sqref="C6">
      <formula1>"LAR,SEA"</formula1>
    </dataValidation>
    <dataValidation type="list" allowBlank="1" showErrorMessage="1" sqref="C10">
      <formula1>"CAR,PIT"</formula1>
    </dataValidation>
    <dataValidation type="custom" allowBlank="1" showDropDown="1" showInputMessage="1" prompt="Enter a value that satisfies the formula: =IF(C9=&quot;CAR&quot;,E9&gt;F9,OR(F9&gt;E9,C9=&quot;&quot;))" sqref="E10">
      <formula1>IF(C10="CAR",E10&gt;F10,OR(F10&gt;E10,C10=""))</formula1>
    </dataValidation>
    <dataValidation type="custom" allowBlank="1" showDropDown="1" showInputMessage="1" prompt="Enter a value that satisfies the formula: =IF(C16=&quot;JAX&quot;,E16&gt;F16,OR(F16&gt;E16,C16=&quot;&quot;))" sqref="E17">
      <formula1>IF(C17="JAX",E17&gt;F17,OR(F17&gt;E17,C17=""))</formula1>
    </dataValidation>
    <dataValidation type="custom" allowBlank="1" showDropDown="1" showInputMessage="1" prompt="Enter a value that satisfies the formula: =IF(C12=&quot;NYJ&quot;,F12&gt;E12,OR(E12&gt;F12,C12=&quot;&quot;))" sqref="F13">
      <formula1>IF(C13="NYJ",F13&gt;E13,OR(E13&gt;F13,C13=""))</formula1>
    </dataValidation>
    <dataValidation type="custom" allowBlank="1" showDropDown="1" showInputMessage="1" prompt="Enter a value that satisfies the formula: =IF(C14=&quot;LV&quot;,F14&gt;E14,OR(E14&gt;F14,C14=&quot;&quot;))" sqref="F15">
      <formula1>IF(C15="LV",F15&gt;E15,OR(E15&gt;F15,C15=""))</formula1>
    </dataValidation>
    <dataValidation type="list" allowBlank="1" showErrorMessage="1" sqref="C18">
      <formula1>"NYG,DET"</formula1>
    </dataValidation>
    <dataValidation type="custom" allowBlank="1" showDropDown="1" showInputMessage="1" prompt="Enter a value that satisfies the formula: =IF(C3=&quot;GB&quot;,E3&gt;F3,OR(F3&gt;E3,C3=&quot;&quot;))" sqref="E4">
      <formula1>IF(C4="GB",E4&gt;F4,OR(F4&gt;E4,C4=""))</formula1>
    </dataValidation>
    <dataValidation type="custom" allowBlank="1" showDropDown="1" showInputMessage="1" prompt="Enter a value that satisfies the formula: =IF(C13=&quot;BAL&quot;,F13&gt;E13,OR(E13&gt;F13,C13=&quot;&quot;))" sqref="F14">
      <formula1>IF(C14="BAL",F14&gt;E14,OR(E14&gt;F14,C14=""))</formula1>
    </dataValidation>
    <dataValidation type="custom" allowBlank="1" showDropDown="1" showInputMessage="1" prompt="Enter a value that satisfies the formula: =IF(C8=&quot;WSH&quot;,E8&gt;F8,OR(F8&gt;E8,C8=&quot;&quot;))" sqref="E9">
      <formula1>IF(C9="WSH",E9&gt;F9,OR(F9&gt;E9,C9=""))</formula1>
    </dataValidation>
    <dataValidation type="list" allowBlank="1" showErrorMessage="1" sqref="C13">
      <formula1>"NE,NYJ"</formula1>
    </dataValidation>
    <dataValidation type="list" allowBlank="1" showErrorMessage="1" sqref="C17">
      <formula1>"JAX,DAL"</formula1>
    </dataValidation>
    <dataValidation type="custom" allowBlank="1" showDropDown="1" showInputMessage="1" prompt="Enter a value that satisfies the formula: =IF(C8=&quot;MIN&quot;,F8&gt;E8,OR(E8&gt;F8,C8=&quot;&quot;))" sqref="F9">
      <formula1>IF(C9="MIN",F9&gt;E9,OR(E9&gt;F9,C9=""))</formula1>
    </dataValidation>
    <dataValidation type="custom" allowBlank="1" showDropDown="1" showInputMessage="1" prompt="Enter a value that satisfies the formula: =IF(C16=&quot;DAL&quot;,F16&gt;E16,OR(E16&gt;F16,C16=&quot;&quot;))" sqref="F17">
      <formula1>IF(C17="DAL",F17&gt;E17,OR(E17&gt;F17,C17=""))</formula1>
    </dataValidation>
    <dataValidation type="custom" allowBlank="1" showDropDown="1" showInputMessage="1" prompt="Enter a value that satisfies the formula: =IF(C12=&quot;NE&quot;,E12&gt;F12,OR(F12&gt;E12,C12=&quot;&quot;))" sqref="E13">
      <formula1>IF(C13="NE",E13&gt;F13,OR(F13&gt;E13,C13=""))</formula1>
    </dataValidation>
    <dataValidation type="custom" allowBlank="1" showDropDown="1" showInputMessage="1" prompt="Enter a value that satisfies the formula: =IF(C6=&quot;TB&quot;,E6&gt;F6,OR(F6&gt;E6,C6=&quot;&quot;))" sqref="E7">
      <formula1>IF(C7="TB",E7&gt;F7,OR(F7&gt;E7,C7=""))</formula1>
    </dataValidation>
    <dataValidation type="custom" allowBlank="1" showDropDown="1" showInputMessage="1" prompt="Enter a value that satisfies the formula: =IF(C11=&quot;AZ&quot;,E11&gt;F11,OR(F11&gt;E11,C11=&quot;&quot;))" sqref="E12">
      <formula1>IF(C12="AZ",E12&gt;F12,OR(F12&gt;E12,C12=""))</formula1>
    </dataValidation>
    <dataValidation type="list" allowBlank="1" showErrorMessage="1" sqref="C4">
      <formula1>"GB,CHI"</formula1>
    </dataValidation>
    <dataValidation type="list" allowBlank="1" showErrorMessage="1" sqref="C11">
      <formula1>"LAC,MIA"</formula1>
    </dataValidation>
    <dataValidation type="custom" allowBlank="1" showDropDown="1" showInputMessage="1" prompt="Enter a value that satisfies the formula: =IF(C15=&quot;KC&quot;,F15&gt;E15,OR(E15&gt;F15,C15=&quot;&quot;))" sqref="F16">
      <formula1>IF(C16="KC",F16&gt;E16,OR(E16&gt;F16,C16=""))</formula1>
    </dataValidation>
    <dataValidation type="list" allowBlank="1" showErrorMessage="1" sqref="C14">
      <formula1>"CLE,BAL"</formula1>
    </dataValidation>
    <dataValidation type="custom" allowBlank="1" showDropDown="1" showInputMessage="1" prompt="Enter a value that satisfies the formula: =IF(C2=&quot;PHI&quot;,F2&gt;E2,OR(E2&gt;F2,C2=&quot;&quot;))" sqref="F3">
      <formula1>IF(C3="PHI",F3&gt;E3,OR(E3&gt;F3,C3=""))</formula1>
    </dataValidation>
    <dataValidation type="list" allowBlank="1" showErrorMessage="1" sqref="C9">
      <formula1>"WSH,MIN"</formula1>
    </dataValidation>
    <dataValidation type="custom" allowBlank="1" showDropDown="1" showInputMessage="1" prompt="Enter a value that satisfies the formula: =IF(C2=&quot;HOU&quot;,E2&gt;F2,OR(F2&gt;E2,C2=&quot;&quot;))" sqref="E3">
      <formula1>IF(C3="HOU",E3&gt;F3,OR(F3&gt;E3,C3=""))</formula1>
    </dataValidation>
    <dataValidation type="custom" allowBlank="1" showDropDown="1" showInputMessage="1" prompt="Enter a value that satisfies the formula: =IF(C6=&quot;ATL&quot;,F6&gt;E6,OR(E6&gt;F6,C6=&quot;&quot;))" sqref="F7">
      <formula1>IF(C7="ATL",F7&gt;E7,OR(E7&gt;F7,C7=""))</formula1>
    </dataValidation>
    <dataValidation type="list" allowBlank="1" showErrorMessage="1" sqref="C8">
      <formula1>"CIN,IND"</formula1>
    </dataValidation>
    <dataValidation type="custom" allowBlank="1" showDropDown="1" showInputMessage="1" prompt="Enter a value that satisfies the formula: =IF(C17=&quot;DET&quot;,F17&gt;E17,OR(E17&gt;F17,C17=&quot;&quot;))" sqref="F18:F19">
      <formula1>IF(C18="DET",F18&gt;E18,OR(E18&gt;F18,C18=""))</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InputMessage="1" prompt="Enter a value that satisfies the formula: =IF(C4=&quot;BUF&quot;,E4&gt;F4,OR(F4&gt;E4,C4=&quot;&quot;))" sqref="E5">
      <formula1>IF(C5="BUF",E5&gt;F5,OR(F5&gt;E5,C5=""))</formula1>
    </dataValidation>
    <dataValidation type="list" allowBlank="1" showErrorMessage="1" sqref="C5">
      <formula1>"BUF,DEN"</formula1>
    </dataValidation>
    <dataValidation type="list" allowBlank="1" showErrorMessage="1" sqref="C12">
      <formula1>"AZ,NO"</formula1>
    </dataValidation>
    <dataValidation type="custom" allowBlank="1" showDropDown="1" showInputMessage="1" prompt="Enter a value that satisfies the formula: =IF(C5=&quot;SEA&quot;,F5&gt;E5,OR(E5&gt;F5,C5=&quot;&quot;))" sqref="F6">
      <formula1>IF(C6="SEA",F6&gt;E6,OR(E6&gt;F6,C6=""))</formula1>
    </dataValidation>
    <dataValidation type="list" allowBlank="1" showErrorMessage="1" sqref="C16">
      <formula1>"SF,KC"</formula1>
    </dataValidation>
    <dataValidation type="custom" allowBlank="1" showDropDown="1" showInputMessage="1" prompt="Enter a value that satisfies the formula: =IF(C13=&quot;CLE&quot;,E13&gt;F13,OR(F13&gt;E13,C13=&quot;&quot;))" sqref="E14">
      <formula1>IF(C14="CLE",E14&gt;F14,OR(F14&gt;E14,C14=""))</formula1>
    </dataValidation>
    <dataValidation type="custom" allowBlank="1" showDropDown="1" showInputMessage="1" prompt="Enter a value that satisfies the formula: =IF(C5=&quot;LAR&quot;,E5&gt;F5,OR(F5&gt;E5,C5=&quot;&quot;))" sqref="E6">
      <formula1>IF(C6="LAR",E6&gt;F6,OR(F6&gt;E6,C6=""))</formula1>
    </dataValidation>
    <dataValidation type="custom" allowBlank="1" showDropDown="1" showInputMessage="1" prompt="Enter a value that satisfies the formula: =IF(C3=&quot;CHI&quot;,F3&gt;E3,OR(E3&gt;F3,C3=&quot;&quot;))" sqref="F4">
      <formula1>IF(C4="CHI",F4&gt;E4,OR(E4&gt;F4,C4=""))</formula1>
    </dataValidation>
    <dataValidation type="custom" allowBlank="1" showDropDown="1" showInputMessage="1" prompt="Enter a value that satisfies the formula: =IF(C10=&quot;LAC&quot;,E10&gt;F10,OR(F10&gt;E10,C10=&quot;&quot;))" sqref="E11">
      <formula1>IF(C11="LAC",E11&gt;F11,OR(F11&gt;E11,C11=""))</formula1>
    </dataValidation>
    <dataValidation type="custom" allowBlank="1" showDropDown="1" showInputMessage="1" prompt="Enter a value that satisfies the formula: =IF(C15=&quot;SF&quot;,E15&gt;F15,OR(F15&gt;E15,C15=&quot;&quot;))" sqref="E16">
      <formula1>IF(C16="SF",E16&gt;F16,OR(F16&gt;E16,C16=""))</formula1>
    </dataValidation>
    <dataValidation type="list" allowBlank="1" showErrorMessage="1" sqref="C15">
      <formula1>"TEN,LV"</formula1>
    </dataValidation>
    <dataValidation type="list" allowBlank="1" showErrorMessage="1" sqref="C7">
      <formula1>"TB,ATL"</formula1>
    </dataValidation>
    <dataValidation type="custom" allowBlank="1" showDropDown="1" showInputMessage="1" prompt="Enter a value that satisfies the formula: =IF(C9=&quot;PIT&quot;,F9&gt;E9,OR(E9&gt;F9,C9=&quot;&quot;))" sqref="F10">
      <formula1>IF(C10="PIT",F10&gt;E10,OR(E10&gt;F10,C10=""))</formula1>
    </dataValidation>
    <dataValidation type="custom" allowBlank="1" showDropDown="1" showInputMessage="1" prompt="Enter a value that satisfies the formula: =IF(C17=&quot;NYG&quot;,E17&gt;F17,OR(F17&gt;E17,C17=&quot;&quot;))" sqref="E18:E19">
      <formula1>IF(C18="NYG",E18&gt;F18,OR(F18&gt;E18,C18=""))</formula1>
    </dataValidation>
    <dataValidation type="custom" allowBlank="1" showDropDown="1" showInputMessage="1" prompt="Enter a value that satisfies the formula: =IF(C7=&quot;IND&quot;,F7&gt;E7,OR(E7&gt;F7,C7=&quot;&quot;))" sqref="F8">
      <formula1>IF(C8="IND",F8&gt;E8,OR(E8&gt;F8,C8=""))</formula1>
    </dataValidation>
    <dataValidation type="custom" allowBlank="1" showDropDown="1" showInputMessage="1" prompt="Enter a value that satisfies the formula: =IF(C11=&quot;NO&quot;,F11&gt;E11,OR(E11&gt;F11,C11=&quot;&quot;))" sqref="F12">
      <formula1>IF(C12="NO",F12&gt;E12,OR(E12&gt;F12,C12=""))</formula1>
    </dataValidation>
    <dataValidation type="custom" allowBlank="1" showDropDown="1" showInputMessage="1" prompt="Enter a value that satisfies the formula: =IF(C4=&quot;DEN&quot;,F4&gt;E4,OR(E4&gt;F4,C4=&quot;&quot;))" sqref="F5">
      <formula1>IF(C5="DEN",F5&gt;E5,OR(E5&gt;F5,C5=""))</formula1>
    </dataValidation>
    <dataValidation type="custom" allowBlank="1" showDropDown="1" showInputMessage="1" prompt="Enter a value that satisfies the formula: =IF(C14=&quot;TEN&quot;,E14&gt;F14,OR(F14&gt;E14,C14=&quot;&quot;))" sqref="E15">
      <formula1>IF(C15="TEN",E15&gt;F15,OR(F15&gt;E15,C15=""))</formula1>
    </dataValidation>
    <dataValidation type="custom" allowBlank="1" showDropDown="1" showInputMessage="1" prompt="Enter a value that satisfies the formula: =IF(C10=&quot;MIA&quot;,F10&gt;E10,OR(E10&gt;F10,C10=&quot;&quot;))" sqref="F11">
      <formula1>IF(C11="MIA",F11&gt;E11,OR(E11&gt;F11,C11=""))</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7" location="'Week 17'!A1" ref="H18"/>
    <hyperlink display="Week 18" location="'Week 18'!A1" ref="H19"/>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6.5"/>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497</v>
      </c>
      <c r="C2" s="30" t="s">
        <v>36</v>
      </c>
      <c r="D2" s="30"/>
      <c r="E2" s="29" t="s">
        <v>37</v>
      </c>
      <c r="F2" s="29" t="s">
        <v>38</v>
      </c>
      <c r="G2" s="29" t="s">
        <v>100</v>
      </c>
      <c r="H2" s="29" t="s">
        <v>101</v>
      </c>
      <c r="I2" s="29"/>
      <c r="J2" s="29" t="s">
        <v>102</v>
      </c>
      <c r="K2" s="29" t="s">
        <v>103</v>
      </c>
      <c r="L2" s="29" t="s">
        <v>104</v>
      </c>
      <c r="M2" s="29" t="s">
        <v>105</v>
      </c>
    </row>
    <row r="3">
      <c r="A3" s="32" t="s">
        <v>498</v>
      </c>
      <c r="B3" s="56" t="s">
        <v>499</v>
      </c>
      <c r="C3" s="33" t="s">
        <v>131</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14.0</v>
      </c>
      <c r="F3" s="33">
        <v>10.0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522</v>
      </c>
      <c r="B4" s="33" t="s">
        <v>523</v>
      </c>
      <c r="C4" s="33" t="s">
        <v>109</v>
      </c>
      <c r="D4" s="33" t="str">
        <f t="shared" si="1"/>
        <v/>
      </c>
      <c r="E4" s="33">
        <v>21.0</v>
      </c>
      <c r="F4" s="33">
        <v>17.0</v>
      </c>
      <c r="G4" s="33" t="b">
        <v>1</v>
      </c>
      <c r="H4" s="48" t="s">
        <v>119</v>
      </c>
      <c r="I4" s="33"/>
      <c r="J4" s="59"/>
      <c r="K4" s="60" t="s">
        <v>132</v>
      </c>
      <c r="L4" s="59"/>
      <c r="M4" s="60" t="s">
        <v>133</v>
      </c>
    </row>
    <row r="5">
      <c r="A5" s="32" t="s">
        <v>522</v>
      </c>
      <c r="B5" s="56" t="s">
        <v>528</v>
      </c>
      <c r="C5" s="33" t="s">
        <v>174</v>
      </c>
      <c r="D5" s="33" t="str">
        <f t="shared" si="1"/>
        <v/>
      </c>
      <c r="E5" s="33">
        <v>28.0</v>
      </c>
      <c r="F5" s="33">
        <v>21.0</v>
      </c>
      <c r="G5" s="33" t="b">
        <v>0</v>
      </c>
      <c r="H5" s="48" t="s">
        <v>130</v>
      </c>
      <c r="I5" s="33"/>
      <c r="J5" s="59"/>
      <c r="K5" s="60" t="s">
        <v>142</v>
      </c>
      <c r="L5" s="59"/>
      <c r="M5" s="60" t="s">
        <v>142</v>
      </c>
    </row>
    <row r="6">
      <c r="A6" s="32" t="s">
        <v>522</v>
      </c>
      <c r="B6" s="56" t="s">
        <v>532</v>
      </c>
      <c r="C6" s="33" t="s">
        <v>116</v>
      </c>
      <c r="D6" s="33" t="str">
        <f t="shared" si="1"/>
        <v/>
      </c>
      <c r="E6" s="33">
        <v>23.0</v>
      </c>
      <c r="F6" s="33">
        <v>20.0</v>
      </c>
      <c r="G6" s="33" t="b">
        <v>0</v>
      </c>
      <c r="H6" s="48" t="s">
        <v>141</v>
      </c>
      <c r="I6" s="33"/>
      <c r="J6" s="64"/>
      <c r="K6" s="65" t="s">
        <v>147</v>
      </c>
      <c r="L6" s="64"/>
      <c r="M6" s="65" t="s">
        <v>148</v>
      </c>
    </row>
    <row r="7">
      <c r="A7" s="32" t="s">
        <v>522</v>
      </c>
      <c r="B7" s="33" t="s">
        <v>534</v>
      </c>
      <c r="C7" s="33" t="s">
        <v>178</v>
      </c>
      <c r="D7" s="33" t="str">
        <f t="shared" si="1"/>
        <v/>
      </c>
      <c r="E7" s="33">
        <v>28.0</v>
      </c>
      <c r="F7" s="33">
        <v>21.0</v>
      </c>
      <c r="G7" s="33" t="b">
        <v>0</v>
      </c>
      <c r="H7" s="48" t="s">
        <v>145</v>
      </c>
      <c r="I7" s="33"/>
      <c r="J7" s="51"/>
      <c r="K7" s="52" t="s">
        <v>142</v>
      </c>
      <c r="L7" s="51"/>
      <c r="M7" s="52" t="s">
        <v>157</v>
      </c>
    </row>
    <row r="8">
      <c r="A8" s="32" t="s">
        <v>522</v>
      </c>
      <c r="B8" s="33" t="s">
        <v>538</v>
      </c>
      <c r="C8" s="33" t="s">
        <v>151</v>
      </c>
      <c r="D8" s="33" t="str">
        <f t="shared" si="1"/>
        <v/>
      </c>
      <c r="E8" s="33">
        <v>17.0</v>
      </c>
      <c r="F8" s="33">
        <v>20.0</v>
      </c>
      <c r="G8" s="33" t="b">
        <v>0</v>
      </c>
      <c r="H8" s="48" t="s">
        <v>156</v>
      </c>
      <c r="I8" s="33"/>
      <c r="J8" s="59"/>
      <c r="K8" s="60" t="s">
        <v>161</v>
      </c>
      <c r="L8" s="59"/>
      <c r="M8" s="60" t="s">
        <v>133</v>
      </c>
    </row>
    <row r="9">
      <c r="A9" s="32" t="s">
        <v>522</v>
      </c>
      <c r="B9" s="33" t="s">
        <v>540</v>
      </c>
      <c r="C9" s="33" t="s">
        <v>124</v>
      </c>
      <c r="D9" s="33" t="str">
        <f t="shared" si="1"/>
        <v/>
      </c>
      <c r="E9" s="33">
        <v>21.0</v>
      </c>
      <c r="F9" s="33">
        <v>24.0</v>
      </c>
      <c r="G9" s="33" t="b">
        <v>0</v>
      </c>
      <c r="H9" s="48" t="s">
        <v>159</v>
      </c>
      <c r="I9" s="33"/>
      <c r="J9" s="59"/>
      <c r="K9" s="60" t="s">
        <v>165</v>
      </c>
      <c r="L9" s="59"/>
      <c r="M9" s="60" t="s">
        <v>165</v>
      </c>
    </row>
    <row r="10">
      <c r="A10" s="32" t="s">
        <v>522</v>
      </c>
      <c r="B10" s="56" t="s">
        <v>544</v>
      </c>
      <c r="C10" s="33" t="s">
        <v>118</v>
      </c>
      <c r="D10" s="33" t="str">
        <f t="shared" si="1"/>
        <v/>
      </c>
      <c r="E10" s="33">
        <v>24.0</v>
      </c>
      <c r="F10" s="33">
        <v>27.0</v>
      </c>
      <c r="G10" s="33" t="b">
        <v>0</v>
      </c>
      <c r="H10" s="48" t="s">
        <v>164</v>
      </c>
      <c r="I10" s="33"/>
      <c r="J10" s="64"/>
      <c r="K10" s="65" t="s">
        <v>133</v>
      </c>
      <c r="L10" s="64"/>
      <c r="M10" s="65" t="s">
        <v>171</v>
      </c>
    </row>
    <row r="11">
      <c r="A11" s="32" t="s">
        <v>548</v>
      </c>
      <c r="B11" s="33" t="s">
        <v>549</v>
      </c>
      <c r="C11" s="33" t="s">
        <v>117</v>
      </c>
      <c r="D11" s="33" t="str">
        <f t="shared" si="1"/>
        <v/>
      </c>
      <c r="E11" s="33">
        <v>21.0</v>
      </c>
      <c r="F11" s="33">
        <v>24.0</v>
      </c>
      <c r="G11" s="33" t="b">
        <v>0</v>
      </c>
      <c r="H11" s="48" t="s">
        <v>170</v>
      </c>
      <c r="I11" s="33"/>
      <c r="J11" s="51"/>
      <c r="K11" s="52" t="s">
        <v>157</v>
      </c>
      <c r="L11" s="51"/>
      <c r="M11" s="52" t="s">
        <v>157</v>
      </c>
    </row>
    <row r="12">
      <c r="A12" s="32" t="s">
        <v>552</v>
      </c>
      <c r="B12" s="56" t="s">
        <v>553</v>
      </c>
      <c r="C12" s="33" t="s">
        <v>152</v>
      </c>
      <c r="D12" s="33" t="str">
        <f t="shared" si="1"/>
        <v/>
      </c>
      <c r="E12" s="33">
        <v>17.0</v>
      </c>
      <c r="F12" s="33">
        <v>20.0</v>
      </c>
      <c r="G12" s="33" t="b">
        <v>0</v>
      </c>
      <c r="H12" s="48" t="s">
        <v>175</v>
      </c>
      <c r="I12" s="33"/>
      <c r="J12" s="59"/>
      <c r="K12" s="60" t="s">
        <v>165</v>
      </c>
      <c r="L12" s="59"/>
      <c r="M12" s="60" t="s">
        <v>180</v>
      </c>
    </row>
    <row r="13">
      <c r="A13" s="32" t="s">
        <v>557</v>
      </c>
      <c r="B13" s="33" t="s">
        <v>558</v>
      </c>
      <c r="C13" s="33" t="s">
        <v>85</v>
      </c>
      <c r="D13" s="33" t="str">
        <f t="shared" si="1"/>
        <v/>
      </c>
      <c r="E13" s="33">
        <v>21.0</v>
      </c>
      <c r="F13" s="33">
        <v>24.0</v>
      </c>
      <c r="G13" s="33" t="b">
        <v>0</v>
      </c>
      <c r="H13" s="48" t="s">
        <v>179</v>
      </c>
      <c r="I13" s="33"/>
      <c r="J13" s="59"/>
      <c r="K13" s="60" t="s">
        <v>132</v>
      </c>
      <c r="L13" s="59"/>
      <c r="M13" s="60" t="s">
        <v>147</v>
      </c>
    </row>
    <row r="14">
      <c r="A14" s="32" t="s">
        <v>560</v>
      </c>
      <c r="B14" s="33" t="s">
        <v>561</v>
      </c>
      <c r="C14" s="33" t="s">
        <v>163</v>
      </c>
      <c r="D14" s="33" t="str">
        <f t="shared" si="1"/>
        <v/>
      </c>
      <c r="E14" s="33">
        <v>23.0</v>
      </c>
      <c r="F14" s="33">
        <v>20.0</v>
      </c>
      <c r="G14" s="33" t="b">
        <v>0</v>
      </c>
      <c r="H14" s="48" t="s">
        <v>185</v>
      </c>
      <c r="I14" s="33"/>
      <c r="J14" s="64"/>
      <c r="K14" s="65" t="s">
        <v>122</v>
      </c>
      <c r="L14" s="64"/>
      <c r="M14" s="65" t="s">
        <v>122</v>
      </c>
    </row>
    <row r="15">
      <c r="A15" s="32" t="s">
        <v>522</v>
      </c>
      <c r="B15" s="33" t="s">
        <v>574</v>
      </c>
      <c r="C15" s="33" t="s">
        <v>126</v>
      </c>
      <c r="D15" s="33" t="str">
        <f t="shared" si="1"/>
        <v/>
      </c>
      <c r="E15" s="33">
        <v>24.0</v>
      </c>
      <c r="F15" s="33">
        <v>31.0</v>
      </c>
      <c r="G15" s="33" t="b">
        <v>0</v>
      </c>
      <c r="H15" s="48" t="s">
        <v>191</v>
      </c>
      <c r="I15" s="33"/>
      <c r="J15" s="51"/>
      <c r="K15" s="52" t="s">
        <v>122</v>
      </c>
      <c r="L15" s="51"/>
      <c r="M15" s="52" t="s">
        <v>147</v>
      </c>
    </row>
    <row r="16">
      <c r="A16" s="32" t="s">
        <v>593</v>
      </c>
      <c r="B16" s="56" t="s">
        <v>594</v>
      </c>
      <c r="C16" s="33" t="s">
        <v>40</v>
      </c>
      <c r="D16" s="33" t="str">
        <f t="shared" si="1"/>
        <v/>
      </c>
      <c r="E16" s="33">
        <v>24.0</v>
      </c>
      <c r="F16" s="33">
        <v>21.0</v>
      </c>
      <c r="G16" s="33" t="b">
        <v>0</v>
      </c>
      <c r="H16" s="48" t="s">
        <v>194</v>
      </c>
      <c r="I16" s="33"/>
      <c r="J16" s="59"/>
      <c r="K16" s="60" t="s">
        <v>122</v>
      </c>
      <c r="L16" s="59"/>
      <c r="M16" s="60" t="s">
        <v>180</v>
      </c>
    </row>
    <row r="17">
      <c r="A17" s="32" t="s">
        <v>593</v>
      </c>
      <c r="B17" s="33" t="s">
        <v>615</v>
      </c>
      <c r="C17" s="33" t="s">
        <v>110</v>
      </c>
      <c r="D17" s="33" t="str">
        <f t="shared" si="1"/>
        <v/>
      </c>
      <c r="E17" s="33">
        <v>23.0</v>
      </c>
      <c r="F17" s="33">
        <v>20.0</v>
      </c>
      <c r="G17" s="33" t="b">
        <v>0</v>
      </c>
      <c r="H17" s="48" t="s">
        <v>198</v>
      </c>
      <c r="I17" s="33"/>
      <c r="J17" s="59"/>
      <c r="K17" s="60" t="s">
        <v>132</v>
      </c>
      <c r="L17" s="59"/>
      <c r="M17" s="60" t="s">
        <v>147</v>
      </c>
    </row>
    <row r="18">
      <c r="A18" s="32" t="s">
        <v>593</v>
      </c>
      <c r="B18" s="33" t="s">
        <v>633</v>
      </c>
      <c r="C18" s="33" t="s">
        <v>173</v>
      </c>
      <c r="D18" s="33" t="str">
        <f t="shared" si="1"/>
        <v/>
      </c>
      <c r="E18" s="33">
        <v>17.0</v>
      </c>
      <c r="F18" s="33">
        <v>20.0</v>
      </c>
      <c r="G18" s="33" t="b">
        <v>0</v>
      </c>
      <c r="H18" s="48" t="s">
        <v>202</v>
      </c>
      <c r="I18" s="33"/>
      <c r="J18" s="64"/>
      <c r="K18" s="65" t="s">
        <v>161</v>
      </c>
      <c r="L18" s="64"/>
      <c r="M18" s="65" t="s">
        <v>165</v>
      </c>
    </row>
    <row r="19">
      <c r="A19" s="33"/>
      <c r="B19" s="33"/>
      <c r="C19" s="33"/>
      <c r="D19" s="33"/>
      <c r="E19" s="33"/>
      <c r="F19" s="33"/>
      <c r="G19" s="33"/>
      <c r="H19" s="48" t="s">
        <v>207</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4">
    <cfRule type="expression" dxfId="3" priority="4" stopIfTrue="1">
      <formula>C14="GB"</formula>
    </cfRule>
  </conditionalFormatting>
  <conditionalFormatting sqref="E14">
    <cfRule type="expression" dxfId="3" priority="5" stopIfTrue="1">
      <formula>C14="HOU"</formula>
    </cfRule>
  </conditionalFormatting>
  <conditionalFormatting sqref="F13">
    <cfRule type="expression" dxfId="3" priority="6" stopIfTrue="1">
      <formula>C13="SF"</formula>
    </cfRule>
  </conditionalFormatting>
  <conditionalFormatting sqref="E13">
    <cfRule type="expression" dxfId="3" priority="7" stopIfTrue="1">
      <formula>C13="PHI"</formula>
    </cfRule>
  </conditionalFormatting>
  <conditionalFormatting sqref="F12">
    <cfRule type="expression" dxfId="3" priority="8" stopIfTrue="1">
      <formula>C12="CHI"</formula>
    </cfRule>
  </conditionalFormatting>
  <conditionalFormatting sqref="E12">
    <cfRule type="expression" dxfId="3" priority="9" stopIfTrue="1">
      <formula>C12="DET"</formula>
    </cfRule>
  </conditionalFormatting>
  <conditionalFormatting sqref="F11">
    <cfRule type="expression" dxfId="3" priority="10" stopIfTrue="1">
      <formula>C11="AZ"</formula>
    </cfRule>
  </conditionalFormatting>
  <conditionalFormatting sqref="E11">
    <cfRule type="expression" dxfId="3" priority="11" stopIfTrue="1">
      <formula>C11="LV"</formula>
    </cfRule>
  </conditionalFormatting>
  <conditionalFormatting sqref="F10">
    <cfRule type="expression" dxfId="3" priority="12" stopIfTrue="1">
      <formula>C10="DAL"</formula>
    </cfRule>
  </conditionalFormatting>
  <conditionalFormatting sqref="E10">
    <cfRule type="expression" dxfId="3" priority="13" stopIfTrue="1">
      <formula>C10="NYG"</formula>
    </cfRule>
  </conditionalFormatting>
  <conditionalFormatting sqref="F16">
    <cfRule type="expression" dxfId="3" priority="14" stopIfTrue="1">
      <formula>C16="LAC"</formula>
    </cfRule>
  </conditionalFormatting>
  <conditionalFormatting sqref="E16">
    <cfRule type="expression" dxfId="3" priority="15" stopIfTrue="1">
      <formula>C16="KC"</formula>
    </cfRule>
  </conditionalFormatting>
  <conditionalFormatting sqref="F9">
    <cfRule type="expression" dxfId="3" priority="16" stopIfTrue="1">
      <formula>C9="NYJ"</formula>
    </cfRule>
  </conditionalFormatting>
  <conditionalFormatting sqref="E9">
    <cfRule type="expression" dxfId="3" priority="17" stopIfTrue="1">
      <formula>C9="MIN"</formula>
    </cfRule>
  </conditionalFormatting>
  <conditionalFormatting sqref="F8">
    <cfRule type="expression" dxfId="3" priority="18" stopIfTrue="1">
      <formula>C8="TEN"</formula>
    </cfRule>
  </conditionalFormatting>
  <conditionalFormatting sqref="E8">
    <cfRule type="expression" dxfId="3" priority="19" stopIfTrue="1">
      <formula>C8="PIT"</formula>
    </cfRule>
  </conditionalFormatting>
  <conditionalFormatting sqref="F18:F19">
    <cfRule type="expression" dxfId="3" priority="20" stopIfTrue="1">
      <formula>C18="JAX"</formula>
    </cfRule>
  </conditionalFormatting>
  <conditionalFormatting sqref="E18:E19">
    <cfRule type="expression" dxfId="3" priority="21" stopIfTrue="1">
      <formula>C18="WSH"</formula>
    </cfRule>
  </conditionalFormatting>
  <conditionalFormatting sqref="F7">
    <cfRule type="expression" dxfId="3" priority="22" stopIfTrue="1">
      <formula>C7="CLE"</formula>
    </cfRule>
  </conditionalFormatting>
  <conditionalFormatting sqref="E7">
    <cfRule type="expression" dxfId="3" priority="23" stopIfTrue="1">
      <formula>C7="IND"</formula>
    </cfRule>
  </conditionalFormatting>
  <conditionalFormatting sqref="F6">
    <cfRule type="expression" dxfId="3" priority="24" stopIfTrue="1">
      <formula>C6="MIA"</formula>
    </cfRule>
  </conditionalFormatting>
  <conditionalFormatting sqref="E6">
    <cfRule type="expression" dxfId="3" priority="25" stopIfTrue="1">
      <formula>C6="BUF"</formula>
    </cfRule>
  </conditionalFormatting>
  <conditionalFormatting sqref="F5">
    <cfRule type="expression" dxfId="3" priority="26" stopIfTrue="1">
      <formula>C5="ATL"</formula>
    </cfRule>
  </conditionalFormatting>
  <conditionalFormatting sqref="E5">
    <cfRule type="expression" dxfId="3" priority="27" stopIfTrue="1">
      <formula>C5="NO"</formula>
    </cfRule>
  </conditionalFormatting>
  <conditionalFormatting sqref="F17">
    <cfRule type="expression" dxfId="3" priority="28" stopIfTrue="1">
      <formula>C17="TB"</formula>
    </cfRule>
  </conditionalFormatting>
  <conditionalFormatting sqref="E17">
    <cfRule type="expression" dxfId="3" priority="29" stopIfTrue="1">
      <formula>C17="LAR"</formula>
    </cfRule>
  </conditionalFormatting>
  <conditionalFormatting sqref="F15">
    <cfRule type="expression" dxfId="3" priority="30" stopIfTrue="1">
      <formula>C15="NE"</formula>
    </cfRule>
  </conditionalFormatting>
  <conditionalFormatting sqref="E15">
    <cfRule type="expression" dxfId="3" priority="31" stopIfTrue="1">
      <formula>C15="DEN"</formula>
    </cfRule>
  </conditionalFormatting>
  <conditionalFormatting sqref="F4">
    <cfRule type="expression" dxfId="3" priority="32" stopIfTrue="1">
      <formula>C4="CAR"</formula>
    </cfRule>
  </conditionalFormatting>
  <conditionalFormatting sqref="E4">
    <cfRule type="expression" dxfId="3" priority="33" stopIfTrue="1">
      <formula>C4="SEA"</formula>
    </cfRule>
  </conditionalFormatting>
  <conditionalFormatting sqref="F3">
    <cfRule type="expression" dxfId="3" priority="34" stopIfTrue="1">
      <formula>C3="CIN"</formula>
    </cfRule>
  </conditionalFormatting>
  <conditionalFormatting sqref="E3">
    <cfRule type="expression" dxfId="3" priority="35" stopIfTrue="1">
      <formula>C3="BAL"</formula>
    </cfRule>
  </conditionalFormatting>
  <dataValidations>
    <dataValidation type="list" allowBlank="1" showErrorMessage="1" sqref="C7">
      <formula1>"IND,CLE"</formula1>
    </dataValidation>
    <dataValidation type="list" allowBlank="1" showErrorMessage="1" sqref="C18">
      <formula1>"WSH,JAX"</formula1>
    </dataValidation>
    <dataValidation type="custom" allowBlank="1" showDropDown="1" sqref="F5">
      <formula1>IF(C5="ATL",F5&gt;E5,OR(E5&gt;F5,C5=""))</formula1>
    </dataValidation>
    <dataValidation type="custom" allowBlank="1" showDropDown="1" sqref="E16">
      <formula1>IF(C16="KC",E16&gt;F16,OR(F16&gt;E16,C16=""))</formula1>
    </dataValidation>
    <dataValidation type="custom" allowBlank="1" showDropDown="1" sqref="F6">
      <formula1>IF(C6="MIA",F6&gt;E6,OR(E6&gt;F6,C6=""))</formula1>
    </dataValidation>
    <dataValidation type="list" allowBlank="1" showErrorMessage="1" sqref="C11">
      <formula1>"LV,AZ"</formula1>
    </dataValidation>
    <dataValidation type="custom" allowBlank="1" showDropDown="1" sqref="E6">
      <formula1>IF(C6="BUF",E6&gt;F6,OR(F6&gt;E6,C6=""))</formula1>
    </dataValidation>
    <dataValidation type="custom" allowBlank="1" showDropDown="1" sqref="E17">
      <formula1>IF(C17="LAR",E17&gt;F17,OR(F17&gt;E17,C17=""))</formula1>
    </dataValidation>
    <dataValidation type="custom" allowBlank="1" showDropDown="1" sqref="E15">
      <formula1>IF(C15="DEN",E15&gt;F15,OR(F15&gt;E15,C15=""))</formula1>
    </dataValidation>
    <dataValidation type="custom" allowBlank="1" showDropDown="1" sqref="F9">
      <formula1>IF(C9="NYJ",F9&gt;E9,OR(E9&gt;F9,C9=""))</formula1>
    </dataValidation>
    <dataValidation type="custom" allowBlank="1" showDropDown="1" sqref="F11">
      <formula1>IF(C11="AZ",F11&gt;E11,OR(E11&gt;F11,C11=""))</formula1>
    </dataValidation>
    <dataValidation type="custom" allowBlank="1" showDropDown="1" sqref="F18:F19">
      <formula1>IF(C18="JAX",F18&gt;E18,OR(E18&gt;F18,C18=""))</formula1>
    </dataValidation>
    <dataValidation type="custom" allowBlank="1" showDropDown="1" sqref="E8">
      <formula1>IF(C8="PIT",E8&gt;F8,OR(F8&gt;E8,C8=""))</formula1>
    </dataValidation>
    <dataValidation type="custom" allowBlank="1" showDropDown="1" sqref="E9">
      <formula1>IF(C9="MIN",E9&gt;F9,OR(F9&gt;E9,C9=""))</formula1>
    </dataValidation>
    <dataValidation type="custom" allowBlank="1" showDropDown="1" sqref="F10">
      <formula1>IF(C10="DAL",F10&gt;E10,OR(E10&gt;F10,C10=""))</formula1>
    </dataValidation>
    <dataValidation type="custom" allowBlank="1" showDropDown="1" sqref="E14">
      <formula1>IF(C14="HOU",E14&gt;F14,OR(F14&gt;E14,C14=""))</formula1>
    </dataValidation>
    <dataValidation type="custom" allowBlank="1" showDropDown="1" sqref="E3">
      <formula1>IF(C3="BAL",E3&gt;F3,OR(F3&gt;E3,C3=""))</formula1>
    </dataValidation>
    <dataValidation type="list" allowBlank="1" showErrorMessage="1" sqref="C3">
      <formula1>"BAL,CIN"</formula1>
    </dataValidation>
    <dataValidation type="list" allowBlank="1" showErrorMessage="1" sqref="C15">
      <formula1>"DEN,NE"</formula1>
    </dataValidation>
    <dataValidation type="custom" allowBlank="1" showDropDown="1" sqref="E11">
      <formula1>IF(C11="LV",E11&gt;F11,OR(F11&gt;E11,C11=""))</formula1>
    </dataValidation>
    <dataValidation type="custom" allowBlank="1" showDropDown="1" sqref="F12">
      <formula1>IF(C12="CHI",F12&gt;E12,OR(E12&gt;F12,C12=""))</formula1>
    </dataValidation>
    <dataValidation type="list" allowBlank="1" showErrorMessage="1" sqref="C12">
      <formula1>"DET,CHI"</formula1>
    </dataValidation>
    <dataValidation type="custom" allowBlank="1" showDropDown="1" sqref="F13">
      <formula1>IF(C13="SF",F13&gt;E13,OR(E13&gt;F13,C13=""))</formula1>
    </dataValidation>
    <dataValidation type="custom" allowBlank="1" showDropDown="1" sqref="F4">
      <formula1>IF(C4="CAR",F4&gt;E4,OR(E4&gt;F4,C4=""))</formula1>
    </dataValidation>
    <dataValidation type="custom" allowBlank="1" showDropDown="1" sqref="E12">
      <formula1>IF(C12="DET",E12&gt;F12,OR(F12&gt;E12,C12=""))</formula1>
    </dataValidation>
    <dataValidation type="custom" allowBlank="1" showDropDown="1" sqref="E10">
      <formula1>IF(C10="NYG",E10&gt;F10,OR(F10&gt;E10,C10=""))</formula1>
    </dataValidation>
    <dataValidation type="custom" allowBlank="1" showDropDown="1" sqref="E13">
      <formula1>IF(C13="PHI",E13&gt;F13,OR(F13&gt;E13,C13=""))</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list" allowBlank="1" showErrorMessage="1" sqref="C9">
      <formula1>"MIN,NYJ"</formula1>
    </dataValidation>
    <dataValidation type="list" allowBlank="1" showErrorMessage="1" sqref="C8">
      <formula1>"PIT,TEN"</formula1>
    </dataValidation>
    <dataValidation type="custom" allowBlank="1" showDropDown="1" sqref="F8">
      <formula1>IF(C8="TEN",F8&gt;E8,OR(E8&gt;F8,C8=""))</formula1>
    </dataValidation>
    <dataValidation type="custom" allowBlank="1" showDropDown="1" sqref="E4">
      <formula1>IF(C4="SEA",E4&gt;F4,OR(F4&gt;E4,C4=""))</formula1>
    </dataValidation>
    <dataValidation type="list" allowBlank="1" showErrorMessage="1" sqref="C4">
      <formula1>"SEA,CAR"</formula1>
    </dataValidation>
    <dataValidation type="custom" allowBlank="1" showDropDown="1" sqref="F14">
      <formula1>IF(C14="GB",F14&gt;E14,OR(E14&gt;F14,C14=""))</formula1>
    </dataValidation>
    <dataValidation type="custom" allowBlank="1" showDropDown="1" sqref="F7">
      <formula1>IF(C7="CLE",F7&gt;E7,OR(E7&gt;F7,C7=""))</formula1>
    </dataValidation>
    <dataValidation type="custom" allowBlank="1" showDropDown="1" sqref="E7">
      <formula1>IF(C7="IND",E7&gt;F7,OR(F7&gt;E7,C7=""))</formula1>
    </dataValidation>
    <dataValidation type="list" allowBlank="1" showErrorMessage="1" sqref="C14">
      <formula1>"HOU,GB"</formula1>
    </dataValidation>
    <dataValidation type="custom" allowBlank="1" showDropDown="1" sqref="F15">
      <formula1>IF(C15="NE",F15&gt;E15,OR(E15&gt;F15,C15=""))</formula1>
    </dataValidation>
    <dataValidation type="custom" allowBlank="1" showDropDown="1" sqref="F16">
      <formula1>IF(C16="LAC",F16&gt;E16,OR(E16&gt;F16,C16=""))</formula1>
    </dataValidation>
    <dataValidation type="list" allowBlank="1" showErrorMessage="1" sqref="C13">
      <formula1>"PHI,SF"</formula1>
    </dataValidation>
    <dataValidation type="custom" allowBlank="1" showDropDown="1" sqref="E5">
      <formula1>IF(C5="NO",E5&gt;F5,OR(F5&gt;E5,C5=""))</formula1>
    </dataValidation>
    <dataValidation type="list" allowBlank="1" showErrorMessage="1" sqref="C5">
      <formula1>"NO,ATL"</formula1>
    </dataValidation>
    <dataValidation type="custom" allowBlank="1" showDropDown="1" sqref="F3">
      <formula1>IF(C3="CIN",F3&gt;E3,OR(E3&gt;F3,C3=""))</formula1>
    </dataValidation>
    <dataValidation type="list" allowBlank="1" showErrorMessage="1" sqref="C16">
      <formula1>"KC,LAC"</formula1>
    </dataValidation>
    <dataValidation type="list" allowBlank="1" showErrorMessage="1" sqref="C17">
      <formula1>"LAR,TB"</formula1>
    </dataValidation>
    <dataValidation type="list" allowBlank="1" showErrorMessage="1" sqref="C6">
      <formula1>"BUF,MIA"</formula1>
    </dataValidation>
    <dataValidation type="custom" allowBlank="1" showDropDown="1" sqref="F17">
      <formula1>IF(C17="TB",F17&gt;E17,OR(E17&gt;F17,C17=""))</formula1>
    </dataValidation>
    <dataValidation type="list" allowBlank="1" showErrorMessage="1" sqref="C10">
      <formula1>"NYG,DAL"</formula1>
    </dataValidation>
    <dataValidation type="custom" allowBlank="1" showDropDown="1" showErrorMessage="1" sqref="E18:E19">
      <formula1>IF(C18="WAS",E18&gt;F18,OR(F18&gt;E18,C18=""))</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6" location="'Week 16'!A1" ref="H18"/>
    <hyperlink display="Week 18" location="'Week 18'!A1" ref="H19"/>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0.5"/>
    <col customWidth="1" min="3" max="3" width="16.75"/>
    <col customWidth="1" min="4" max="4" width="6.88"/>
    <col customWidth="1" min="5" max="5" width="16.75"/>
    <col customWidth="1" min="6" max="7" width="14.63"/>
    <col customWidth="1" min="8" max="9" width="14.25"/>
    <col customWidth="1" min="10" max="10" width="12.38"/>
    <col customWidth="1" min="11" max="11" width="14.5"/>
    <col customWidth="1" min="12" max="12" width="12.38"/>
    <col customWidth="1" min="13" max="13" width="14.5"/>
  </cols>
  <sheetData>
    <row r="1">
      <c r="A1" s="6" t="s">
        <v>1</v>
      </c>
      <c r="B1" s="6" t="s">
        <v>14</v>
      </c>
      <c r="C1" s="11" t="s">
        <v>20</v>
      </c>
      <c r="D1" s="13"/>
      <c r="E1" s="6" t="s">
        <v>28</v>
      </c>
      <c r="F1" s="21" t="str">
        <f>"Picks: "&amp;COUNTA(C3:C31)&amp;" / "&amp;COUNTA(B3:B31)</f>
        <v>Picks: 16 / 16</v>
      </c>
      <c r="G1" s="23" t="s">
        <v>60</v>
      </c>
      <c r="H1" s="23" t="s">
        <v>82</v>
      </c>
      <c r="I1" s="23" t="s">
        <v>84</v>
      </c>
      <c r="J1" s="28"/>
      <c r="K1" s="28"/>
      <c r="L1" s="28"/>
      <c r="M1" s="28"/>
    </row>
    <row r="2">
      <c r="A2" s="29" t="s">
        <v>98</v>
      </c>
      <c r="B2" s="29" t="s">
        <v>503</v>
      </c>
      <c r="C2" s="30" t="s">
        <v>36</v>
      </c>
      <c r="D2" s="30"/>
      <c r="E2" s="29" t="s">
        <v>37</v>
      </c>
      <c r="F2" s="29" t="s">
        <v>38</v>
      </c>
      <c r="G2" s="29" t="s">
        <v>100</v>
      </c>
      <c r="H2" s="29" t="s">
        <v>101</v>
      </c>
      <c r="I2" s="29"/>
      <c r="J2" s="29" t="s">
        <v>102</v>
      </c>
      <c r="K2" s="29" t="s">
        <v>103</v>
      </c>
      <c r="L2" s="29" t="s">
        <v>104</v>
      </c>
      <c r="M2" s="29" t="s">
        <v>105</v>
      </c>
    </row>
    <row r="3">
      <c r="A3" s="32" t="s">
        <v>504</v>
      </c>
      <c r="B3" s="56" t="s">
        <v>505</v>
      </c>
      <c r="C3" s="33" t="s">
        <v>85</v>
      </c>
      <c r="D3" s="33" t="str">
        <f t="shared" ref="D3:D18" si="1">IF(C3="KC",IMAGE("https://logodownload.org/wp-content/uploads/2020/09/kansas-city-chiefs-logo.png"),IF(C3="LV",IMAGE("https://logodownload.org/wp-content/uploads/2020/09/las-vegas-raiders-logo-1-564x599.png"),IF(C3="DEN",IMAGE("https://logodownload.org/wp-content/uploads/2020/07/denver-broncos-logo-0.png"),IF(C3="LAC",IMAGE("https://logosmarcas.net/wp-content/uploads/2020/07/Los-Angeles-Chargers-logo.png"),IF(C3="BUF",IMAGE("https://logos-download.com/wp-content/uploads/2018/03/Buffalo_Bills_logo_blue.png"),IF(C3="MIA",IMAGE("https://logos-world.net/wp-content/uploads/2020/05/Miami-Dolphins-Logo.png"),IF(C3="NYJ",IMAGE("https://logos-world.net/wp-content/uploads/2020/07/New-York-Jets-Logo.png"),IF(C3="NE",IMAGE("https://purepng.com/public/uploads/large/new-england-patriots-logo-symbol-ucp.png"),IF(C3="BAL",IMAGE("https://1000logos.net/wp-content/uploads/2016/10/Baltimore-Ravens-Logo.png"),IF(C3="CLE",IMAGE("https://logos-world.net/wp-content/uploads/2020/05/Cleveland-Browns-Logo-2006-2014.png"),IF(C3="PIT",IMAGE("https://1000logos.net/wp-content/uploads/2017/06/Pittsburgh-Steelers-Logo.png"),IF(C3="CIN",IMAGE("https://logos-world.net/wp-content/uploads/2020/05/Cincinnati-Bengals-Logo.png"),IF(C3="HOU",IMAGE("https://cdn.wallpapersafari.com/15/25/Jnl2Yc.png"),IF(C3="JAX",IMAGE("https://1000logos.net/wp-content/uploads/2018/07/Jacksonville-Jaguars-Logo-1536x960.png"),IF(C3="IND",IMAGE("https://1000logos.net/wp-content/uploads/2016/12/Indianapolis-Colts-Logo-2048x1280.png"),IF(C3="TEN",IMAGE("https://img-s-msn-com.akamaized.net/tenant/amp/entityid/AA1YwbtK.img?w=720&amp;h=720&amp;m=6"),IF(C3="SF",IMAGE("https://logodownload.org/wp-content/uploads/2020/09/san-francisco-49ers-logo-2048x1220.png"),IF(C3="LAR",IMAGE("https://1000logos.net/wp-content/uploads/2018/07/Rams-Logo.png"),IF(C3="SEA",IMAGE("https://cdn.freebiesupply.com/images/large/2x/seattle-seahawks-logo-transparent.png"),IF(C3="AZ",IMAGE("https://logos-world.net/wp-content/uploads/2020/05/Arizona-Cardinals-Logo.png"),IF(C3="DAL",IMAGE("https://www.freepnglogos.com/uploads/dallas-cowboys-logo-22.png"),IF(C3="PHI",IMAGE("https://1000logos.net/wp-content/uploads/2017/05/Philadelphia-Eagles-Logo.png"),IF(C3="NYG",IMAGE("https://logosmarcas.net/wp-content/uploads/2020/07/New-York-Giants-Logo.png"),IF(C3="WSH",IMAGE("https://logodownload.org/wp-content/uploads/2020/09/washington-commanders-logo.png"),IF(C3="DET",IMAGE("https://logos-world.net/wp-content/uploads/2020/05/Detroit-Lions-Logo-2017-Present.png"),IF(C3="GB",IMAGE("https://logodownload.org/wp-content/uploads/2020/07/green-bay-packers-logo-1.png"),IF(C3="MIN",IMAGE("https://1000logos.net/wp-content/uploads/2017/06/Minnesota-Vikings-Logo-1965.png"),IF(C3="CHI",IMAGE("https://logos-world.net/wp-content/uploads/2020/05/Chicago-Bears-logo.png"),IF(C3="TB",IMAGE("https://logodownload.org/wp-content/uploads/2020/09/tampa-bay-buccaneers-logo.png"),IF(C3="NO",IMAGE("https://1000logos.net/wp-content/uploads/2017/04/New-Orleans-Saints-Logo.png"),IF(C3="ATL",IMAGE("https://logodownload.org/wp-content/uploads/2020/07/atlanta-falcons-logo-0.png"),IF(C3="CAR",IMAGE("https://logos-download.com/wp-content/uploads/2018/02/Carolina_Panthers_logo_blue.png"),""))))))))))))))))))))))))))))))))</f>
        <v/>
      </c>
      <c r="E3" s="33">
        <v>17.0</v>
      </c>
      <c r="F3" s="33">
        <v>14.0</v>
      </c>
      <c r="G3" s="33" t="b">
        <v>0</v>
      </c>
      <c r="H3" s="48" t="s">
        <v>123</v>
      </c>
      <c r="I3" s="33"/>
      <c r="J3" s="51" t="str">
        <f t="array" ref="J3:K18">{Standings!A2:A5, Standings!C2:C5; Standings!A8:A11, Standings!C8:C11; Standings!A14:A17, Standings!C14:C17; Standings!A20:A23, Standings!C20:C23}</f>
        <v/>
      </c>
      <c r="K3" s="52" t="s">
        <v>122</v>
      </c>
      <c r="L3" s="51" t="str">
        <f t="array" ref="L3:M18">{Standings!F2:F5, Standings!H2:H5; Standings!F8:F11, Standings!H8:H11; Standings!F14:F17, Standings!H14:H17; Standings!F20:F23, Standings!H20:H23}</f>
        <v/>
      </c>
      <c r="M3" s="52" t="s">
        <v>122</v>
      </c>
    </row>
    <row r="4">
      <c r="A4" s="32" t="s">
        <v>504</v>
      </c>
      <c r="B4" s="56" t="s">
        <v>536</v>
      </c>
      <c r="C4" s="33" t="s">
        <v>140</v>
      </c>
      <c r="D4" s="33" t="str">
        <f t="shared" si="1"/>
        <v/>
      </c>
      <c r="E4" s="33">
        <v>24.0</v>
      </c>
      <c r="F4" s="33">
        <v>21.0</v>
      </c>
      <c r="G4" s="33" t="b">
        <v>0</v>
      </c>
      <c r="H4" s="48" t="s">
        <v>119</v>
      </c>
      <c r="I4" s="33"/>
      <c r="J4" s="59"/>
      <c r="K4" s="60" t="s">
        <v>132</v>
      </c>
      <c r="L4" s="59"/>
      <c r="M4" s="60" t="s">
        <v>133</v>
      </c>
    </row>
    <row r="5">
      <c r="A5" s="32" t="s">
        <v>504</v>
      </c>
      <c r="B5" s="56" t="s">
        <v>541</v>
      </c>
      <c r="C5" s="33" t="s">
        <v>131</v>
      </c>
      <c r="D5" s="33" t="str">
        <f t="shared" si="1"/>
        <v/>
      </c>
      <c r="E5" s="33">
        <v>10.0</v>
      </c>
      <c r="F5" s="33">
        <v>14.0</v>
      </c>
      <c r="G5" s="33" t="b">
        <v>0</v>
      </c>
      <c r="H5" s="48" t="s">
        <v>130</v>
      </c>
      <c r="I5" s="33"/>
      <c r="J5" s="59"/>
      <c r="K5" s="60" t="s">
        <v>142</v>
      </c>
      <c r="L5" s="59"/>
      <c r="M5" s="60" t="s">
        <v>142</v>
      </c>
    </row>
    <row r="6">
      <c r="A6" s="32" t="s">
        <v>504</v>
      </c>
      <c r="B6" s="56" t="s">
        <v>547</v>
      </c>
      <c r="C6" s="33" t="s">
        <v>116</v>
      </c>
      <c r="D6" s="33" t="str">
        <f t="shared" si="1"/>
        <v/>
      </c>
      <c r="E6" s="33">
        <v>10.0</v>
      </c>
      <c r="F6" s="33">
        <v>14.0</v>
      </c>
      <c r="G6" s="33" t="b">
        <v>0</v>
      </c>
      <c r="H6" s="48" t="s">
        <v>141</v>
      </c>
      <c r="I6" s="33"/>
      <c r="J6" s="64"/>
      <c r="K6" s="65" t="s">
        <v>147</v>
      </c>
      <c r="L6" s="64"/>
      <c r="M6" s="65" t="s">
        <v>148</v>
      </c>
    </row>
    <row r="7">
      <c r="A7" s="32" t="s">
        <v>504</v>
      </c>
      <c r="B7" s="56" t="s">
        <v>554</v>
      </c>
      <c r="C7" s="33" t="s">
        <v>152</v>
      </c>
      <c r="D7" s="33" t="str">
        <f t="shared" si="1"/>
        <v/>
      </c>
      <c r="E7" s="33">
        <v>24.0</v>
      </c>
      <c r="F7" s="33">
        <v>21.0</v>
      </c>
      <c r="G7" s="33" t="b">
        <v>0</v>
      </c>
      <c r="H7" s="48" t="s">
        <v>145</v>
      </c>
      <c r="I7" s="33"/>
      <c r="J7" s="51"/>
      <c r="K7" s="52" t="s">
        <v>142</v>
      </c>
      <c r="L7" s="51"/>
      <c r="M7" s="52" t="s">
        <v>157</v>
      </c>
    </row>
    <row r="8">
      <c r="A8" s="32" t="s">
        <v>504</v>
      </c>
      <c r="B8" s="56" t="s">
        <v>559</v>
      </c>
      <c r="C8" s="33" t="s">
        <v>136</v>
      </c>
      <c r="D8" s="33" t="str">
        <f t="shared" si="1"/>
        <v/>
      </c>
      <c r="E8" s="33">
        <v>14.0</v>
      </c>
      <c r="F8" s="33">
        <v>17.0</v>
      </c>
      <c r="G8" s="33" t="b">
        <v>0</v>
      </c>
      <c r="H8" s="48" t="s">
        <v>156</v>
      </c>
      <c r="I8" s="33"/>
      <c r="J8" s="59"/>
      <c r="K8" s="60" t="s">
        <v>161</v>
      </c>
      <c r="L8" s="59"/>
      <c r="M8" s="60" t="s">
        <v>133</v>
      </c>
    </row>
    <row r="9">
      <c r="A9" s="32" t="s">
        <v>504</v>
      </c>
      <c r="B9" s="56" t="s">
        <v>570</v>
      </c>
      <c r="C9" s="33" t="s">
        <v>118</v>
      </c>
      <c r="D9" s="33" t="str">
        <f t="shared" si="1"/>
        <v/>
      </c>
      <c r="E9" s="33">
        <v>14.0</v>
      </c>
      <c r="F9" s="33">
        <v>10.0</v>
      </c>
      <c r="G9" s="33" t="b">
        <v>0</v>
      </c>
      <c r="H9" s="48" t="s">
        <v>159</v>
      </c>
      <c r="I9" s="33"/>
      <c r="J9" s="59"/>
      <c r="K9" s="60" t="s">
        <v>165</v>
      </c>
      <c r="L9" s="59"/>
      <c r="M9" s="60" t="s">
        <v>165</v>
      </c>
    </row>
    <row r="10">
      <c r="A10" s="32" t="s">
        <v>504</v>
      </c>
      <c r="B10" s="56" t="s">
        <v>599</v>
      </c>
      <c r="C10" s="33" t="s">
        <v>112</v>
      </c>
      <c r="D10" s="33" t="str">
        <f t="shared" si="1"/>
        <v/>
      </c>
      <c r="E10" s="33">
        <v>24.0</v>
      </c>
      <c r="F10" s="33">
        <v>21.0</v>
      </c>
      <c r="G10" s="33" t="b">
        <v>0</v>
      </c>
      <c r="H10" s="48" t="s">
        <v>164</v>
      </c>
      <c r="I10" s="33"/>
      <c r="J10" s="64"/>
      <c r="K10" s="65" t="s">
        <v>133</v>
      </c>
      <c r="L10" s="64"/>
      <c r="M10" s="65" t="s">
        <v>171</v>
      </c>
    </row>
    <row r="11">
      <c r="A11" s="32" t="s">
        <v>504</v>
      </c>
      <c r="B11" s="56" t="s">
        <v>626</v>
      </c>
      <c r="C11" s="33" t="s">
        <v>138</v>
      </c>
      <c r="D11" s="33" t="str">
        <f t="shared" si="1"/>
        <v/>
      </c>
      <c r="E11" s="33">
        <v>27.0</v>
      </c>
      <c r="F11" s="33">
        <v>24.0</v>
      </c>
      <c r="G11" s="33" t="b">
        <v>0</v>
      </c>
      <c r="H11" s="48" t="s">
        <v>170</v>
      </c>
      <c r="I11" s="33"/>
      <c r="J11" s="51"/>
      <c r="K11" s="52" t="s">
        <v>157</v>
      </c>
      <c r="L11" s="51"/>
      <c r="M11" s="52" t="s">
        <v>157</v>
      </c>
    </row>
    <row r="12">
      <c r="A12" s="32" t="s">
        <v>504</v>
      </c>
      <c r="B12" s="56" t="s">
        <v>634</v>
      </c>
      <c r="C12" s="33" t="s">
        <v>163</v>
      </c>
      <c r="D12" s="33" t="str">
        <f t="shared" si="1"/>
        <v/>
      </c>
      <c r="E12" s="33">
        <v>21.0</v>
      </c>
      <c r="F12" s="33">
        <v>28.0</v>
      </c>
      <c r="G12" s="33" t="b">
        <v>1</v>
      </c>
      <c r="H12" s="48" t="s">
        <v>175</v>
      </c>
      <c r="I12" s="33"/>
      <c r="J12" s="59"/>
      <c r="K12" s="60" t="s">
        <v>165</v>
      </c>
      <c r="L12" s="59"/>
      <c r="M12" s="60" t="s">
        <v>180</v>
      </c>
    </row>
    <row r="13">
      <c r="A13" s="32" t="s">
        <v>504</v>
      </c>
      <c r="B13" s="56" t="s">
        <v>635</v>
      </c>
      <c r="C13" s="33" t="s">
        <v>173</v>
      </c>
      <c r="D13" s="33" t="str">
        <f t="shared" si="1"/>
        <v/>
      </c>
      <c r="E13" s="33">
        <v>24.0</v>
      </c>
      <c r="F13" s="33">
        <v>21.0</v>
      </c>
      <c r="G13" s="33" t="b">
        <v>0</v>
      </c>
      <c r="H13" s="48" t="s">
        <v>179</v>
      </c>
      <c r="I13" s="33"/>
      <c r="J13" s="59"/>
      <c r="K13" s="60" t="s">
        <v>132</v>
      </c>
      <c r="L13" s="59"/>
      <c r="M13" s="60" t="s">
        <v>147</v>
      </c>
    </row>
    <row r="14">
      <c r="A14" s="32" t="s">
        <v>504</v>
      </c>
      <c r="B14" s="56" t="s">
        <v>636</v>
      </c>
      <c r="C14" s="33" t="s">
        <v>40</v>
      </c>
      <c r="D14" s="33" t="str">
        <f t="shared" si="1"/>
        <v/>
      </c>
      <c r="E14" s="33">
        <v>24.0</v>
      </c>
      <c r="F14" s="33">
        <v>27.0</v>
      </c>
      <c r="G14" s="33" t="b">
        <v>0</v>
      </c>
      <c r="H14" s="48" t="s">
        <v>185</v>
      </c>
      <c r="I14" s="33"/>
      <c r="J14" s="64"/>
      <c r="K14" s="65" t="s">
        <v>122</v>
      </c>
      <c r="L14" s="64"/>
      <c r="M14" s="65" t="s">
        <v>122</v>
      </c>
    </row>
    <row r="15">
      <c r="A15" s="32" t="s">
        <v>504</v>
      </c>
      <c r="B15" s="56" t="s">
        <v>637</v>
      </c>
      <c r="C15" s="33" t="s">
        <v>109</v>
      </c>
      <c r="D15" s="33" t="str">
        <f t="shared" si="1"/>
        <v/>
      </c>
      <c r="E15" s="33">
        <v>31.0</v>
      </c>
      <c r="F15" s="33">
        <v>24.0</v>
      </c>
      <c r="G15" s="33" t="b">
        <v>0</v>
      </c>
      <c r="H15" s="48" t="s">
        <v>191</v>
      </c>
      <c r="I15" s="33"/>
      <c r="J15" s="51"/>
      <c r="K15" s="52" t="s">
        <v>122</v>
      </c>
      <c r="L15" s="51"/>
      <c r="M15" s="52" t="s">
        <v>147</v>
      </c>
    </row>
    <row r="16">
      <c r="A16" s="32" t="s">
        <v>504</v>
      </c>
      <c r="B16" s="56" t="s">
        <v>638</v>
      </c>
      <c r="C16" s="33" t="s">
        <v>126</v>
      </c>
      <c r="D16" s="33" t="str">
        <f t="shared" si="1"/>
        <v/>
      </c>
      <c r="E16" s="33">
        <v>17.0</v>
      </c>
      <c r="F16" s="33">
        <v>20.0</v>
      </c>
      <c r="G16" s="33" t="b">
        <v>0</v>
      </c>
      <c r="H16" s="48" t="s">
        <v>194</v>
      </c>
      <c r="I16" s="33"/>
      <c r="J16" s="59"/>
      <c r="K16" s="60" t="s">
        <v>122</v>
      </c>
      <c r="L16" s="59"/>
      <c r="M16" s="60" t="s">
        <v>180</v>
      </c>
    </row>
    <row r="17">
      <c r="A17" s="32" t="s">
        <v>504</v>
      </c>
      <c r="B17" s="56" t="s">
        <v>639</v>
      </c>
      <c r="C17" s="33" t="s">
        <v>174</v>
      </c>
      <c r="D17" s="33" t="str">
        <f t="shared" si="1"/>
        <v/>
      </c>
      <c r="E17" s="33">
        <v>17.0</v>
      </c>
      <c r="F17" s="33">
        <v>21.0</v>
      </c>
      <c r="G17" s="33" t="b">
        <v>0</v>
      </c>
      <c r="H17" s="48" t="s">
        <v>198</v>
      </c>
      <c r="I17" s="33"/>
      <c r="J17" s="59"/>
      <c r="K17" s="60" t="s">
        <v>132</v>
      </c>
      <c r="L17" s="59"/>
      <c r="M17" s="60" t="s">
        <v>147</v>
      </c>
    </row>
    <row r="18">
      <c r="A18" s="32" t="s">
        <v>504</v>
      </c>
      <c r="B18" s="56" t="s">
        <v>640</v>
      </c>
      <c r="C18" s="33" t="s">
        <v>121</v>
      </c>
      <c r="D18" s="33" t="str">
        <f t="shared" si="1"/>
        <v/>
      </c>
      <c r="E18" s="33">
        <v>14.0</v>
      </c>
      <c r="F18" s="33">
        <v>10.0</v>
      </c>
      <c r="G18" s="33" t="b">
        <v>0</v>
      </c>
      <c r="H18" s="48" t="s">
        <v>202</v>
      </c>
      <c r="I18" s="33"/>
      <c r="J18" s="64"/>
      <c r="K18" s="65" t="s">
        <v>161</v>
      </c>
      <c r="L18" s="64"/>
      <c r="M18" s="65" t="s">
        <v>165</v>
      </c>
    </row>
    <row r="19">
      <c r="A19" s="33"/>
      <c r="B19" s="33"/>
      <c r="C19" s="33"/>
      <c r="D19" s="33"/>
      <c r="E19" s="33"/>
      <c r="F19" s="33"/>
      <c r="G19" s="33"/>
      <c r="H19" s="48" t="s">
        <v>206</v>
      </c>
      <c r="I19" s="33"/>
      <c r="J19" s="33"/>
      <c r="K19" s="33"/>
      <c r="L19" s="33"/>
      <c r="M19" s="33"/>
    </row>
  </sheetData>
  <conditionalFormatting sqref="F1">
    <cfRule type="expression" dxfId="0" priority="1" stopIfTrue="1">
      <formula>INDEX(SPLIT(F1, " /"), 1, 2) &lt; INDEX(SPLIT(F1, " /"), 1, 3)</formula>
    </cfRule>
  </conditionalFormatting>
  <conditionalFormatting sqref="F1">
    <cfRule type="expression" dxfId="1" priority="2" stopIfTrue="1">
      <formula>INDEX(SPLIT(F1, " /"), 1, 2) = INDEX(SPLIT(F1, " /"), 1, 3)</formula>
    </cfRule>
  </conditionalFormatting>
  <conditionalFormatting sqref="F1">
    <cfRule type="expression" dxfId="2" priority="3" stopIfTrue="1">
      <formula>AND(COUNTA(C3:C31)=COUNTA(B3:B31), COUNTA(B3:B31)&gt;0)</formula>
    </cfRule>
  </conditionalFormatting>
  <conditionalFormatting sqref="F18:F19">
    <cfRule type="expression" dxfId="3" priority="4" stopIfTrue="1">
      <formula>C18="NYG"</formula>
    </cfRule>
  </conditionalFormatting>
  <conditionalFormatting sqref="E18:E19">
    <cfRule type="expression" dxfId="3" priority="5" stopIfTrue="1">
      <formula>C18="PHI"</formula>
    </cfRule>
  </conditionalFormatting>
  <conditionalFormatting sqref="F17">
    <cfRule type="expression" dxfId="3" priority="6" stopIfTrue="1">
      <formula>C17="NO"</formula>
    </cfRule>
  </conditionalFormatting>
  <conditionalFormatting sqref="E17">
    <cfRule type="expression" dxfId="3" priority="7" stopIfTrue="1">
      <formula>C17="TB"</formula>
    </cfRule>
  </conditionalFormatting>
  <conditionalFormatting sqref="F16">
    <cfRule type="expression" dxfId="3" priority="8" stopIfTrue="1">
      <formula>C16="NE"</formula>
    </cfRule>
  </conditionalFormatting>
  <conditionalFormatting sqref="E16">
    <cfRule type="expression" dxfId="3" priority="9" stopIfTrue="1">
      <formula>C16="MIA"</formula>
    </cfRule>
  </conditionalFormatting>
  <conditionalFormatting sqref="F15">
    <cfRule type="expression" dxfId="3" priority="10" stopIfTrue="1">
      <formula>C15="LAR"</formula>
    </cfRule>
  </conditionalFormatting>
  <conditionalFormatting sqref="E15">
    <cfRule type="expression" dxfId="3" priority="11" stopIfTrue="1">
      <formula>C15="SEA"</formula>
    </cfRule>
  </conditionalFormatting>
  <conditionalFormatting sqref="F14">
    <cfRule type="expression" dxfId="3" priority="12" stopIfTrue="1">
      <formula>C14="KC"</formula>
    </cfRule>
  </conditionalFormatting>
  <conditionalFormatting sqref="E14">
    <cfRule type="expression" dxfId="3" priority="13" stopIfTrue="1">
      <formula>C14="LV"</formula>
    </cfRule>
  </conditionalFormatting>
  <conditionalFormatting sqref="F13">
    <cfRule type="expression" dxfId="3" priority="14" stopIfTrue="1">
      <formula>C13="IND"</formula>
    </cfRule>
  </conditionalFormatting>
  <conditionalFormatting sqref="E13">
    <cfRule type="expression" dxfId="3" priority="15" stopIfTrue="1">
      <formula>C13="JAX"</formula>
    </cfRule>
  </conditionalFormatting>
  <conditionalFormatting sqref="F12">
    <cfRule type="expression" dxfId="3" priority="16" stopIfTrue="1">
      <formula>C12="HOU"</formula>
    </cfRule>
  </conditionalFormatting>
  <conditionalFormatting sqref="E12">
    <cfRule type="expression" dxfId="3" priority="17" stopIfTrue="1">
      <formula>C12="TEN"</formula>
    </cfRule>
  </conditionalFormatting>
  <conditionalFormatting sqref="F11">
    <cfRule type="expression" dxfId="3" priority="18" stopIfTrue="1">
      <formula>C11="GB"</formula>
    </cfRule>
  </conditionalFormatting>
  <conditionalFormatting sqref="E11">
    <cfRule type="expression" dxfId="3" priority="19" stopIfTrue="1">
      <formula>C11="DET"</formula>
    </cfRule>
  </conditionalFormatting>
  <conditionalFormatting sqref="F10">
    <cfRule type="expression" dxfId="3" priority="20" stopIfTrue="1">
      <formula>C10="DEN"</formula>
    </cfRule>
  </conditionalFormatting>
  <conditionalFormatting sqref="E10">
    <cfRule type="expression" dxfId="3" priority="21" stopIfTrue="1">
      <formula>C10="LAC"</formula>
    </cfRule>
  </conditionalFormatting>
  <conditionalFormatting sqref="F9">
    <cfRule type="expression" dxfId="3" priority="22" stopIfTrue="1">
      <formula>C9="WSH"</formula>
    </cfRule>
  </conditionalFormatting>
  <conditionalFormatting sqref="E9">
    <cfRule type="expression" dxfId="3" priority="23" stopIfTrue="1">
      <formula>C9="DAL"</formula>
    </cfRule>
  </conditionalFormatting>
  <conditionalFormatting sqref="F8">
    <cfRule type="expression" dxfId="3" priority="24" stopIfTrue="1">
      <formula>C8="CIN"</formula>
    </cfRule>
  </conditionalFormatting>
  <conditionalFormatting sqref="E8">
    <cfRule type="expression" dxfId="3" priority="25" stopIfTrue="1">
      <formula>C8="CLE"</formula>
    </cfRule>
  </conditionalFormatting>
  <conditionalFormatting sqref="F7">
    <cfRule type="expression" dxfId="3" priority="26" stopIfTrue="1">
      <formula>C7="MIN"</formula>
    </cfRule>
  </conditionalFormatting>
  <conditionalFormatting sqref="E7">
    <cfRule type="expression" dxfId="3" priority="27" stopIfTrue="1">
      <formula>C7="CHI"</formula>
    </cfRule>
  </conditionalFormatting>
  <conditionalFormatting sqref="F6">
    <cfRule type="expression" dxfId="3" priority="28" stopIfTrue="1">
      <formula>C6="BUF"</formula>
    </cfRule>
  </conditionalFormatting>
  <conditionalFormatting sqref="E6">
    <cfRule type="expression" dxfId="3" priority="29" stopIfTrue="1">
      <formula>C6="NYJ"</formula>
    </cfRule>
  </conditionalFormatting>
  <conditionalFormatting sqref="F5">
    <cfRule type="expression" dxfId="3" priority="30" stopIfTrue="1">
      <formula>C5="BAL"</formula>
    </cfRule>
  </conditionalFormatting>
  <conditionalFormatting sqref="E5">
    <cfRule type="expression" dxfId="3" priority="31" stopIfTrue="1">
      <formula>C5="PIT"</formula>
    </cfRule>
  </conditionalFormatting>
  <conditionalFormatting sqref="F4">
    <cfRule type="expression" dxfId="3" priority="32" stopIfTrue="1">
      <formula>C4="CAR"</formula>
    </cfRule>
  </conditionalFormatting>
  <conditionalFormatting sqref="E4">
    <cfRule type="expression" dxfId="3" priority="33" stopIfTrue="1">
      <formula>C4="ATL"</formula>
    </cfRule>
  </conditionalFormatting>
  <conditionalFormatting sqref="F3">
    <cfRule type="expression" dxfId="3" priority="34" stopIfTrue="1">
      <formula>C3="AZ"</formula>
    </cfRule>
  </conditionalFormatting>
  <conditionalFormatting sqref="E3">
    <cfRule type="expression" dxfId="3" priority="35" stopIfTrue="1">
      <formula>C3="SF"</formula>
    </cfRule>
  </conditionalFormatting>
  <dataValidations>
    <dataValidation type="custom" allowBlank="1" showDropDown="1" showErrorMessage="1" sqref="E8">
      <formula1>IF(C8="CLE",E8&gt;F8,OR(F8&gt;E8,C8=""))</formula1>
    </dataValidation>
    <dataValidation type="custom" allowBlank="1" showDropDown="1" showErrorMessage="1" sqref="E12">
      <formula1>IF(C12="TEN",E12&gt;F12,OR(F12&gt;E12,C12=""))</formula1>
    </dataValidation>
    <dataValidation type="list" allowBlank="1" showErrorMessage="1" sqref="C17">
      <formula1>"TB,NO"</formula1>
    </dataValidation>
    <dataValidation type="list" allowBlank="1" showErrorMessage="1" sqref="C11">
      <formula1>"DET,GB"</formula1>
    </dataValidation>
    <dataValidation type="custom" allowBlank="1" showDropDown="1" showErrorMessage="1" sqref="F3">
      <formula1>IF(C3="AZ",F3&gt;E3,OR(E3&gt;F3,C3=""))</formula1>
    </dataValidation>
    <dataValidation type="list" allowBlank="1" showErrorMessage="1" sqref="C15">
      <formula1>"SEA,LAR"</formula1>
    </dataValidation>
    <dataValidation type="custom" allowBlank="1" showDropDown="1" showErrorMessage="1" sqref="E15">
      <formula1>IF(C15="SEA",E15&gt;F15,OR(F15&gt;E15,C15=""))</formula1>
    </dataValidation>
    <dataValidation type="custom" allowBlank="1" showDropDown="1" showErrorMessage="1" sqref="F10">
      <formula1>IF(C10="DEN",F10&gt;E10,OR(E10&gt;F10,C10=""))</formula1>
    </dataValidation>
    <dataValidation type="custom" allowBlank="1" showDropDown="1" showErrorMessage="1" sqref="F5">
      <formula1>IF(C5="BAL",F5&gt;E5,OR(E5&gt;F5,C5=""))</formula1>
    </dataValidation>
    <dataValidation type="custom" allowBlank="1" showDropDown="1" showErrorMessage="1" sqref="E10">
      <formula1>IF(C10="LAC",E10&gt;F10,OR(F10&gt;E10,C10=""))</formula1>
    </dataValidation>
    <dataValidation type="list" allowBlank="1" showErrorMessage="1" sqref="C7">
      <formula1>"CHI,MIN"</formula1>
    </dataValidation>
    <dataValidation type="custom" allowBlank="1" showDropDown="1" showErrorMessage="1" sqref="F7">
      <formula1>IF(C7="MIN",F7&gt;E7,OR(E7&gt;F7,C7=""))</formula1>
    </dataValidation>
    <dataValidation type="custom" allowBlank="1" showDropDown="1" showErrorMessage="1" sqref="F17">
      <formula1>IF(C17="NO",F17&gt;E17,OR(E17&gt;F17,C17=""))</formula1>
    </dataValidation>
    <dataValidation type="custom" allowBlank="1" showDropDown="1" showErrorMessage="1" sqref="F13">
      <formula1>IF(C13="IND",F13&gt;E13,OR(E13&gt;F13,C13=""))</formula1>
    </dataValidation>
    <dataValidation type="custom" allowBlank="1" showDropDown="1" showErrorMessage="1" sqref="E14">
      <formula1>IF(C14="LV",E14&gt;F14,OR(F14&gt;E14,C14=""))</formula1>
    </dataValidation>
    <dataValidation type="custom" allowBlank="1" showDropDown="1" showErrorMessage="1" sqref="E18:E19">
      <formula1>IF(C18="PHI",E18&gt;F18,OR(F18&gt;E18,C18=""))</formula1>
    </dataValidation>
    <dataValidation type="custom" allowBlank="1" showDropDown="1" showErrorMessage="1" sqref="E11">
      <formula1>IF(C11="DET",E11&gt;F11,OR(F11&gt;E11,C11=""))</formula1>
    </dataValidation>
    <dataValidation type="custom" allowBlank="1" showDropDown="1" showErrorMessage="1" sqref="E16">
      <formula1>IF(C16="MIA",E16&gt;F16,OR(F16&gt;E16,C16=""))</formula1>
    </dataValidation>
    <dataValidation type="list" allowBlank="1" showErrorMessage="1" sqref="C14">
      <formula1>"LV,KC"</formula1>
    </dataValidation>
    <dataValidation type="list" allowBlank="1" showErrorMessage="1" sqref="C10">
      <formula1>"LAC,DEN"</formula1>
    </dataValidation>
    <dataValidation type="list" allowBlank="1" showErrorMessage="1" sqref="C13">
      <formula1>"JAX,IND"</formula1>
    </dataValidation>
    <dataValidation type="custom" allowBlank="1" showDropDown="1" showErrorMessage="1" sqref="F18:F19">
      <formula1>IF(C18="NYG",F18&gt;E18,OR(E18&gt;F18,C18=""))</formula1>
    </dataValidation>
    <dataValidation type="custom" allowBlank="1" showDropDown="1" showErrorMessage="1" sqref="E7">
      <formula1>IF(C7="CHI",E7&gt;F7,OR(F7&gt;E7,C7=""))</formula1>
    </dataValidation>
    <dataValidation type="custom" allowBlank="1" showDropDown="1" showErrorMessage="1" sqref="F12">
      <formula1>IF(C12="HOU",F12&gt;E12,OR(E12&gt;F12,C12=""))</formula1>
    </dataValidation>
    <dataValidation type="list" allowBlank="1" showErrorMessage="1" sqref="C18">
      <formula1>"PHI,NYG"</formula1>
    </dataValidation>
    <dataValidation type="custom" allowBlank="1" showDropDown="1" showErrorMessage="1" sqref="E17">
      <formula1>IF(C17="TB",E17&gt;F17,OR(F17&gt;E17,C17=""))</formula1>
    </dataValidation>
    <dataValidation type="custom" allowBlank="1" showDropDown="1" showErrorMessage="1" sqref="E9">
      <formula1>IF(C9="DAL",E9&gt;F9,OR(F9&gt;E9,C9=""))</formula1>
    </dataValidation>
    <dataValidation type="custom" allowBlank="1" showDropDown="1" showErrorMessage="1" sqref="F4">
      <formula1>IF(C4="CAR",F4&gt;E4,OR(E4&gt;F4,C4=""))</formula1>
    </dataValidation>
    <dataValidation type="list" allowBlank="1" showErrorMessage="1" sqref="C12">
      <formula1>"TEN,HOU"</formula1>
    </dataValidation>
    <dataValidation type="custom" allowBlank="1" showDropDown="1" showErrorMessage="1" sqref="E13">
      <formula1>IF(C13="JAX",E13&gt;F13,OR(F13&gt;E13,C13=""))</formula1>
    </dataValidation>
    <dataValidation type="custom" allowBlank="1" showDropDown="1" showErrorMessage="1" sqref="E6">
      <formula1>IF(C6="NYJ",E6&gt;F6,OR(F6&gt;E6,C6=""))</formula1>
    </dataValidation>
    <dataValidation type="list" allowBlank="1" sqref="H1">
      <formula1>"Randomizer,🎲 Randomize ALL Picks,🎲 Randomize THIS Week,🎲 Randomize Scores THIS Week,🎲 Randomize REMAINING Picks,🎲 Randomize ALL 3x,🎲 Randomize REMAINING 3x,🏆 Randomize Playoffs,❌ Clear Playoffs,❌ Clear ALL Picks,❌ Clear THIS Week,❌ Clear ALL 3x"</formula1>
    </dataValidation>
    <dataValidation type="custom" allowBlank="1" showDropDown="1" showErrorMessage="1" sqref="E3">
      <formula1>IF(C3="SF",E3&gt;F3,OR(F3&gt;E3,C3=""))</formula1>
    </dataValidation>
    <dataValidation type="list" allowBlank="1" showErrorMessage="1" sqref="C9">
      <formula1>"DAL,WSH"</formula1>
    </dataValidation>
    <dataValidation type="custom" allowBlank="1" showDropDown="1" showErrorMessage="1" sqref="E4">
      <formula1>IF(C4="ATL",E4&gt;F4,OR(F4&gt;E4,C4=""))</formula1>
    </dataValidation>
    <dataValidation type="custom" allowBlank="1" showDropDown="1" showErrorMessage="1" sqref="E5">
      <formula1>IF(C5="PIT",E5&gt;F5,OR(F5&gt;E5,C5=""))</formula1>
    </dataValidation>
    <dataValidation type="custom" allowBlank="1" showDropDown="1" showErrorMessage="1" sqref="F6">
      <formula1>IF(C6="BUF",F6&gt;E6,OR(E6&gt;F6,C6=""))</formula1>
    </dataValidation>
    <dataValidation type="custom" allowBlank="1" showDropDown="1" showErrorMessage="1" sqref="F11">
      <formula1>IF(C11="GB",F11&gt;E11,OR(E11&gt;F11,C11=""))</formula1>
    </dataValidation>
    <dataValidation type="custom" allowBlank="1" showDropDown="1" showErrorMessage="1" sqref="F9">
      <formula1>IF(C9="WSH",F9&gt;E9,OR(E9&gt;F9,C9=""))</formula1>
    </dataValidation>
    <dataValidation type="list" allowBlank="1" showErrorMessage="1" sqref="C4">
      <formula1>"ATL,CAR"</formula1>
    </dataValidation>
    <dataValidation type="list" allowBlank="1" showErrorMessage="1" sqref="C16">
      <formula1>"MIA,NE"</formula1>
    </dataValidation>
    <dataValidation type="list" allowBlank="1" showErrorMessage="1" sqref="C6">
      <formula1>"NYJ,BUF"</formula1>
    </dataValidation>
    <dataValidation type="list" allowBlank="1" showErrorMessage="1" sqref="C3">
      <formula1>"SF,AZ"</formula1>
    </dataValidation>
    <dataValidation type="custom" allowBlank="1" showDropDown="1" showErrorMessage="1" sqref="F8">
      <formula1>IF(C8="CIN",F8&gt;E8,OR(E8&gt;F8,C8=""))</formula1>
    </dataValidation>
    <dataValidation type="custom" allowBlank="1" showDropDown="1" showErrorMessage="1" sqref="F14">
      <formula1>IF(C14="KC",F14&gt;E14,OR(E14&gt;F14,C14=""))</formula1>
    </dataValidation>
    <dataValidation type="list" allowBlank="1" showErrorMessage="1" sqref="C8">
      <formula1>"CLE,CIN"</formula1>
    </dataValidation>
    <dataValidation type="list" allowBlank="1" showErrorMessage="1" sqref="C5">
      <formula1>"PIT,BAL"</formula1>
    </dataValidation>
    <dataValidation type="custom" allowBlank="1" showDropDown="1" showErrorMessage="1" sqref="F15">
      <formula1>IF(C15="LAR",F15&gt;E15,OR(E15&gt;F15,C15=""))</formula1>
    </dataValidation>
    <dataValidation type="custom" allowBlank="1" showDropDown="1" showErrorMessage="1" sqref="F16">
      <formula1>IF(C16="NE",F16&gt;E16,OR(E16&gt;F16,C16=""))</formula1>
    </dataValidation>
  </dataValidations>
  <hyperlinks>
    <hyperlink display="🔗 Quick Links: 📜 Rules" location="'Rules &amp; Scoring'!A1" ref="A1"/>
    <hyperlink display="🏆 Standings" location="Standings!A1" ref="B1"/>
    <hyperlink display="🏈 Playoffs" location="Playoffs!A1" ref="C1"/>
    <hyperlink display="📊 More Stats" location="'More Stats'!A1" ref="E1"/>
    <hyperlink display="Week 1" location="'Week 1'!A1" ref="H3"/>
    <hyperlink display="Week 2" location="'Week 2'!A1" ref="H4"/>
    <hyperlink display="Week 3" location="'Week 3'!A1" ref="H5"/>
    <hyperlink display="Week 4" location="'Week 4'!A1" ref="H6"/>
    <hyperlink display="Week 5" location="'Week 5'!A1" ref="H7"/>
    <hyperlink display="Week 6" location="'Week 6'!A1" ref="H8"/>
    <hyperlink display="Week 7" location="'Week 7'!A1" ref="H9"/>
    <hyperlink display="Week 8" location="'Week 8'!A1" ref="H10"/>
    <hyperlink display="Week 9" location="'Week 9'!A1" ref="H11"/>
    <hyperlink display="Week 10" location="'Week 10'!A1" ref="H12"/>
    <hyperlink display="Week 11" location="'Week 11'!A1" ref="H13"/>
    <hyperlink display="Week 12" location="'Week 12'!A1" ref="H14"/>
    <hyperlink display="Week 13" location="'Week 13'!A1" ref="H15"/>
    <hyperlink display="Week 14" location="'Week 14'!A1" ref="H16"/>
    <hyperlink display="Week 15" location="'Week 15'!A1" ref="H17"/>
    <hyperlink display="Week 16" location="'Week 16'!A1" ref="H18"/>
    <hyperlink display="Week 17" location="'Week 17'!A1" ref="H19"/>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
      <c r="B1" s="116" t="s">
        <v>562</v>
      </c>
      <c r="C1" s="116" t="s">
        <v>563</v>
      </c>
      <c r="D1" s="1" t="s">
        <v>564</v>
      </c>
      <c r="E1" s="1" t="s">
        <v>565</v>
      </c>
      <c r="F1" s="117" t="s">
        <v>566</v>
      </c>
      <c r="G1" s="117" t="s">
        <v>567</v>
      </c>
      <c r="H1" s="118" t="s">
        <v>568</v>
      </c>
      <c r="I1" s="118" t="s">
        <v>569</v>
      </c>
      <c r="J1" s="119" t="s">
        <v>571</v>
      </c>
      <c r="K1" s="119" t="s">
        <v>572</v>
      </c>
      <c r="L1" s="120" t="s">
        <v>573</v>
      </c>
      <c r="M1" s="120" t="s">
        <v>575</v>
      </c>
      <c r="N1" s="121" t="s">
        <v>576</v>
      </c>
      <c r="O1" s="121" t="s">
        <v>577</v>
      </c>
      <c r="P1" s="122" t="s">
        <v>578</v>
      </c>
      <c r="Q1" s="122" t="s">
        <v>579</v>
      </c>
      <c r="R1" s="123" t="s">
        <v>580</v>
      </c>
      <c r="S1" s="123" t="s">
        <v>581</v>
      </c>
      <c r="T1" s="124" t="s">
        <v>582</v>
      </c>
      <c r="U1" s="124" t="s">
        <v>583</v>
      </c>
      <c r="V1" s="125" t="s">
        <v>584</v>
      </c>
      <c r="W1" s="125" t="s">
        <v>585</v>
      </c>
      <c r="X1" s="126" t="s">
        <v>586</v>
      </c>
      <c r="Y1" s="126" t="s">
        <v>587</v>
      </c>
      <c r="Z1" s="127" t="s">
        <v>588</v>
      </c>
      <c r="AA1" s="127" t="s">
        <v>589</v>
      </c>
      <c r="AB1" s="128" t="s">
        <v>590</v>
      </c>
      <c r="AC1" s="128" t="s">
        <v>591</v>
      </c>
      <c r="AD1" s="129" t="s">
        <v>592</v>
      </c>
      <c r="AE1" s="129" t="s">
        <v>595</v>
      </c>
      <c r="AF1" s="130" t="s">
        <v>596</v>
      </c>
      <c r="AG1" s="130" t="s">
        <v>597</v>
      </c>
      <c r="AH1" s="131" t="s">
        <v>598</v>
      </c>
      <c r="AI1" s="131" t="s">
        <v>600</v>
      </c>
      <c r="AJ1" s="132" t="s">
        <v>601</v>
      </c>
      <c r="AK1" s="132" t="s">
        <v>602</v>
      </c>
      <c r="AL1" s="133" t="s">
        <v>603</v>
      </c>
      <c r="AM1" s="133" t="s">
        <v>604</v>
      </c>
      <c r="AN1" s="134" t="s">
        <v>605</v>
      </c>
      <c r="AO1" s="134" t="s">
        <v>606</v>
      </c>
      <c r="AP1" s="135" t="s">
        <v>607</v>
      </c>
      <c r="AQ1" s="135" t="s">
        <v>608</v>
      </c>
      <c r="AR1" s="136" t="s">
        <v>609</v>
      </c>
      <c r="AS1" s="136" t="s">
        <v>610</v>
      </c>
      <c r="AT1" s="137" t="s">
        <v>611</v>
      </c>
      <c r="AU1" s="137" t="s">
        <v>612</v>
      </c>
      <c r="AV1" s="138" t="s">
        <v>613</v>
      </c>
      <c r="AW1" s="138" t="s">
        <v>614</v>
      </c>
      <c r="AX1" s="139" t="s">
        <v>616</v>
      </c>
      <c r="AY1" s="139" t="s">
        <v>617</v>
      </c>
      <c r="AZ1" s="140" t="s">
        <v>618</v>
      </c>
      <c r="BA1" s="140" t="s">
        <v>619</v>
      </c>
      <c r="BB1" s="141" t="s">
        <v>620</v>
      </c>
      <c r="BC1" s="141" t="s">
        <v>621</v>
      </c>
      <c r="BD1" s="142" t="s">
        <v>622</v>
      </c>
      <c r="BE1" s="142" t="s">
        <v>623</v>
      </c>
      <c r="BF1" s="143" t="s">
        <v>624</v>
      </c>
      <c r="BG1" s="143" t="s">
        <v>625</v>
      </c>
      <c r="BH1" s="144" t="s">
        <v>627</v>
      </c>
      <c r="BI1" s="144" t="s">
        <v>628</v>
      </c>
      <c r="BJ1" s="145" t="s">
        <v>629</v>
      </c>
      <c r="BK1" s="145" t="s">
        <v>630</v>
      </c>
      <c r="BL1" s="146" t="s">
        <v>631</v>
      </c>
      <c r="BM1" s="146" t="s">
        <v>632</v>
      </c>
    </row>
    <row r="2">
      <c r="A2" s="147" t="s">
        <v>123</v>
      </c>
      <c r="B2" s="148" t="str">
        <f t="shared" ref="B2:B5" si="1">LET(team, SUBSTITUTE(B$1, " Wins", ""), IF(COUNTIF(INDIRECT("'"&amp;$A2&amp;"'!$C:$C"), team)&gt;0, 1, "-"))</f>
        <v>-</v>
      </c>
      <c r="C2" s="148">
        <f t="shared" ref="C2:C5" si="2">LET(team, SUBSTITUTE(C$1, " Losses", ""), weekSheet, "'"&amp;$A2&amp;"'!", matchIdx, MATCH("*"&amp;team&amp;"*", INDIRECT(weekSheet&amp;"$B:$B"), 0), IF(ISNA(matchIdx), "-", LET(winner, INDEX(INDIRECT(weekSheet&amp;"$C:$C"), matchIdx), IF(winner="", "-", IF(winner=team, "-", 1)))))</f>
        <v>1</v>
      </c>
      <c r="D2" s="149">
        <f t="shared" ref="D2:D13" si="3">LET(team, SUBSTITUTE(D$1, " Wins", ""), IF(COUNTIF(INDIRECT("'"&amp;$A2&amp;"'!$C:$C"), team)&gt;0, 1, "-"))</f>
        <v>1</v>
      </c>
      <c r="E2" s="149" t="str">
        <f t="shared" ref="E2:E13" si="4">LET(team, SUBSTITUTE(E$1, " Losses", ""), weekSheet, "'"&amp;$A2&amp;"'!", matchIdx, MATCH("*"&amp;team&amp;"*", INDIRECT(weekSheet&amp;"$B:$B"), 0), IF(ISNA(matchIdx), "-", LET(winner, INDEX(INDIRECT(weekSheet&amp;"$C:$C"), matchIdx), IF(winner="", "-", IF(winner=team, "-", 1)))))</f>
        <v>-</v>
      </c>
      <c r="F2" s="150">
        <f t="shared" ref="F2:F10" si="5">LET(team, SUBSTITUTE(F$1, " Wins", ""), IF(COUNTIF(INDIRECT("'"&amp;$A2&amp;"'!$C:$C"), team)&gt;0, 1, "-"))</f>
        <v>1</v>
      </c>
      <c r="G2" s="150" t="str">
        <f t="shared" ref="G2:G10" si="6">LET(team, SUBSTITUTE(G$1, " Losses", ""), weekSheet, "'"&amp;$A2&amp;"'!", matchIdx, MATCH("*"&amp;team&amp;"*", INDIRECT(weekSheet&amp;"$B:$B"), 0), IF(ISNA(matchIdx), "-", LET(winner, INDEX(INDIRECT(weekSheet&amp;"$C:$C"), matchIdx), IF(winner="", "-", IF(winner=team, "-", 1)))))</f>
        <v>-</v>
      </c>
      <c r="H2" s="151">
        <f t="shared" ref="H2:H7" si="7">LET(team, SUBSTITUTE(H$1, " Wins", ""), IF(COUNTIF(INDIRECT("'"&amp;$A2&amp;"'!$C:$C"), team)&gt;0, 1, "-"))</f>
        <v>1</v>
      </c>
      <c r="I2" s="151" t="str">
        <f t="shared" ref="I2:I7" si="8">LET(team, SUBSTITUTE(I$1, " Losses", ""), weekSheet, "'"&amp;$A2&amp;"'!", matchIdx, MATCH("*"&amp;team&amp;"*", INDIRECT(weekSheet&amp;"$B:$B"), 0), IF(ISNA(matchIdx), "-", LET(winner, INDEX(INDIRECT(weekSheet&amp;"$C:$C"), matchIdx), IF(winner="", "-", IF(winner=team, "-", 1)))))</f>
        <v>-</v>
      </c>
      <c r="J2" s="151">
        <f t="shared" ref="J2:J7" si="9">LET(team, SUBSTITUTE(J$1, " Wins", ""), IF(COUNTIF(INDIRECT("'"&amp;$A2&amp;"'!$C:$C"), team)&gt;0, 1, "-"))</f>
        <v>1</v>
      </c>
      <c r="K2" s="151" t="str">
        <f t="shared" ref="K2:K7" si="10">LET(team, SUBSTITUTE(K$1, " Losses", ""), weekSheet, "'"&amp;$A2&amp;"'!", matchIdx, MATCH("*"&amp;team&amp;"*", INDIRECT(weekSheet&amp;"$B:$B"), 0), IF(ISNA(matchIdx), "-", LET(winner, INDEX(INDIRECT(weekSheet&amp;"$C:$C"), matchIdx), IF(winner="", "-", IF(winner=team, "-", 1)))))</f>
        <v>-</v>
      </c>
      <c r="L2" s="152" t="str">
        <f t="shared" ref="L2:L6" si="11">LET(team, SUBSTITUTE(L$1, " Wins", ""), IF(COUNTIF(INDIRECT("'"&amp;$A2&amp;"'!$C:$C"), team)&gt;0, 1, "-"))</f>
        <v>-</v>
      </c>
      <c r="M2" s="152">
        <f t="shared" ref="M2:M6" si="12">LET(team, SUBSTITUTE(M$1, " Losses", ""), weekSheet, "'"&amp;$A2&amp;"'!", matchIdx, MATCH("*"&amp;team&amp;"*", INDIRECT(weekSheet&amp;"$B:$B"), 0), IF(ISNA(matchIdx), "-", LET(winner, INDEX(INDIRECT(weekSheet&amp;"$C:$C"), matchIdx), IF(winner="", "-", IF(winner=team, "-", 1)))))</f>
        <v>1</v>
      </c>
      <c r="N2" s="153" t="str">
        <f t="shared" ref="N2:N13" si="13">LET(team, SUBSTITUTE(N$1, " Wins", ""), IF(COUNTIF(INDIRECT("'"&amp;$A2&amp;"'!$C:$C"), team)&gt;0, 1, "-"))</f>
        <v>-</v>
      </c>
      <c r="O2" s="153">
        <f t="shared" ref="O2:O13" si="14">LET(team, SUBSTITUTE(O$1, " Losses", ""), weekSheet, "'"&amp;$A2&amp;"'!", matchIdx, MATCH("*"&amp;team&amp;"*", INDIRECT(weekSheet&amp;"$B:$B"), 0), IF(ISNA(matchIdx), "-", LET(winner, INDEX(INDIRECT(weekSheet&amp;"$C:$C"), matchIdx), IF(winner="", "-", IF(winner=team, "-", 1)))))</f>
        <v>1</v>
      </c>
      <c r="P2" s="151" t="str">
        <f t="shared" ref="P2:P11" si="15">LET(team, SUBSTITUTE(P$1, " Wins", ""), IF(COUNTIF(INDIRECT("'"&amp;$A2&amp;"'!$C:$C"), team)&gt;0, 1, "-"))</f>
        <v>-</v>
      </c>
      <c r="Q2" s="151">
        <f t="shared" ref="Q2:Q11" si="16">LET(team, SUBSTITUTE(Q$1, " Losses", ""), weekSheet, "'"&amp;$A2&amp;"'!", matchIdx, MATCH("*"&amp;team&amp;"*", INDIRECT(weekSheet&amp;"$B:$B"), 0), IF(ISNA(matchIdx), "-", LET(winner, INDEX(INDIRECT(weekSheet&amp;"$C:$C"), matchIdx), IF(winner="", "-", IF(winner=team, "-", 1)))))</f>
        <v>1</v>
      </c>
      <c r="R2" s="156">
        <f t="shared" ref="R2:R13" si="17">LET(team, SUBSTITUTE(R$1, " Wins", ""), IF(COUNTIF(INDIRECT("'"&amp;$A2&amp;"'!$C:$C"), team)&gt;0, 1, "-"))</f>
        <v>1</v>
      </c>
      <c r="S2" s="156" t="str">
        <f t="shared" ref="S2:S13" si="18">LET(team, SUBSTITUTE(S$1, " Losses", ""), weekSheet, "'"&amp;$A2&amp;"'!", matchIdx, MATCH("*"&amp;team&amp;"*", INDIRECT(weekSheet&amp;"$B:$B"), 0), IF(ISNA(matchIdx), "-", LET(winner, INDEX(INDIRECT(weekSheet&amp;"$C:$C"), matchIdx), IF(winner="", "-", IF(winner=team, "-", 1)))))</f>
        <v>-</v>
      </c>
      <c r="T2" s="150" t="str">
        <f t="shared" ref="T2:T11" si="19">LET(team, SUBSTITUTE(T$1, " Wins", ""), IF(COUNTIF(INDIRECT("'"&amp;$A2&amp;"'!$C:$C"), team)&gt;0, 1, "-"))</f>
        <v>-</v>
      </c>
      <c r="U2" s="150">
        <f t="shared" ref="U2:U11" si="20">LET(team, SUBSTITUTE(U$1, " Losses", ""), weekSheet, "'"&amp;$A2&amp;"'!", matchIdx, MATCH("*"&amp;team&amp;"*", INDIRECT(weekSheet&amp;"$B:$B"), 0), IF(ISNA(matchIdx), "-", LET(winner, INDEX(INDIRECT(weekSheet&amp;"$C:$C"), matchIdx), IF(winner="", "-", IF(winner=team, "-", 1)))))</f>
        <v>1</v>
      </c>
      <c r="V2" s="159">
        <f t="shared" ref="V2:V9" si="21">LET(team, SUBSTITUTE(V$1, " Wins", ""), IF(COUNTIF(INDIRECT("'"&amp;$A2&amp;"'!$C:$C"), team)&gt;0, 1, "-"))</f>
        <v>1</v>
      </c>
      <c r="W2" s="159" t="str">
        <f t="shared" ref="W2:W9" si="22">LET(team, SUBSTITUTE(W$1, " Losses", ""), weekSheet, "'"&amp;$A2&amp;"'!", matchIdx, MATCH("*"&amp;team&amp;"*", INDIRECT(weekSheet&amp;"$B:$B"), 0), IF(ISNA(matchIdx), "-", LET(winner, INDEX(INDIRECT(weekSheet&amp;"$C:$C"), matchIdx), IF(winner="", "-", IF(winner=team, "-", 1)))))</f>
        <v>-</v>
      </c>
      <c r="X2" s="150">
        <f t="shared" ref="X2:X6" si="23">LET(team, SUBSTITUTE(X$1, " Wins", ""), IF(COUNTIF(INDIRECT("'"&amp;$A2&amp;"'!$C:$C"), team)&gt;0, 1, "-"))</f>
        <v>1</v>
      </c>
      <c r="Y2" s="150" t="str">
        <f t="shared" ref="Y2:Y6" si="24">LET(team, SUBSTITUTE(Y$1, " Losses", ""), weekSheet, "'"&amp;$A2&amp;"'!", matchIdx, MATCH("*"&amp;team&amp;"*", INDIRECT(weekSheet&amp;"$B:$B"), 0), IF(ISNA(matchIdx), "-", LET(winner, INDEX(INDIRECT(weekSheet&amp;"$C:$C"), matchIdx), IF(winner="", "-", IF(winner=team, "-", 1)))))</f>
        <v>-</v>
      </c>
      <c r="Z2" s="148" t="str">
        <f t="shared" ref="Z2:Z8" si="25">LET(team, SUBSTITUTE(Z$1, " Wins", ""), IF(COUNTIF(INDIRECT("'"&amp;$A2&amp;"'!$C:$C"), team)&gt;0, 1, "-"))</f>
        <v>-</v>
      </c>
      <c r="AA2" s="148">
        <f t="shared" ref="AA2:AA8" si="26">LET(team, SUBSTITUTE(AA$1, " Losses", ""), weekSheet, "'"&amp;$A2&amp;"'!", matchIdx, MATCH("*"&amp;team&amp;"*", INDIRECT(weekSheet&amp;"$B:$B"), 0), IF(ISNA(matchIdx), "-", LET(winner, INDEX(INDIRECT(weekSheet&amp;"$C:$C"), matchIdx), IF(winner="", "-", IF(winner=team, "-", 1)))))</f>
        <v>1</v>
      </c>
      <c r="AB2" s="152">
        <f t="shared" ref="AB2:AB7" si="27">LET(team, SUBSTITUTE(AB$1, " Wins", ""), IF(COUNTIF(INDIRECT("'"&amp;$A2&amp;"'!$C:$C"), team)&gt;0, 1, "-"))</f>
        <v>1</v>
      </c>
      <c r="AC2" s="152" t="str">
        <f t="shared" ref="AC2:AC7" si="28">LET(team, SUBSTITUTE(AC$1, " Losses", ""), weekSheet, "'"&amp;$A2&amp;"'!", matchIdx, MATCH("*"&amp;team&amp;"*", INDIRECT(weekSheet&amp;"$B:$B"), 0), IF(ISNA(matchIdx), "-", LET(winner, INDEX(INDIRECT(weekSheet&amp;"$C:$C"), matchIdx), IF(winner="", "-", IF(winner=team, "-", 1)))))</f>
        <v>-</v>
      </c>
      <c r="AD2" s="151" t="str">
        <f t="shared" ref="AD2:AD13" si="29">LET(team, SUBSTITUTE(AD$1, " Wins", ""), IF(COUNTIF(INDIRECT("'"&amp;$A2&amp;"'!$C:$C"), team)&gt;0, 1, "-"))</f>
        <v>-</v>
      </c>
      <c r="AE2" s="151">
        <f t="shared" ref="AE2:AE13" si="30">LET(team, SUBSTITUTE(AE$1, " Losses", ""), weekSheet, "'"&amp;$A2&amp;"'!", matchIdx, MATCH("*"&amp;team&amp;"*", INDIRECT(weekSheet&amp;"$B:$B"), 0), IF(ISNA(matchIdx), "-", LET(winner, INDEX(INDIRECT(weekSheet&amp;"$C:$C"), matchIdx), IF(winner="", "-", IF(winner=team, "-", 1)))))</f>
        <v>1</v>
      </c>
      <c r="AF2" s="183">
        <f t="shared" ref="AF2:AF9" si="31">LET(team, SUBSTITUTE(AF$1, " Wins", ""), IF(COUNTIF(INDIRECT("'"&amp;$A2&amp;"'!$C:$C"), team)&gt;0, 1, "-"))</f>
        <v>1</v>
      </c>
      <c r="AG2" s="183" t="str">
        <f t="shared" ref="AG2:AG9" si="32">LET(team, SUBSTITUTE(AG$1, " Losses", ""), weekSheet, "'"&amp;$A2&amp;"'!", matchIdx, MATCH("*"&amp;team&amp;"*", INDIRECT(weekSheet&amp;"$B:$B"), 0), IF(ISNA(matchIdx), "-", LET(winner, INDEX(INDIRECT(weekSheet&amp;"$C:$C"), matchIdx), IF(winner="", "-", IF(winner=team, "-", 1)))))</f>
        <v>-</v>
      </c>
      <c r="AH2" s="148" t="str">
        <f t="shared" ref="AH2:AH8" si="33">LET(team, SUBSTITUTE(AH$1, " Wins", ""), IF(COUNTIF(INDIRECT("'"&amp;$A2&amp;"'!$C:$C"), team)&gt;0, 1, "-"))</f>
        <v>-</v>
      </c>
      <c r="AI2" s="148">
        <f t="shared" ref="AI2:AI8" si="34">LET(team, SUBSTITUTE(AI$1, " Losses", ""), weekSheet, "'"&amp;$A2&amp;"'!", matchIdx, MATCH("*"&amp;team&amp;"*", INDIRECT(weekSheet&amp;"$B:$B"), 0), IF(ISNA(matchIdx), "-", LET(winner, INDEX(INDIRECT(weekSheet&amp;"$C:$C"), matchIdx), IF(winner="", "-", IF(winner=team, "-", 1)))))</f>
        <v>1</v>
      </c>
      <c r="AJ2" s="151">
        <f t="shared" ref="AJ2:AJ11" si="35">LET(team, SUBSTITUTE(AJ$1, " Wins", ""), IF(COUNTIF(INDIRECT("'"&amp;$A2&amp;"'!$C:$C"), team)&gt;0, 1, "-"))</f>
        <v>1</v>
      </c>
      <c r="AK2" s="151" t="str">
        <f t="shared" ref="AK2:AK11" si="36">LET(team, SUBSTITUTE(AK$1, " Losses", ""), weekSheet, "'"&amp;$A2&amp;"'!", matchIdx, MATCH("*"&amp;team&amp;"*", INDIRECT(weekSheet&amp;"$B:$B"), 0), IF(ISNA(matchIdx), "-", LET(winner, INDEX(INDIRECT(weekSheet&amp;"$C:$C"), matchIdx), IF(winner="", "-", IF(winner=team, "-", 1)))))</f>
        <v>-</v>
      </c>
      <c r="AL2" s="153">
        <f t="shared" ref="AL2:AL11" si="37">LET(team, SUBSTITUTE(AL$1, " Wins", ""), IF(COUNTIF(INDIRECT("'"&amp;$A2&amp;"'!$C:$C"), team)&gt;0, 1, "-"))</f>
        <v>1</v>
      </c>
      <c r="AM2" s="153" t="str">
        <f t="shared" ref="AM2:AM11" si="38">LET(team, SUBSTITUTE(AM$1, " Losses", ""), weekSheet, "'"&amp;$A2&amp;"'!", matchIdx, MATCH("*"&amp;team&amp;"*", INDIRECT(weekSheet&amp;"$B:$B"), 0), IF(ISNA(matchIdx), "-", LET(winner, INDEX(INDIRECT(weekSheet&amp;"$C:$C"), matchIdx), IF(winner="", "-", IF(winner=team, "-", 1)))))</f>
        <v>-</v>
      </c>
      <c r="AN2" s="148" t="str">
        <f t="shared" ref="AN2:AN14" si="39">LET(team, SUBSTITUTE(AN$1, " Wins", ""), IF(COUNTIF(INDIRECT("'"&amp;$A2&amp;"'!$C:$C"), team)&gt;0, 1, "-"))</f>
        <v>-</v>
      </c>
      <c r="AO2" s="148">
        <f t="shared" ref="AO2:AO14" si="40">LET(team, SUBSTITUTE(AO$1, " Losses", ""), weekSheet, "'"&amp;$A2&amp;"'!", matchIdx, MATCH("*"&amp;team&amp;"*", INDIRECT(weekSheet&amp;"$B:$B"), 0), IF(ISNA(matchIdx), "-", LET(winner, INDEX(INDIRECT(weekSheet&amp;"$C:$C"), matchIdx), IF(winner="", "-", IF(winner=team, "-", 1)))))</f>
        <v>1</v>
      </c>
      <c r="AP2" s="151">
        <f t="shared" ref="AP2:AP14" si="41">LET(team, SUBSTITUTE(AP$1, " Wins", ""), IF(COUNTIF(INDIRECT("'"&amp;$A2&amp;"'!$C:$C"), team)&gt;0, 1, "-"))</f>
        <v>1</v>
      </c>
      <c r="AQ2" s="151" t="str">
        <f t="shared" ref="AQ2:AQ14" si="42">LET(team, SUBSTITUTE(AQ$1, " Losses", ""), weekSheet, "'"&amp;$A2&amp;"'!", matchIdx, MATCH("*"&amp;team&amp;"*", INDIRECT(weekSheet&amp;"$B:$B"), 0), IF(ISNA(matchIdx), "-", LET(winner, INDEX(INDIRECT(weekSheet&amp;"$C:$C"), matchIdx), IF(winner="", "-", IF(winner=team, "-", 1)))))</f>
        <v>-</v>
      </c>
      <c r="AR2" s="153">
        <f t="shared" ref="AR2:AR10" si="43">LET(team, SUBSTITUTE(AR$1, " Wins", ""), IF(COUNTIF(INDIRECT("'"&amp;$A2&amp;"'!$C:$C"), team)&gt;0, 1, "-"))</f>
        <v>1</v>
      </c>
      <c r="AS2" s="153" t="str">
        <f t="shared" ref="AS2:AS10" si="44">LET(team, SUBSTITUTE(AS$1, " Losses", ""), weekSheet, "'"&amp;$A2&amp;"'!", matchIdx, MATCH("*"&amp;team&amp;"*", INDIRECT(weekSheet&amp;"$B:$B"), 0), IF(ISNA(matchIdx), "-", LET(winner, INDEX(INDIRECT(weekSheet&amp;"$C:$C"), matchIdx), IF(winner="", "-", IF(winner=team, "-", 1)))))</f>
        <v>-</v>
      </c>
      <c r="AT2" s="151" t="str">
        <f t="shared" ref="AT2:AT8" si="45">LET(team, SUBSTITUTE(AT$1, " Wins", ""), IF(COUNTIF(INDIRECT("'"&amp;$A2&amp;"'!$C:$C"), team)&gt;0, 1, "-"))</f>
        <v>-</v>
      </c>
      <c r="AU2" s="151">
        <f t="shared" ref="AU2:AU8" si="46">LET(team, SUBSTITUTE(AU$1, " Losses", ""), weekSheet, "'"&amp;$A2&amp;"'!", matchIdx, MATCH("*"&amp;team&amp;"*", INDIRECT(weekSheet&amp;"$B:$B"), 0), IF(ISNA(matchIdx), "-", LET(winner, INDEX(INDIRECT(weekSheet&amp;"$C:$C"), matchIdx), IF(winner="", "-", IF(winner=team, "-", 1)))))</f>
        <v>1</v>
      </c>
      <c r="AV2" s="148" t="str">
        <f t="shared" ref="AV2:AV7" si="47">LET(team, SUBSTITUTE(AV$1, " Wins", ""), IF(COUNTIF(INDIRECT("'"&amp;$A2&amp;"'!$C:$C"), team)&gt;0, 1, "-"))</f>
        <v>-</v>
      </c>
      <c r="AW2" s="148">
        <f t="shared" ref="AW2:AW7" si="48">LET(team, SUBSTITUTE(AW$1, " Losses", ""), weekSheet, "'"&amp;$A2&amp;"'!", matchIdx, MATCH("*"&amp;team&amp;"*", INDIRECT(weekSheet&amp;"$B:$B"), 0), IF(ISNA(matchIdx), "-", LET(winner, INDEX(INDIRECT(weekSheet&amp;"$C:$C"), matchIdx), IF(winner="", "-", IF(winner=team, "-", 1)))))</f>
        <v>1</v>
      </c>
      <c r="AX2" s="183">
        <f t="shared" ref="AX2:AX6" si="49">LET(team, SUBSTITUTE(AX$1, " Wins", ""), IF(COUNTIF(INDIRECT("'"&amp;$A2&amp;"'!$C:$C"), team)&gt;0, 1, "-"))</f>
        <v>1</v>
      </c>
      <c r="AY2" s="183" t="str">
        <f t="shared" ref="AY2:AY6" si="50">LET(team, SUBSTITUTE(AY$1, " Losses", ""), weekSheet, "'"&amp;$A2&amp;"'!", matchIdx, MATCH("*"&amp;team&amp;"*", INDIRECT(weekSheet&amp;"$B:$B"), 0), IF(ISNA(matchIdx), "-", LET(winner, INDEX(INDIRECT(weekSheet&amp;"$C:$C"), matchIdx), IF(winner="", "-", IF(winner=team, "-", 1)))))</f>
        <v>-</v>
      </c>
      <c r="AZ2" s="153" t="str">
        <f t="shared" ref="AZ2:AZ11" si="51">LET(team, SUBSTITUTE(AZ$1, " Wins", ""), IF(COUNTIF(INDIRECT("'"&amp;$A2&amp;"'!$C:$C"), team)&gt;0, 1, "-"))</f>
        <v>-</v>
      </c>
      <c r="BA2" s="153">
        <f t="shared" ref="BA2:BA11" si="52">LET(team, SUBSTITUTE(BA$1, " Losses", ""), weekSheet, "'"&amp;$A2&amp;"'!", matchIdx, MATCH("*"&amp;team&amp;"*", INDIRECT(weekSheet&amp;"$B:$B"), 0), IF(ISNA(matchIdx), "-", LET(winner, INDEX(INDIRECT(weekSheet&amp;"$C:$C"), matchIdx), IF(winner="", "-", IF(winner=team, "-", 1)))))</f>
        <v>1</v>
      </c>
      <c r="BB2" s="156">
        <f t="shared" ref="BB2:BB6" si="53">LET(team, SUBSTITUTE(BB$1, " Wins", ""), IF(COUNTIF(INDIRECT("'"&amp;$A2&amp;"'!$C:$C"), team)&gt;0, 1, "-"))</f>
        <v>1</v>
      </c>
      <c r="BC2" s="156" t="str">
        <f t="shared" ref="BC2:BC6" si="54">LET(team, SUBSTITUTE(BC$1, " Losses", ""), weekSheet, "'"&amp;$A2&amp;"'!", matchIdx, MATCH("*"&amp;team&amp;"*", INDIRECT(weekSheet&amp;"$B:$B"), 0), IF(ISNA(matchIdx), "-", LET(winner, INDEX(INDIRECT(weekSheet&amp;"$C:$C"), matchIdx), IF(winner="", "-", IF(winner=team, "-", 1)))))</f>
        <v>-</v>
      </c>
      <c r="BD2" s="150">
        <f t="shared" ref="BD2:BD10" si="55">LET(team, SUBSTITUTE(BD$1, " Wins", ""), IF(COUNTIF(INDIRECT("'"&amp;$A2&amp;"'!$C:$C"), team)&gt;0, 1, "-"))</f>
        <v>1</v>
      </c>
      <c r="BE2" s="150" t="str">
        <f t="shared" ref="BE2:BE10" si="56">LET(team, SUBSTITUTE(BE$1, " Losses", ""), weekSheet, "'"&amp;$A2&amp;"'!", matchIdx, MATCH("*"&amp;team&amp;"*", INDIRECT(weekSheet&amp;"$B:$B"), 0), IF(ISNA(matchIdx), "-", LET(winner, INDEX(INDIRECT(weekSheet&amp;"$C:$C"), matchIdx), IF(winner="", "-", IF(winner=team, "-", 1)))))</f>
        <v>-</v>
      </c>
      <c r="BF2" s="148" t="str">
        <f t="shared" ref="BF2:BF10" si="57">LET(team, SUBSTITUTE(BF$1, " Wins", ""), IF(COUNTIF(INDIRECT("'"&amp;$A2&amp;"'!$C:$C"), team)&gt;0, 1, "-"))</f>
        <v>-</v>
      </c>
      <c r="BG2" s="148">
        <f t="shared" ref="BG2:BG10" si="58">LET(team, SUBSTITUTE(BG$1, " Losses", ""), weekSheet, "'"&amp;$A2&amp;"'!", matchIdx, MATCH("*"&amp;team&amp;"*", INDIRECT(weekSheet&amp;"$B:$B"), 0), IF(ISNA(matchIdx), "-", LET(winner, INDEX(INDIRECT(weekSheet&amp;"$C:$C"), matchIdx), IF(winner="", "-", IF(winner=team, "-", 1)))))</f>
        <v>1</v>
      </c>
      <c r="BH2" s="159" t="str">
        <f t="shared" ref="BH2:BH8" si="59">LET(team, SUBSTITUTE(BH$1, " Wins", ""), IF(COUNTIF(INDIRECT("'"&amp;$A2&amp;"'!$C:$C"), team)&gt;0, 1, "-"))</f>
        <v>-</v>
      </c>
      <c r="BI2" s="159">
        <f t="shared" ref="BI2:BI8" si="60">LET(team, SUBSTITUTE(BI$1, " Losses", ""), weekSheet, "'"&amp;$A2&amp;"'!", matchIdx, MATCH("*"&amp;team&amp;"*", INDIRECT(weekSheet&amp;"$B:$B"), 0), IF(ISNA(matchIdx), "-", LET(winner, INDEX(INDIRECT(weekSheet&amp;"$C:$C"), matchIdx), IF(winner="", "-", IF(winner=team, "-", 1)))))</f>
        <v>1</v>
      </c>
      <c r="BJ2" s="148" t="str">
        <f t="shared" ref="BJ2:BJ11" si="61">LET(team, SUBSTITUTE(BJ$1, " Wins", ""), IF(COUNTIF(INDIRECT("'"&amp;$A2&amp;"'!$C:$C"), team)&gt;0, 1, "-"))</f>
        <v>-</v>
      </c>
      <c r="BK2" s="148">
        <f t="shared" ref="BK2:BK11" si="62">LET(team, SUBSTITUTE(BK$1, " Losses", ""), weekSheet, "'"&amp;$A2&amp;"'!", matchIdx, MATCH("*"&amp;team&amp;"*", INDIRECT(weekSheet&amp;"$B:$B"), 0), IF(ISNA(matchIdx), "-", LET(winner, INDEX(INDIRECT(weekSheet&amp;"$C:$C"), matchIdx), IF(winner="", "-", IF(winner=team, "-", 1)))))</f>
        <v>1</v>
      </c>
      <c r="BL2" s="183" t="str">
        <f t="shared" ref="BL2:BL5" si="63">LET(team, SUBSTITUTE(BL$1, " Wins", ""), IF(COUNTIF(INDIRECT("'"&amp;$A2&amp;"'!$C:$C"), team)&gt;0, 1, "-"))</f>
        <v>-</v>
      </c>
      <c r="BM2" s="183">
        <f t="shared" ref="BM2:BM5" si="64">LET(team, SUBSTITUTE(BM$1, " Losses", ""), weekSheet, "'"&amp;$A2&amp;"'!", matchIdx, MATCH("*"&amp;team&amp;"*", INDIRECT(weekSheet&amp;"$B:$B"), 0), IF(ISNA(matchIdx), "-", LET(winner, INDEX(INDIRECT(weekSheet&amp;"$C:$C"), matchIdx), IF(winner="", "-", IF(winner=team, "-", 1)))))</f>
        <v>1</v>
      </c>
    </row>
    <row r="3">
      <c r="A3" s="147" t="s">
        <v>119</v>
      </c>
      <c r="B3" s="195" t="str">
        <f t="shared" si="1"/>
        <v>-</v>
      </c>
      <c r="C3" s="195">
        <f t="shared" si="2"/>
        <v>1</v>
      </c>
      <c r="D3" s="195" t="str">
        <f t="shared" si="3"/>
        <v>-</v>
      </c>
      <c r="E3" s="195">
        <f t="shared" si="4"/>
        <v>1</v>
      </c>
      <c r="F3" s="195">
        <f t="shared" si="5"/>
        <v>1</v>
      </c>
      <c r="G3" s="195" t="str">
        <f t="shared" si="6"/>
        <v>-</v>
      </c>
      <c r="H3" s="195">
        <f t="shared" si="7"/>
        <v>1</v>
      </c>
      <c r="I3" s="195" t="str">
        <f t="shared" si="8"/>
        <v>-</v>
      </c>
      <c r="J3" s="195">
        <f t="shared" si="9"/>
        <v>1</v>
      </c>
      <c r="K3" s="195" t="str">
        <f t="shared" si="10"/>
        <v>-</v>
      </c>
      <c r="L3" s="195" t="str">
        <f t="shared" si="11"/>
        <v>-</v>
      </c>
      <c r="M3" s="195">
        <f t="shared" si="12"/>
        <v>1</v>
      </c>
      <c r="N3" s="195" t="str">
        <f t="shared" si="13"/>
        <v>-</v>
      </c>
      <c r="O3" s="195">
        <f t="shared" si="14"/>
        <v>1</v>
      </c>
      <c r="P3" s="195" t="str">
        <f t="shared" si="15"/>
        <v>-</v>
      </c>
      <c r="Q3" s="195">
        <f t="shared" si="16"/>
        <v>1</v>
      </c>
      <c r="R3" s="195">
        <f t="shared" si="17"/>
        <v>1</v>
      </c>
      <c r="S3" s="195" t="str">
        <f t="shared" si="18"/>
        <v>-</v>
      </c>
      <c r="T3" s="195" t="str">
        <f t="shared" si="19"/>
        <v>-</v>
      </c>
      <c r="U3" s="195">
        <f t="shared" si="20"/>
        <v>1</v>
      </c>
      <c r="V3" s="195">
        <f t="shared" si="21"/>
        <v>1</v>
      </c>
      <c r="W3" s="195" t="str">
        <f t="shared" si="22"/>
        <v>-</v>
      </c>
      <c r="X3" s="195" t="str">
        <f t="shared" si="23"/>
        <v>-</v>
      </c>
      <c r="Y3" s="195">
        <f t="shared" si="24"/>
        <v>1</v>
      </c>
      <c r="Z3" s="195">
        <f t="shared" si="25"/>
        <v>1</v>
      </c>
      <c r="AA3" s="195" t="str">
        <f t="shared" si="26"/>
        <v>-</v>
      </c>
      <c r="AB3" s="195" t="str">
        <f t="shared" si="27"/>
        <v>-</v>
      </c>
      <c r="AC3" s="195">
        <f t="shared" si="28"/>
        <v>1</v>
      </c>
      <c r="AD3" s="195">
        <f t="shared" si="29"/>
        <v>1</v>
      </c>
      <c r="AE3" s="195" t="str">
        <f t="shared" si="30"/>
        <v>-</v>
      </c>
      <c r="AF3" s="195" t="str">
        <f t="shared" si="31"/>
        <v>-</v>
      </c>
      <c r="AG3" s="195">
        <f t="shared" si="32"/>
        <v>1</v>
      </c>
      <c r="AH3" s="195">
        <f t="shared" si="33"/>
        <v>1</v>
      </c>
      <c r="AI3" s="195" t="str">
        <f t="shared" si="34"/>
        <v>-</v>
      </c>
      <c r="AJ3" s="195">
        <f t="shared" si="35"/>
        <v>1</v>
      </c>
      <c r="AK3" s="195" t="str">
        <f t="shared" si="36"/>
        <v>-</v>
      </c>
      <c r="AL3" s="195">
        <f t="shared" si="37"/>
        <v>1</v>
      </c>
      <c r="AM3" s="195" t="str">
        <f t="shared" si="38"/>
        <v>-</v>
      </c>
      <c r="AN3" s="195" t="str">
        <f t="shared" si="39"/>
        <v>-</v>
      </c>
      <c r="AO3" s="195">
        <f t="shared" si="40"/>
        <v>1</v>
      </c>
      <c r="AP3" s="195">
        <f t="shared" si="41"/>
        <v>1</v>
      </c>
      <c r="AQ3" s="195" t="str">
        <f t="shared" si="42"/>
        <v>-</v>
      </c>
      <c r="AR3" s="195">
        <f t="shared" si="43"/>
        <v>1</v>
      </c>
      <c r="AS3" s="195" t="str">
        <f t="shared" si="44"/>
        <v>-</v>
      </c>
      <c r="AT3" s="195" t="str">
        <f t="shared" si="45"/>
        <v>-</v>
      </c>
      <c r="AU3" s="195">
        <f t="shared" si="46"/>
        <v>1</v>
      </c>
      <c r="AV3" s="195" t="str">
        <f t="shared" si="47"/>
        <v>-</v>
      </c>
      <c r="AW3" s="195">
        <f t="shared" si="48"/>
        <v>1</v>
      </c>
      <c r="AX3" s="195" t="str">
        <f t="shared" si="49"/>
        <v>-</v>
      </c>
      <c r="AY3" s="195">
        <f t="shared" si="50"/>
        <v>1</v>
      </c>
      <c r="AZ3" s="195">
        <f t="shared" si="51"/>
        <v>1</v>
      </c>
      <c r="BA3" s="195" t="str">
        <f t="shared" si="52"/>
        <v>-</v>
      </c>
      <c r="BB3" s="195" t="str">
        <f t="shared" si="53"/>
        <v>-</v>
      </c>
      <c r="BC3" s="195">
        <f t="shared" si="54"/>
        <v>1</v>
      </c>
      <c r="BD3" s="195">
        <f t="shared" si="55"/>
        <v>1</v>
      </c>
      <c r="BE3" s="195" t="str">
        <f t="shared" si="56"/>
        <v>-</v>
      </c>
      <c r="BF3" s="195">
        <f t="shared" si="57"/>
        <v>1</v>
      </c>
      <c r="BG3" s="195" t="str">
        <f t="shared" si="58"/>
        <v>-</v>
      </c>
      <c r="BH3" s="195" t="str">
        <f t="shared" si="59"/>
        <v>-</v>
      </c>
      <c r="BI3" s="195">
        <f t="shared" si="60"/>
        <v>1</v>
      </c>
      <c r="BJ3" s="195">
        <f t="shared" si="61"/>
        <v>1</v>
      </c>
      <c r="BK3" s="195" t="str">
        <f t="shared" si="62"/>
        <v>-</v>
      </c>
      <c r="BL3" s="195" t="str">
        <f t="shared" si="63"/>
        <v>-</v>
      </c>
      <c r="BM3" s="195">
        <f t="shared" si="64"/>
        <v>1</v>
      </c>
    </row>
    <row r="4">
      <c r="A4" s="147" t="s">
        <v>130</v>
      </c>
      <c r="B4" s="148">
        <f t="shared" si="1"/>
        <v>1</v>
      </c>
      <c r="C4" s="148" t="str">
        <f t="shared" si="2"/>
        <v>-</v>
      </c>
      <c r="D4" s="149" t="str">
        <f t="shared" si="3"/>
        <v>-</v>
      </c>
      <c r="E4" s="149">
        <f t="shared" si="4"/>
        <v>1</v>
      </c>
      <c r="F4" s="150">
        <f t="shared" si="5"/>
        <v>1</v>
      </c>
      <c r="G4" s="150" t="str">
        <f t="shared" si="6"/>
        <v>-</v>
      </c>
      <c r="H4" s="151" t="str">
        <f t="shared" si="7"/>
        <v>-</v>
      </c>
      <c r="I4" s="151">
        <f t="shared" si="8"/>
        <v>1</v>
      </c>
      <c r="J4" s="151">
        <f t="shared" si="9"/>
        <v>1</v>
      </c>
      <c r="K4" s="151" t="str">
        <f t="shared" si="10"/>
        <v>-</v>
      </c>
      <c r="L4" s="152" t="str">
        <f t="shared" si="11"/>
        <v>-</v>
      </c>
      <c r="M4" s="152">
        <f t="shared" si="12"/>
        <v>1</v>
      </c>
      <c r="N4" s="153" t="str">
        <f t="shared" si="13"/>
        <v>-</v>
      </c>
      <c r="O4" s="153">
        <f t="shared" si="14"/>
        <v>1</v>
      </c>
      <c r="P4" s="151">
        <f t="shared" si="15"/>
        <v>1</v>
      </c>
      <c r="Q4" s="151" t="str">
        <f t="shared" si="16"/>
        <v>-</v>
      </c>
      <c r="R4" s="156" t="str">
        <f t="shared" si="17"/>
        <v>-</v>
      </c>
      <c r="S4" s="156">
        <f t="shared" si="18"/>
        <v>1</v>
      </c>
      <c r="T4" s="150" t="str">
        <f t="shared" si="19"/>
        <v>-</v>
      </c>
      <c r="U4" s="150">
        <f t="shared" si="20"/>
        <v>1</v>
      </c>
      <c r="V4" s="159" t="str">
        <f t="shared" si="21"/>
        <v>-</v>
      </c>
      <c r="W4" s="159">
        <f t="shared" si="22"/>
        <v>1</v>
      </c>
      <c r="X4" s="150">
        <f t="shared" si="23"/>
        <v>1</v>
      </c>
      <c r="Y4" s="150" t="str">
        <f t="shared" si="24"/>
        <v>-</v>
      </c>
      <c r="Z4" s="148">
        <f t="shared" si="25"/>
        <v>1</v>
      </c>
      <c r="AA4" s="148" t="str">
        <f t="shared" si="26"/>
        <v>-</v>
      </c>
      <c r="AB4" s="152" t="str">
        <f t="shared" si="27"/>
        <v>-</v>
      </c>
      <c r="AC4" s="152">
        <f t="shared" si="28"/>
        <v>1</v>
      </c>
      <c r="AD4" s="151" t="str">
        <f t="shared" si="29"/>
        <v>-</v>
      </c>
      <c r="AE4" s="151">
        <f t="shared" si="30"/>
        <v>1</v>
      </c>
      <c r="AF4" s="183" t="str">
        <f t="shared" si="31"/>
        <v>-</v>
      </c>
      <c r="AG4" s="183">
        <f t="shared" si="32"/>
        <v>1</v>
      </c>
      <c r="AH4" s="148">
        <f t="shared" si="33"/>
        <v>1</v>
      </c>
      <c r="AI4" s="148" t="str">
        <f t="shared" si="34"/>
        <v>-</v>
      </c>
      <c r="AJ4" s="151" t="str">
        <f t="shared" si="35"/>
        <v>-</v>
      </c>
      <c r="AK4" s="151">
        <f t="shared" si="36"/>
        <v>1</v>
      </c>
      <c r="AL4" s="153">
        <f t="shared" si="37"/>
        <v>1</v>
      </c>
      <c r="AM4" s="153" t="str">
        <f t="shared" si="38"/>
        <v>-</v>
      </c>
      <c r="AN4" s="148" t="str">
        <f t="shared" si="39"/>
        <v>-</v>
      </c>
      <c r="AO4" s="148">
        <f t="shared" si="40"/>
        <v>1</v>
      </c>
      <c r="AP4" s="151">
        <f t="shared" si="41"/>
        <v>1</v>
      </c>
      <c r="AQ4" s="151" t="str">
        <f t="shared" si="42"/>
        <v>-</v>
      </c>
      <c r="AR4" s="153">
        <f t="shared" si="43"/>
        <v>1</v>
      </c>
      <c r="AS4" s="153" t="str">
        <f t="shared" si="44"/>
        <v>-</v>
      </c>
      <c r="AT4" s="151">
        <f t="shared" si="45"/>
        <v>1</v>
      </c>
      <c r="AU4" s="151" t="str">
        <f t="shared" si="46"/>
        <v>-</v>
      </c>
      <c r="AV4" s="148" t="str">
        <f t="shared" si="47"/>
        <v>-</v>
      </c>
      <c r="AW4" s="148">
        <f t="shared" si="48"/>
        <v>1</v>
      </c>
      <c r="AX4" s="183">
        <f t="shared" si="49"/>
        <v>1</v>
      </c>
      <c r="AY4" s="183" t="str">
        <f t="shared" si="50"/>
        <v>-</v>
      </c>
      <c r="AZ4" s="153">
        <f t="shared" si="51"/>
        <v>1</v>
      </c>
      <c r="BA4" s="153" t="str">
        <f t="shared" si="52"/>
        <v>-</v>
      </c>
      <c r="BB4" s="156">
        <f t="shared" si="53"/>
        <v>1</v>
      </c>
      <c r="BC4" s="156" t="str">
        <f t="shared" si="54"/>
        <v>-</v>
      </c>
      <c r="BD4" s="150" t="str">
        <f t="shared" si="55"/>
        <v>-</v>
      </c>
      <c r="BE4" s="150">
        <f t="shared" si="56"/>
        <v>1</v>
      </c>
      <c r="BF4" s="148" t="str">
        <f t="shared" si="57"/>
        <v>-</v>
      </c>
      <c r="BG4" s="148">
        <f t="shared" si="58"/>
        <v>1</v>
      </c>
      <c r="BH4" s="159">
        <f t="shared" si="59"/>
        <v>1</v>
      </c>
      <c r="BI4" s="159" t="str">
        <f t="shared" si="60"/>
        <v>-</v>
      </c>
      <c r="BJ4" s="148" t="str">
        <f t="shared" si="61"/>
        <v>-</v>
      </c>
      <c r="BK4" s="148">
        <f t="shared" si="62"/>
        <v>1</v>
      </c>
      <c r="BL4" s="183">
        <f t="shared" si="63"/>
        <v>1</v>
      </c>
      <c r="BM4" s="183" t="str">
        <f t="shared" si="64"/>
        <v>-</v>
      </c>
    </row>
    <row r="5">
      <c r="A5" s="147" t="s">
        <v>141</v>
      </c>
      <c r="B5" s="195" t="str">
        <f t="shared" si="1"/>
        <v>-</v>
      </c>
      <c r="C5" s="195">
        <f t="shared" si="2"/>
        <v>1</v>
      </c>
      <c r="D5" s="195">
        <f t="shared" si="3"/>
        <v>1</v>
      </c>
      <c r="E5" s="195" t="str">
        <f t="shared" si="4"/>
        <v>-</v>
      </c>
      <c r="F5" s="195" t="str">
        <f t="shared" si="5"/>
        <v>-</v>
      </c>
      <c r="G5" s="195">
        <f t="shared" si="6"/>
        <v>1</v>
      </c>
      <c r="H5" s="195" t="str">
        <f t="shared" si="7"/>
        <v>-</v>
      </c>
      <c r="I5" s="195">
        <f t="shared" si="8"/>
        <v>1</v>
      </c>
      <c r="J5" s="195" t="str">
        <f t="shared" si="9"/>
        <v>-</v>
      </c>
      <c r="K5" s="195">
        <f t="shared" si="10"/>
        <v>1</v>
      </c>
      <c r="L5" s="195" t="str">
        <f t="shared" si="11"/>
        <v>-</v>
      </c>
      <c r="M5" s="195">
        <f t="shared" si="12"/>
        <v>1</v>
      </c>
      <c r="N5" s="195" t="str">
        <f t="shared" si="13"/>
        <v>-</v>
      </c>
      <c r="O5" s="195">
        <f t="shared" si="14"/>
        <v>1</v>
      </c>
      <c r="P5" s="195">
        <f t="shared" si="15"/>
        <v>1</v>
      </c>
      <c r="Q5" s="195" t="str">
        <f t="shared" si="16"/>
        <v>-</v>
      </c>
      <c r="R5" s="195">
        <f t="shared" si="17"/>
        <v>1</v>
      </c>
      <c r="S5" s="195" t="str">
        <f t="shared" si="18"/>
        <v>-</v>
      </c>
      <c r="T5" s="195" t="str">
        <f t="shared" si="19"/>
        <v>-</v>
      </c>
      <c r="U5" s="195">
        <f t="shared" si="20"/>
        <v>1</v>
      </c>
      <c r="V5" s="195">
        <f t="shared" si="21"/>
        <v>1</v>
      </c>
      <c r="W5" s="195" t="str">
        <f t="shared" si="22"/>
        <v>-</v>
      </c>
      <c r="X5" s="195" t="str">
        <f t="shared" si="23"/>
        <v>-</v>
      </c>
      <c r="Y5" s="195">
        <f t="shared" si="24"/>
        <v>1</v>
      </c>
      <c r="Z5" s="195">
        <f t="shared" si="25"/>
        <v>1</v>
      </c>
      <c r="AA5" s="195" t="str">
        <f t="shared" si="26"/>
        <v>-</v>
      </c>
      <c r="AB5" s="195">
        <f t="shared" si="27"/>
        <v>1</v>
      </c>
      <c r="AC5" s="195" t="str">
        <f t="shared" si="28"/>
        <v>-</v>
      </c>
      <c r="AD5" s="195" t="str">
        <f t="shared" si="29"/>
        <v>-</v>
      </c>
      <c r="AE5" s="195">
        <f t="shared" si="30"/>
        <v>1</v>
      </c>
      <c r="AF5" s="195" t="str">
        <f t="shared" si="31"/>
        <v>-</v>
      </c>
      <c r="AG5" s="195">
        <f t="shared" si="32"/>
        <v>1</v>
      </c>
      <c r="AH5" s="195">
        <f t="shared" si="33"/>
        <v>1</v>
      </c>
      <c r="AI5" s="195" t="str">
        <f t="shared" si="34"/>
        <v>-</v>
      </c>
      <c r="AJ5" s="195">
        <f t="shared" si="35"/>
        <v>1</v>
      </c>
      <c r="AK5" s="195" t="str">
        <f t="shared" si="36"/>
        <v>-</v>
      </c>
      <c r="AL5" s="195">
        <f t="shared" si="37"/>
        <v>1</v>
      </c>
      <c r="AM5" s="195" t="str">
        <f t="shared" si="38"/>
        <v>-</v>
      </c>
      <c r="AN5" s="195" t="str">
        <f t="shared" si="39"/>
        <v>-</v>
      </c>
      <c r="AO5" s="195">
        <f t="shared" si="40"/>
        <v>1</v>
      </c>
      <c r="AP5" s="195" t="str">
        <f t="shared" si="41"/>
        <v>-</v>
      </c>
      <c r="AQ5" s="195">
        <f t="shared" si="42"/>
        <v>1</v>
      </c>
      <c r="AR5" s="195" t="str">
        <f t="shared" si="43"/>
        <v>-</v>
      </c>
      <c r="AS5" s="195">
        <f t="shared" si="44"/>
        <v>1</v>
      </c>
      <c r="AT5" s="195">
        <f t="shared" si="45"/>
        <v>1</v>
      </c>
      <c r="AU5" s="195" t="str">
        <f t="shared" si="46"/>
        <v>-</v>
      </c>
      <c r="AV5" s="195">
        <f t="shared" si="47"/>
        <v>1</v>
      </c>
      <c r="AW5" s="195" t="str">
        <f t="shared" si="48"/>
        <v>-</v>
      </c>
      <c r="AX5" s="195">
        <f t="shared" si="49"/>
        <v>1</v>
      </c>
      <c r="AY5" s="195" t="str">
        <f t="shared" si="50"/>
        <v>-</v>
      </c>
      <c r="AZ5" s="195" t="str">
        <f t="shared" si="51"/>
        <v>-</v>
      </c>
      <c r="BA5" s="195">
        <f t="shared" si="52"/>
        <v>1</v>
      </c>
      <c r="BB5" s="195">
        <f t="shared" si="53"/>
        <v>1</v>
      </c>
      <c r="BC5" s="195" t="str">
        <f t="shared" si="54"/>
        <v>-</v>
      </c>
      <c r="BD5" s="195">
        <f t="shared" si="55"/>
        <v>1</v>
      </c>
      <c r="BE5" s="195" t="str">
        <f t="shared" si="56"/>
        <v>-</v>
      </c>
      <c r="BF5" s="195">
        <f t="shared" si="57"/>
        <v>1</v>
      </c>
      <c r="BG5" s="195" t="str">
        <f t="shared" si="58"/>
        <v>-</v>
      </c>
      <c r="BH5" s="195" t="str">
        <f t="shared" si="59"/>
        <v>-</v>
      </c>
      <c r="BI5" s="195">
        <f t="shared" si="60"/>
        <v>1</v>
      </c>
      <c r="BJ5" s="195">
        <f t="shared" si="61"/>
        <v>1</v>
      </c>
      <c r="BK5" s="195" t="str">
        <f t="shared" si="62"/>
        <v>-</v>
      </c>
      <c r="BL5" s="195" t="str">
        <f t="shared" si="63"/>
        <v>-</v>
      </c>
      <c r="BM5" s="195">
        <f t="shared" si="64"/>
        <v>1</v>
      </c>
    </row>
    <row r="6">
      <c r="A6" s="147" t="s">
        <v>145</v>
      </c>
      <c r="B6" s="160"/>
      <c r="C6" s="160"/>
      <c r="D6" s="149" t="str">
        <f t="shared" si="3"/>
        <v>-</v>
      </c>
      <c r="E6" s="149">
        <f t="shared" si="4"/>
        <v>1</v>
      </c>
      <c r="F6" s="150">
        <f t="shared" si="5"/>
        <v>1</v>
      </c>
      <c r="G6" s="150" t="str">
        <f t="shared" si="6"/>
        <v>-</v>
      </c>
      <c r="H6" s="151" t="str">
        <f t="shared" si="7"/>
        <v>-</v>
      </c>
      <c r="I6" s="151">
        <f t="shared" si="8"/>
        <v>1</v>
      </c>
      <c r="J6" s="151" t="str">
        <f t="shared" si="9"/>
        <v>-</v>
      </c>
      <c r="K6" s="151">
        <f t="shared" si="10"/>
        <v>1</v>
      </c>
      <c r="L6" s="152" t="str">
        <f t="shared" si="11"/>
        <v>-</v>
      </c>
      <c r="M6" s="152">
        <f t="shared" si="12"/>
        <v>1</v>
      </c>
      <c r="N6" s="153" t="str">
        <f t="shared" si="13"/>
        <v>-</v>
      </c>
      <c r="O6" s="153">
        <f t="shared" si="14"/>
        <v>1</v>
      </c>
      <c r="P6" s="151">
        <f t="shared" si="15"/>
        <v>1</v>
      </c>
      <c r="Q6" s="151" t="str">
        <f t="shared" si="16"/>
        <v>-</v>
      </c>
      <c r="R6" s="156" t="str">
        <f t="shared" si="17"/>
        <v>-</v>
      </c>
      <c r="S6" s="156">
        <f t="shared" si="18"/>
        <v>1</v>
      </c>
      <c r="T6" s="150">
        <f t="shared" si="19"/>
        <v>1</v>
      </c>
      <c r="U6" s="150" t="str">
        <f t="shared" si="20"/>
        <v>-</v>
      </c>
      <c r="V6" s="159" t="str">
        <f t="shared" si="21"/>
        <v>-</v>
      </c>
      <c r="W6" s="159">
        <f t="shared" si="22"/>
        <v>1</v>
      </c>
      <c r="X6" s="150">
        <f t="shared" si="23"/>
        <v>1</v>
      </c>
      <c r="Y6" s="150" t="str">
        <f t="shared" si="24"/>
        <v>-</v>
      </c>
      <c r="Z6" s="148">
        <f t="shared" si="25"/>
        <v>1</v>
      </c>
      <c r="AA6" s="148" t="str">
        <f t="shared" si="26"/>
        <v>-</v>
      </c>
      <c r="AB6" s="152">
        <f t="shared" si="27"/>
        <v>1</v>
      </c>
      <c r="AC6" s="152" t="str">
        <f t="shared" si="28"/>
        <v>-</v>
      </c>
      <c r="AD6" s="151">
        <f t="shared" si="29"/>
        <v>1</v>
      </c>
      <c r="AE6" s="151" t="str">
        <f t="shared" si="30"/>
        <v>-</v>
      </c>
      <c r="AF6" s="183" t="str">
        <f t="shared" si="31"/>
        <v>-</v>
      </c>
      <c r="AG6" s="183">
        <f t="shared" si="32"/>
        <v>1</v>
      </c>
      <c r="AH6" s="148" t="str">
        <f t="shared" si="33"/>
        <v>-</v>
      </c>
      <c r="AI6" s="148">
        <f t="shared" si="34"/>
        <v>1</v>
      </c>
      <c r="AJ6" s="151">
        <f t="shared" si="35"/>
        <v>1</v>
      </c>
      <c r="AK6" s="151" t="str">
        <f t="shared" si="36"/>
        <v>-</v>
      </c>
      <c r="AL6" s="153">
        <f t="shared" si="37"/>
        <v>1</v>
      </c>
      <c r="AM6" s="153" t="str">
        <f t="shared" si="38"/>
        <v>-</v>
      </c>
      <c r="AN6" s="148" t="str">
        <f t="shared" si="39"/>
        <v>-</v>
      </c>
      <c r="AO6" s="148">
        <f t="shared" si="40"/>
        <v>1</v>
      </c>
      <c r="AP6" s="151">
        <f t="shared" si="41"/>
        <v>1</v>
      </c>
      <c r="AQ6" s="151" t="str">
        <f t="shared" si="42"/>
        <v>-</v>
      </c>
      <c r="AR6" s="153" t="str">
        <f t="shared" si="43"/>
        <v>-</v>
      </c>
      <c r="AS6" s="153">
        <f t="shared" si="44"/>
        <v>1</v>
      </c>
      <c r="AT6" s="151" t="str">
        <f t="shared" si="45"/>
        <v>-</v>
      </c>
      <c r="AU6" s="151">
        <f t="shared" si="46"/>
        <v>1</v>
      </c>
      <c r="AV6" s="148">
        <f t="shared" si="47"/>
        <v>1</v>
      </c>
      <c r="AW6" s="148" t="str">
        <f t="shared" si="48"/>
        <v>-</v>
      </c>
      <c r="AX6" s="183">
        <f t="shared" si="49"/>
        <v>1</v>
      </c>
      <c r="AY6" s="183" t="str">
        <f t="shared" si="50"/>
        <v>-</v>
      </c>
      <c r="AZ6" s="153">
        <f t="shared" si="51"/>
        <v>1</v>
      </c>
      <c r="BA6" s="153" t="str">
        <f t="shared" si="52"/>
        <v>-</v>
      </c>
      <c r="BB6" s="156">
        <f t="shared" si="53"/>
        <v>1</v>
      </c>
      <c r="BC6" s="156" t="str">
        <f t="shared" si="54"/>
        <v>-</v>
      </c>
      <c r="BD6" s="150" t="str">
        <f t="shared" si="55"/>
        <v>-</v>
      </c>
      <c r="BE6" s="150">
        <f t="shared" si="56"/>
        <v>1</v>
      </c>
      <c r="BF6" s="148" t="str">
        <f t="shared" si="57"/>
        <v>-</v>
      </c>
      <c r="BG6" s="148">
        <f t="shared" si="58"/>
        <v>1</v>
      </c>
      <c r="BH6" s="159" t="str">
        <f t="shared" si="59"/>
        <v>-</v>
      </c>
      <c r="BI6" s="159">
        <f t="shared" si="60"/>
        <v>1</v>
      </c>
      <c r="BJ6" s="148">
        <f t="shared" si="61"/>
        <v>1</v>
      </c>
      <c r="BK6" s="148" t="str">
        <f t="shared" si="62"/>
        <v>-</v>
      </c>
      <c r="BL6" s="160"/>
      <c r="BM6" s="160"/>
    </row>
    <row r="7">
      <c r="A7" s="147" t="s">
        <v>156</v>
      </c>
      <c r="B7" s="195">
        <f t="shared" ref="B7:B19" si="65">LET(team, SUBSTITUTE(B$1, " Wins", ""), IF(COUNTIF(INDIRECT("'"&amp;$A7&amp;"'!$C:$C"), team)&gt;0, 1, "-"))</f>
        <v>1</v>
      </c>
      <c r="C7" s="195" t="str">
        <f t="shared" ref="C7:C19" si="66">LET(team, SUBSTITUTE(C$1, " Losses", ""), weekSheet, "'"&amp;$A7&amp;"'!", matchIdx, MATCH("*"&amp;team&amp;"*", INDIRECT(weekSheet&amp;"$B:$B"), 0), IF(ISNA(matchIdx), "-", LET(winner, INDEX(INDIRECT(weekSheet&amp;"$C:$C"), matchIdx), IF(winner="", "-", IF(winner=team, "-", 1)))))</f>
        <v>-</v>
      </c>
      <c r="D7" s="195" t="str">
        <f t="shared" si="3"/>
        <v>-</v>
      </c>
      <c r="E7" s="195">
        <f t="shared" si="4"/>
        <v>1</v>
      </c>
      <c r="F7" s="195">
        <f t="shared" si="5"/>
        <v>1</v>
      </c>
      <c r="G7" s="195" t="str">
        <f t="shared" si="6"/>
        <v>-</v>
      </c>
      <c r="H7" s="195" t="str">
        <f t="shared" si="7"/>
        <v>-</v>
      </c>
      <c r="I7" s="195">
        <f t="shared" si="8"/>
        <v>1</v>
      </c>
      <c r="J7" s="195">
        <f t="shared" si="9"/>
        <v>1</v>
      </c>
      <c r="K7" s="195" t="str">
        <f t="shared" si="10"/>
        <v>-</v>
      </c>
      <c r="L7" s="160"/>
      <c r="M7" s="160"/>
      <c r="N7" s="195">
        <f t="shared" si="13"/>
        <v>1</v>
      </c>
      <c r="O7" s="195" t="str">
        <f t="shared" si="14"/>
        <v>-</v>
      </c>
      <c r="P7" s="195" t="str">
        <f t="shared" si="15"/>
        <v>-</v>
      </c>
      <c r="Q7" s="195">
        <f t="shared" si="16"/>
        <v>1</v>
      </c>
      <c r="R7" s="195">
        <f t="shared" si="17"/>
        <v>1</v>
      </c>
      <c r="S7" s="195" t="str">
        <f t="shared" si="18"/>
        <v>-</v>
      </c>
      <c r="T7" s="195" t="str">
        <f t="shared" si="19"/>
        <v>-</v>
      </c>
      <c r="U7" s="195">
        <f t="shared" si="20"/>
        <v>1</v>
      </c>
      <c r="V7" s="195" t="str">
        <f t="shared" si="21"/>
        <v>-</v>
      </c>
      <c r="W7" s="195">
        <f t="shared" si="22"/>
        <v>1</v>
      </c>
      <c r="X7" s="160"/>
      <c r="Y7" s="160"/>
      <c r="Z7" s="195">
        <f t="shared" si="25"/>
        <v>1</v>
      </c>
      <c r="AA7" s="195" t="str">
        <f t="shared" si="26"/>
        <v>-</v>
      </c>
      <c r="AB7" s="195" t="str">
        <f t="shared" si="27"/>
        <v>-</v>
      </c>
      <c r="AC7" s="195">
        <f t="shared" si="28"/>
        <v>1</v>
      </c>
      <c r="AD7" s="195">
        <f t="shared" si="29"/>
        <v>1</v>
      </c>
      <c r="AE7" s="195" t="str">
        <f t="shared" si="30"/>
        <v>-</v>
      </c>
      <c r="AF7" s="195" t="str">
        <f t="shared" si="31"/>
        <v>-</v>
      </c>
      <c r="AG7" s="195">
        <f t="shared" si="32"/>
        <v>1</v>
      </c>
      <c r="AH7" s="195" t="str">
        <f t="shared" si="33"/>
        <v>-</v>
      </c>
      <c r="AI7" s="195">
        <f t="shared" si="34"/>
        <v>1</v>
      </c>
      <c r="AJ7" s="195">
        <f t="shared" si="35"/>
        <v>1</v>
      </c>
      <c r="AK7" s="195" t="str">
        <f t="shared" si="36"/>
        <v>-</v>
      </c>
      <c r="AL7" s="195" t="str">
        <f t="shared" si="37"/>
        <v>-</v>
      </c>
      <c r="AM7" s="195">
        <f t="shared" si="38"/>
        <v>1</v>
      </c>
      <c r="AN7" s="195" t="str">
        <f t="shared" si="39"/>
        <v>-</v>
      </c>
      <c r="AO7" s="195">
        <f t="shared" si="40"/>
        <v>1</v>
      </c>
      <c r="AP7" s="195">
        <f t="shared" si="41"/>
        <v>1</v>
      </c>
      <c r="AQ7" s="195" t="str">
        <f t="shared" si="42"/>
        <v>-</v>
      </c>
      <c r="AR7" s="195">
        <f t="shared" si="43"/>
        <v>1</v>
      </c>
      <c r="AS7" s="195" t="str">
        <f t="shared" si="44"/>
        <v>-</v>
      </c>
      <c r="AT7" s="195" t="str">
        <f t="shared" si="45"/>
        <v>-</v>
      </c>
      <c r="AU7" s="195">
        <f t="shared" si="46"/>
        <v>1</v>
      </c>
      <c r="AV7" s="195">
        <f t="shared" si="47"/>
        <v>1</v>
      </c>
      <c r="AW7" s="195" t="str">
        <f t="shared" si="48"/>
        <v>-</v>
      </c>
      <c r="AX7" s="160"/>
      <c r="AY7" s="160"/>
      <c r="AZ7" s="195" t="str">
        <f t="shared" si="51"/>
        <v>-</v>
      </c>
      <c r="BA7" s="195">
        <f t="shared" si="52"/>
        <v>1</v>
      </c>
      <c r="BB7" s="160"/>
      <c r="BC7" s="160"/>
      <c r="BD7" s="195">
        <f t="shared" si="55"/>
        <v>1</v>
      </c>
      <c r="BE7" s="195" t="str">
        <f t="shared" si="56"/>
        <v>-</v>
      </c>
      <c r="BF7" s="195">
        <f t="shared" si="57"/>
        <v>1</v>
      </c>
      <c r="BG7" s="195" t="str">
        <f t="shared" si="58"/>
        <v>-</v>
      </c>
      <c r="BH7" s="195">
        <f t="shared" si="59"/>
        <v>1</v>
      </c>
      <c r="BI7" s="195" t="str">
        <f t="shared" si="60"/>
        <v>-</v>
      </c>
      <c r="BJ7" s="195" t="str">
        <f t="shared" si="61"/>
        <v>-</v>
      </c>
      <c r="BK7" s="195">
        <f t="shared" si="62"/>
        <v>1</v>
      </c>
      <c r="BL7" s="195" t="str">
        <f t="shared" ref="BL7:BL19" si="67">LET(team, SUBSTITUTE(BL$1, " Wins", ""), IF(COUNTIF(INDIRECT("'"&amp;$A7&amp;"'!$C:$C"), team)&gt;0, 1, "-"))</f>
        <v>-</v>
      </c>
      <c r="BM7" s="195">
        <f t="shared" ref="BM7:BM19" si="68">LET(team, SUBSTITUTE(BM$1, " Losses", ""), weekSheet, "'"&amp;$A7&amp;"'!", matchIdx, MATCH("*"&amp;team&amp;"*", INDIRECT(weekSheet&amp;"$B:$B"), 0), IF(ISNA(matchIdx), "-", LET(winner, INDEX(INDIRECT(weekSheet&amp;"$C:$C"), matchIdx), IF(winner="", "-", IF(winner=team, "-", 1)))))</f>
        <v>1</v>
      </c>
    </row>
    <row r="8">
      <c r="A8" s="147" t="s">
        <v>159</v>
      </c>
      <c r="B8" s="148" t="str">
        <f t="shared" si="65"/>
        <v>-</v>
      </c>
      <c r="C8" s="148">
        <f t="shared" si="66"/>
        <v>1</v>
      </c>
      <c r="D8" s="149" t="str">
        <f t="shared" si="3"/>
        <v>-</v>
      </c>
      <c r="E8" s="149">
        <f t="shared" si="4"/>
        <v>1</v>
      </c>
      <c r="F8" s="150">
        <f t="shared" si="5"/>
        <v>1</v>
      </c>
      <c r="G8" s="150" t="str">
        <f t="shared" si="6"/>
        <v>-</v>
      </c>
      <c r="H8" s="160"/>
      <c r="I8" s="160"/>
      <c r="J8" s="160"/>
      <c r="K8" s="160"/>
      <c r="L8" s="152">
        <f t="shared" ref="L8:L19" si="69">LET(team, SUBSTITUTE(L$1, " Wins", ""), IF(COUNTIF(INDIRECT("'"&amp;$A8&amp;"'!$C:$C"), team)&gt;0, 1, "-"))</f>
        <v>1</v>
      </c>
      <c r="M8" s="152" t="str">
        <f t="shared" ref="M8:M19" si="70">LET(team, SUBSTITUTE(M$1, " Losses", ""), weekSheet, "'"&amp;$A8&amp;"'!", matchIdx, MATCH("*"&amp;team&amp;"*", INDIRECT(weekSheet&amp;"$B:$B"), 0), IF(ISNA(matchIdx), "-", LET(winner, INDEX(INDIRECT(weekSheet&amp;"$C:$C"), matchIdx), IF(winner="", "-", IF(winner=team, "-", 1)))))</f>
        <v>-</v>
      </c>
      <c r="N8" s="153" t="str">
        <f t="shared" si="13"/>
        <v>-</v>
      </c>
      <c r="O8" s="153">
        <f t="shared" si="14"/>
        <v>1</v>
      </c>
      <c r="P8" s="151">
        <f t="shared" si="15"/>
        <v>1</v>
      </c>
      <c r="Q8" s="151" t="str">
        <f t="shared" si="16"/>
        <v>-</v>
      </c>
      <c r="R8" s="156" t="str">
        <f t="shared" si="17"/>
        <v>-</v>
      </c>
      <c r="S8" s="156">
        <f t="shared" si="18"/>
        <v>1</v>
      </c>
      <c r="T8" s="150">
        <f t="shared" si="19"/>
        <v>1</v>
      </c>
      <c r="U8" s="150" t="str">
        <f t="shared" si="20"/>
        <v>-</v>
      </c>
      <c r="V8" s="159" t="str">
        <f t="shared" si="21"/>
        <v>-</v>
      </c>
      <c r="W8" s="159">
        <f t="shared" si="22"/>
        <v>1</v>
      </c>
      <c r="X8" s="150">
        <f t="shared" ref="X8:X19" si="71">LET(team, SUBSTITUTE(X$1, " Wins", ""), IF(COUNTIF(INDIRECT("'"&amp;$A8&amp;"'!$C:$C"), team)&gt;0, 1, "-"))</f>
        <v>1</v>
      </c>
      <c r="Y8" s="150" t="str">
        <f t="shared" ref="Y8:Y19" si="72">LET(team, SUBSTITUTE(Y$1, " Losses", ""), weekSheet, "'"&amp;$A8&amp;"'!", matchIdx, MATCH("*"&amp;team&amp;"*", INDIRECT(weekSheet&amp;"$B:$B"), 0), IF(ISNA(matchIdx), "-", LET(winner, INDEX(INDIRECT(weekSheet&amp;"$C:$C"), matchIdx), IF(winner="", "-", IF(winner=team, "-", 1)))))</f>
        <v>-</v>
      </c>
      <c r="Z8" s="148">
        <f t="shared" si="25"/>
        <v>1</v>
      </c>
      <c r="AA8" s="148" t="str">
        <f t="shared" si="26"/>
        <v>-</v>
      </c>
      <c r="AB8" s="160"/>
      <c r="AC8" s="160"/>
      <c r="AD8" s="151" t="str">
        <f t="shared" si="29"/>
        <v>-</v>
      </c>
      <c r="AE8" s="151">
        <f t="shared" si="30"/>
        <v>1</v>
      </c>
      <c r="AF8" s="183" t="str">
        <f t="shared" si="31"/>
        <v>-</v>
      </c>
      <c r="AG8" s="183">
        <f t="shared" si="32"/>
        <v>1</v>
      </c>
      <c r="AH8" s="148">
        <f t="shared" si="33"/>
        <v>1</v>
      </c>
      <c r="AI8" s="148" t="str">
        <f t="shared" si="34"/>
        <v>-</v>
      </c>
      <c r="AJ8" s="151">
        <f t="shared" si="35"/>
        <v>1</v>
      </c>
      <c r="AK8" s="151" t="str">
        <f t="shared" si="36"/>
        <v>-</v>
      </c>
      <c r="AL8" s="153">
        <f t="shared" si="37"/>
        <v>1</v>
      </c>
      <c r="AM8" s="153" t="str">
        <f t="shared" si="38"/>
        <v>-</v>
      </c>
      <c r="AN8" s="148" t="str">
        <f t="shared" si="39"/>
        <v>-</v>
      </c>
      <c r="AO8" s="148">
        <f t="shared" si="40"/>
        <v>1</v>
      </c>
      <c r="AP8" s="151">
        <f t="shared" si="41"/>
        <v>1</v>
      </c>
      <c r="AQ8" s="151" t="str">
        <f t="shared" si="42"/>
        <v>-</v>
      </c>
      <c r="AR8" s="153" t="str">
        <f t="shared" si="43"/>
        <v>-</v>
      </c>
      <c r="AS8" s="153">
        <f t="shared" si="44"/>
        <v>1</v>
      </c>
      <c r="AT8" s="151" t="str">
        <f t="shared" si="45"/>
        <v>-</v>
      </c>
      <c r="AU8" s="151">
        <f t="shared" si="46"/>
        <v>1</v>
      </c>
      <c r="AV8" s="160"/>
      <c r="AW8" s="160"/>
      <c r="AX8" s="183" t="str">
        <f t="shared" ref="AX8:AX19" si="73">LET(team, SUBSTITUTE(AX$1, " Wins", ""), IF(COUNTIF(INDIRECT("'"&amp;$A8&amp;"'!$C:$C"), team)&gt;0, 1, "-"))</f>
        <v>-</v>
      </c>
      <c r="AY8" s="183">
        <f t="shared" ref="AY8:AY19" si="74">LET(team, SUBSTITUTE(AY$1, " Losses", ""), weekSheet, "'"&amp;$A8&amp;"'!", matchIdx, MATCH("*"&amp;team&amp;"*", INDIRECT(weekSheet&amp;"$B:$B"), 0), IF(ISNA(matchIdx), "-", LET(winner, INDEX(INDIRECT(weekSheet&amp;"$C:$C"), matchIdx), IF(winner="", "-", IF(winner=team, "-", 1)))))</f>
        <v>1</v>
      </c>
      <c r="AZ8" s="153">
        <f t="shared" si="51"/>
        <v>1</v>
      </c>
      <c r="BA8" s="153" t="str">
        <f t="shared" si="52"/>
        <v>-</v>
      </c>
      <c r="BB8" s="156">
        <f t="shared" ref="BB8:BB19" si="75">LET(team, SUBSTITUTE(BB$1, " Wins", ""), IF(COUNTIF(INDIRECT("'"&amp;$A8&amp;"'!$C:$C"), team)&gt;0, 1, "-"))</f>
        <v>1</v>
      </c>
      <c r="BC8" s="156" t="str">
        <f t="shared" ref="BC8:BC19" si="76">LET(team, SUBSTITUTE(BC$1, " Losses", ""), weekSheet, "'"&amp;$A8&amp;"'!", matchIdx, MATCH("*"&amp;team&amp;"*", INDIRECT(weekSheet&amp;"$B:$B"), 0), IF(ISNA(matchIdx), "-", LET(winner, INDEX(INDIRECT(weekSheet&amp;"$C:$C"), matchIdx), IF(winner="", "-", IF(winner=team, "-", 1)))))</f>
        <v>-</v>
      </c>
      <c r="BD8" s="150" t="str">
        <f t="shared" si="55"/>
        <v>-</v>
      </c>
      <c r="BE8" s="150">
        <f t="shared" si="56"/>
        <v>1</v>
      </c>
      <c r="BF8" s="148" t="str">
        <f t="shared" si="57"/>
        <v>-</v>
      </c>
      <c r="BG8" s="148">
        <f t="shared" si="58"/>
        <v>1</v>
      </c>
      <c r="BH8" s="159">
        <f t="shared" si="59"/>
        <v>1</v>
      </c>
      <c r="BI8" s="159" t="str">
        <f t="shared" si="60"/>
        <v>-</v>
      </c>
      <c r="BJ8" s="148" t="str">
        <f t="shared" si="61"/>
        <v>-</v>
      </c>
      <c r="BK8" s="148">
        <f t="shared" si="62"/>
        <v>1</v>
      </c>
      <c r="BL8" s="183">
        <f t="shared" si="67"/>
        <v>1</v>
      </c>
      <c r="BM8" s="183" t="str">
        <f t="shared" si="68"/>
        <v>-</v>
      </c>
    </row>
    <row r="9">
      <c r="A9" s="147" t="s">
        <v>164</v>
      </c>
      <c r="B9" s="195" t="str">
        <f t="shared" si="65"/>
        <v>-</v>
      </c>
      <c r="C9" s="195">
        <f t="shared" si="66"/>
        <v>1</v>
      </c>
      <c r="D9" s="195">
        <f t="shared" si="3"/>
        <v>1</v>
      </c>
      <c r="E9" s="195" t="str">
        <f t="shared" si="4"/>
        <v>-</v>
      </c>
      <c r="F9" s="195">
        <f t="shared" si="5"/>
        <v>1</v>
      </c>
      <c r="G9" s="195" t="str">
        <f t="shared" si="6"/>
        <v>-</v>
      </c>
      <c r="H9" s="195" t="str">
        <f t="shared" ref="H9:H19" si="77">LET(team, SUBSTITUTE(H$1, " Wins", ""), IF(COUNTIF(INDIRECT("'"&amp;$A9&amp;"'!$C:$C"), team)&gt;0, 1, "-"))</f>
        <v>-</v>
      </c>
      <c r="I9" s="195">
        <f t="shared" ref="I9:I19" si="78">LET(team, SUBSTITUTE(I$1, " Losses", ""), weekSheet, "'"&amp;$A9&amp;"'!", matchIdx, MATCH("*"&amp;team&amp;"*", INDIRECT(weekSheet&amp;"$B:$B"), 0), IF(ISNA(matchIdx), "-", LET(winner, INDEX(INDIRECT(weekSheet&amp;"$C:$C"), matchIdx), IF(winner="", "-", IF(winner=team, "-", 1)))))</f>
        <v>1</v>
      </c>
      <c r="J9" s="195">
        <f t="shared" ref="J9:J19" si="79">LET(team, SUBSTITUTE(J$1, " Wins", ""), IF(COUNTIF(INDIRECT("'"&amp;$A9&amp;"'!$C:$C"), team)&gt;0, 1, "-"))</f>
        <v>1</v>
      </c>
      <c r="K9" s="195" t="str">
        <f t="shared" ref="K9:K19" si="80">LET(team, SUBSTITUTE(K$1, " Losses", ""), weekSheet, "'"&amp;$A9&amp;"'!", matchIdx, MATCH("*"&amp;team&amp;"*", INDIRECT(weekSheet&amp;"$B:$B"), 0), IF(ISNA(matchIdx), "-", LET(winner, INDEX(INDIRECT(weekSheet&amp;"$C:$C"), matchIdx), IF(winner="", "-", IF(winner=team, "-", 1)))))</f>
        <v>-</v>
      </c>
      <c r="L9" s="195" t="str">
        <f t="shared" si="69"/>
        <v>-</v>
      </c>
      <c r="M9" s="195">
        <f t="shared" si="70"/>
        <v>1</v>
      </c>
      <c r="N9" s="195" t="str">
        <f t="shared" si="13"/>
        <v>-</v>
      </c>
      <c r="O9" s="195">
        <f t="shared" si="14"/>
        <v>1</v>
      </c>
      <c r="P9" s="195">
        <f t="shared" si="15"/>
        <v>1</v>
      </c>
      <c r="Q9" s="195" t="str">
        <f t="shared" si="16"/>
        <v>-</v>
      </c>
      <c r="R9" s="195" t="str">
        <f t="shared" si="17"/>
        <v>-</v>
      </c>
      <c r="S9" s="195">
        <f t="shared" si="18"/>
        <v>1</v>
      </c>
      <c r="T9" s="195" t="str">
        <f t="shared" si="19"/>
        <v>-</v>
      </c>
      <c r="U9" s="195">
        <f t="shared" si="20"/>
        <v>1</v>
      </c>
      <c r="V9" s="195">
        <f t="shared" si="21"/>
        <v>1</v>
      </c>
      <c r="W9" s="195" t="str">
        <f t="shared" si="22"/>
        <v>-</v>
      </c>
      <c r="X9" s="195">
        <f t="shared" si="71"/>
        <v>1</v>
      </c>
      <c r="Y9" s="195" t="str">
        <f t="shared" si="72"/>
        <v>-</v>
      </c>
      <c r="Z9" s="160"/>
      <c r="AA9" s="160"/>
      <c r="AB9" s="195">
        <f t="shared" ref="AB9:AB19" si="81">LET(team, SUBSTITUTE(AB$1, " Wins", ""), IF(COUNTIF(INDIRECT("'"&amp;$A9&amp;"'!$C:$C"), team)&gt;0, 1, "-"))</f>
        <v>1</v>
      </c>
      <c r="AC9" s="195" t="str">
        <f t="shared" ref="AC9:AC19" si="82">LET(team, SUBSTITUTE(AC$1, " Losses", ""), weekSheet, "'"&amp;$A9&amp;"'!", matchIdx, MATCH("*"&amp;team&amp;"*", INDIRECT(weekSheet&amp;"$B:$B"), 0), IF(ISNA(matchIdx), "-", LET(winner, INDEX(INDIRECT(weekSheet&amp;"$C:$C"), matchIdx), IF(winner="", "-", IF(winner=team, "-", 1)))))</f>
        <v>-</v>
      </c>
      <c r="AD9" s="195" t="str">
        <f t="shared" si="29"/>
        <v>-</v>
      </c>
      <c r="AE9" s="195">
        <f t="shared" si="30"/>
        <v>1</v>
      </c>
      <c r="AF9" s="195" t="str">
        <f t="shared" si="31"/>
        <v>-</v>
      </c>
      <c r="AG9" s="195">
        <f t="shared" si="32"/>
        <v>1</v>
      </c>
      <c r="AH9" s="160"/>
      <c r="AI9" s="160"/>
      <c r="AJ9" s="195">
        <f t="shared" si="35"/>
        <v>1</v>
      </c>
      <c r="AK9" s="195" t="str">
        <f t="shared" si="36"/>
        <v>-</v>
      </c>
      <c r="AL9" s="195">
        <f t="shared" si="37"/>
        <v>1</v>
      </c>
      <c r="AM9" s="195" t="str">
        <f t="shared" si="38"/>
        <v>-</v>
      </c>
      <c r="AN9" s="195">
        <f t="shared" si="39"/>
        <v>1</v>
      </c>
      <c r="AO9" s="195" t="str">
        <f t="shared" si="40"/>
        <v>-</v>
      </c>
      <c r="AP9" s="195" t="str">
        <f t="shared" si="41"/>
        <v>-</v>
      </c>
      <c r="AQ9" s="195">
        <f t="shared" si="42"/>
        <v>1</v>
      </c>
      <c r="AR9" s="195">
        <f t="shared" si="43"/>
        <v>1</v>
      </c>
      <c r="AS9" s="195" t="str">
        <f t="shared" si="44"/>
        <v>-</v>
      </c>
      <c r="AT9" s="160"/>
      <c r="AU9" s="160"/>
      <c r="AV9" s="195" t="str">
        <f t="shared" ref="AV9:AV19" si="83">LET(team, SUBSTITUTE(AV$1, " Wins", ""), IF(COUNTIF(INDIRECT("'"&amp;$A9&amp;"'!$C:$C"), team)&gt;0, 1, "-"))</f>
        <v>-</v>
      </c>
      <c r="AW9" s="195">
        <f t="shared" ref="AW9:AW19" si="84">LET(team, SUBSTITUTE(AW$1, " Losses", ""), weekSheet, "'"&amp;$A9&amp;"'!", matchIdx, MATCH("*"&amp;team&amp;"*", INDIRECT(weekSheet&amp;"$B:$B"), 0), IF(ISNA(matchIdx), "-", LET(winner, INDEX(INDIRECT(weekSheet&amp;"$C:$C"), matchIdx), IF(winner="", "-", IF(winner=team, "-", 1)))))</f>
        <v>1</v>
      </c>
      <c r="AX9" s="195">
        <f t="shared" si="73"/>
        <v>1</v>
      </c>
      <c r="AY9" s="195" t="str">
        <f t="shared" si="74"/>
        <v>-</v>
      </c>
      <c r="AZ9" s="195">
        <f t="shared" si="51"/>
        <v>1</v>
      </c>
      <c r="BA9" s="195" t="str">
        <f t="shared" si="52"/>
        <v>-</v>
      </c>
      <c r="BB9" s="195" t="str">
        <f t="shared" si="75"/>
        <v>-</v>
      </c>
      <c r="BC9" s="195">
        <f t="shared" si="76"/>
        <v>1</v>
      </c>
      <c r="BD9" s="195" t="str">
        <f t="shared" si="55"/>
        <v>-</v>
      </c>
      <c r="BE9" s="195">
        <f t="shared" si="56"/>
        <v>1</v>
      </c>
      <c r="BF9" s="195">
        <f t="shared" si="57"/>
        <v>1</v>
      </c>
      <c r="BG9" s="195" t="str">
        <f t="shared" si="58"/>
        <v>-</v>
      </c>
      <c r="BH9" s="160"/>
      <c r="BI9" s="160"/>
      <c r="BJ9" s="195" t="str">
        <f t="shared" si="61"/>
        <v>-</v>
      </c>
      <c r="BK9" s="195">
        <f t="shared" si="62"/>
        <v>1</v>
      </c>
      <c r="BL9" s="195" t="str">
        <f t="shared" si="67"/>
        <v>-</v>
      </c>
      <c r="BM9" s="195">
        <f t="shared" si="68"/>
        <v>1</v>
      </c>
    </row>
    <row r="10">
      <c r="A10" s="147" t="s">
        <v>170</v>
      </c>
      <c r="B10" s="148">
        <f t="shared" si="65"/>
        <v>1</v>
      </c>
      <c r="C10" s="148" t="str">
        <f t="shared" si="66"/>
        <v>-</v>
      </c>
      <c r="D10" s="149" t="str">
        <f t="shared" si="3"/>
        <v>-</v>
      </c>
      <c r="E10" s="149">
        <f t="shared" si="4"/>
        <v>1</v>
      </c>
      <c r="F10" s="150">
        <f t="shared" si="5"/>
        <v>1</v>
      </c>
      <c r="G10" s="150" t="str">
        <f t="shared" si="6"/>
        <v>-</v>
      </c>
      <c r="H10" s="151">
        <f t="shared" si="77"/>
        <v>1</v>
      </c>
      <c r="I10" s="151" t="str">
        <f t="shared" si="78"/>
        <v>-</v>
      </c>
      <c r="J10" s="151">
        <f t="shared" si="79"/>
        <v>1</v>
      </c>
      <c r="K10" s="151" t="str">
        <f t="shared" si="80"/>
        <v>-</v>
      </c>
      <c r="L10" s="152" t="str">
        <f t="shared" si="69"/>
        <v>-</v>
      </c>
      <c r="M10" s="152">
        <f t="shared" si="70"/>
        <v>1</v>
      </c>
      <c r="N10" s="153" t="str">
        <f t="shared" si="13"/>
        <v>-</v>
      </c>
      <c r="O10" s="153">
        <f t="shared" si="14"/>
        <v>1</v>
      </c>
      <c r="P10" s="151">
        <f t="shared" si="15"/>
        <v>1</v>
      </c>
      <c r="Q10" s="151" t="str">
        <f t="shared" si="16"/>
        <v>-</v>
      </c>
      <c r="R10" s="156">
        <f t="shared" si="17"/>
        <v>1</v>
      </c>
      <c r="S10" s="156" t="str">
        <f t="shared" si="18"/>
        <v>-</v>
      </c>
      <c r="T10" s="150" t="str">
        <f t="shared" si="19"/>
        <v>-</v>
      </c>
      <c r="U10" s="150">
        <f t="shared" si="20"/>
        <v>1</v>
      </c>
      <c r="V10" s="160"/>
      <c r="W10" s="160"/>
      <c r="X10" s="150" t="str">
        <f t="shared" si="71"/>
        <v>-</v>
      </c>
      <c r="Y10" s="150">
        <f t="shared" si="72"/>
        <v>1</v>
      </c>
      <c r="Z10" s="148" t="str">
        <f t="shared" ref="Z10:Z19" si="85">LET(team, SUBSTITUTE(Z$1, " Wins", ""), IF(COUNTIF(INDIRECT("'"&amp;$A10&amp;"'!$C:$C"), team)&gt;0, 1, "-"))</f>
        <v>-</v>
      </c>
      <c r="AA10" s="148">
        <f t="shared" ref="AA10:AA19" si="86">LET(team, SUBSTITUTE(AA$1, " Losses", ""), weekSheet, "'"&amp;$A10&amp;"'!", matchIdx, MATCH("*"&amp;team&amp;"*", INDIRECT(weekSheet&amp;"$B:$B"), 0), IF(ISNA(matchIdx), "-", LET(winner, INDEX(INDIRECT(weekSheet&amp;"$C:$C"), matchIdx), IF(winner="", "-", IF(winner=team, "-", 1)))))</f>
        <v>1</v>
      </c>
      <c r="AB10" s="152" t="str">
        <f t="shared" si="81"/>
        <v>-</v>
      </c>
      <c r="AC10" s="152">
        <f t="shared" si="82"/>
        <v>1</v>
      </c>
      <c r="AD10" s="151">
        <f t="shared" si="29"/>
        <v>1</v>
      </c>
      <c r="AE10" s="151" t="str">
        <f t="shared" si="30"/>
        <v>-</v>
      </c>
      <c r="AF10" s="160"/>
      <c r="AG10" s="160"/>
      <c r="AH10" s="148">
        <f t="shared" ref="AH10:AH19" si="87">LET(team, SUBSTITUTE(AH$1, " Wins", ""), IF(COUNTIF(INDIRECT("'"&amp;$A10&amp;"'!$C:$C"), team)&gt;0, 1, "-"))</f>
        <v>1</v>
      </c>
      <c r="AI10" s="148" t="str">
        <f t="shared" ref="AI10:AI19" si="88">LET(team, SUBSTITUTE(AI$1, " Losses", ""), weekSheet, "'"&amp;$A10&amp;"'!", matchIdx, MATCH("*"&amp;team&amp;"*", INDIRECT(weekSheet&amp;"$B:$B"), 0), IF(ISNA(matchIdx), "-", LET(winner, INDEX(INDIRECT(weekSheet&amp;"$C:$C"), matchIdx), IF(winner="", "-", IF(winner=team, "-", 1)))))</f>
        <v>-</v>
      </c>
      <c r="AJ10" s="151">
        <f t="shared" si="35"/>
        <v>1</v>
      </c>
      <c r="AK10" s="151" t="str">
        <f t="shared" si="36"/>
        <v>-</v>
      </c>
      <c r="AL10" s="153">
        <f t="shared" si="37"/>
        <v>1</v>
      </c>
      <c r="AM10" s="153" t="str">
        <f t="shared" si="38"/>
        <v>-</v>
      </c>
      <c r="AN10" s="148" t="str">
        <f t="shared" si="39"/>
        <v>-</v>
      </c>
      <c r="AO10" s="148">
        <f t="shared" si="40"/>
        <v>1</v>
      </c>
      <c r="AP10" s="151" t="str">
        <f t="shared" si="41"/>
        <v>-</v>
      </c>
      <c r="AQ10" s="151">
        <f t="shared" si="42"/>
        <v>1</v>
      </c>
      <c r="AR10" s="153">
        <f t="shared" si="43"/>
        <v>1</v>
      </c>
      <c r="AS10" s="153" t="str">
        <f t="shared" si="44"/>
        <v>-</v>
      </c>
      <c r="AT10" s="151" t="str">
        <f t="shared" ref="AT10:AT19" si="89">LET(team, SUBSTITUTE(AT$1, " Wins", ""), IF(COUNTIF(INDIRECT("'"&amp;$A10&amp;"'!$C:$C"), team)&gt;0, 1, "-"))</f>
        <v>-</v>
      </c>
      <c r="AU10" s="151">
        <f t="shared" ref="AU10:AU19" si="90">LET(team, SUBSTITUTE(AU$1, " Losses", ""), weekSheet, "'"&amp;$A10&amp;"'!", matchIdx, MATCH("*"&amp;team&amp;"*", INDIRECT(weekSheet&amp;"$B:$B"), 0), IF(ISNA(matchIdx), "-", LET(winner, INDEX(INDIRECT(weekSheet&amp;"$C:$C"), matchIdx), IF(winner="", "-", IF(winner=team, "-", 1)))))</f>
        <v>1</v>
      </c>
      <c r="AV10" s="148" t="str">
        <f t="shared" si="83"/>
        <v>-</v>
      </c>
      <c r="AW10" s="148">
        <f t="shared" si="84"/>
        <v>1</v>
      </c>
      <c r="AX10" s="183">
        <f t="shared" si="73"/>
        <v>1</v>
      </c>
      <c r="AY10" s="183" t="str">
        <f t="shared" si="74"/>
        <v>-</v>
      </c>
      <c r="AZ10" s="153" t="str">
        <f t="shared" si="51"/>
        <v>-</v>
      </c>
      <c r="BA10" s="153">
        <f t="shared" si="52"/>
        <v>1</v>
      </c>
      <c r="BB10" s="156" t="str">
        <f t="shared" si="75"/>
        <v>-</v>
      </c>
      <c r="BC10" s="156">
        <f t="shared" si="76"/>
        <v>1</v>
      </c>
      <c r="BD10" s="150">
        <f t="shared" si="55"/>
        <v>1</v>
      </c>
      <c r="BE10" s="150" t="str">
        <f t="shared" si="56"/>
        <v>-</v>
      </c>
      <c r="BF10" s="148" t="str">
        <f t="shared" si="57"/>
        <v>-</v>
      </c>
      <c r="BG10" s="148">
        <f t="shared" si="58"/>
        <v>1</v>
      </c>
      <c r="BH10" s="159">
        <f t="shared" ref="BH10:BH19" si="91">LET(team, SUBSTITUTE(BH$1, " Wins", ""), IF(COUNTIF(INDIRECT("'"&amp;$A10&amp;"'!$C:$C"), team)&gt;0, 1, "-"))</f>
        <v>1</v>
      </c>
      <c r="BI10" s="159" t="str">
        <f t="shared" ref="BI10:BI19" si="92">LET(team, SUBSTITUTE(BI$1, " Losses", ""), weekSheet, "'"&amp;$A10&amp;"'!", matchIdx, MATCH("*"&amp;team&amp;"*", INDIRECT(weekSheet&amp;"$B:$B"), 0), IF(ISNA(matchIdx), "-", LET(winner, INDEX(INDIRECT(weekSheet&amp;"$C:$C"), matchIdx), IF(winner="", "-", IF(winner=team, "-", 1)))))</f>
        <v>-</v>
      </c>
      <c r="BJ10" s="148">
        <f t="shared" si="61"/>
        <v>1</v>
      </c>
      <c r="BK10" s="148" t="str">
        <f t="shared" si="62"/>
        <v>-</v>
      </c>
      <c r="BL10" s="183" t="str">
        <f t="shared" si="67"/>
        <v>-</v>
      </c>
      <c r="BM10" s="183">
        <f t="shared" si="68"/>
        <v>1</v>
      </c>
    </row>
    <row r="11">
      <c r="A11" s="147" t="s">
        <v>175</v>
      </c>
      <c r="B11" s="195">
        <f t="shared" si="65"/>
        <v>1</v>
      </c>
      <c r="C11" s="195" t="str">
        <f t="shared" si="66"/>
        <v>-</v>
      </c>
      <c r="D11" s="195">
        <f t="shared" si="3"/>
        <v>1</v>
      </c>
      <c r="E11" s="195" t="str">
        <f t="shared" si="4"/>
        <v>-</v>
      </c>
      <c r="F11" s="160"/>
      <c r="G11" s="160"/>
      <c r="H11" s="195" t="str">
        <f t="shared" si="77"/>
        <v>-</v>
      </c>
      <c r="I11" s="195">
        <f t="shared" si="78"/>
        <v>1</v>
      </c>
      <c r="J11" s="195" t="str">
        <f t="shared" si="79"/>
        <v>-</v>
      </c>
      <c r="K11" s="195">
        <f t="shared" si="80"/>
        <v>1</v>
      </c>
      <c r="L11" s="195">
        <f t="shared" si="69"/>
        <v>1</v>
      </c>
      <c r="M11" s="195" t="str">
        <f t="shared" si="70"/>
        <v>-</v>
      </c>
      <c r="N11" s="195">
        <f t="shared" si="13"/>
        <v>1</v>
      </c>
      <c r="O11" s="195" t="str">
        <f t="shared" si="14"/>
        <v>-</v>
      </c>
      <c r="P11" s="195">
        <f t="shared" si="15"/>
        <v>1</v>
      </c>
      <c r="Q11" s="195" t="str">
        <f t="shared" si="16"/>
        <v>-</v>
      </c>
      <c r="R11" s="195">
        <f t="shared" si="17"/>
        <v>1</v>
      </c>
      <c r="S11" s="195" t="str">
        <f t="shared" si="18"/>
        <v>-</v>
      </c>
      <c r="T11" s="195">
        <f t="shared" si="19"/>
        <v>1</v>
      </c>
      <c r="U11" s="195" t="str">
        <f t="shared" si="20"/>
        <v>-</v>
      </c>
      <c r="V11" s="195" t="str">
        <f t="shared" ref="V11:V19" si="93">LET(team, SUBSTITUTE(V$1, " Wins", ""), IF(COUNTIF(INDIRECT("'"&amp;$A11&amp;"'!$C:$C"), team)&gt;0, 1, "-"))</f>
        <v>-</v>
      </c>
      <c r="W11" s="195">
        <f t="shared" ref="W11:W19" si="94">LET(team, SUBSTITUTE(W$1, " Losses", ""), weekSheet, "'"&amp;$A11&amp;"'!", matchIdx, MATCH("*"&amp;team&amp;"*", INDIRECT(weekSheet&amp;"$B:$B"), 0), IF(ISNA(matchIdx), "-", LET(winner, INDEX(INDIRECT(weekSheet&amp;"$C:$C"), matchIdx), IF(winner="", "-", IF(winner=team, "-", 1)))))</f>
        <v>1</v>
      </c>
      <c r="X11" s="195">
        <f t="shared" si="71"/>
        <v>1</v>
      </c>
      <c r="Y11" s="195" t="str">
        <f t="shared" si="72"/>
        <v>-</v>
      </c>
      <c r="Z11" s="195" t="str">
        <f t="shared" si="85"/>
        <v>-</v>
      </c>
      <c r="AA11" s="195">
        <f t="shared" si="86"/>
        <v>1</v>
      </c>
      <c r="AB11" s="195">
        <f t="shared" si="81"/>
        <v>1</v>
      </c>
      <c r="AC11" s="195" t="str">
        <f t="shared" si="82"/>
        <v>-</v>
      </c>
      <c r="AD11" s="195" t="str">
        <f t="shared" si="29"/>
        <v>-</v>
      </c>
      <c r="AE11" s="195">
        <f t="shared" si="30"/>
        <v>1</v>
      </c>
      <c r="AF11" s="195" t="str">
        <f t="shared" ref="AF11:AF19" si="95">LET(team, SUBSTITUTE(AF$1, " Wins", ""), IF(COUNTIF(INDIRECT("'"&amp;$A11&amp;"'!$C:$C"), team)&gt;0, 1, "-"))</f>
        <v>-</v>
      </c>
      <c r="AG11" s="195">
        <f t="shared" ref="AG11:AG19" si="96">LET(team, SUBSTITUTE(AG$1, " Losses", ""), weekSheet, "'"&amp;$A11&amp;"'!", matchIdx, MATCH("*"&amp;team&amp;"*", INDIRECT(weekSheet&amp;"$B:$B"), 0), IF(ISNA(matchIdx), "-", LET(winner, INDEX(INDIRECT(weekSheet&amp;"$C:$C"), matchIdx), IF(winner="", "-", IF(winner=team, "-", 1)))))</f>
        <v>1</v>
      </c>
      <c r="AH11" s="195" t="str">
        <f t="shared" si="87"/>
        <v>-</v>
      </c>
      <c r="AI11" s="195">
        <f t="shared" si="88"/>
        <v>1</v>
      </c>
      <c r="AJ11" s="195" t="str">
        <f t="shared" si="35"/>
        <v>-</v>
      </c>
      <c r="AK11" s="195">
        <f t="shared" si="36"/>
        <v>1</v>
      </c>
      <c r="AL11" s="195" t="str">
        <f t="shared" si="37"/>
        <v>-</v>
      </c>
      <c r="AM11" s="195">
        <f t="shared" si="38"/>
        <v>1</v>
      </c>
      <c r="AN11" s="195">
        <f t="shared" si="39"/>
        <v>1</v>
      </c>
      <c r="AO11" s="195" t="str">
        <f t="shared" si="40"/>
        <v>-</v>
      </c>
      <c r="AP11" s="195">
        <f t="shared" si="41"/>
        <v>1</v>
      </c>
      <c r="AQ11" s="195" t="str">
        <f t="shared" si="42"/>
        <v>-</v>
      </c>
      <c r="AR11" s="160"/>
      <c r="AS11" s="160"/>
      <c r="AT11" s="195" t="str">
        <f t="shared" si="89"/>
        <v>-</v>
      </c>
      <c r="AU11" s="195">
        <f t="shared" si="90"/>
        <v>1</v>
      </c>
      <c r="AV11" s="195">
        <f t="shared" si="83"/>
        <v>1</v>
      </c>
      <c r="AW11" s="195" t="str">
        <f t="shared" si="84"/>
        <v>-</v>
      </c>
      <c r="AX11" s="195" t="str">
        <f t="shared" si="73"/>
        <v>-</v>
      </c>
      <c r="AY11" s="195">
        <f t="shared" si="74"/>
        <v>1</v>
      </c>
      <c r="AZ11" s="195">
        <f t="shared" si="51"/>
        <v>1</v>
      </c>
      <c r="BA11" s="195" t="str">
        <f t="shared" si="52"/>
        <v>-</v>
      </c>
      <c r="BB11" s="195" t="str">
        <f t="shared" si="75"/>
        <v>-</v>
      </c>
      <c r="BC11" s="195">
        <f t="shared" si="76"/>
        <v>1</v>
      </c>
      <c r="BD11" s="160"/>
      <c r="BE11" s="160"/>
      <c r="BF11" s="160"/>
      <c r="BG11" s="160"/>
      <c r="BH11" s="195">
        <f t="shared" si="91"/>
        <v>1</v>
      </c>
      <c r="BI11" s="195" t="str">
        <f t="shared" si="92"/>
        <v>-</v>
      </c>
      <c r="BJ11" s="195" t="str">
        <f t="shared" si="61"/>
        <v>-</v>
      </c>
      <c r="BK11" s="195">
        <f t="shared" si="62"/>
        <v>1</v>
      </c>
      <c r="BL11" s="195" t="str">
        <f t="shared" si="67"/>
        <v>-</v>
      </c>
      <c r="BM11" s="195">
        <f t="shared" si="68"/>
        <v>1</v>
      </c>
    </row>
    <row r="12">
      <c r="A12" s="147" t="s">
        <v>179</v>
      </c>
      <c r="B12" s="148">
        <f t="shared" si="65"/>
        <v>1</v>
      </c>
      <c r="C12" s="148" t="str">
        <f t="shared" si="66"/>
        <v>-</v>
      </c>
      <c r="D12" s="149" t="str">
        <f t="shared" si="3"/>
        <v>-</v>
      </c>
      <c r="E12" s="149">
        <f t="shared" si="4"/>
        <v>1</v>
      </c>
      <c r="F12" s="150">
        <f t="shared" ref="F12:F19" si="97">LET(team, SUBSTITUTE(F$1, " Wins", ""), IF(COUNTIF(INDIRECT("'"&amp;$A12&amp;"'!$C:$C"), team)&gt;0, 1, "-"))</f>
        <v>1</v>
      </c>
      <c r="G12" s="150" t="str">
        <f t="shared" ref="G12:G19" si="98">LET(team, SUBSTITUTE(G$1, " Losses", ""), weekSheet, "'"&amp;$A12&amp;"'!", matchIdx, MATCH("*"&amp;team&amp;"*", INDIRECT(weekSheet&amp;"$B:$B"), 0), IF(ISNA(matchIdx), "-", LET(winner, INDEX(INDIRECT(weekSheet&amp;"$C:$C"), matchIdx), IF(winner="", "-", IF(winner=team, "-", 1)))))</f>
        <v>-</v>
      </c>
      <c r="H12" s="151">
        <f t="shared" si="77"/>
        <v>1</v>
      </c>
      <c r="I12" s="151" t="str">
        <f t="shared" si="78"/>
        <v>-</v>
      </c>
      <c r="J12" s="151">
        <f t="shared" si="79"/>
        <v>1</v>
      </c>
      <c r="K12" s="151" t="str">
        <f t="shared" si="80"/>
        <v>-</v>
      </c>
      <c r="L12" s="152" t="str">
        <f t="shared" si="69"/>
        <v>-</v>
      </c>
      <c r="M12" s="152">
        <f t="shared" si="70"/>
        <v>1</v>
      </c>
      <c r="N12" s="153" t="str">
        <f t="shared" si="13"/>
        <v>-</v>
      </c>
      <c r="O12" s="153">
        <f t="shared" si="14"/>
        <v>1</v>
      </c>
      <c r="P12" s="160"/>
      <c r="Q12" s="160"/>
      <c r="R12" s="156" t="str">
        <f t="shared" si="17"/>
        <v>-</v>
      </c>
      <c r="S12" s="156">
        <f t="shared" si="18"/>
        <v>1</v>
      </c>
      <c r="T12" s="160"/>
      <c r="U12" s="160"/>
      <c r="V12" s="159" t="str">
        <f t="shared" si="93"/>
        <v>-</v>
      </c>
      <c r="W12" s="159">
        <f t="shared" si="94"/>
        <v>1</v>
      </c>
      <c r="X12" s="150" t="str">
        <f t="shared" si="71"/>
        <v>-</v>
      </c>
      <c r="Y12" s="150">
        <f t="shared" si="72"/>
        <v>1</v>
      </c>
      <c r="Z12" s="148">
        <f t="shared" si="85"/>
        <v>1</v>
      </c>
      <c r="AA12" s="148" t="str">
        <f t="shared" si="86"/>
        <v>-</v>
      </c>
      <c r="AB12" s="152" t="str">
        <f t="shared" si="81"/>
        <v>-</v>
      </c>
      <c r="AC12" s="152">
        <f t="shared" si="82"/>
        <v>1</v>
      </c>
      <c r="AD12" s="151" t="str">
        <f t="shared" si="29"/>
        <v>-</v>
      </c>
      <c r="AE12" s="151">
        <f t="shared" si="30"/>
        <v>1</v>
      </c>
      <c r="AF12" s="183" t="str">
        <f t="shared" si="95"/>
        <v>-</v>
      </c>
      <c r="AG12" s="183">
        <f t="shared" si="96"/>
        <v>1</v>
      </c>
      <c r="AH12" s="148" t="str">
        <f t="shared" si="87"/>
        <v>-</v>
      </c>
      <c r="AI12" s="148">
        <f t="shared" si="88"/>
        <v>1</v>
      </c>
      <c r="AJ12" s="160"/>
      <c r="AK12" s="160"/>
      <c r="AL12" s="160"/>
      <c r="AM12" s="160"/>
      <c r="AN12" s="148" t="str">
        <f t="shared" si="39"/>
        <v>-</v>
      </c>
      <c r="AO12" s="148">
        <f t="shared" si="40"/>
        <v>1</v>
      </c>
      <c r="AP12" s="151">
        <f t="shared" si="41"/>
        <v>1</v>
      </c>
      <c r="AQ12" s="151" t="str">
        <f t="shared" si="42"/>
        <v>-</v>
      </c>
      <c r="AR12" s="153">
        <f t="shared" ref="AR12:AR19" si="99">LET(team, SUBSTITUTE(AR$1, " Wins", ""), IF(COUNTIF(INDIRECT("'"&amp;$A12&amp;"'!$C:$C"), team)&gt;0, 1, "-"))</f>
        <v>1</v>
      </c>
      <c r="AS12" s="153" t="str">
        <f t="shared" ref="AS12:AS19" si="100">LET(team, SUBSTITUTE(AS$1, " Losses", ""), weekSheet, "'"&amp;$A12&amp;"'!", matchIdx, MATCH("*"&amp;team&amp;"*", INDIRECT(weekSheet&amp;"$B:$B"), 0), IF(ISNA(matchIdx), "-", LET(winner, INDEX(INDIRECT(weekSheet&amp;"$C:$C"), matchIdx), IF(winner="", "-", IF(winner=team, "-", 1)))))</f>
        <v>-</v>
      </c>
      <c r="AT12" s="151">
        <f t="shared" si="89"/>
        <v>1</v>
      </c>
      <c r="AU12" s="151" t="str">
        <f t="shared" si="90"/>
        <v>-</v>
      </c>
      <c r="AV12" s="148">
        <f t="shared" si="83"/>
        <v>1</v>
      </c>
      <c r="AW12" s="148" t="str">
        <f t="shared" si="84"/>
        <v>-</v>
      </c>
      <c r="AX12" s="183" t="str">
        <f t="shared" si="73"/>
        <v>-</v>
      </c>
      <c r="AY12" s="183">
        <f t="shared" si="74"/>
        <v>1</v>
      </c>
      <c r="AZ12" s="160"/>
      <c r="BA12" s="160"/>
      <c r="BB12" s="156">
        <f t="shared" si="75"/>
        <v>1</v>
      </c>
      <c r="BC12" s="156" t="str">
        <f t="shared" si="76"/>
        <v>-</v>
      </c>
      <c r="BD12" s="150">
        <f t="shared" ref="BD12:BD19" si="101">LET(team, SUBSTITUTE(BD$1, " Wins", ""), IF(COUNTIF(INDIRECT("'"&amp;$A12&amp;"'!$C:$C"), team)&gt;0, 1, "-"))</f>
        <v>1</v>
      </c>
      <c r="BE12" s="150" t="str">
        <f t="shared" ref="BE12:BE19" si="102">LET(team, SUBSTITUTE(BE$1, " Losses", ""), weekSheet, "'"&amp;$A12&amp;"'!", matchIdx, MATCH("*"&amp;team&amp;"*", INDIRECT(weekSheet&amp;"$B:$B"), 0), IF(ISNA(matchIdx), "-", LET(winner, INDEX(INDIRECT(weekSheet&amp;"$C:$C"), matchIdx), IF(winner="", "-", IF(winner=team, "-", 1)))))</f>
        <v>-</v>
      </c>
      <c r="BF12" s="148">
        <f t="shared" ref="BF12:BF19" si="103">LET(team, SUBSTITUTE(BF$1, " Wins", ""), IF(COUNTIF(INDIRECT("'"&amp;$A12&amp;"'!$C:$C"), team)&gt;0, 1, "-"))</f>
        <v>1</v>
      </c>
      <c r="BG12" s="148" t="str">
        <f t="shared" ref="BG12:BG19" si="104">LET(team, SUBSTITUTE(BG$1, " Losses", ""), weekSheet, "'"&amp;$A12&amp;"'!", matchIdx, MATCH("*"&amp;team&amp;"*", INDIRECT(weekSheet&amp;"$B:$B"), 0), IF(ISNA(matchIdx), "-", LET(winner, INDEX(INDIRECT(weekSheet&amp;"$C:$C"), matchIdx), IF(winner="", "-", IF(winner=team, "-", 1)))))</f>
        <v>-</v>
      </c>
      <c r="BH12" s="159" t="str">
        <f t="shared" si="91"/>
        <v>-</v>
      </c>
      <c r="BI12" s="159">
        <f t="shared" si="92"/>
        <v>1</v>
      </c>
      <c r="BJ12" s="160"/>
      <c r="BK12" s="160"/>
      <c r="BL12" s="183">
        <f t="shared" si="67"/>
        <v>1</v>
      </c>
      <c r="BM12" s="183" t="str">
        <f t="shared" si="68"/>
        <v>-</v>
      </c>
    </row>
    <row r="13">
      <c r="A13" s="147" t="s">
        <v>185</v>
      </c>
      <c r="B13" s="195" t="str">
        <f t="shared" si="65"/>
        <v>-</v>
      </c>
      <c r="C13" s="195">
        <f t="shared" si="66"/>
        <v>1</v>
      </c>
      <c r="D13" s="195">
        <f t="shared" si="3"/>
        <v>1</v>
      </c>
      <c r="E13" s="195" t="str">
        <f t="shared" si="4"/>
        <v>-</v>
      </c>
      <c r="F13" s="195">
        <f t="shared" si="97"/>
        <v>1</v>
      </c>
      <c r="G13" s="195" t="str">
        <f t="shared" si="98"/>
        <v>-</v>
      </c>
      <c r="H13" s="195" t="str">
        <f t="shared" si="77"/>
        <v>-</v>
      </c>
      <c r="I13" s="195">
        <f t="shared" si="78"/>
        <v>1</v>
      </c>
      <c r="J13" s="195">
        <f t="shared" si="79"/>
        <v>1</v>
      </c>
      <c r="K13" s="195" t="str">
        <f t="shared" si="80"/>
        <v>-</v>
      </c>
      <c r="L13" s="195" t="str">
        <f t="shared" si="69"/>
        <v>-</v>
      </c>
      <c r="M13" s="195">
        <f t="shared" si="70"/>
        <v>1</v>
      </c>
      <c r="N13" s="195">
        <f t="shared" si="13"/>
        <v>1</v>
      </c>
      <c r="O13" s="195" t="str">
        <f t="shared" si="14"/>
        <v>-</v>
      </c>
      <c r="P13" s="195">
        <f t="shared" ref="P13:P19" si="105">LET(team, SUBSTITUTE(P$1, " Wins", ""), IF(COUNTIF(INDIRECT("'"&amp;$A13&amp;"'!$C:$C"), team)&gt;0, 1, "-"))</f>
        <v>1</v>
      </c>
      <c r="Q13" s="195" t="str">
        <f t="shared" ref="Q13:Q19" si="106">LET(team, SUBSTITUTE(Q$1, " Losses", ""), weekSheet, "'"&amp;$A13&amp;"'!", matchIdx, MATCH("*"&amp;team&amp;"*", INDIRECT(weekSheet&amp;"$B:$B"), 0), IF(ISNA(matchIdx), "-", LET(winner, INDEX(INDIRECT(weekSheet&amp;"$C:$C"), matchIdx), IF(winner="", "-", IF(winner=team, "-", 1)))))</f>
        <v>-</v>
      </c>
      <c r="R13" s="195">
        <f t="shared" si="17"/>
        <v>1</v>
      </c>
      <c r="S13" s="195" t="str">
        <f t="shared" si="18"/>
        <v>-</v>
      </c>
      <c r="T13" s="195" t="str">
        <f t="shared" ref="T13:T19" si="107">LET(team, SUBSTITUTE(T$1, " Wins", ""), IF(COUNTIF(INDIRECT("'"&amp;$A13&amp;"'!$C:$C"), team)&gt;0, 1, "-"))</f>
        <v>-</v>
      </c>
      <c r="U13" s="195">
        <f t="shared" ref="U13:U19" si="108">LET(team, SUBSTITUTE(U$1, " Losses", ""), weekSheet, "'"&amp;$A13&amp;"'!", matchIdx, MATCH("*"&amp;team&amp;"*", INDIRECT(weekSheet&amp;"$B:$B"), 0), IF(ISNA(matchIdx), "-", LET(winner, INDEX(INDIRECT(weekSheet&amp;"$C:$C"), matchIdx), IF(winner="", "-", IF(winner=team, "-", 1)))))</f>
        <v>1</v>
      </c>
      <c r="V13" s="195" t="str">
        <f t="shared" si="93"/>
        <v>-</v>
      </c>
      <c r="W13" s="195">
        <f t="shared" si="94"/>
        <v>1</v>
      </c>
      <c r="X13" s="195">
        <f t="shared" si="71"/>
        <v>1</v>
      </c>
      <c r="Y13" s="195" t="str">
        <f t="shared" si="72"/>
        <v>-</v>
      </c>
      <c r="Z13" s="195" t="str">
        <f t="shared" si="85"/>
        <v>-</v>
      </c>
      <c r="AA13" s="195">
        <f t="shared" si="86"/>
        <v>1</v>
      </c>
      <c r="AB13" s="195">
        <f t="shared" si="81"/>
        <v>1</v>
      </c>
      <c r="AC13" s="195" t="str">
        <f t="shared" si="82"/>
        <v>-</v>
      </c>
      <c r="AD13" s="195">
        <f t="shared" si="29"/>
        <v>1</v>
      </c>
      <c r="AE13" s="195" t="str">
        <f t="shared" si="30"/>
        <v>-</v>
      </c>
      <c r="AF13" s="195" t="str">
        <f t="shared" si="95"/>
        <v>-</v>
      </c>
      <c r="AG13" s="195">
        <f t="shared" si="96"/>
        <v>1</v>
      </c>
      <c r="AH13" s="195">
        <f t="shared" si="87"/>
        <v>1</v>
      </c>
      <c r="AI13" s="195" t="str">
        <f t="shared" si="88"/>
        <v>-</v>
      </c>
      <c r="AJ13" s="195">
        <f t="shared" ref="AJ13:AJ19" si="109">LET(team, SUBSTITUTE(AJ$1, " Wins", ""), IF(COUNTIF(INDIRECT("'"&amp;$A13&amp;"'!$C:$C"), team)&gt;0, 1, "-"))</f>
        <v>1</v>
      </c>
      <c r="AK13" s="195" t="str">
        <f t="shared" ref="AK13:AK19" si="110">LET(team, SUBSTITUTE(AK$1, " Losses", ""), weekSheet, "'"&amp;$A13&amp;"'!", matchIdx, MATCH("*"&amp;team&amp;"*", INDIRECT(weekSheet&amp;"$B:$B"), 0), IF(ISNA(matchIdx), "-", LET(winner, INDEX(INDIRECT(weekSheet&amp;"$C:$C"), matchIdx), IF(winner="", "-", IF(winner=team, "-", 1)))))</f>
        <v>-</v>
      </c>
      <c r="AL13" s="195" t="str">
        <f t="shared" ref="AL13:AL19" si="111">LET(team, SUBSTITUTE(AL$1, " Wins", ""), IF(COUNTIF(INDIRECT("'"&amp;$A13&amp;"'!$C:$C"), team)&gt;0, 1, "-"))</f>
        <v>-</v>
      </c>
      <c r="AM13" s="195">
        <f t="shared" ref="AM13:AM19" si="112">LET(team, SUBSTITUTE(AM$1, " Losses", ""), weekSheet, "'"&amp;$A13&amp;"'!", matchIdx, MATCH("*"&amp;team&amp;"*", INDIRECT(weekSheet&amp;"$B:$B"), 0), IF(ISNA(matchIdx), "-", LET(winner, INDEX(INDIRECT(weekSheet&amp;"$C:$C"), matchIdx), IF(winner="", "-", IF(winner=team, "-", 1)))))</f>
        <v>1</v>
      </c>
      <c r="AN13" s="195">
        <f t="shared" si="39"/>
        <v>1</v>
      </c>
      <c r="AO13" s="195" t="str">
        <f t="shared" si="40"/>
        <v>-</v>
      </c>
      <c r="AP13" s="195" t="str">
        <f t="shared" si="41"/>
        <v>-</v>
      </c>
      <c r="AQ13" s="195">
        <f t="shared" si="42"/>
        <v>1</v>
      </c>
      <c r="AR13" s="195">
        <f t="shared" si="99"/>
        <v>1</v>
      </c>
      <c r="AS13" s="195" t="str">
        <f t="shared" si="100"/>
        <v>-</v>
      </c>
      <c r="AT13" s="195" t="str">
        <f t="shared" si="89"/>
        <v>-</v>
      </c>
      <c r="AU13" s="195">
        <f t="shared" si="90"/>
        <v>1</v>
      </c>
      <c r="AV13" s="195" t="str">
        <f t="shared" si="83"/>
        <v>-</v>
      </c>
      <c r="AW13" s="195">
        <f t="shared" si="84"/>
        <v>1</v>
      </c>
      <c r="AX13" s="195" t="str">
        <f t="shared" si="73"/>
        <v>-</v>
      </c>
      <c r="AY13" s="195">
        <f t="shared" si="74"/>
        <v>1</v>
      </c>
      <c r="AZ13" s="195" t="str">
        <f t="shared" ref="AZ13:AZ19" si="113">LET(team, SUBSTITUTE(AZ$1, " Wins", ""), IF(COUNTIF(INDIRECT("'"&amp;$A13&amp;"'!$C:$C"), team)&gt;0, 1, "-"))</f>
        <v>-</v>
      </c>
      <c r="BA13" s="195">
        <f t="shared" ref="BA13:BA19" si="114">LET(team, SUBSTITUTE(BA$1, " Losses", ""), weekSheet, "'"&amp;$A13&amp;"'!", matchIdx, MATCH("*"&amp;team&amp;"*", INDIRECT(weekSheet&amp;"$B:$B"), 0), IF(ISNA(matchIdx), "-", LET(winner, INDEX(INDIRECT(weekSheet&amp;"$C:$C"), matchIdx), IF(winner="", "-", IF(winner=team, "-", 1)))))</f>
        <v>1</v>
      </c>
      <c r="BB13" s="195" t="str">
        <f t="shared" si="75"/>
        <v>-</v>
      </c>
      <c r="BC13" s="195">
        <f t="shared" si="76"/>
        <v>1</v>
      </c>
      <c r="BD13" s="195">
        <f t="shared" si="101"/>
        <v>1</v>
      </c>
      <c r="BE13" s="195" t="str">
        <f t="shared" si="102"/>
        <v>-</v>
      </c>
      <c r="BF13" s="195">
        <f t="shared" si="103"/>
        <v>1</v>
      </c>
      <c r="BG13" s="195" t="str">
        <f t="shared" si="104"/>
        <v>-</v>
      </c>
      <c r="BH13" s="195" t="str">
        <f t="shared" si="91"/>
        <v>-</v>
      </c>
      <c r="BI13" s="195">
        <f t="shared" si="92"/>
        <v>1</v>
      </c>
      <c r="BJ13" s="195">
        <f t="shared" ref="BJ13:BJ19" si="115">LET(team, SUBSTITUTE(BJ$1, " Wins", ""), IF(COUNTIF(INDIRECT("'"&amp;$A13&amp;"'!$C:$C"), team)&gt;0, 1, "-"))</f>
        <v>1</v>
      </c>
      <c r="BK13" s="195" t="str">
        <f t="shared" ref="BK13:BK19" si="116">LET(team, SUBSTITUTE(BK$1, " Losses", ""), weekSheet, "'"&amp;$A13&amp;"'!", matchIdx, MATCH("*"&amp;team&amp;"*", INDIRECT(weekSheet&amp;"$B:$B"), 0), IF(ISNA(matchIdx), "-", LET(winner, INDEX(INDIRECT(weekSheet&amp;"$C:$C"), matchIdx), IF(winner="", "-", IF(winner=team, "-", 1)))))</f>
        <v>-</v>
      </c>
      <c r="BL13" s="195" t="str">
        <f t="shared" si="67"/>
        <v>-</v>
      </c>
      <c r="BM13" s="195">
        <f t="shared" si="68"/>
        <v>1</v>
      </c>
    </row>
    <row r="14">
      <c r="A14" s="147" t="s">
        <v>191</v>
      </c>
      <c r="B14" s="148" t="str">
        <f t="shared" si="65"/>
        <v>-</v>
      </c>
      <c r="C14" s="148">
        <f t="shared" si="66"/>
        <v>1</v>
      </c>
      <c r="D14" s="160"/>
      <c r="E14" s="160"/>
      <c r="F14" s="150">
        <f t="shared" si="97"/>
        <v>1</v>
      </c>
      <c r="G14" s="150" t="str">
        <f t="shared" si="98"/>
        <v>-</v>
      </c>
      <c r="H14" s="151" t="str">
        <f t="shared" si="77"/>
        <v>-</v>
      </c>
      <c r="I14" s="151">
        <f t="shared" si="78"/>
        <v>1</v>
      </c>
      <c r="J14" s="151" t="str">
        <f t="shared" si="79"/>
        <v>-</v>
      </c>
      <c r="K14" s="151">
        <f t="shared" si="80"/>
        <v>1</v>
      </c>
      <c r="L14" s="152" t="str">
        <f t="shared" si="69"/>
        <v>-</v>
      </c>
      <c r="M14" s="152">
        <f t="shared" si="70"/>
        <v>1</v>
      </c>
      <c r="N14" s="160"/>
      <c r="O14" s="160"/>
      <c r="P14" s="151">
        <f t="shared" si="105"/>
        <v>1</v>
      </c>
      <c r="Q14" s="151" t="str">
        <f t="shared" si="106"/>
        <v>-</v>
      </c>
      <c r="R14" s="160"/>
      <c r="S14" s="160"/>
      <c r="T14" s="150" t="str">
        <f t="shared" si="107"/>
        <v>-</v>
      </c>
      <c r="U14" s="150">
        <f t="shared" si="108"/>
        <v>1</v>
      </c>
      <c r="V14" s="159" t="str">
        <f t="shared" si="93"/>
        <v>-</v>
      </c>
      <c r="W14" s="159">
        <f t="shared" si="94"/>
        <v>1</v>
      </c>
      <c r="X14" s="150">
        <f t="shared" si="71"/>
        <v>1</v>
      </c>
      <c r="Y14" s="150" t="str">
        <f t="shared" si="72"/>
        <v>-</v>
      </c>
      <c r="Z14" s="148">
        <f t="shared" si="85"/>
        <v>1</v>
      </c>
      <c r="AA14" s="148" t="str">
        <f t="shared" si="86"/>
        <v>-</v>
      </c>
      <c r="AB14" s="152">
        <f t="shared" si="81"/>
        <v>1</v>
      </c>
      <c r="AC14" s="152" t="str">
        <f t="shared" si="82"/>
        <v>-</v>
      </c>
      <c r="AD14" s="160"/>
      <c r="AE14" s="160"/>
      <c r="AF14" s="183">
        <f t="shared" si="95"/>
        <v>1</v>
      </c>
      <c r="AG14" s="183" t="str">
        <f t="shared" si="96"/>
        <v>-</v>
      </c>
      <c r="AH14" s="148">
        <f t="shared" si="87"/>
        <v>1</v>
      </c>
      <c r="AI14" s="148" t="str">
        <f t="shared" si="88"/>
        <v>-</v>
      </c>
      <c r="AJ14" s="151">
        <f t="shared" si="109"/>
        <v>1</v>
      </c>
      <c r="AK14" s="151" t="str">
        <f t="shared" si="110"/>
        <v>-</v>
      </c>
      <c r="AL14" s="153">
        <f t="shared" si="111"/>
        <v>1</v>
      </c>
      <c r="AM14" s="153" t="str">
        <f t="shared" si="112"/>
        <v>-</v>
      </c>
      <c r="AN14" s="148" t="str">
        <f t="shared" si="39"/>
        <v>-</v>
      </c>
      <c r="AO14" s="148">
        <f t="shared" si="40"/>
        <v>1</v>
      </c>
      <c r="AP14" s="151" t="str">
        <f t="shared" si="41"/>
        <v>-</v>
      </c>
      <c r="AQ14" s="151">
        <f t="shared" si="42"/>
        <v>1</v>
      </c>
      <c r="AR14" s="153">
        <f t="shared" si="99"/>
        <v>1</v>
      </c>
      <c r="AS14" s="153" t="str">
        <f t="shared" si="100"/>
        <v>-</v>
      </c>
      <c r="AT14" s="151" t="str">
        <f t="shared" si="89"/>
        <v>-</v>
      </c>
      <c r="AU14" s="151">
        <f t="shared" si="90"/>
        <v>1</v>
      </c>
      <c r="AV14" s="148" t="str">
        <f t="shared" si="83"/>
        <v>-</v>
      </c>
      <c r="AW14" s="148">
        <f t="shared" si="84"/>
        <v>1</v>
      </c>
      <c r="AX14" s="183">
        <f t="shared" si="73"/>
        <v>1</v>
      </c>
      <c r="AY14" s="183" t="str">
        <f t="shared" si="74"/>
        <v>-</v>
      </c>
      <c r="AZ14" s="153">
        <f t="shared" si="113"/>
        <v>1</v>
      </c>
      <c r="BA14" s="153" t="str">
        <f t="shared" si="114"/>
        <v>-</v>
      </c>
      <c r="BB14" s="156">
        <f t="shared" si="75"/>
        <v>1</v>
      </c>
      <c r="BC14" s="156" t="str">
        <f t="shared" si="76"/>
        <v>-</v>
      </c>
      <c r="BD14" s="150" t="str">
        <f t="shared" si="101"/>
        <v>-</v>
      </c>
      <c r="BE14" s="150">
        <f t="shared" si="102"/>
        <v>1</v>
      </c>
      <c r="BF14" s="148">
        <f t="shared" si="103"/>
        <v>1</v>
      </c>
      <c r="BG14" s="148" t="str">
        <f t="shared" si="104"/>
        <v>-</v>
      </c>
      <c r="BH14" s="159" t="str">
        <f t="shared" si="91"/>
        <v>-</v>
      </c>
      <c r="BI14" s="159">
        <f t="shared" si="92"/>
        <v>1</v>
      </c>
      <c r="BJ14" s="148" t="str">
        <f t="shared" si="115"/>
        <v>-</v>
      </c>
      <c r="BK14" s="148">
        <f t="shared" si="116"/>
        <v>1</v>
      </c>
      <c r="BL14" s="183" t="str">
        <f t="shared" si="67"/>
        <v>-</v>
      </c>
      <c r="BM14" s="183">
        <f t="shared" si="68"/>
        <v>1</v>
      </c>
    </row>
    <row r="15">
      <c r="A15" s="147" t="s">
        <v>194</v>
      </c>
      <c r="B15" s="195">
        <f t="shared" si="65"/>
        <v>1</v>
      </c>
      <c r="C15" s="195" t="str">
        <f t="shared" si="66"/>
        <v>-</v>
      </c>
      <c r="D15" s="195" t="str">
        <f t="shared" ref="D15:D19" si="117">LET(team, SUBSTITUTE(D$1, " Wins", ""), IF(COUNTIF(INDIRECT("'"&amp;$A15&amp;"'!$C:$C"), team)&gt;0, 1, "-"))</f>
        <v>-</v>
      </c>
      <c r="E15" s="195">
        <f t="shared" ref="E15:E19" si="118">LET(team, SUBSTITUTE(E$1, " Losses", ""), weekSheet, "'"&amp;$A15&amp;"'!", matchIdx, MATCH("*"&amp;team&amp;"*", INDIRECT(weekSheet&amp;"$B:$B"), 0), IF(ISNA(matchIdx), "-", LET(winner, INDEX(INDIRECT(weekSheet&amp;"$C:$C"), matchIdx), IF(winner="", "-", IF(winner=team, "-", 1)))))</f>
        <v>1</v>
      </c>
      <c r="F15" s="195">
        <f t="shared" si="97"/>
        <v>1</v>
      </c>
      <c r="G15" s="195" t="str">
        <f t="shared" si="98"/>
        <v>-</v>
      </c>
      <c r="H15" s="195">
        <f t="shared" si="77"/>
        <v>1</v>
      </c>
      <c r="I15" s="195" t="str">
        <f t="shared" si="78"/>
        <v>-</v>
      </c>
      <c r="J15" s="195" t="str">
        <f t="shared" si="79"/>
        <v>-</v>
      </c>
      <c r="K15" s="195">
        <f t="shared" si="80"/>
        <v>1</v>
      </c>
      <c r="L15" s="195">
        <f t="shared" si="69"/>
        <v>1</v>
      </c>
      <c r="M15" s="195" t="str">
        <f t="shared" si="70"/>
        <v>-</v>
      </c>
      <c r="N15" s="195" t="str">
        <f t="shared" ref="N15:N19" si="119">LET(team, SUBSTITUTE(N$1, " Wins", ""), IF(COUNTIF(INDIRECT("'"&amp;$A15&amp;"'!$C:$C"), team)&gt;0, 1, "-"))</f>
        <v>-</v>
      </c>
      <c r="O15" s="195">
        <f t="shared" ref="O15:O19" si="120">LET(team, SUBSTITUTE(O$1, " Losses", ""), weekSheet, "'"&amp;$A15&amp;"'!", matchIdx, MATCH("*"&amp;team&amp;"*", INDIRECT(weekSheet&amp;"$B:$B"), 0), IF(ISNA(matchIdx), "-", LET(winner, INDEX(INDIRECT(weekSheet&amp;"$C:$C"), matchIdx), IF(winner="", "-", IF(winner=team, "-", 1)))))</f>
        <v>1</v>
      </c>
      <c r="P15" s="195">
        <f t="shared" si="105"/>
        <v>1</v>
      </c>
      <c r="Q15" s="195" t="str">
        <f t="shared" si="106"/>
        <v>-</v>
      </c>
      <c r="R15" s="195">
        <f t="shared" ref="R15:R19" si="121">LET(team, SUBSTITUTE(R$1, " Wins", ""), IF(COUNTIF(INDIRECT("'"&amp;$A15&amp;"'!$C:$C"), team)&gt;0, 1, "-"))</f>
        <v>1</v>
      </c>
      <c r="S15" s="195" t="str">
        <f t="shared" ref="S15:S19" si="122">LET(team, SUBSTITUTE(S$1, " Losses", ""), weekSheet, "'"&amp;$A15&amp;"'!", matchIdx, MATCH("*"&amp;team&amp;"*", INDIRECT(weekSheet&amp;"$B:$B"), 0), IF(ISNA(matchIdx), "-", LET(winner, INDEX(INDIRECT(weekSheet&amp;"$C:$C"), matchIdx), IF(winner="", "-", IF(winner=team, "-", 1)))))</f>
        <v>-</v>
      </c>
      <c r="T15" s="195">
        <f t="shared" si="107"/>
        <v>1</v>
      </c>
      <c r="U15" s="195" t="str">
        <f t="shared" si="108"/>
        <v>-</v>
      </c>
      <c r="V15" s="195">
        <f t="shared" si="93"/>
        <v>1</v>
      </c>
      <c r="W15" s="195" t="str">
        <f t="shared" si="94"/>
        <v>-</v>
      </c>
      <c r="X15" s="195" t="str">
        <f t="shared" si="71"/>
        <v>-</v>
      </c>
      <c r="Y15" s="195">
        <f t="shared" si="72"/>
        <v>1</v>
      </c>
      <c r="Z15" s="195" t="str">
        <f t="shared" si="85"/>
        <v>-</v>
      </c>
      <c r="AA15" s="195">
        <f t="shared" si="86"/>
        <v>1</v>
      </c>
      <c r="AB15" s="195" t="str">
        <f t="shared" si="81"/>
        <v>-</v>
      </c>
      <c r="AC15" s="195">
        <f t="shared" si="82"/>
        <v>1</v>
      </c>
      <c r="AD15" s="195" t="str">
        <f t="shared" ref="AD15:AD19" si="123">LET(team, SUBSTITUTE(AD$1, " Wins", ""), IF(COUNTIF(INDIRECT("'"&amp;$A15&amp;"'!$C:$C"), team)&gt;0, 1, "-"))</f>
        <v>-</v>
      </c>
      <c r="AE15" s="195">
        <f t="shared" ref="AE15:AE19" si="124">LET(team, SUBSTITUTE(AE$1, " Losses", ""), weekSheet, "'"&amp;$A15&amp;"'!", matchIdx, MATCH("*"&amp;team&amp;"*", INDIRECT(weekSheet&amp;"$B:$B"), 0), IF(ISNA(matchIdx), "-", LET(winner, INDEX(INDIRECT(weekSheet&amp;"$C:$C"), matchIdx), IF(winner="", "-", IF(winner=team, "-", 1)))))</f>
        <v>1</v>
      </c>
      <c r="AF15" s="195" t="str">
        <f t="shared" si="95"/>
        <v>-</v>
      </c>
      <c r="AG15" s="195">
        <f t="shared" si="96"/>
        <v>1</v>
      </c>
      <c r="AH15" s="195">
        <f t="shared" si="87"/>
        <v>1</v>
      </c>
      <c r="AI15" s="195" t="str">
        <f t="shared" si="88"/>
        <v>-</v>
      </c>
      <c r="AJ15" s="195" t="str">
        <f t="shared" si="109"/>
        <v>-</v>
      </c>
      <c r="AK15" s="195">
        <f t="shared" si="110"/>
        <v>1</v>
      </c>
      <c r="AL15" s="195">
        <f t="shared" si="111"/>
        <v>1</v>
      </c>
      <c r="AM15" s="195" t="str">
        <f t="shared" si="112"/>
        <v>-</v>
      </c>
      <c r="AN15" s="160"/>
      <c r="AO15" s="160"/>
      <c r="AP15" s="160"/>
      <c r="AQ15" s="160"/>
      <c r="AR15" s="195">
        <f t="shared" si="99"/>
        <v>1</v>
      </c>
      <c r="AS15" s="195" t="str">
        <f t="shared" si="100"/>
        <v>-</v>
      </c>
      <c r="AT15" s="195" t="str">
        <f t="shared" si="89"/>
        <v>-</v>
      </c>
      <c r="AU15" s="195">
        <f t="shared" si="90"/>
        <v>1</v>
      </c>
      <c r="AV15" s="195">
        <f t="shared" si="83"/>
        <v>1</v>
      </c>
      <c r="AW15" s="195" t="str">
        <f t="shared" si="84"/>
        <v>-</v>
      </c>
      <c r="AX15" s="195">
        <f t="shared" si="73"/>
        <v>1</v>
      </c>
      <c r="AY15" s="195" t="str">
        <f t="shared" si="74"/>
        <v>-</v>
      </c>
      <c r="AZ15" s="195">
        <f t="shared" si="113"/>
        <v>1</v>
      </c>
      <c r="BA15" s="195" t="str">
        <f t="shared" si="114"/>
        <v>-</v>
      </c>
      <c r="BB15" s="195" t="str">
        <f t="shared" si="75"/>
        <v>-</v>
      </c>
      <c r="BC15" s="195">
        <f t="shared" si="76"/>
        <v>1</v>
      </c>
      <c r="BD15" s="195" t="str">
        <f t="shared" si="101"/>
        <v>-</v>
      </c>
      <c r="BE15" s="195">
        <f t="shared" si="102"/>
        <v>1</v>
      </c>
      <c r="BF15" s="195" t="str">
        <f t="shared" si="103"/>
        <v>-</v>
      </c>
      <c r="BG15" s="195">
        <f t="shared" si="104"/>
        <v>1</v>
      </c>
      <c r="BH15" s="195">
        <f t="shared" si="91"/>
        <v>1</v>
      </c>
      <c r="BI15" s="195" t="str">
        <f t="shared" si="92"/>
        <v>-</v>
      </c>
      <c r="BJ15" s="195" t="str">
        <f t="shared" si="115"/>
        <v>-</v>
      </c>
      <c r="BK15" s="195">
        <f t="shared" si="116"/>
        <v>1</v>
      </c>
      <c r="BL15" s="195" t="str">
        <f t="shared" si="67"/>
        <v>-</v>
      </c>
      <c r="BM15" s="195">
        <f t="shared" si="68"/>
        <v>1</v>
      </c>
    </row>
    <row r="16">
      <c r="A16" s="147" t="s">
        <v>198</v>
      </c>
      <c r="B16" s="148">
        <f t="shared" si="65"/>
        <v>1</v>
      </c>
      <c r="C16" s="148" t="str">
        <f t="shared" si="66"/>
        <v>-</v>
      </c>
      <c r="D16" s="149">
        <f t="shared" si="117"/>
        <v>1</v>
      </c>
      <c r="E16" s="149" t="str">
        <f t="shared" si="118"/>
        <v>-</v>
      </c>
      <c r="F16" s="150" t="str">
        <f t="shared" si="97"/>
        <v>-</v>
      </c>
      <c r="G16" s="150">
        <f t="shared" si="98"/>
        <v>1</v>
      </c>
      <c r="H16" s="151">
        <f t="shared" si="77"/>
        <v>1</v>
      </c>
      <c r="I16" s="151" t="str">
        <f t="shared" si="78"/>
        <v>-</v>
      </c>
      <c r="J16" s="151">
        <f t="shared" si="79"/>
        <v>1</v>
      </c>
      <c r="K16" s="151" t="str">
        <f t="shared" si="80"/>
        <v>-</v>
      </c>
      <c r="L16" s="152" t="str">
        <f t="shared" si="69"/>
        <v>-</v>
      </c>
      <c r="M16" s="152">
        <f t="shared" si="70"/>
        <v>1</v>
      </c>
      <c r="N16" s="153" t="str">
        <f t="shared" si="119"/>
        <v>-</v>
      </c>
      <c r="O16" s="153">
        <f t="shared" si="120"/>
        <v>1</v>
      </c>
      <c r="P16" s="151" t="str">
        <f t="shared" si="105"/>
        <v>-</v>
      </c>
      <c r="Q16" s="151">
        <f t="shared" si="106"/>
        <v>1</v>
      </c>
      <c r="R16" s="156" t="str">
        <f t="shared" si="121"/>
        <v>-</v>
      </c>
      <c r="S16" s="156">
        <f t="shared" si="122"/>
        <v>1</v>
      </c>
      <c r="T16" s="150" t="str">
        <f t="shared" si="107"/>
        <v>-</v>
      </c>
      <c r="U16" s="150">
        <f t="shared" si="108"/>
        <v>1</v>
      </c>
      <c r="V16" s="159">
        <f t="shared" si="93"/>
        <v>1</v>
      </c>
      <c r="W16" s="159" t="str">
        <f t="shared" si="94"/>
        <v>-</v>
      </c>
      <c r="X16" s="150" t="str">
        <f t="shared" si="71"/>
        <v>-</v>
      </c>
      <c r="Y16" s="150">
        <f t="shared" si="72"/>
        <v>1</v>
      </c>
      <c r="Z16" s="148" t="str">
        <f t="shared" si="85"/>
        <v>-</v>
      </c>
      <c r="AA16" s="148">
        <f t="shared" si="86"/>
        <v>1</v>
      </c>
      <c r="AB16" s="152">
        <f t="shared" si="81"/>
        <v>1</v>
      </c>
      <c r="AC16" s="152" t="str">
        <f t="shared" si="82"/>
        <v>-</v>
      </c>
      <c r="AD16" s="151">
        <f t="shared" si="123"/>
        <v>1</v>
      </c>
      <c r="AE16" s="151" t="str">
        <f t="shared" si="124"/>
        <v>-</v>
      </c>
      <c r="AF16" s="183" t="str">
        <f t="shared" si="95"/>
        <v>-</v>
      </c>
      <c r="AG16" s="183">
        <f t="shared" si="96"/>
        <v>1</v>
      </c>
      <c r="AH16" s="148" t="str">
        <f t="shared" si="87"/>
        <v>-</v>
      </c>
      <c r="AI16" s="148">
        <f t="shared" si="88"/>
        <v>1</v>
      </c>
      <c r="AJ16" s="151">
        <f t="shared" si="109"/>
        <v>1</v>
      </c>
      <c r="AK16" s="151" t="str">
        <f t="shared" si="110"/>
        <v>-</v>
      </c>
      <c r="AL16" s="153" t="str">
        <f t="shared" si="111"/>
        <v>-</v>
      </c>
      <c r="AM16" s="153">
        <f t="shared" si="112"/>
        <v>1</v>
      </c>
      <c r="AN16" s="148">
        <f t="shared" ref="AN16:AN19" si="125">LET(team, SUBSTITUTE(AN$1, " Wins", ""), IF(COUNTIF(INDIRECT("'"&amp;$A16&amp;"'!$C:$C"), team)&gt;0, 1, "-"))</f>
        <v>1</v>
      </c>
      <c r="AO16" s="148" t="str">
        <f t="shared" ref="AO16:AO19" si="126">LET(team, SUBSTITUTE(AO$1, " Losses", ""), weekSheet, "'"&amp;$A16&amp;"'!", matchIdx, MATCH("*"&amp;team&amp;"*", INDIRECT(weekSheet&amp;"$B:$B"), 0), IF(ISNA(matchIdx), "-", LET(winner, INDEX(INDIRECT(weekSheet&amp;"$C:$C"), matchIdx), IF(winner="", "-", IF(winner=team, "-", 1)))))</f>
        <v>-</v>
      </c>
      <c r="AP16" s="151" t="str">
        <f t="shared" ref="AP16:AP19" si="127">LET(team, SUBSTITUTE(AP$1, " Wins", ""), IF(COUNTIF(INDIRECT("'"&amp;$A16&amp;"'!$C:$C"), team)&gt;0, 1, "-"))</f>
        <v>-</v>
      </c>
      <c r="AQ16" s="151">
        <f t="shared" ref="AQ16:AQ19" si="128">LET(team, SUBSTITUTE(AQ$1, " Losses", ""), weekSheet, "'"&amp;$A16&amp;"'!", matchIdx, MATCH("*"&amp;team&amp;"*", INDIRECT(weekSheet&amp;"$B:$B"), 0), IF(ISNA(matchIdx), "-", LET(winner, INDEX(INDIRECT(weekSheet&amp;"$C:$C"), matchIdx), IF(winner="", "-", IF(winner=team, "-", 1)))))</f>
        <v>1</v>
      </c>
      <c r="AR16" s="153">
        <f t="shared" si="99"/>
        <v>1</v>
      </c>
      <c r="AS16" s="153" t="str">
        <f t="shared" si="100"/>
        <v>-</v>
      </c>
      <c r="AT16" s="151">
        <f t="shared" si="89"/>
        <v>1</v>
      </c>
      <c r="AU16" s="151" t="str">
        <f t="shared" si="90"/>
        <v>-</v>
      </c>
      <c r="AV16" s="148" t="str">
        <f t="shared" si="83"/>
        <v>-</v>
      </c>
      <c r="AW16" s="148">
        <f t="shared" si="84"/>
        <v>1</v>
      </c>
      <c r="AX16" s="183">
        <f t="shared" si="73"/>
        <v>1</v>
      </c>
      <c r="AY16" s="183" t="str">
        <f t="shared" si="74"/>
        <v>-</v>
      </c>
      <c r="AZ16" s="153">
        <f t="shared" si="113"/>
        <v>1</v>
      </c>
      <c r="BA16" s="153" t="str">
        <f t="shared" si="114"/>
        <v>-</v>
      </c>
      <c r="BB16" s="156" t="str">
        <f t="shared" si="75"/>
        <v>-</v>
      </c>
      <c r="BC16" s="156">
        <f t="shared" si="76"/>
        <v>1</v>
      </c>
      <c r="BD16" s="150" t="str">
        <f t="shared" si="101"/>
        <v>-</v>
      </c>
      <c r="BE16" s="150">
        <f t="shared" si="102"/>
        <v>1</v>
      </c>
      <c r="BF16" s="148">
        <f t="shared" si="103"/>
        <v>1</v>
      </c>
      <c r="BG16" s="148" t="str">
        <f t="shared" si="104"/>
        <v>-</v>
      </c>
      <c r="BH16" s="159" t="str">
        <f t="shared" si="91"/>
        <v>-</v>
      </c>
      <c r="BI16" s="159">
        <f t="shared" si="92"/>
        <v>1</v>
      </c>
      <c r="BJ16" s="148">
        <f t="shared" si="115"/>
        <v>1</v>
      </c>
      <c r="BK16" s="148" t="str">
        <f t="shared" si="116"/>
        <v>-</v>
      </c>
      <c r="BL16" s="183">
        <f t="shared" si="67"/>
        <v>1</v>
      </c>
      <c r="BM16" s="183" t="str">
        <f t="shared" si="68"/>
        <v>-</v>
      </c>
    </row>
    <row r="17">
      <c r="A17" s="147" t="s">
        <v>202</v>
      </c>
      <c r="B17" s="195">
        <f t="shared" si="65"/>
        <v>1</v>
      </c>
      <c r="C17" s="195" t="str">
        <f t="shared" si="66"/>
        <v>-</v>
      </c>
      <c r="D17" s="195">
        <f t="shared" si="117"/>
        <v>1</v>
      </c>
      <c r="E17" s="195" t="str">
        <f t="shared" si="118"/>
        <v>-</v>
      </c>
      <c r="F17" s="195" t="str">
        <f t="shared" si="97"/>
        <v>-</v>
      </c>
      <c r="G17" s="195">
        <f t="shared" si="98"/>
        <v>1</v>
      </c>
      <c r="H17" s="195">
        <f t="shared" si="77"/>
        <v>1</v>
      </c>
      <c r="I17" s="195" t="str">
        <f t="shared" si="78"/>
        <v>-</v>
      </c>
      <c r="J17" s="195">
        <f t="shared" si="79"/>
        <v>1</v>
      </c>
      <c r="K17" s="195" t="str">
        <f t="shared" si="80"/>
        <v>-</v>
      </c>
      <c r="L17" s="195" t="str">
        <f t="shared" si="69"/>
        <v>-</v>
      </c>
      <c r="M17" s="195">
        <f t="shared" si="70"/>
        <v>1</v>
      </c>
      <c r="N17" s="195" t="str">
        <f t="shared" si="119"/>
        <v>-</v>
      </c>
      <c r="O17" s="195">
        <f t="shared" si="120"/>
        <v>1</v>
      </c>
      <c r="P17" s="195">
        <f t="shared" si="105"/>
        <v>1</v>
      </c>
      <c r="Q17" s="195" t="str">
        <f t="shared" si="106"/>
        <v>-</v>
      </c>
      <c r="R17" s="195">
        <f t="shared" si="121"/>
        <v>1</v>
      </c>
      <c r="S17" s="195" t="str">
        <f t="shared" si="122"/>
        <v>-</v>
      </c>
      <c r="T17" s="195" t="str">
        <f t="shared" si="107"/>
        <v>-</v>
      </c>
      <c r="U17" s="195">
        <f t="shared" si="108"/>
        <v>1</v>
      </c>
      <c r="V17" s="195">
        <f t="shared" si="93"/>
        <v>1</v>
      </c>
      <c r="W17" s="195" t="str">
        <f t="shared" si="94"/>
        <v>-</v>
      </c>
      <c r="X17" s="195">
        <f t="shared" si="71"/>
        <v>1</v>
      </c>
      <c r="Y17" s="195" t="str">
        <f t="shared" si="72"/>
        <v>-</v>
      </c>
      <c r="Z17" s="195" t="str">
        <f t="shared" si="85"/>
        <v>-</v>
      </c>
      <c r="AA17" s="195">
        <f t="shared" si="86"/>
        <v>1</v>
      </c>
      <c r="AB17" s="195" t="str">
        <f t="shared" si="81"/>
        <v>-</v>
      </c>
      <c r="AC17" s="195">
        <f t="shared" si="82"/>
        <v>1</v>
      </c>
      <c r="AD17" s="195" t="str">
        <f t="shared" si="123"/>
        <v>-</v>
      </c>
      <c r="AE17" s="195">
        <f t="shared" si="124"/>
        <v>1</v>
      </c>
      <c r="AF17" s="195" t="str">
        <f t="shared" si="95"/>
        <v>-</v>
      </c>
      <c r="AG17" s="195">
        <f t="shared" si="96"/>
        <v>1</v>
      </c>
      <c r="AH17" s="195" t="str">
        <f t="shared" si="87"/>
        <v>-</v>
      </c>
      <c r="AI17" s="195">
        <f t="shared" si="88"/>
        <v>1</v>
      </c>
      <c r="AJ17" s="195">
        <f t="shared" si="109"/>
        <v>1</v>
      </c>
      <c r="AK17" s="195" t="str">
        <f t="shared" si="110"/>
        <v>-</v>
      </c>
      <c r="AL17" s="195" t="str">
        <f t="shared" si="111"/>
        <v>-</v>
      </c>
      <c r="AM17" s="195">
        <f t="shared" si="112"/>
        <v>1</v>
      </c>
      <c r="AN17" s="195" t="str">
        <f t="shared" si="125"/>
        <v>-</v>
      </c>
      <c r="AO17" s="195">
        <f t="shared" si="126"/>
        <v>1</v>
      </c>
      <c r="AP17" s="195">
        <f t="shared" si="127"/>
        <v>1</v>
      </c>
      <c r="AQ17" s="195" t="str">
        <f t="shared" si="128"/>
        <v>-</v>
      </c>
      <c r="AR17" s="195">
        <f t="shared" si="99"/>
        <v>1</v>
      </c>
      <c r="AS17" s="195" t="str">
        <f t="shared" si="100"/>
        <v>-</v>
      </c>
      <c r="AT17" s="195" t="str">
        <f t="shared" si="89"/>
        <v>-</v>
      </c>
      <c r="AU17" s="195">
        <f t="shared" si="90"/>
        <v>1</v>
      </c>
      <c r="AV17" s="195" t="str">
        <f t="shared" si="83"/>
        <v>-</v>
      </c>
      <c r="AW17" s="195">
        <f t="shared" si="84"/>
        <v>1</v>
      </c>
      <c r="AX17" s="195">
        <f t="shared" si="73"/>
        <v>1</v>
      </c>
      <c r="AY17" s="195" t="str">
        <f t="shared" si="74"/>
        <v>-</v>
      </c>
      <c r="AZ17" s="195" t="str">
        <f t="shared" si="113"/>
        <v>-</v>
      </c>
      <c r="BA17" s="195">
        <f t="shared" si="114"/>
        <v>1</v>
      </c>
      <c r="BB17" s="195">
        <f t="shared" si="75"/>
        <v>1</v>
      </c>
      <c r="BC17" s="195" t="str">
        <f t="shared" si="76"/>
        <v>-</v>
      </c>
      <c r="BD17" s="195">
        <f t="shared" si="101"/>
        <v>1</v>
      </c>
      <c r="BE17" s="195" t="str">
        <f t="shared" si="102"/>
        <v>-</v>
      </c>
      <c r="BF17" s="195" t="str">
        <f t="shared" si="103"/>
        <v>-</v>
      </c>
      <c r="BG17" s="195">
        <f t="shared" si="104"/>
        <v>1</v>
      </c>
      <c r="BH17" s="195">
        <f t="shared" si="91"/>
        <v>1</v>
      </c>
      <c r="BI17" s="195" t="str">
        <f t="shared" si="92"/>
        <v>-</v>
      </c>
      <c r="BJ17" s="195">
        <f t="shared" si="115"/>
        <v>1</v>
      </c>
      <c r="BK17" s="195" t="str">
        <f t="shared" si="116"/>
        <v>-</v>
      </c>
      <c r="BL17" s="195" t="str">
        <f t="shared" si="67"/>
        <v>-</v>
      </c>
      <c r="BM17" s="195">
        <f t="shared" si="68"/>
        <v>1</v>
      </c>
    </row>
    <row r="18">
      <c r="A18" s="147" t="s">
        <v>206</v>
      </c>
      <c r="B18" s="148">
        <f t="shared" si="65"/>
        <v>1</v>
      </c>
      <c r="C18" s="148" t="str">
        <f t="shared" si="66"/>
        <v>-</v>
      </c>
      <c r="D18" s="149" t="str">
        <f t="shared" si="117"/>
        <v>-</v>
      </c>
      <c r="E18" s="149">
        <f t="shared" si="118"/>
        <v>1</v>
      </c>
      <c r="F18" s="150" t="str">
        <f t="shared" si="97"/>
        <v>-</v>
      </c>
      <c r="G18" s="150">
        <f t="shared" si="98"/>
        <v>1</v>
      </c>
      <c r="H18" s="151" t="str">
        <f t="shared" si="77"/>
        <v>-</v>
      </c>
      <c r="I18" s="151">
        <f t="shared" si="78"/>
        <v>1</v>
      </c>
      <c r="J18" s="151">
        <f t="shared" si="79"/>
        <v>1</v>
      </c>
      <c r="K18" s="151" t="str">
        <f t="shared" si="80"/>
        <v>-</v>
      </c>
      <c r="L18" s="152" t="str">
        <f t="shared" si="69"/>
        <v>-</v>
      </c>
      <c r="M18" s="152">
        <f t="shared" si="70"/>
        <v>1</v>
      </c>
      <c r="N18" s="153">
        <f t="shared" si="119"/>
        <v>1</v>
      </c>
      <c r="O18" s="153" t="str">
        <f t="shared" si="120"/>
        <v>-</v>
      </c>
      <c r="P18" s="151">
        <f t="shared" si="105"/>
        <v>1</v>
      </c>
      <c r="Q18" s="151" t="str">
        <f t="shared" si="106"/>
        <v>-</v>
      </c>
      <c r="R18" s="156">
        <f t="shared" si="121"/>
        <v>1</v>
      </c>
      <c r="S18" s="156" t="str">
        <f t="shared" si="122"/>
        <v>-</v>
      </c>
      <c r="T18" s="150" t="str">
        <f t="shared" si="107"/>
        <v>-</v>
      </c>
      <c r="U18" s="150">
        <f t="shared" si="108"/>
        <v>1</v>
      </c>
      <c r="V18" s="159" t="str">
        <f t="shared" si="93"/>
        <v>-</v>
      </c>
      <c r="W18" s="159">
        <f t="shared" si="94"/>
        <v>1</v>
      </c>
      <c r="X18" s="150" t="str">
        <f t="shared" si="71"/>
        <v>-</v>
      </c>
      <c r="Y18" s="150">
        <f t="shared" si="72"/>
        <v>1</v>
      </c>
      <c r="Z18" s="148">
        <f t="shared" si="85"/>
        <v>1</v>
      </c>
      <c r="AA18" s="148" t="str">
        <f t="shared" si="86"/>
        <v>-</v>
      </c>
      <c r="AB18" s="152">
        <f t="shared" si="81"/>
        <v>1</v>
      </c>
      <c r="AC18" s="152" t="str">
        <f t="shared" si="82"/>
        <v>-</v>
      </c>
      <c r="AD18" s="151">
        <f t="shared" si="123"/>
        <v>1</v>
      </c>
      <c r="AE18" s="151" t="str">
        <f t="shared" si="124"/>
        <v>-</v>
      </c>
      <c r="AF18" s="183">
        <f t="shared" si="95"/>
        <v>1</v>
      </c>
      <c r="AG18" s="183" t="str">
        <f t="shared" si="96"/>
        <v>-</v>
      </c>
      <c r="AH18" s="148">
        <f t="shared" si="87"/>
        <v>1</v>
      </c>
      <c r="AI18" s="148" t="str">
        <f t="shared" si="88"/>
        <v>-</v>
      </c>
      <c r="AJ18" s="151">
        <f t="shared" si="109"/>
        <v>1</v>
      </c>
      <c r="AK18" s="151" t="str">
        <f t="shared" si="110"/>
        <v>-</v>
      </c>
      <c r="AL18" s="153">
        <f t="shared" si="111"/>
        <v>1</v>
      </c>
      <c r="AM18" s="153" t="str">
        <f t="shared" si="112"/>
        <v>-</v>
      </c>
      <c r="AN18" s="148">
        <f t="shared" si="125"/>
        <v>1</v>
      </c>
      <c r="AO18" s="148" t="str">
        <f t="shared" si="126"/>
        <v>-</v>
      </c>
      <c r="AP18" s="151">
        <f t="shared" si="127"/>
        <v>1</v>
      </c>
      <c r="AQ18" s="151" t="str">
        <f t="shared" si="128"/>
        <v>-</v>
      </c>
      <c r="AR18" s="153" t="str">
        <f t="shared" si="99"/>
        <v>-</v>
      </c>
      <c r="AS18" s="153">
        <f t="shared" si="100"/>
        <v>1</v>
      </c>
      <c r="AT18" s="151" t="str">
        <f t="shared" si="89"/>
        <v>-</v>
      </c>
      <c r="AU18" s="151">
        <f t="shared" si="90"/>
        <v>1</v>
      </c>
      <c r="AV18" s="148" t="str">
        <f t="shared" si="83"/>
        <v>-</v>
      </c>
      <c r="AW18" s="148">
        <f t="shared" si="84"/>
        <v>1</v>
      </c>
      <c r="AX18" s="183" t="str">
        <f t="shared" si="73"/>
        <v>-</v>
      </c>
      <c r="AY18" s="183">
        <f t="shared" si="74"/>
        <v>1</v>
      </c>
      <c r="AZ18" s="153" t="str">
        <f t="shared" si="113"/>
        <v>-</v>
      </c>
      <c r="BA18" s="153">
        <f t="shared" si="114"/>
        <v>1</v>
      </c>
      <c r="BB18" s="156" t="str">
        <f t="shared" si="75"/>
        <v>-</v>
      </c>
      <c r="BC18" s="156">
        <f t="shared" si="76"/>
        <v>1</v>
      </c>
      <c r="BD18" s="150">
        <f t="shared" si="101"/>
        <v>1</v>
      </c>
      <c r="BE18" s="150" t="str">
        <f t="shared" si="102"/>
        <v>-</v>
      </c>
      <c r="BF18" s="148" t="str">
        <f t="shared" si="103"/>
        <v>-</v>
      </c>
      <c r="BG18" s="148">
        <f t="shared" si="104"/>
        <v>1</v>
      </c>
      <c r="BH18" s="159">
        <f t="shared" si="91"/>
        <v>1</v>
      </c>
      <c r="BI18" s="159" t="str">
        <f t="shared" si="92"/>
        <v>-</v>
      </c>
      <c r="BJ18" s="148" t="str">
        <f t="shared" si="115"/>
        <v>-</v>
      </c>
      <c r="BK18" s="148">
        <f t="shared" si="116"/>
        <v>1</v>
      </c>
      <c r="BL18" s="183" t="str">
        <f t="shared" si="67"/>
        <v>-</v>
      </c>
      <c r="BM18" s="183">
        <f t="shared" si="68"/>
        <v>1</v>
      </c>
    </row>
    <row r="19">
      <c r="A19" s="147" t="s">
        <v>207</v>
      </c>
      <c r="B19" s="195">
        <f t="shared" si="65"/>
        <v>1</v>
      </c>
      <c r="C19" s="195" t="str">
        <f t="shared" si="66"/>
        <v>-</v>
      </c>
      <c r="D19" s="195" t="str">
        <f t="shared" si="117"/>
        <v>-</v>
      </c>
      <c r="E19" s="195">
        <f t="shared" si="118"/>
        <v>1</v>
      </c>
      <c r="F19" s="195" t="str">
        <f t="shared" si="97"/>
        <v>-</v>
      </c>
      <c r="G19" s="195">
        <f t="shared" si="98"/>
        <v>1</v>
      </c>
      <c r="H19" s="195">
        <f t="shared" si="77"/>
        <v>1</v>
      </c>
      <c r="I19" s="195" t="str">
        <f t="shared" si="78"/>
        <v>-</v>
      </c>
      <c r="J19" s="195">
        <f t="shared" si="79"/>
        <v>1</v>
      </c>
      <c r="K19" s="195" t="str">
        <f t="shared" si="80"/>
        <v>-</v>
      </c>
      <c r="L19" s="195" t="str">
        <f t="shared" si="69"/>
        <v>-</v>
      </c>
      <c r="M19" s="195">
        <f t="shared" si="70"/>
        <v>1</v>
      </c>
      <c r="N19" s="195" t="str">
        <f t="shared" si="119"/>
        <v>-</v>
      </c>
      <c r="O19" s="195">
        <f t="shared" si="120"/>
        <v>1</v>
      </c>
      <c r="P19" s="195">
        <f t="shared" si="105"/>
        <v>1</v>
      </c>
      <c r="Q19" s="195" t="str">
        <f t="shared" si="106"/>
        <v>-</v>
      </c>
      <c r="R19" s="195">
        <f t="shared" si="121"/>
        <v>1</v>
      </c>
      <c r="S19" s="195" t="str">
        <f t="shared" si="122"/>
        <v>-</v>
      </c>
      <c r="T19" s="195" t="str">
        <f t="shared" si="107"/>
        <v>-</v>
      </c>
      <c r="U19" s="195">
        <f t="shared" si="108"/>
        <v>1</v>
      </c>
      <c r="V19" s="195" t="str">
        <f t="shared" si="93"/>
        <v>-</v>
      </c>
      <c r="W19" s="195">
        <f t="shared" si="94"/>
        <v>1</v>
      </c>
      <c r="X19" s="195">
        <f t="shared" si="71"/>
        <v>1</v>
      </c>
      <c r="Y19" s="195" t="str">
        <f t="shared" si="72"/>
        <v>-</v>
      </c>
      <c r="Z19" s="195">
        <f t="shared" si="85"/>
        <v>1</v>
      </c>
      <c r="AA19" s="195" t="str">
        <f t="shared" si="86"/>
        <v>-</v>
      </c>
      <c r="AB19" s="195">
        <f t="shared" si="81"/>
        <v>1</v>
      </c>
      <c r="AC19" s="195" t="str">
        <f t="shared" si="82"/>
        <v>-</v>
      </c>
      <c r="AD19" s="195" t="str">
        <f t="shared" si="123"/>
        <v>-</v>
      </c>
      <c r="AE19" s="195">
        <f t="shared" si="124"/>
        <v>1</v>
      </c>
      <c r="AF19" s="195" t="str">
        <f t="shared" si="95"/>
        <v>-</v>
      </c>
      <c r="AG19" s="195">
        <f t="shared" si="96"/>
        <v>1</v>
      </c>
      <c r="AH19" s="195">
        <f t="shared" si="87"/>
        <v>1</v>
      </c>
      <c r="AI19" s="195" t="str">
        <f t="shared" si="88"/>
        <v>-</v>
      </c>
      <c r="AJ19" s="195" t="str">
        <f t="shared" si="109"/>
        <v>-</v>
      </c>
      <c r="AK19" s="195">
        <f t="shared" si="110"/>
        <v>1</v>
      </c>
      <c r="AL19" s="195">
        <f t="shared" si="111"/>
        <v>1</v>
      </c>
      <c r="AM19" s="195" t="str">
        <f t="shared" si="112"/>
        <v>-</v>
      </c>
      <c r="AN19" s="195" t="str">
        <f t="shared" si="125"/>
        <v>-</v>
      </c>
      <c r="AO19" s="195">
        <f t="shared" si="126"/>
        <v>1</v>
      </c>
      <c r="AP19" s="195">
        <f t="shared" si="127"/>
        <v>1</v>
      </c>
      <c r="AQ19" s="195" t="str">
        <f t="shared" si="128"/>
        <v>-</v>
      </c>
      <c r="AR19" s="195">
        <f t="shared" si="99"/>
        <v>1</v>
      </c>
      <c r="AS19" s="195" t="str">
        <f t="shared" si="100"/>
        <v>-</v>
      </c>
      <c r="AT19" s="195" t="str">
        <f t="shared" si="89"/>
        <v>-</v>
      </c>
      <c r="AU19" s="195">
        <f t="shared" si="90"/>
        <v>1</v>
      </c>
      <c r="AV19" s="195" t="str">
        <f t="shared" si="83"/>
        <v>-</v>
      </c>
      <c r="AW19" s="195">
        <f t="shared" si="84"/>
        <v>1</v>
      </c>
      <c r="AX19" s="195">
        <f t="shared" si="73"/>
        <v>1</v>
      </c>
      <c r="AY19" s="195" t="str">
        <f t="shared" si="74"/>
        <v>-</v>
      </c>
      <c r="AZ19" s="195" t="str">
        <f t="shared" si="113"/>
        <v>-</v>
      </c>
      <c r="BA19" s="195">
        <f t="shared" si="114"/>
        <v>1</v>
      </c>
      <c r="BB19" s="195" t="str">
        <f t="shared" si="75"/>
        <v>-</v>
      </c>
      <c r="BC19" s="195">
        <f t="shared" si="76"/>
        <v>1</v>
      </c>
      <c r="BD19" s="195">
        <f t="shared" si="101"/>
        <v>1</v>
      </c>
      <c r="BE19" s="195" t="str">
        <f t="shared" si="102"/>
        <v>-</v>
      </c>
      <c r="BF19" s="195" t="str">
        <f t="shared" si="103"/>
        <v>-</v>
      </c>
      <c r="BG19" s="195">
        <f t="shared" si="104"/>
        <v>1</v>
      </c>
      <c r="BH19" s="195">
        <f t="shared" si="91"/>
        <v>1</v>
      </c>
      <c r="BI19" s="195" t="str">
        <f t="shared" si="92"/>
        <v>-</v>
      </c>
      <c r="BJ19" s="195">
        <f t="shared" si="115"/>
        <v>1</v>
      </c>
      <c r="BK19" s="195" t="str">
        <f t="shared" si="116"/>
        <v>-</v>
      </c>
      <c r="BL19" s="195" t="str">
        <f t="shared" si="67"/>
        <v>-</v>
      </c>
      <c r="BM19" s="195">
        <f t="shared" si="68"/>
        <v>1</v>
      </c>
    </row>
    <row r="20">
      <c r="A20" s="1" t="s">
        <v>705</v>
      </c>
      <c r="B20" s="196">
        <f t="shared" ref="B20:BM20" si="129">SUM(B2:B19)</f>
        <v>10</v>
      </c>
      <c r="C20" s="196">
        <f t="shared" si="129"/>
        <v>7</v>
      </c>
      <c r="D20" s="76">
        <f t="shared" si="129"/>
        <v>7</v>
      </c>
      <c r="E20" s="76">
        <f t="shared" si="129"/>
        <v>10</v>
      </c>
      <c r="F20" s="197">
        <f t="shared" si="129"/>
        <v>12</v>
      </c>
      <c r="G20" s="197">
        <f t="shared" si="129"/>
        <v>5</v>
      </c>
      <c r="H20" s="198">
        <f t="shared" si="129"/>
        <v>8</v>
      </c>
      <c r="I20" s="198">
        <f t="shared" si="129"/>
        <v>9</v>
      </c>
      <c r="J20" s="199">
        <f t="shared" si="129"/>
        <v>12</v>
      </c>
      <c r="K20" s="199">
        <f t="shared" si="129"/>
        <v>5</v>
      </c>
      <c r="L20" s="200">
        <f t="shared" si="129"/>
        <v>3</v>
      </c>
      <c r="M20" s="200">
        <f t="shared" si="129"/>
        <v>14</v>
      </c>
      <c r="N20" s="201">
        <f t="shared" si="129"/>
        <v>4</v>
      </c>
      <c r="O20" s="201">
        <f t="shared" si="129"/>
        <v>13</v>
      </c>
      <c r="P20" s="202">
        <f t="shared" si="129"/>
        <v>13</v>
      </c>
      <c r="Q20" s="202">
        <f t="shared" si="129"/>
        <v>4</v>
      </c>
      <c r="R20" s="203">
        <f t="shared" si="129"/>
        <v>11</v>
      </c>
      <c r="S20" s="203">
        <f t="shared" si="129"/>
        <v>6</v>
      </c>
      <c r="T20" s="204">
        <f t="shared" si="129"/>
        <v>4</v>
      </c>
      <c r="U20" s="204">
        <f t="shared" si="129"/>
        <v>13</v>
      </c>
      <c r="V20" s="205">
        <f t="shared" si="129"/>
        <v>7</v>
      </c>
      <c r="W20" s="205">
        <f t="shared" si="129"/>
        <v>10</v>
      </c>
      <c r="X20" s="206">
        <f t="shared" si="129"/>
        <v>10</v>
      </c>
      <c r="Y20" s="206">
        <f t="shared" si="129"/>
        <v>7</v>
      </c>
      <c r="Z20" s="207">
        <f t="shared" si="129"/>
        <v>10</v>
      </c>
      <c r="AA20" s="207">
        <f t="shared" si="129"/>
        <v>7</v>
      </c>
      <c r="AB20" s="208">
        <f t="shared" si="129"/>
        <v>10</v>
      </c>
      <c r="AC20" s="208">
        <f t="shared" si="129"/>
        <v>7</v>
      </c>
      <c r="AD20" s="209">
        <f t="shared" si="129"/>
        <v>7</v>
      </c>
      <c r="AE20" s="209">
        <f t="shared" si="129"/>
        <v>10</v>
      </c>
      <c r="AF20" s="210">
        <f t="shared" si="129"/>
        <v>3</v>
      </c>
      <c r="AG20" s="210">
        <f t="shared" si="129"/>
        <v>14</v>
      </c>
      <c r="AH20" s="211">
        <f t="shared" si="129"/>
        <v>10</v>
      </c>
      <c r="AI20" s="211">
        <f t="shared" si="129"/>
        <v>7</v>
      </c>
      <c r="AJ20" s="212">
        <f t="shared" si="129"/>
        <v>13</v>
      </c>
      <c r="AK20" s="212">
        <f t="shared" si="129"/>
        <v>4</v>
      </c>
      <c r="AL20" s="213">
        <f t="shared" si="129"/>
        <v>12</v>
      </c>
      <c r="AM20" s="213">
        <f t="shared" si="129"/>
        <v>5</v>
      </c>
      <c r="AN20" s="214">
        <f t="shared" si="129"/>
        <v>5</v>
      </c>
      <c r="AO20" s="214">
        <f t="shared" si="129"/>
        <v>12</v>
      </c>
      <c r="AP20" s="215">
        <f t="shared" si="129"/>
        <v>11</v>
      </c>
      <c r="AQ20" s="215">
        <f t="shared" si="129"/>
        <v>6</v>
      </c>
      <c r="AR20" s="216">
        <f t="shared" si="129"/>
        <v>13</v>
      </c>
      <c r="AS20" s="216">
        <f t="shared" si="129"/>
        <v>4</v>
      </c>
      <c r="AT20" s="217">
        <f t="shared" si="129"/>
        <v>4</v>
      </c>
      <c r="AU20" s="217">
        <f t="shared" si="129"/>
        <v>13</v>
      </c>
      <c r="AV20" s="218">
        <f t="shared" si="129"/>
        <v>6</v>
      </c>
      <c r="AW20" s="218">
        <f t="shared" si="129"/>
        <v>11</v>
      </c>
      <c r="AX20" s="219">
        <f t="shared" si="129"/>
        <v>11</v>
      </c>
      <c r="AY20" s="219">
        <f t="shared" si="129"/>
        <v>6</v>
      </c>
      <c r="AZ20" s="220">
        <f t="shared" si="129"/>
        <v>9</v>
      </c>
      <c r="BA20" s="220">
        <f t="shared" si="129"/>
        <v>8</v>
      </c>
      <c r="BB20" s="221">
        <f t="shared" si="129"/>
        <v>8</v>
      </c>
      <c r="BC20" s="221">
        <f t="shared" si="129"/>
        <v>9</v>
      </c>
      <c r="BD20" s="222">
        <f t="shared" si="129"/>
        <v>10</v>
      </c>
      <c r="BE20" s="222">
        <f t="shared" si="129"/>
        <v>7</v>
      </c>
      <c r="BF20" s="223">
        <f t="shared" si="129"/>
        <v>8</v>
      </c>
      <c r="BG20" s="223">
        <f t="shared" si="129"/>
        <v>9</v>
      </c>
      <c r="BH20" s="224">
        <f t="shared" si="129"/>
        <v>9</v>
      </c>
      <c r="BI20" s="224">
        <f t="shared" si="129"/>
        <v>8</v>
      </c>
      <c r="BJ20" s="225">
        <f t="shared" si="129"/>
        <v>8</v>
      </c>
      <c r="BK20" s="225">
        <f t="shared" si="129"/>
        <v>9</v>
      </c>
      <c r="BL20" s="226">
        <f t="shared" si="129"/>
        <v>4</v>
      </c>
      <c r="BM20" s="226">
        <f t="shared" si="129"/>
        <v>13</v>
      </c>
    </row>
  </sheetData>
  <autoFilter ref="$A$1:$BM$20"/>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55" t="s">
        <v>562</v>
      </c>
      <c r="C1" s="155" t="s">
        <v>563</v>
      </c>
      <c r="D1" s="155" t="s">
        <v>564</v>
      </c>
      <c r="E1" s="155" t="s">
        <v>565</v>
      </c>
      <c r="F1" s="155" t="s">
        <v>566</v>
      </c>
      <c r="G1" s="155" t="s">
        <v>567</v>
      </c>
      <c r="H1" s="155" t="s">
        <v>568</v>
      </c>
      <c r="I1" s="155" t="s">
        <v>569</v>
      </c>
      <c r="J1" s="155" t="s">
        <v>571</v>
      </c>
      <c r="K1" s="155" t="s">
        <v>572</v>
      </c>
      <c r="L1" s="155" t="s">
        <v>573</v>
      </c>
      <c r="M1" s="155" t="s">
        <v>575</v>
      </c>
      <c r="N1" s="155" t="s">
        <v>576</v>
      </c>
      <c r="O1" s="155" t="s">
        <v>577</v>
      </c>
      <c r="P1" s="155" t="s">
        <v>578</v>
      </c>
      <c r="Q1" s="155" t="s">
        <v>579</v>
      </c>
      <c r="R1" s="155" t="s">
        <v>580</v>
      </c>
      <c r="S1" s="155" t="s">
        <v>581</v>
      </c>
      <c r="T1" s="155" t="s">
        <v>582</v>
      </c>
      <c r="U1" s="155" t="s">
        <v>583</v>
      </c>
      <c r="V1" s="155" t="s">
        <v>584</v>
      </c>
      <c r="W1" s="155" t="s">
        <v>585</v>
      </c>
      <c r="X1" s="155" t="s">
        <v>586</v>
      </c>
      <c r="Y1" s="155" t="s">
        <v>587</v>
      </c>
      <c r="Z1" s="155" t="s">
        <v>588</v>
      </c>
      <c r="AA1" s="155" t="s">
        <v>589</v>
      </c>
      <c r="AB1" s="155" t="s">
        <v>590</v>
      </c>
      <c r="AC1" s="155" t="s">
        <v>591</v>
      </c>
      <c r="AD1" s="155" t="s">
        <v>592</v>
      </c>
      <c r="AE1" s="155" t="s">
        <v>595</v>
      </c>
      <c r="AF1" s="155" t="s">
        <v>596</v>
      </c>
      <c r="AG1" s="155" t="s">
        <v>597</v>
      </c>
      <c r="AH1" s="155" t="s">
        <v>598</v>
      </c>
      <c r="AI1" s="155" t="s">
        <v>600</v>
      </c>
      <c r="AJ1" s="155" t="s">
        <v>601</v>
      </c>
      <c r="AK1" s="155" t="s">
        <v>602</v>
      </c>
      <c r="AL1" s="155" t="s">
        <v>603</v>
      </c>
      <c r="AM1" s="155" t="s">
        <v>604</v>
      </c>
      <c r="AN1" s="155" t="s">
        <v>605</v>
      </c>
      <c r="AO1" s="155" t="s">
        <v>606</v>
      </c>
      <c r="AP1" s="155" t="s">
        <v>607</v>
      </c>
      <c r="AQ1" s="155" t="s">
        <v>608</v>
      </c>
      <c r="AR1" s="155" t="s">
        <v>609</v>
      </c>
      <c r="AS1" s="155" t="s">
        <v>610</v>
      </c>
      <c r="AT1" s="155" t="s">
        <v>611</v>
      </c>
      <c r="AU1" s="155" t="s">
        <v>612</v>
      </c>
      <c r="AV1" s="155" t="s">
        <v>613</v>
      </c>
      <c r="AW1" s="155" t="s">
        <v>614</v>
      </c>
      <c r="AX1" s="155" t="s">
        <v>616</v>
      </c>
      <c r="AY1" s="155" t="s">
        <v>617</v>
      </c>
      <c r="AZ1" s="155" t="s">
        <v>618</v>
      </c>
      <c r="BA1" s="155" t="s">
        <v>619</v>
      </c>
      <c r="BB1" s="155" t="s">
        <v>620</v>
      </c>
      <c r="BC1" s="155" t="s">
        <v>621</v>
      </c>
      <c r="BD1" s="155" t="s">
        <v>622</v>
      </c>
      <c r="BE1" s="155" t="s">
        <v>623</v>
      </c>
      <c r="BF1" s="155" t="s">
        <v>624</v>
      </c>
      <c r="BG1" s="155" t="s">
        <v>625</v>
      </c>
      <c r="BH1" s="155" t="s">
        <v>627</v>
      </c>
      <c r="BI1" s="155" t="s">
        <v>628</v>
      </c>
      <c r="BJ1" s="155" t="s">
        <v>629</v>
      </c>
      <c r="BK1" s="155" t="s">
        <v>630</v>
      </c>
      <c r="BL1" s="155" t="s">
        <v>631</v>
      </c>
      <c r="BM1" s="155" t="s">
        <v>632</v>
      </c>
    </row>
    <row r="2">
      <c r="A2" s="157" t="s">
        <v>123</v>
      </c>
      <c r="B2" s="158" t="str">
        <f t="array" ref="B2">LET(team, SUBSTITUTE(B$1, " Wins", ""), IF(COUNTIF(INDIRECT("'"&amp;$A2&amp;"'!$C:$C"), team)&gt;0, 1, "-"))</f>
        <v>-</v>
      </c>
      <c r="C2" s="158">
        <f t="array" ref="C2">LET(team, SUBSTITUTE(C$1, " Losses", ""), weekSheet, "'"&amp;$A2&amp;"'!", matchIdx, MATCH("*"&amp;team&amp;"*", INDIRECT(weekSheet&amp;"$B:$B"), 0), IF(ISNA(matchIdx), "-", LET(winner, INDEX(INDIRECT(weekSheet&amp;"$C:$C"), matchIdx), IF(winner="", "-", IF(winner=team, "-", 1)))))</f>
        <v>1</v>
      </c>
      <c r="D2" s="160"/>
      <c r="E2" s="160"/>
      <c r="F2" s="158">
        <f t="array" ref="F2">LET(team, SUBSTITUTE(F$1, " Wins", ""), IF(COUNTIF(INDIRECT("'"&amp;$A2&amp;"'!$C:$C"), team)&gt;0, 1, "-"))</f>
        <v>1</v>
      </c>
      <c r="G2" s="158" t="str">
        <f t="array" ref="G2">LET(team, SUBSTITUTE(G$1, " Losses", ""), weekSheet, "'"&amp;$A2&amp;"'!", matchIdx, MATCH("*"&amp;team&amp;"*", INDIRECT(weekSheet&amp;"$B:$B"), 0), IF(ISNA(matchIdx), "-", LET(winner, INDEX(INDIRECT(weekSheet&amp;"$C:$C"), matchIdx), IF(winner="", "-", IF(winner=team, "-", 1)))))</f>
        <v>-</v>
      </c>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58" t="str">
        <f t="array" ref="AH2">LET(team, SUBSTITUTE(AH$1, " Wins", ""), IF(COUNTIF(INDIRECT("'"&amp;$A2&amp;"'!$C:$C"), team)&gt;0, 1, "-"))</f>
        <v>-</v>
      </c>
      <c r="AI2" s="158">
        <f t="array" ref="AI2">LET(team, SUBSTITUTE(AI$1, " Losses", ""), weekSheet, "'"&amp;$A2&amp;"'!", matchIdx, MATCH("*"&amp;team&amp;"*", INDIRECT(weekSheet&amp;"$B:$B"), 0), IF(ISNA(matchIdx), "-", LET(winner, INDEX(INDIRECT(weekSheet&amp;"$C:$C"), matchIdx), IF(winner="", "-", IF(winner=team, "-", 1)))))</f>
        <v>1</v>
      </c>
      <c r="AJ2" s="158">
        <f t="array" ref="AJ2">LET(team, SUBSTITUTE(AJ$1, " Wins", ""), IF(COUNTIF(INDIRECT("'"&amp;$A2&amp;"'!$C:$C"), team)&gt;0, 1, "-"))</f>
        <v>1</v>
      </c>
      <c r="AK2" s="158" t="str">
        <f t="array" ref="AK2">LET(team, SUBSTITUTE(AK$1, " Losses", ""), weekSheet, "'"&amp;$A2&amp;"'!", matchIdx, MATCH("*"&amp;team&amp;"*", INDIRECT(weekSheet&amp;"$B:$B"), 0), IF(ISNA(matchIdx), "-", LET(winner, INDEX(INDIRECT(weekSheet&amp;"$C:$C"), matchIdx), IF(winner="", "-", IF(winner=team, "-", 1)))))</f>
        <v>-</v>
      </c>
      <c r="AL2" s="160"/>
      <c r="AM2" s="160"/>
      <c r="AN2" s="160"/>
      <c r="AO2" s="160"/>
      <c r="AP2" s="158">
        <f t="shared" ref="AP2:AP3" si="1">LET(team, SUBSTITUTE(AP$1, " Wins", ""), IF(COUNTIF(INDIRECT("'"&amp;$A2&amp;"'!$C:$C"), team)&gt;0, 1, "-"))</f>
        <v>1</v>
      </c>
      <c r="AQ2" s="158" t="str">
        <f t="shared" ref="AQ2:AQ3" si="2">LET(team, SUBSTITUTE(AQ$1, " Losses", ""), weekSheet, "'"&amp;$A2&amp;"'!", matchIdx, MATCH("*"&amp;team&amp;"*", INDIRECT(weekSheet&amp;"$B:$B"), 0), IF(ISNA(matchIdx), "-", LET(winner, INDEX(INDIRECT(weekSheet&amp;"$C:$C"), matchIdx), IF(winner="", "-", IF(winner=team, "-", 1)))))</f>
        <v>-</v>
      </c>
      <c r="AR2" s="158">
        <f t="array" ref="AR2">LET(team, SUBSTITUTE(AR$1, " Wins", ""), IF(COUNTIF(INDIRECT("'"&amp;$A2&amp;"'!$C:$C"), team)&gt;0, 1, "-"))</f>
        <v>1</v>
      </c>
      <c r="AS2" s="158" t="str">
        <f t="array" ref="AS2">LET(team, SUBSTITUTE(AS$1, " Losses", ""), weekSheet, "'"&amp;$A2&amp;"'!", matchIdx, MATCH("*"&amp;team&amp;"*", INDIRECT(weekSheet&amp;"$B:$B"), 0), IF(ISNA(matchIdx), "-", LET(winner, INDEX(INDIRECT(weekSheet&amp;"$C:$C"), matchIdx), IF(winner="", "-", IF(winner=team, "-", 1)))))</f>
        <v>-</v>
      </c>
      <c r="AT2" s="158" t="str">
        <f t="array" ref="AT2">LET(team, SUBSTITUTE(AT$1, " Wins", ""), IF(COUNTIF(INDIRECT("'"&amp;$A2&amp;"'!$C:$C"), team)&gt;0, 1, "-"))</f>
        <v>-</v>
      </c>
      <c r="AU2" s="158">
        <f t="array" ref="AU2">LET(team, SUBSTITUTE(AU$1, " Losses", ""), weekSheet, "'"&amp;$A2&amp;"'!", matchIdx, MATCH("*"&amp;team&amp;"*", INDIRECT(weekSheet&amp;"$B:$B"), 0), IF(ISNA(matchIdx), "-", LET(winner, INDEX(INDIRECT(weekSheet&amp;"$C:$C"), matchIdx), IF(winner="", "-", IF(winner=team, "-", 1)))))</f>
        <v>1</v>
      </c>
      <c r="AV2" s="158" t="str">
        <f t="shared" ref="AV2:AV3" si="3">LET(team, SUBSTITUTE(AV$1, " Wins", ""), IF(COUNTIF(INDIRECT("'"&amp;$A2&amp;"'!$C:$C"), team)&gt;0, 1, "-"))</f>
        <v>-</v>
      </c>
      <c r="AW2" s="158">
        <f t="shared" ref="AW2:AW3" si="4">LET(team, SUBSTITUTE(AW$1, " Losses", ""), weekSheet, "'"&amp;$A2&amp;"'!", matchIdx, MATCH("*"&amp;team&amp;"*", INDIRECT(weekSheet&amp;"$B:$B"), 0), IF(ISNA(matchIdx), "-", LET(winner, INDEX(INDIRECT(weekSheet&amp;"$C:$C"), matchIdx), IF(winner="", "-", IF(winner=team, "-", 1)))))</f>
        <v>1</v>
      </c>
      <c r="AX2" s="160"/>
      <c r="AY2" s="160"/>
      <c r="AZ2" s="158" t="str">
        <f t="array" ref="AZ2">LET(team, SUBSTITUTE(AZ$1, " Wins", ""), IF(COUNTIF(INDIRECT("'"&amp;$A2&amp;"'!$C:$C"), team)&gt;0, 1, "-"))</f>
        <v>-</v>
      </c>
      <c r="BA2" s="158">
        <f t="array" ref="BA2">LET(team, SUBSTITUTE(BA$1, " Losses", ""), weekSheet, "'"&amp;$A2&amp;"'!", matchIdx, MATCH("*"&amp;team&amp;"*", INDIRECT(weekSheet&amp;"$B:$B"), 0), IF(ISNA(matchIdx), "-", LET(winner, INDEX(INDIRECT(weekSheet&amp;"$C:$C"), matchIdx), IF(winner="", "-", IF(winner=team, "-", 1)))))</f>
        <v>1</v>
      </c>
      <c r="BB2" s="158">
        <f t="shared" ref="BB2:BB3" si="5">LET(team, SUBSTITUTE(BB$1, " Wins", ""), IF(COUNTIF(INDIRECT("'"&amp;$A2&amp;"'!$C:$C"), team)&gt;0, 1, "-"))</f>
        <v>1</v>
      </c>
      <c r="BC2" s="158" t="str">
        <f t="shared" ref="BC2:BC3" si="6">LET(team, SUBSTITUTE(BC$1, " Losses", ""), weekSheet, "'"&amp;$A2&amp;"'!", matchIdx, MATCH("*"&amp;team&amp;"*", INDIRECT(weekSheet&amp;"$B:$B"), 0), IF(ISNA(matchIdx), "-", LET(winner, INDEX(INDIRECT(weekSheet&amp;"$C:$C"), matchIdx), IF(winner="", "-", IF(winner=team, "-", 1)))))</f>
        <v>-</v>
      </c>
      <c r="BD2" s="160"/>
      <c r="BE2" s="160"/>
      <c r="BF2" s="160"/>
      <c r="BG2" s="160"/>
      <c r="BH2" s="160"/>
      <c r="BI2" s="160"/>
      <c r="BJ2" s="160"/>
      <c r="BK2" s="160"/>
      <c r="BL2" s="160"/>
      <c r="BM2" s="160"/>
    </row>
    <row r="3">
      <c r="A3" s="157" t="s">
        <v>119</v>
      </c>
      <c r="B3" s="160"/>
      <c r="C3" s="160"/>
      <c r="D3" s="158" t="str">
        <f t="array" ref="D3">LET(team, SUBSTITUTE(D$1, " Wins", ""), IF(COUNTIF(INDIRECT("'"&amp;$A3&amp;"'!$C:$C"), team)&gt;0, 1, "-"))</f>
        <v>-</v>
      </c>
      <c r="E3" s="158">
        <f t="array" ref="E3">LET(team, SUBSTITUTE(E$1, " Losses", ""), weekSheet, "'"&amp;$A3&amp;"'!", matchIdx, MATCH("*"&amp;team&amp;"*", INDIRECT(weekSheet&amp;"$B:$B"), 0), IF(ISNA(matchIdx), "-", LET(winner, INDEX(INDIRECT(weekSheet&amp;"$C:$C"), matchIdx), IF(winner="", "-", IF(winner=team, "-", 1)))))</f>
        <v>1</v>
      </c>
      <c r="F3" s="160"/>
      <c r="G3" s="160"/>
      <c r="H3" s="158">
        <f t="array" ref="H3">LET(team, SUBSTITUTE(H$1, " Wins", ""), IF(COUNTIF(INDIRECT("'"&amp;$A3&amp;"'!$C:$C"), team)&gt;0, 1, "-"))</f>
        <v>1</v>
      </c>
      <c r="I3" s="158" t="str">
        <f t="array" ref="I3">LET(team, SUBSTITUTE(I$1, " Losses", ""), weekSheet, "'"&amp;$A3&amp;"'!", matchIdx, MATCH("*"&amp;team&amp;"*", INDIRECT(weekSheet&amp;"$B:$B"), 0), IF(ISNA(matchIdx), "-", LET(winner, INDEX(INDIRECT(weekSheet&amp;"$C:$C"), matchIdx), IF(winner="", "-", IF(winner=team, "-", 1)))))</f>
        <v>-</v>
      </c>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58">
        <f t="array" ref="AL3">LET(team, SUBSTITUTE(AL$1, " Wins", ""), IF(COUNTIF(INDIRECT("'"&amp;$A3&amp;"'!$C:$C"), team)&gt;0, 1, "-"))</f>
        <v>1</v>
      </c>
      <c r="AM3" s="158" t="str">
        <f t="array" ref="AM3">LET(team, SUBSTITUTE(AM$1, " Losses", ""), weekSheet, "'"&amp;$A3&amp;"'!", matchIdx, MATCH("*"&amp;team&amp;"*", INDIRECT(weekSheet&amp;"$B:$B"), 0), IF(ISNA(matchIdx), "-", LET(winner, INDEX(INDIRECT(weekSheet&amp;"$C:$C"), matchIdx), IF(winner="", "-", IF(winner=team, "-", 1)))))</f>
        <v>-</v>
      </c>
      <c r="AN3" s="158" t="str">
        <f t="shared" ref="AN3:AN4" si="7">LET(team, SUBSTITUTE(AN$1, " Wins", ""), IF(COUNTIF(INDIRECT("'"&amp;$A3&amp;"'!$C:$C"), team)&gt;0, 1, "-"))</f>
        <v>-</v>
      </c>
      <c r="AO3" s="158">
        <f t="shared" ref="AO3:AO4" si="8">LET(team, SUBSTITUTE(AO$1, " Losses", ""), weekSheet, "'"&amp;$A3&amp;"'!", matchIdx, MATCH("*"&amp;team&amp;"*", INDIRECT(weekSheet&amp;"$B:$B"), 0), IF(ISNA(matchIdx), "-", LET(winner, INDEX(INDIRECT(weekSheet&amp;"$C:$C"), matchIdx), IF(winner="", "-", IF(winner=team, "-", 1)))))</f>
        <v>1</v>
      </c>
      <c r="AP3" s="158">
        <f t="shared" si="1"/>
        <v>1</v>
      </c>
      <c r="AQ3" s="158" t="str">
        <f t="shared" si="2"/>
        <v>-</v>
      </c>
      <c r="AR3" s="160"/>
      <c r="AS3" s="160"/>
      <c r="AT3" s="160"/>
      <c r="AU3" s="160"/>
      <c r="AV3" s="158" t="str">
        <f t="shared" si="3"/>
        <v>-</v>
      </c>
      <c r="AW3" s="158">
        <f t="shared" si="4"/>
        <v>1</v>
      </c>
      <c r="AX3" s="160"/>
      <c r="AY3" s="160"/>
      <c r="AZ3" s="160"/>
      <c r="BA3" s="160"/>
      <c r="BB3" s="158" t="str">
        <f t="shared" si="5"/>
        <v>-</v>
      </c>
      <c r="BC3" s="158">
        <f t="shared" si="6"/>
        <v>1</v>
      </c>
      <c r="BD3" s="158">
        <f t="array" ref="BD3">LET(team, SUBSTITUTE(BD$1, " Wins", ""), IF(COUNTIF(INDIRECT("'"&amp;$A3&amp;"'!$C:$C"), team)&gt;0, 1, "-"))</f>
        <v>1</v>
      </c>
      <c r="BE3" s="158" t="str">
        <f t="array" ref="BE3">LET(team, SUBSTITUTE(BE$1, " Losses", ""), weekSheet, "'"&amp;$A3&amp;"'!", matchIdx, MATCH("*"&amp;team&amp;"*", INDIRECT(weekSheet&amp;"$B:$B"), 0), IF(ISNA(matchIdx), "-", LET(winner, INDEX(INDIRECT(weekSheet&amp;"$C:$C"), matchIdx), IF(winner="", "-", IF(winner=team, "-", 1)))))</f>
        <v>-</v>
      </c>
      <c r="BF3" s="160"/>
      <c r="BG3" s="160"/>
      <c r="BH3" s="160"/>
      <c r="BI3" s="160"/>
      <c r="BJ3" s="158">
        <f t="array" ref="BJ3">LET(team, SUBSTITUTE(BJ$1, " Wins", ""), IF(COUNTIF(INDIRECT("'"&amp;$A3&amp;"'!$C:$C"), team)&gt;0, 1, "-"))</f>
        <v>1</v>
      </c>
      <c r="BK3" s="158" t="str">
        <f t="array" ref="BK3">LET(team, SUBSTITUTE(BK$1, " Losses", ""), weekSheet, "'"&amp;$A3&amp;"'!", matchIdx, MATCH("*"&amp;team&amp;"*", INDIRECT(weekSheet&amp;"$B:$B"), 0), IF(ISNA(matchIdx), "-", LET(winner, INDEX(INDIRECT(weekSheet&amp;"$C:$C"), matchIdx), IF(winner="", "-", IF(winner=team, "-", 1)))))</f>
        <v>-</v>
      </c>
      <c r="BL3" s="158" t="str">
        <f t="array" ref="BL3">LET(team, SUBSTITUTE(BL$1, " Wins", ""), IF(COUNTIF(INDIRECT("'"&amp;$A3&amp;"'!$C:$C"), team)&gt;0, 1, "-"))</f>
        <v>-</v>
      </c>
      <c r="BM3" s="158">
        <f t="array" ref="BM3">LET(team, SUBSTITUTE(BM$1, " Losses", ""), weekSheet, "'"&amp;$A3&amp;"'!", matchIdx, MATCH("*"&amp;team&amp;"*", INDIRECT(weekSheet&amp;"$B:$B"), 0), IF(ISNA(matchIdx), "-", LET(winner, INDEX(INDIRECT(weekSheet&amp;"$C:$C"), matchIdx), IF(winner="", "-", IF(winner=team, "-", 1)))))</f>
        <v>1</v>
      </c>
    </row>
    <row r="4">
      <c r="A4" s="157" t="s">
        <v>130</v>
      </c>
      <c r="B4" s="160"/>
      <c r="C4" s="160"/>
      <c r="D4" s="160"/>
      <c r="E4" s="160"/>
      <c r="F4" s="160"/>
      <c r="G4" s="160"/>
      <c r="H4" s="160"/>
      <c r="I4" s="160"/>
      <c r="J4" s="160"/>
      <c r="K4" s="160"/>
      <c r="L4" s="160"/>
      <c r="M4" s="160"/>
      <c r="N4" s="160"/>
      <c r="O4" s="160"/>
      <c r="P4" s="160"/>
      <c r="Q4" s="160"/>
      <c r="R4" s="160"/>
      <c r="S4" s="160"/>
      <c r="T4" s="160"/>
      <c r="U4" s="160"/>
      <c r="V4" s="158" t="str">
        <f t="shared" ref="V4:V5" si="9">LET(team, SUBSTITUTE(V$1, " Wins", ""), IF(COUNTIF(INDIRECT("'"&amp;$A4&amp;"'!$C:$C"), team)&gt;0, 1, "-"))</f>
        <v>-</v>
      </c>
      <c r="W4" s="158">
        <f t="shared" ref="W4:W5" si="10">LET(team, SUBSTITUTE(W$1, " Losses", ""), weekSheet, "'"&amp;$A4&amp;"'!", matchIdx, MATCH("*"&amp;team&amp;"*", INDIRECT(weekSheet&amp;"$B:$B"), 0), IF(ISNA(matchIdx), "-", LET(winner, INDEX(INDIRECT(weekSheet&amp;"$C:$C"), matchIdx), IF(winner="", "-", IF(winner=team, "-", 1)))))</f>
        <v>1</v>
      </c>
      <c r="X4" s="158">
        <f t="array" ref="X4">LET(team, SUBSTITUTE(X$1, " Wins", ""), IF(COUNTIF(INDIRECT("'"&amp;$A4&amp;"'!$C:$C"), team)&gt;0, 1, "-"))</f>
        <v>1</v>
      </c>
      <c r="Y4" s="158" t="str">
        <f t="array" ref="Y4">LET(team, SUBSTITUTE(Y$1, " Losses", ""), weekSheet, "'"&amp;$A4&amp;"'!", matchIdx, MATCH("*"&amp;team&amp;"*", INDIRECT(weekSheet&amp;"$B:$B"), 0), IF(ISNA(matchIdx), "-", LET(winner, INDEX(INDIRECT(weekSheet&amp;"$C:$C"), matchIdx), IF(winner="", "-", IF(winner=team, "-", 1)))))</f>
        <v>-</v>
      </c>
      <c r="Z4" s="158">
        <f t="array" ref="Z4">LET(team, SUBSTITUTE(Z$1, " Wins", ""), IF(COUNTIF(INDIRECT("'"&amp;$A4&amp;"'!$C:$C"), team)&gt;0, 1, "-"))</f>
        <v>1</v>
      </c>
      <c r="AA4" s="158" t="str">
        <f t="array" ref="AA4">LET(team, SUBSTITUTE(AA$1, " Losses", ""), weekSheet, "'"&amp;$A4&amp;"'!", matchIdx, MATCH("*"&amp;team&amp;"*", INDIRECT(weekSheet&amp;"$B:$B"), 0), IF(ISNA(matchIdx), "-", LET(winner, INDEX(INDIRECT(weekSheet&amp;"$C:$C"), matchIdx), IF(winner="", "-", IF(winner=team, "-", 1)))))</f>
        <v>-</v>
      </c>
      <c r="AB4" s="160"/>
      <c r="AC4" s="160"/>
      <c r="AD4" s="158" t="str">
        <f t="array" ref="AD4">LET(team, SUBSTITUTE(AD$1, " Wins", ""), IF(COUNTIF(INDIRECT("'"&amp;$A4&amp;"'!$C:$C"), team)&gt;0, 1, "-"))</f>
        <v>-</v>
      </c>
      <c r="AE4" s="158">
        <f t="array" ref="AE4">LET(team, SUBSTITUTE(AE$1, " Losses", ""), weekSheet, "'"&amp;$A4&amp;"'!", matchIdx, MATCH("*"&amp;team&amp;"*", INDIRECT(weekSheet&amp;"$B:$B"), 0), IF(ISNA(matchIdx), "-", LET(winner, INDEX(INDIRECT(weekSheet&amp;"$C:$C"), matchIdx), IF(winner="", "-", IF(winner=team, "-", 1)))))</f>
        <v>1</v>
      </c>
      <c r="AF4" s="160"/>
      <c r="AG4" s="160"/>
      <c r="AH4" s="158">
        <f t="array" ref="AH4">LET(team, SUBSTITUTE(AH$1, " Wins", ""), IF(COUNTIF(INDIRECT("'"&amp;$A4&amp;"'!$C:$C"), team)&gt;0, 1, "-"))</f>
        <v>1</v>
      </c>
      <c r="AI4" s="158" t="str">
        <f t="array" ref="AI4">LET(team, SUBSTITUTE(AI$1, " Losses", ""), weekSheet, "'"&amp;$A4&amp;"'!", matchIdx, MATCH("*"&amp;team&amp;"*", INDIRECT(weekSheet&amp;"$B:$B"), 0), IF(ISNA(matchIdx), "-", LET(winner, INDEX(INDIRECT(weekSheet&amp;"$C:$C"), matchIdx), IF(winner="", "-", IF(winner=team, "-", 1)))))</f>
        <v>-</v>
      </c>
      <c r="AJ4" s="160"/>
      <c r="AK4" s="160"/>
      <c r="AL4" s="160"/>
      <c r="AM4" s="160"/>
      <c r="AN4" s="158" t="str">
        <f t="shared" si="7"/>
        <v>-</v>
      </c>
      <c r="AO4" s="158">
        <f t="shared" si="8"/>
        <v>1</v>
      </c>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row>
    <row r="5">
      <c r="A5" s="157" t="s">
        <v>141</v>
      </c>
      <c r="B5" s="158" t="str">
        <f t="array" ref="B5">LET(team, SUBSTITUTE(B$1, " Wins", ""), IF(COUNTIF(INDIRECT("'"&amp;$A5&amp;"'!$C:$C"), team)&gt;0, 1, "-"))</f>
        <v>-</v>
      </c>
      <c r="C5" s="158">
        <f t="array" ref="C5">LET(team, SUBSTITUTE(C$1, " Losses", ""), weekSheet, "'"&amp;$A5&amp;"'!", matchIdx, MATCH("*"&amp;team&amp;"*", INDIRECT(weekSheet&amp;"$B:$B"), 0), IF(ISNA(matchIdx), "-", LET(winner, INDEX(INDIRECT(weekSheet&amp;"$C:$C"), matchIdx), IF(winner="", "-", IF(winner=team, "-", 1)))))</f>
        <v>1</v>
      </c>
      <c r="D5" s="158">
        <f t="array" ref="D5">LET(team, SUBSTITUTE(D$1, " Wins", ""), IF(COUNTIF(INDIRECT("'"&amp;$A5&amp;"'!$C:$C"), team)&gt;0, 1, "-"))</f>
        <v>1</v>
      </c>
      <c r="E5" s="158" t="str">
        <f t="array" ref="E5">LET(team, SUBSTITUTE(E$1, " Losses", ""), weekSheet, "'"&amp;$A5&amp;"'!", matchIdx, MATCH("*"&amp;team&amp;"*", INDIRECT(weekSheet&amp;"$B:$B"), 0), IF(ISNA(matchIdx), "-", LET(winner, INDEX(INDIRECT(weekSheet&amp;"$C:$C"), matchIdx), IF(winner="", "-", IF(winner=team, "-", 1)))))</f>
        <v>-</v>
      </c>
      <c r="F5" s="160"/>
      <c r="G5" s="160"/>
      <c r="H5" s="160"/>
      <c r="I5" s="160"/>
      <c r="J5" s="158" t="str">
        <f t="array" ref="J5">LET(team, SUBSTITUTE(J$1, " Wins", ""), IF(COUNTIF(INDIRECT("'"&amp;$A5&amp;"'!$C:$C"), team)&gt;0, 1, "-"))</f>
        <v>-</v>
      </c>
      <c r="K5" s="158">
        <f t="array" ref="K5">LET(team, SUBSTITUTE(K$1, " Losses", ""), weekSheet, "'"&amp;$A5&amp;"'!", matchIdx, MATCH("*"&amp;team&amp;"*", INDIRECT(weekSheet&amp;"$B:$B"), 0), IF(ISNA(matchIdx), "-", LET(winner, INDEX(INDIRECT(weekSheet&amp;"$C:$C"), matchIdx), IF(winner="", "-", IF(winner=team, "-", 1)))))</f>
        <v>1</v>
      </c>
      <c r="L5" s="160"/>
      <c r="M5" s="160"/>
      <c r="N5" s="160"/>
      <c r="O5" s="160"/>
      <c r="P5" s="158">
        <f t="array" ref="P5">LET(team, SUBSTITUTE(P$1, " Wins", ""), IF(COUNTIF(INDIRECT("'"&amp;$A5&amp;"'!$C:$C"), team)&gt;0, 1, "-"))</f>
        <v>1</v>
      </c>
      <c r="Q5" s="158" t="str">
        <f t="array" ref="Q5">LET(team, SUBSTITUTE(Q$1, " Losses", ""), weekSheet, "'"&amp;$A5&amp;"'!", matchIdx, MATCH("*"&amp;team&amp;"*", INDIRECT(weekSheet&amp;"$B:$B"), 0), IF(ISNA(matchIdx), "-", LET(winner, INDEX(INDIRECT(weekSheet&amp;"$C:$C"), matchIdx), IF(winner="", "-", IF(winner=team, "-", 1)))))</f>
        <v>-</v>
      </c>
      <c r="R5" s="160"/>
      <c r="S5" s="160"/>
      <c r="T5" s="158" t="str">
        <f t="array" ref="T5">LET(team, SUBSTITUTE(T$1, " Wins", ""), IF(COUNTIF(INDIRECT("'"&amp;$A5&amp;"'!$C:$C"), team)&gt;0, 1, "-"))</f>
        <v>-</v>
      </c>
      <c r="U5" s="158">
        <f t="array" ref="U5">LET(team, SUBSTITUTE(U$1, " Losses", ""), weekSheet, "'"&amp;$A5&amp;"'!", matchIdx, MATCH("*"&amp;team&amp;"*", INDIRECT(weekSheet&amp;"$B:$B"), 0), IF(ISNA(matchIdx), "-", LET(winner, INDEX(INDIRECT(weekSheet&amp;"$C:$C"), matchIdx), IF(winner="", "-", IF(winner=team, "-", 1)))))</f>
        <v>1</v>
      </c>
      <c r="V5" s="158">
        <f t="shared" si="9"/>
        <v>1</v>
      </c>
      <c r="W5" s="158" t="str">
        <f t="shared" si="10"/>
        <v>-</v>
      </c>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58" t="str">
        <f t="array" ref="BH5">LET(team, SUBSTITUTE(BH$1, " Wins", ""), IF(COUNTIF(INDIRECT("'"&amp;$A5&amp;"'!$C:$C"), team)&gt;0, 1, "-"))</f>
        <v>-</v>
      </c>
      <c r="BI5" s="158">
        <f t="array" ref="BI5">LET(team, SUBSTITUTE(BI$1, " Losses", ""), weekSheet, "'"&amp;$A5&amp;"'!", matchIdx, MATCH("*"&amp;team&amp;"*", INDIRECT(weekSheet&amp;"$B:$B"), 0), IF(ISNA(matchIdx), "-", LET(winner, INDEX(INDIRECT(weekSheet&amp;"$C:$C"), matchIdx), IF(winner="", "-", IF(winner=team, "-", 1)))))</f>
        <v>1</v>
      </c>
      <c r="BJ5" s="158">
        <f t="array" ref="BJ5">LET(team, SUBSTITUTE(BJ$1, " Wins", ""), IF(COUNTIF(INDIRECT("'"&amp;$A5&amp;"'!$C:$C"), team)&gt;0, 1, "-"))</f>
        <v>1</v>
      </c>
      <c r="BK5" s="158" t="str">
        <f t="array" ref="BK5">LET(team, SUBSTITUTE(BK$1, " Losses", ""), weekSheet, "'"&amp;$A5&amp;"'!", matchIdx, MATCH("*"&amp;team&amp;"*", INDIRECT(weekSheet&amp;"$B:$B"), 0), IF(ISNA(matchIdx), "-", LET(winner, INDEX(INDIRECT(weekSheet&amp;"$C:$C"), matchIdx), IF(winner="", "-", IF(winner=team, "-", 1)))))</f>
        <v>-</v>
      </c>
      <c r="BL5" s="160"/>
      <c r="BM5" s="160"/>
    </row>
    <row r="6">
      <c r="A6" s="157" t="s">
        <v>145</v>
      </c>
      <c r="B6" s="160"/>
      <c r="C6" s="160"/>
      <c r="D6" s="160"/>
      <c r="E6" s="160"/>
      <c r="F6" s="158">
        <f t="array" ref="F6">LET(team, SUBSTITUTE(F$1, " Wins", ""), IF(COUNTIF(INDIRECT("'"&amp;$A6&amp;"'!$C:$C"), team)&gt;0, 1, "-"))</f>
        <v>1</v>
      </c>
      <c r="G6" s="158" t="str">
        <f t="array" ref="G6">LET(team, SUBSTITUTE(G$1, " Losses", ""), weekSheet, "'"&amp;$A6&amp;"'!", matchIdx, MATCH("*"&amp;team&amp;"*", INDIRECT(weekSheet&amp;"$B:$B"), 0), IF(ISNA(matchIdx), "-", LET(winner, INDEX(INDIRECT(weekSheet&amp;"$C:$C"), matchIdx), IF(winner="", "-", IF(winner=team, "-", 1)))))</f>
        <v>-</v>
      </c>
      <c r="H6" s="158" t="str">
        <f t="shared" ref="H6:H7" si="11">LET(team, SUBSTITUTE(H$1, " Wins", ""), IF(COUNTIF(INDIRECT("'"&amp;$A6&amp;"'!$C:$C"), team)&gt;0, 1, "-"))</f>
        <v>-</v>
      </c>
      <c r="I6" s="158">
        <f t="shared" ref="I6:I7" si="12">LET(team, SUBSTITUTE(I$1, " Losses", ""), weekSheet, "'"&amp;$A6&amp;"'!", matchIdx, MATCH("*"&amp;team&amp;"*", INDIRECT(weekSheet&amp;"$B:$B"), 0), IF(ISNA(matchIdx), "-", LET(winner, INDEX(INDIRECT(weekSheet&amp;"$C:$C"), matchIdx), IF(winner="", "-", IF(winner=team, "-", 1)))))</f>
        <v>1</v>
      </c>
      <c r="J6" s="160"/>
      <c r="K6" s="160"/>
      <c r="L6" s="160"/>
      <c r="M6" s="160"/>
      <c r="N6" s="160"/>
      <c r="O6" s="160"/>
      <c r="P6" s="160"/>
      <c r="Q6" s="160"/>
      <c r="R6" s="160"/>
      <c r="S6" s="160"/>
      <c r="T6" s="160"/>
      <c r="U6" s="160"/>
      <c r="V6" s="160"/>
      <c r="W6" s="160"/>
      <c r="X6" s="160"/>
      <c r="Y6" s="160"/>
      <c r="Z6" s="158">
        <f t="shared" ref="Z6:Z7" si="13">LET(team, SUBSTITUTE(Z$1, " Wins", ""), IF(COUNTIF(INDIRECT("'"&amp;$A6&amp;"'!$C:$C"), team)&gt;0, 1, "-"))</f>
        <v>1</v>
      </c>
      <c r="AA6" s="158" t="str">
        <f t="shared" ref="AA6:AA7" si="14">LET(team, SUBSTITUTE(AA$1, " Losses", ""), weekSheet, "'"&amp;$A6&amp;"'!", matchIdx, MATCH("*"&amp;team&amp;"*", INDIRECT(weekSheet&amp;"$B:$B"), 0), IF(ISNA(matchIdx), "-", LET(winner, INDEX(INDIRECT(weekSheet&amp;"$C:$C"), matchIdx), IF(winner="", "-", IF(winner=team, "-", 1)))))</f>
        <v>-</v>
      </c>
      <c r="AB6" s="160"/>
      <c r="AC6" s="160"/>
      <c r="AD6" s="160"/>
      <c r="AE6" s="160"/>
      <c r="AF6" s="45" t="str">
        <f t="shared" ref="AF6:AF7" si="15">LET(team, SUBSTITUTE(AF$1, " Wins", ""), IF(COUNTIF(INDIRECT("'"&amp;$A6&amp;"'!$C:$C"), team)&gt;0, 1, "-"))</f>
        <v>-</v>
      </c>
      <c r="AG6" s="45">
        <f t="shared" ref="AG6:AG7" si="16">LET(team, SUBSTITUTE(AG$1, " Losses", ""), weekSheet, "'"&amp;$A6&amp;"'!", matchIdx, MATCH("*"&amp;team&amp;"*", INDIRECT(weekSheet&amp;"$B:$B"), 0), IF(ISNA(matchIdx), "-", LET(winner, INDEX(INDIRECT(weekSheet&amp;"$C:$C"), matchIdx), IF(winner="", "-", IF(winner=team, "-", 1)))))</f>
        <v>1</v>
      </c>
      <c r="AH6" s="158" t="str">
        <f t="array" ref="AH6">LET(team, SUBSTITUTE(AH$1, " Wins", ""), IF(COUNTIF(INDIRECT("'"&amp;$A6&amp;"'!$C:$C"), team)&gt;0, 1, "-"))</f>
        <v>-</v>
      </c>
      <c r="AI6" s="158">
        <f t="array" ref="AI6">LET(team, SUBSTITUTE(AI$1, " Losses", ""), weekSheet, "'"&amp;$A6&amp;"'!", matchIdx, MATCH("*"&amp;team&amp;"*", INDIRECT(weekSheet&amp;"$B:$B"), 0), IF(ISNA(matchIdx), "-", LET(winner, INDEX(INDIRECT(weekSheet&amp;"$C:$C"), matchIdx), IF(winner="", "-", IF(winner=team, "-", 1)))))</f>
        <v>1</v>
      </c>
      <c r="AJ6" s="160"/>
      <c r="AK6" s="160"/>
      <c r="AL6" s="158">
        <f t="array" ref="AL6">LET(team, SUBSTITUTE(AL$1, " Wins", ""), IF(COUNTIF(INDIRECT("'"&amp;$A6&amp;"'!$C:$C"), team)&gt;0, 1, "-"))</f>
        <v>1</v>
      </c>
      <c r="AM6" s="158" t="str">
        <f t="array" ref="AM6">LET(team, SUBSTITUTE(AM$1, " Losses", ""), weekSheet, "'"&amp;$A6&amp;"'!", matchIdx, MATCH("*"&amp;team&amp;"*", INDIRECT(weekSheet&amp;"$B:$B"), 0), IF(ISNA(matchIdx), "-", LET(winner, INDEX(INDIRECT(weekSheet&amp;"$C:$C"), matchIdx), IF(winner="", "-", IF(winner=team, "-", 1)))))</f>
        <v>-</v>
      </c>
      <c r="AN6" s="160"/>
      <c r="AO6" s="160"/>
      <c r="AP6" s="160"/>
      <c r="AQ6" s="160"/>
      <c r="AR6" s="160"/>
      <c r="AS6" s="160"/>
      <c r="AT6" s="158" t="str">
        <f t="array" ref="AT6">LET(team, SUBSTITUTE(AT$1, " Wins", ""), IF(COUNTIF(INDIRECT("'"&amp;$A6&amp;"'!$C:$C"), team)&gt;0, 1, "-"))</f>
        <v>-</v>
      </c>
      <c r="AU6" s="158">
        <f t="array" ref="AU6">LET(team, SUBSTITUTE(AU$1, " Losses", ""), weekSheet, "'"&amp;$A6&amp;"'!", matchIdx, MATCH("*"&amp;team&amp;"*", INDIRECT(weekSheet&amp;"$B:$B"), 0), IF(ISNA(matchIdx), "-", LET(winner, INDEX(INDIRECT(weekSheet&amp;"$C:$C"), matchIdx), IF(winner="", "-", IF(winner=team, "-", 1)))))</f>
        <v>1</v>
      </c>
      <c r="AV6" s="158">
        <f t="array" ref="AV6">LET(team, SUBSTITUTE(AV$1, " Wins", ""), IF(COUNTIF(INDIRECT("'"&amp;$A6&amp;"'!$C:$C"), team)&gt;0, 1, "-"))</f>
        <v>1</v>
      </c>
      <c r="AW6" s="158" t="str">
        <f t="array" ref="AW6">LET(team, SUBSTITUTE(AW$1, " Losses", ""), weekSheet, "'"&amp;$A6&amp;"'!", matchIdx, MATCH("*"&amp;team&amp;"*", INDIRECT(weekSheet&amp;"$B:$B"), 0), IF(ISNA(matchIdx), "-", LET(winner, INDEX(INDIRECT(weekSheet&amp;"$C:$C"), matchIdx), IF(winner="", "-", IF(winner=team, "-", 1)))))</f>
        <v>-</v>
      </c>
      <c r="AX6" s="160"/>
      <c r="AY6" s="160"/>
      <c r="AZ6" s="45">
        <f t="array" ref="AZ6">LET(team, SUBSTITUTE(AZ$1, " Wins", ""), IF(COUNTIF(INDIRECT("'"&amp;$A6&amp;"'!$C:$C"), team)&gt;0, 1, "-"))</f>
        <v>1</v>
      </c>
      <c r="BA6" s="45" t="str">
        <f t="array" ref="BA6">LET(team, SUBSTITUTE(BA$1, " Losses", ""), weekSheet, "'"&amp;$A6&amp;"'!", matchIdx, MATCH("*"&amp;team&amp;"*", INDIRECT(weekSheet&amp;"$B:$B"), 0), IF(ISNA(matchIdx), "-", LET(winner, INDEX(INDIRECT(weekSheet&amp;"$C:$C"), matchIdx), IF(winner="", "-", IF(winner=team, "-", 1)))))</f>
        <v>-</v>
      </c>
      <c r="BB6" s="160"/>
      <c r="BC6" s="160"/>
      <c r="BD6" s="45" t="str">
        <f t="array" ref="BD6">LET(team, SUBSTITUTE(BD$1, " Wins", ""), IF(COUNTIF(INDIRECT("'"&amp;$A6&amp;"'!$C:$C"), team)&gt;0, 1, "-"))</f>
        <v>-</v>
      </c>
      <c r="BE6" s="45">
        <f t="array" ref="BE6">LET(team, SUBSTITUTE(BE$1, " Losses", ""), weekSheet, "'"&amp;$A6&amp;"'!", matchIdx, MATCH("*"&amp;team&amp;"*", INDIRECT(weekSheet&amp;"$B:$B"), 0), IF(ISNA(matchIdx), "-", LET(winner, INDEX(INDIRECT(weekSheet&amp;"$C:$C"), matchIdx), IF(winner="", "-", IF(winner=team, "-", 1)))))</f>
        <v>1</v>
      </c>
      <c r="BF6" s="160"/>
      <c r="BG6" s="160"/>
      <c r="BH6" s="160"/>
      <c r="BI6" s="160"/>
      <c r="BJ6" s="160"/>
      <c r="BK6" s="160"/>
      <c r="BL6" s="160"/>
      <c r="BM6" s="160"/>
    </row>
    <row r="7">
      <c r="A7" s="157" t="s">
        <v>156</v>
      </c>
      <c r="B7" s="45">
        <f t="array" ref="B7">LET(team, SUBSTITUTE(B$1, " Wins", ""), IF(COUNTIF(INDIRECT("'"&amp;$A7&amp;"'!$C:$C"), team)&gt;0, 1, "-"))</f>
        <v>1</v>
      </c>
      <c r="C7" s="45" t="str">
        <f t="array" ref="C7">LET(team, SUBSTITUTE(C$1, " Losses", ""), weekSheet, "'"&amp;$A7&amp;"'!", matchIdx, MATCH("*"&amp;team&amp;"*", INDIRECT(weekSheet&amp;"$B:$B"), 0), IF(ISNA(matchIdx), "-", LET(winner, INDEX(INDIRECT(weekSheet&amp;"$C:$C"), matchIdx), IF(winner="", "-", IF(winner=team, "-", 1)))))</f>
        <v>-</v>
      </c>
      <c r="D7" s="160"/>
      <c r="E7" s="160"/>
      <c r="F7" s="160"/>
      <c r="G7" s="160"/>
      <c r="H7" s="158" t="str">
        <f t="shared" si="11"/>
        <v>-</v>
      </c>
      <c r="I7" s="158">
        <f t="shared" si="12"/>
        <v>1</v>
      </c>
      <c r="J7" s="160"/>
      <c r="K7" s="160"/>
      <c r="L7" s="160"/>
      <c r="M7" s="160"/>
      <c r="N7" s="158">
        <f t="shared" ref="N7:N8" si="17">LET(team, SUBSTITUTE(N$1, " Wins", ""), IF(COUNTIF(INDIRECT("'"&amp;$A7&amp;"'!$C:$C"), team)&gt;0, 1, "-"))</f>
        <v>1</v>
      </c>
      <c r="O7" s="158" t="str">
        <f t="shared" ref="O7:O8" si="18">LET(team, SUBSTITUTE(O$1, " Losses", ""), weekSheet, "'"&amp;$A7&amp;"'!", matchIdx, MATCH("*"&amp;team&amp;"*", INDIRECT(weekSheet&amp;"$B:$B"), 0), IF(ISNA(matchIdx), "-", LET(winner, INDEX(INDIRECT(weekSheet&amp;"$C:$C"), matchIdx), IF(winner="", "-", IF(winner=team, "-", 1)))))</f>
        <v>-</v>
      </c>
      <c r="P7" s="158" t="str">
        <f t="array" ref="P7">LET(team, SUBSTITUTE(P$1, " Wins", ""), IF(COUNTIF(INDIRECT("'"&amp;$A7&amp;"'!$C:$C"), team)&gt;0, 1, "-"))</f>
        <v>-</v>
      </c>
      <c r="Q7" s="158">
        <f t="array" ref="Q7">LET(team, SUBSTITUTE(Q$1, " Losses", ""), weekSheet, "'"&amp;$A7&amp;"'!", matchIdx, MATCH("*"&amp;team&amp;"*", INDIRECT(weekSheet&amp;"$B:$B"), 0), IF(ISNA(matchIdx), "-", LET(winner, INDEX(INDIRECT(weekSheet&amp;"$C:$C"), matchIdx), IF(winner="", "-", IF(winner=team, "-", 1)))))</f>
        <v>1</v>
      </c>
      <c r="R7" s="158">
        <f t="shared" ref="R7:R8" si="19">LET(team, SUBSTITUTE(R$1, " Wins", ""), IF(COUNTIF(INDIRECT("'"&amp;$A7&amp;"'!$C:$C"), team)&gt;0, 1, "-"))</f>
        <v>1</v>
      </c>
      <c r="S7" s="158" t="str">
        <f t="shared" ref="S7:S8" si="20">LET(team, SUBSTITUTE(S$1, " Losses", ""), weekSheet, "'"&amp;$A7&amp;"'!", matchIdx, MATCH("*"&amp;team&amp;"*", INDIRECT(weekSheet&amp;"$B:$B"), 0), IF(ISNA(matchIdx), "-", LET(winner, INDEX(INDIRECT(weekSheet&amp;"$C:$C"), matchIdx), IF(winner="", "-", IF(winner=team, "-", 1)))))</f>
        <v>-</v>
      </c>
      <c r="T7" s="158" t="str">
        <f t="array" ref="T7">LET(team, SUBSTITUTE(T$1, " Wins", ""), IF(COUNTIF(INDIRECT("'"&amp;$A7&amp;"'!$C:$C"), team)&gt;0, 1, "-"))</f>
        <v>-</v>
      </c>
      <c r="U7" s="158">
        <f t="array" ref="U7">LET(team, SUBSTITUTE(U$1, " Losses", ""), weekSheet, "'"&amp;$A7&amp;"'!", matchIdx, MATCH("*"&amp;team&amp;"*", INDIRECT(weekSheet&amp;"$B:$B"), 0), IF(ISNA(matchIdx), "-", LET(winner, INDEX(INDIRECT(weekSheet&amp;"$C:$C"), matchIdx), IF(winner="", "-", IF(winner=team, "-", 1)))))</f>
        <v>1</v>
      </c>
      <c r="V7" s="160"/>
      <c r="W7" s="160"/>
      <c r="X7" s="160"/>
      <c r="Y7" s="160"/>
      <c r="Z7" s="45">
        <f t="shared" si="13"/>
        <v>1</v>
      </c>
      <c r="AA7" s="45" t="str">
        <f t="shared" si="14"/>
        <v>-</v>
      </c>
      <c r="AB7" s="158" t="str">
        <f t="array" ref="AB7">LET(team, SUBSTITUTE(AB$1, " Wins", ""), IF(COUNTIF(INDIRECT("'"&amp;$A7&amp;"'!$C:$C"), team)&gt;0, 1, "-"))</f>
        <v>-</v>
      </c>
      <c r="AC7" s="158">
        <f t="array" ref="AC7">LET(team, SUBSTITUTE(AC$1, " Losses", ""), weekSheet, "'"&amp;$A7&amp;"'!", matchIdx, MATCH("*"&amp;team&amp;"*", INDIRECT(weekSheet&amp;"$B:$B"), 0), IF(ISNA(matchIdx), "-", LET(winner, INDEX(INDIRECT(weekSheet&amp;"$C:$C"), matchIdx), IF(winner="", "-", IF(winner=team, "-", 1)))))</f>
        <v>1</v>
      </c>
      <c r="AD7" s="158">
        <f t="array" ref="AD7">LET(team, SUBSTITUTE(AD$1, " Wins", ""), IF(COUNTIF(INDIRECT("'"&amp;$A7&amp;"'!$C:$C"), team)&gt;0, 1, "-"))</f>
        <v>1</v>
      </c>
      <c r="AE7" s="158" t="str">
        <f t="array" ref="AE7">LET(team, SUBSTITUTE(AE$1, " Losses", ""), weekSheet, "'"&amp;$A7&amp;"'!", matchIdx, MATCH("*"&amp;team&amp;"*", INDIRECT(weekSheet&amp;"$B:$B"), 0), IF(ISNA(matchIdx), "-", LET(winner, INDEX(INDIRECT(weekSheet&amp;"$C:$C"), matchIdx), IF(winner="", "-", IF(winner=team, "-", 1)))))</f>
        <v>-</v>
      </c>
      <c r="AF7" s="158" t="str">
        <f t="shared" si="15"/>
        <v>-</v>
      </c>
      <c r="AG7" s="158">
        <f t="shared" si="16"/>
        <v>1</v>
      </c>
      <c r="AH7" s="160"/>
      <c r="AI7" s="160"/>
      <c r="AJ7" s="45">
        <f t="array" ref="AJ7">LET(team, SUBSTITUTE(AJ$1, " Wins", ""), IF(COUNTIF(INDIRECT("'"&amp;$A7&amp;"'!$C:$C"), team)&gt;0, 1, "-"))</f>
        <v>1</v>
      </c>
      <c r="AK7" s="45" t="str">
        <f t="array" ref="AK7">LET(team, SUBSTITUTE(AK$1, " Losses", ""), weekSheet, "'"&amp;$A7&amp;"'!", matchIdx, MATCH("*"&amp;team&amp;"*", INDIRECT(weekSheet&amp;"$B:$B"), 0), IF(ISNA(matchIdx), "-", LET(winner, INDEX(INDIRECT(weekSheet&amp;"$C:$C"), matchIdx), IF(winner="", "-", IF(winner=team, "-", 1)))))</f>
        <v>-</v>
      </c>
      <c r="AL7" s="160"/>
      <c r="AM7" s="160"/>
      <c r="AN7" s="158" t="str">
        <f t="array" ref="AN7">LET(team, SUBSTITUTE(AN$1, " Wins", ""), IF(COUNTIF(INDIRECT("'"&amp;$A7&amp;"'!$C:$C"), team)&gt;0, 1, "-"))</f>
        <v>-</v>
      </c>
      <c r="AO7" s="158">
        <f t="array" ref="AO7">LET(team, SUBSTITUTE(AO$1, " Losses", ""), weekSheet, "'"&amp;$A7&amp;"'!", matchIdx, MATCH("*"&amp;team&amp;"*", INDIRECT(weekSheet&amp;"$B:$B"), 0), IF(ISNA(matchIdx), "-", LET(winner, INDEX(INDIRECT(weekSheet&amp;"$C:$C"), matchIdx), IF(winner="", "-", IF(winner=team, "-", 1)))))</f>
        <v>1</v>
      </c>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row>
    <row r="8">
      <c r="A8" s="157" t="s">
        <v>159</v>
      </c>
      <c r="B8" s="160"/>
      <c r="C8" s="160"/>
      <c r="D8" s="160"/>
      <c r="E8" s="160"/>
      <c r="F8" s="160"/>
      <c r="G8" s="160"/>
      <c r="H8" s="160"/>
      <c r="I8" s="160"/>
      <c r="J8" s="160"/>
      <c r="K8" s="160"/>
      <c r="L8" s="158">
        <f t="shared" ref="L8:L9" si="21">LET(team, SUBSTITUTE(L$1, " Wins", ""), IF(COUNTIF(INDIRECT("'"&amp;$A8&amp;"'!$C:$C"), team)&gt;0, 1, "-"))</f>
        <v>1</v>
      </c>
      <c r="M8" s="158" t="str">
        <f t="shared" ref="M8:M9" si="22">LET(team, SUBSTITUTE(M$1, " Losses", ""), weekSheet, "'"&amp;$A8&amp;"'!", matchIdx, MATCH("*"&amp;team&amp;"*", INDIRECT(weekSheet&amp;"$B:$B"), 0), IF(ISNA(matchIdx), "-", LET(winner, INDEX(INDIRECT(weekSheet&amp;"$C:$C"), matchIdx), IF(winner="", "-", IF(winner=team, "-", 1)))))</f>
        <v>-</v>
      </c>
      <c r="N8" s="158" t="str">
        <f t="shared" si="17"/>
        <v>-</v>
      </c>
      <c r="O8" s="158">
        <f t="shared" si="18"/>
        <v>1</v>
      </c>
      <c r="P8" s="160"/>
      <c r="Q8" s="160"/>
      <c r="R8" s="45" t="str">
        <f t="shared" si="19"/>
        <v>-</v>
      </c>
      <c r="S8" s="45">
        <f t="shared" si="20"/>
        <v>1</v>
      </c>
      <c r="T8" s="160"/>
      <c r="U8" s="160"/>
      <c r="V8" s="160"/>
      <c r="W8" s="160"/>
      <c r="X8" s="158">
        <f t="array" ref="X8">LET(team, SUBSTITUTE(X$1, " Wins", ""), IF(COUNTIF(INDIRECT("'"&amp;$A8&amp;"'!$C:$C"), team)&gt;0, 1, "-"))</f>
        <v>1</v>
      </c>
      <c r="Y8" s="158" t="str">
        <f t="array" ref="Y8">LET(team, SUBSTITUTE(Y$1, " Losses", ""), weekSheet, "'"&amp;$A8&amp;"'!", matchIdx, MATCH("*"&amp;team&amp;"*", INDIRECT(weekSheet&amp;"$B:$B"), 0), IF(ISNA(matchIdx), "-", LET(winner, INDEX(INDIRECT(weekSheet&amp;"$C:$C"), matchIdx), IF(winner="", "-", IF(winner=team, "-", 1)))))</f>
        <v>-</v>
      </c>
      <c r="Z8" s="160"/>
      <c r="AA8" s="160"/>
      <c r="AB8" s="160"/>
      <c r="AC8" s="160"/>
      <c r="AD8" s="160"/>
      <c r="AE8" s="160"/>
      <c r="AF8" s="160"/>
      <c r="AG8" s="160"/>
      <c r="AH8" s="160"/>
      <c r="AI8" s="160"/>
      <c r="AJ8" s="160"/>
      <c r="AK8" s="160"/>
      <c r="AL8" s="160"/>
      <c r="AM8" s="160"/>
      <c r="AN8" s="160"/>
      <c r="AO8" s="160"/>
      <c r="AP8" s="45">
        <f t="array" ref="AP8">LET(team, SUBSTITUTE(AP$1, " Wins", ""), IF(COUNTIF(INDIRECT("'"&amp;$A8&amp;"'!$C:$C"), team)&gt;0, 1, "-"))</f>
        <v>1</v>
      </c>
      <c r="AQ8" s="45" t="str">
        <f t="array" ref="AQ8">LET(team, SUBSTITUTE(AQ$1, " Losses", ""), weekSheet, "'"&amp;$A8&amp;"'!", matchIdx, MATCH("*"&amp;team&amp;"*", INDIRECT(weekSheet&amp;"$B:$B"), 0), IF(ISNA(matchIdx), "-", LET(winner, INDEX(INDIRECT(weekSheet&amp;"$C:$C"), matchIdx), IF(winner="", "-", IF(winner=team, "-", 1)))))</f>
        <v>-</v>
      </c>
      <c r="AR8" s="158" t="str">
        <f t="shared" ref="AR8:AR10" si="23">LET(team, SUBSTITUTE(AR$1, " Wins", ""), IF(COUNTIF(INDIRECT("'"&amp;$A8&amp;"'!$C:$C"), team)&gt;0, 1, "-"))</f>
        <v>-</v>
      </c>
      <c r="AS8" s="158">
        <f t="shared" ref="AS8:AS10" si="24">LET(team, SUBSTITUTE(AS$1, " Losses", ""), weekSheet, "'"&amp;$A8&amp;"'!", matchIdx, MATCH("*"&amp;team&amp;"*", INDIRECT(weekSheet&amp;"$B:$B"), 0), IF(ISNA(matchIdx), "-", LET(winner, INDEX(INDIRECT(weekSheet&amp;"$C:$C"), matchIdx), IF(winner="", "-", IF(winner=team, "-", 1)))))</f>
        <v>1</v>
      </c>
      <c r="AT8" s="160"/>
      <c r="AU8" s="160"/>
      <c r="AV8" s="160"/>
      <c r="AW8" s="160"/>
      <c r="AX8" s="158" t="str">
        <f t="shared" ref="AX8:AX9" si="25">LET(team, SUBSTITUTE(AX$1, " Wins", ""), IF(COUNTIF(INDIRECT("'"&amp;$A8&amp;"'!$C:$C"), team)&gt;0, 1, "-"))</f>
        <v>-</v>
      </c>
      <c r="AY8" s="158">
        <f t="shared" ref="AY8:AY9" si="26">LET(team, SUBSTITUTE(AY$1, " Losses", ""), weekSheet, "'"&amp;$A8&amp;"'!", matchIdx, MATCH("*"&amp;team&amp;"*", INDIRECT(weekSheet&amp;"$B:$B"), 0), IF(ISNA(matchIdx), "-", LET(winner, INDEX(INDIRECT(weekSheet&amp;"$C:$C"), matchIdx), IF(winner="", "-", IF(winner=team, "-", 1)))))</f>
        <v>1</v>
      </c>
      <c r="AZ8" s="158">
        <f t="array" ref="AZ8">LET(team, SUBSTITUTE(AZ$1, " Wins", ""), IF(COUNTIF(INDIRECT("'"&amp;$A8&amp;"'!$C:$C"), team)&gt;0, 1, "-"))</f>
        <v>1</v>
      </c>
      <c r="BA8" s="158" t="str">
        <f t="array" ref="BA8">LET(team, SUBSTITUTE(BA$1, " Losses", ""), weekSheet, "'"&amp;$A8&amp;"'!", matchIdx, MATCH("*"&amp;team&amp;"*", INDIRECT(weekSheet&amp;"$B:$B"), 0), IF(ISNA(matchIdx), "-", LET(winner, INDEX(INDIRECT(weekSheet&amp;"$C:$C"), matchIdx), IF(winner="", "-", IF(winner=team, "-", 1)))))</f>
        <v>-</v>
      </c>
      <c r="BB8" s="160"/>
      <c r="BC8" s="160"/>
      <c r="BD8" s="160"/>
      <c r="BE8" s="160"/>
      <c r="BF8" s="158" t="str">
        <f t="shared" ref="BF8:BF9" si="27">LET(team, SUBSTITUTE(BF$1, " Wins", ""), IF(COUNTIF(INDIRECT("'"&amp;$A8&amp;"'!$C:$C"), team)&gt;0, 1, "-"))</f>
        <v>-</v>
      </c>
      <c r="BG8" s="158">
        <f t="shared" ref="BG8:BG9" si="28">LET(team, SUBSTITUTE(BG$1, " Losses", ""), weekSheet, "'"&amp;$A8&amp;"'!", matchIdx, MATCH("*"&amp;team&amp;"*", INDIRECT(weekSheet&amp;"$B:$B"), 0), IF(ISNA(matchIdx), "-", LET(winner, INDEX(INDIRECT(weekSheet&amp;"$C:$C"), matchIdx), IF(winner="", "-", IF(winner=team, "-", 1)))))</f>
        <v>1</v>
      </c>
      <c r="BH8" s="160"/>
      <c r="BI8" s="160"/>
      <c r="BJ8" s="160"/>
      <c r="BK8" s="160"/>
      <c r="BL8" s="158">
        <f t="array" ref="BL8">LET(team, SUBSTITUTE(BL$1, " Wins", ""), IF(COUNTIF(INDIRECT("'"&amp;$A8&amp;"'!$C:$C"), team)&gt;0, 1, "-"))</f>
        <v>1</v>
      </c>
      <c r="BM8" s="158" t="str">
        <f t="array" ref="BM8">LET(team, SUBSTITUTE(BM$1, " Losses", ""), weekSheet, "'"&amp;$A8&amp;"'!", matchIdx, MATCH("*"&amp;team&amp;"*", INDIRECT(weekSheet&amp;"$B:$B"), 0), IF(ISNA(matchIdx), "-", LET(winner, INDEX(INDIRECT(weekSheet&amp;"$C:$C"), matchIdx), IF(winner="", "-", IF(winner=team, "-", 1)))))</f>
        <v>-</v>
      </c>
    </row>
    <row r="9">
      <c r="A9" s="157" t="s">
        <v>164</v>
      </c>
      <c r="B9" s="158" t="str">
        <f t="array" ref="B9">LET(team, SUBSTITUTE(B$1, " Wins", ""), IF(COUNTIF(INDIRECT("'"&amp;$A9&amp;"'!$C:$C"), team)&gt;0, 1, "-"))</f>
        <v>-</v>
      </c>
      <c r="C9" s="158">
        <f t="array" ref="C9">LET(team, SUBSTITUTE(C$1, " Losses", ""), weekSheet, "'"&amp;$A9&amp;"'!", matchIdx, MATCH("*"&amp;team&amp;"*", INDIRECT(weekSheet&amp;"$B:$B"), 0), IF(ISNA(matchIdx), "-", LET(winner, INDEX(INDIRECT(weekSheet&amp;"$C:$C"), matchIdx), IF(winner="", "-", IF(winner=team, "-", 1)))))</f>
        <v>1</v>
      </c>
      <c r="D9" s="160"/>
      <c r="E9" s="160"/>
      <c r="F9" s="158">
        <f t="array" ref="F9">LET(team, SUBSTITUTE(F$1, " Wins", ""), IF(COUNTIF(INDIRECT("'"&amp;$A9&amp;"'!$C:$C"), team)&gt;0, 1, "-"))</f>
        <v>1</v>
      </c>
      <c r="G9" s="158" t="str">
        <f t="array" ref="G9">LET(team, SUBSTITUTE(G$1, " Losses", ""), weekSheet, "'"&amp;$A9&amp;"'!", matchIdx, MATCH("*"&amp;team&amp;"*", INDIRECT(weekSheet&amp;"$B:$B"), 0), IF(ISNA(matchIdx), "-", LET(winner, INDEX(INDIRECT(weekSheet&amp;"$C:$C"), matchIdx), IF(winner="", "-", IF(winner=team, "-", 1)))))</f>
        <v>-</v>
      </c>
      <c r="H9" s="160"/>
      <c r="I9" s="160"/>
      <c r="J9" s="160"/>
      <c r="K9" s="160"/>
      <c r="L9" s="158" t="str">
        <f t="shared" si="21"/>
        <v>-</v>
      </c>
      <c r="M9" s="158">
        <f t="shared" si="22"/>
        <v>1</v>
      </c>
      <c r="N9" s="160"/>
      <c r="O9" s="160"/>
      <c r="P9" s="158">
        <f t="array" ref="P9">LET(team, SUBSTITUTE(P$1, " Wins", ""), IF(COUNTIF(INDIRECT("'"&amp;$A9&amp;"'!$C:$C"), team)&gt;0, 1, "-"))</f>
        <v>1</v>
      </c>
      <c r="Q9" s="158" t="str">
        <f t="array" ref="Q9">LET(team, SUBSTITUTE(Q$1, " Losses", ""), weekSheet, "'"&amp;$A9&amp;"'!", matchIdx, MATCH("*"&amp;team&amp;"*", INDIRECT(weekSheet&amp;"$B:$B"), 0), IF(ISNA(matchIdx), "-", LET(winner, INDEX(INDIRECT(weekSheet&amp;"$C:$C"), matchIdx), IF(winner="", "-", IF(winner=team, "-", 1)))))</f>
        <v>-</v>
      </c>
      <c r="R9" s="160"/>
      <c r="S9" s="160"/>
      <c r="T9" s="158" t="str">
        <f t="array" ref="T9">LET(team, SUBSTITUTE(T$1, " Wins", ""), IF(COUNTIF(INDIRECT("'"&amp;$A9&amp;"'!$C:$C"), team)&gt;0, 1, "-"))</f>
        <v>-</v>
      </c>
      <c r="U9" s="158">
        <f t="array" ref="U9">LET(team, SUBSTITUTE(U$1, " Losses", ""), weekSheet, "'"&amp;$A9&amp;"'!", matchIdx, MATCH("*"&amp;team&amp;"*", INDIRECT(weekSheet&amp;"$B:$B"), 0), IF(ISNA(matchIdx), "-", LET(winner, INDEX(INDIRECT(weekSheet&amp;"$C:$C"), matchIdx), IF(winner="", "-", IF(winner=team, "-", 1)))))</f>
        <v>1</v>
      </c>
      <c r="V9" s="158">
        <f t="array" ref="V9">LET(team, SUBSTITUTE(V$1, " Wins", ""), IF(COUNTIF(INDIRECT("'"&amp;$A9&amp;"'!$C:$C"), team)&gt;0, 1, "-"))</f>
        <v>1</v>
      </c>
      <c r="W9" s="158" t="str">
        <f t="array" ref="W9">LET(team, SUBSTITUTE(W$1, " Losses", ""), weekSheet, "'"&amp;$A9&amp;"'!", matchIdx, MATCH("*"&amp;team&amp;"*", INDIRECT(weekSheet&amp;"$B:$B"), 0), IF(ISNA(matchIdx), "-", LET(winner, INDEX(INDIRECT(weekSheet&amp;"$C:$C"), matchIdx), IF(winner="", "-", IF(winner=team, "-", 1)))))</f>
        <v>-</v>
      </c>
      <c r="X9" s="160"/>
      <c r="Y9" s="160"/>
      <c r="Z9" s="160"/>
      <c r="AA9" s="160"/>
      <c r="AB9" s="45">
        <f t="array" ref="AB9">LET(team, SUBSTITUTE(AB$1, " Wins", ""), IF(COUNTIF(INDIRECT("'"&amp;$A9&amp;"'!$C:$C"), team)&gt;0, 1, "-"))</f>
        <v>1</v>
      </c>
      <c r="AC9" s="45" t="str">
        <f t="array" ref="AC9">LET(team, SUBSTITUTE(AC$1, " Losses", ""), weekSheet, "'"&amp;$A9&amp;"'!", matchIdx, MATCH("*"&amp;team&amp;"*", INDIRECT(weekSheet&amp;"$B:$B"), 0), IF(ISNA(matchIdx), "-", LET(winner, INDEX(INDIRECT(weekSheet&amp;"$C:$C"), matchIdx), IF(winner="", "-", IF(winner=team, "-", 1)))))</f>
        <v>-</v>
      </c>
      <c r="AD9" s="158" t="str">
        <f t="array" ref="AD9">LET(team, SUBSTITUTE(AD$1, " Wins", ""), IF(COUNTIF(INDIRECT("'"&amp;$A9&amp;"'!$C:$C"), team)&gt;0, 1, "-"))</f>
        <v>-</v>
      </c>
      <c r="AE9" s="158">
        <f t="array" ref="AE9">LET(team, SUBSTITUTE(AE$1, " Losses", ""), weekSheet, "'"&amp;$A9&amp;"'!", matchIdx, MATCH("*"&amp;team&amp;"*", INDIRECT(weekSheet&amp;"$B:$B"), 0), IF(ISNA(matchIdx), "-", LET(winner, INDEX(INDIRECT(weekSheet&amp;"$C:$C"), matchIdx), IF(winner="", "-", IF(winner=team, "-", 1)))))</f>
        <v>1</v>
      </c>
      <c r="AF9" s="160"/>
      <c r="AG9" s="160"/>
      <c r="AH9" s="160"/>
      <c r="AI9" s="160"/>
      <c r="AJ9" s="160"/>
      <c r="AK9" s="160"/>
      <c r="AL9" s="160"/>
      <c r="AM9" s="160"/>
      <c r="AN9" s="160"/>
      <c r="AO9" s="160"/>
      <c r="AP9" s="160"/>
      <c r="AQ9" s="160"/>
      <c r="AR9" s="158">
        <f t="shared" si="23"/>
        <v>1</v>
      </c>
      <c r="AS9" s="158" t="str">
        <f t="shared" si="24"/>
        <v>-</v>
      </c>
      <c r="AT9" s="160"/>
      <c r="AU9" s="160"/>
      <c r="AV9" s="158" t="str">
        <f t="array" ref="AV9">LET(team, SUBSTITUTE(AV$1, " Wins", ""), IF(COUNTIF(INDIRECT("'"&amp;$A9&amp;"'!$C:$C"), team)&gt;0, 1, "-"))</f>
        <v>-</v>
      </c>
      <c r="AW9" s="158">
        <f t="array" ref="AW9">LET(team, SUBSTITUTE(AW$1, " Losses", ""), weekSheet, "'"&amp;$A9&amp;"'!", matchIdx, MATCH("*"&amp;team&amp;"*", INDIRECT(weekSheet&amp;"$B:$B"), 0), IF(ISNA(matchIdx), "-", LET(winner, INDEX(INDIRECT(weekSheet&amp;"$C:$C"), matchIdx), IF(winner="", "-", IF(winner=team, "-", 1)))))</f>
        <v>1</v>
      </c>
      <c r="AX9" s="45">
        <f t="shared" si="25"/>
        <v>1</v>
      </c>
      <c r="AY9" s="45" t="str">
        <f t="shared" si="26"/>
        <v>-</v>
      </c>
      <c r="AZ9" s="160"/>
      <c r="BA9" s="160"/>
      <c r="BB9" s="158" t="str">
        <f t="array" ref="BB9">LET(team, SUBSTITUTE(BB$1, " Wins", ""), IF(COUNTIF(INDIRECT("'"&amp;$A9&amp;"'!$C:$C"), team)&gt;0, 1, "-"))</f>
        <v>-</v>
      </c>
      <c r="BC9" s="158">
        <f t="array" ref="BC9">LET(team, SUBSTITUTE(BC$1, " Losses", ""), weekSheet, "'"&amp;$A9&amp;"'!", matchIdx, MATCH("*"&amp;team&amp;"*", INDIRECT(weekSheet&amp;"$B:$B"), 0), IF(ISNA(matchIdx), "-", LET(winner, INDEX(INDIRECT(weekSheet&amp;"$C:$C"), matchIdx), IF(winner="", "-", IF(winner=team, "-", 1)))))</f>
        <v>1</v>
      </c>
      <c r="BD9" s="160"/>
      <c r="BE9" s="160"/>
      <c r="BF9" s="158">
        <f t="shared" si="27"/>
        <v>1</v>
      </c>
      <c r="BG9" s="158" t="str">
        <f t="shared" si="28"/>
        <v>-</v>
      </c>
      <c r="BH9" s="160"/>
      <c r="BI9" s="160"/>
      <c r="BJ9" s="158" t="str">
        <f t="array" ref="BJ9">LET(team, SUBSTITUTE(BJ$1, " Wins", ""), IF(COUNTIF(INDIRECT("'"&amp;$A9&amp;"'!$C:$C"), team)&gt;0, 1, "-"))</f>
        <v>-</v>
      </c>
      <c r="BK9" s="158">
        <f t="array" ref="BK9">LET(team, SUBSTITUTE(BK$1, " Losses", ""), weekSheet, "'"&amp;$A9&amp;"'!", matchIdx, MATCH("*"&amp;team&amp;"*", INDIRECT(weekSheet&amp;"$B:$B"), 0), IF(ISNA(matchIdx), "-", LET(winner, INDEX(INDIRECT(weekSheet&amp;"$C:$C"), matchIdx), IF(winner="", "-", IF(winner=team, "-", 1)))))</f>
        <v>1</v>
      </c>
      <c r="BL9" s="160"/>
      <c r="BM9" s="160"/>
    </row>
    <row r="10">
      <c r="A10" s="157" t="s">
        <v>170</v>
      </c>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58">
        <f t="array" ref="AL10">LET(team, SUBSTITUTE(AL$1, " Wins", ""), IF(COUNTIF(INDIRECT("'"&amp;$A10&amp;"'!$C:$C"), team)&gt;0, 1, "-"))</f>
        <v>1</v>
      </c>
      <c r="AM10" s="158" t="str">
        <f t="array" ref="AM10">LET(team, SUBSTITUTE(AM$1, " Losses", ""), weekSheet, "'"&amp;$A10&amp;"'!", matchIdx, MATCH("*"&amp;team&amp;"*", INDIRECT(weekSheet&amp;"$B:$B"), 0), IF(ISNA(matchIdx), "-", LET(winner, INDEX(INDIRECT(weekSheet&amp;"$C:$C"), matchIdx), IF(winner="", "-", IF(winner=team, "-", 1)))))</f>
        <v>-</v>
      </c>
      <c r="AN10" s="158" t="str">
        <f t="shared" ref="AN10:AN11" si="29">LET(team, SUBSTITUTE(AN$1, " Wins", ""), IF(COUNTIF(INDIRECT("'"&amp;$A10&amp;"'!$C:$C"), team)&gt;0, 1, "-"))</f>
        <v>-</v>
      </c>
      <c r="AO10" s="158">
        <f t="shared" ref="AO10:AO11" si="30">LET(team, SUBSTITUTE(AO$1, " Losses", ""), weekSheet, "'"&amp;$A10&amp;"'!", matchIdx, MATCH("*"&amp;team&amp;"*", INDIRECT(weekSheet&amp;"$B:$B"), 0), IF(ISNA(matchIdx), "-", LET(winner, INDEX(INDIRECT(weekSheet&amp;"$C:$C"), matchIdx), IF(winner="", "-", IF(winner=team, "-", 1)))))</f>
        <v>1</v>
      </c>
      <c r="AP10" s="160"/>
      <c r="AQ10" s="160"/>
      <c r="AR10" s="45">
        <f t="shared" si="23"/>
        <v>1</v>
      </c>
      <c r="AS10" s="45" t="str">
        <f t="shared" si="24"/>
        <v>-</v>
      </c>
      <c r="AT10" s="158" t="str">
        <f t="shared" ref="AT10:AT11" si="31">LET(team, SUBSTITUTE(AT$1, " Wins", ""), IF(COUNTIF(INDIRECT("'"&amp;$A10&amp;"'!$C:$C"), team)&gt;0, 1, "-"))</f>
        <v>-</v>
      </c>
      <c r="AU10" s="158">
        <f t="shared" ref="AU10:AU11" si="32">LET(team, SUBSTITUTE(AU$1, " Losses", ""), weekSheet, "'"&amp;$A10&amp;"'!", matchIdx, MATCH("*"&amp;team&amp;"*", INDIRECT(weekSheet&amp;"$B:$B"), 0), IF(ISNA(matchIdx), "-", LET(winner, INDEX(INDIRECT(weekSheet&amp;"$C:$C"), matchIdx), IF(winner="", "-", IF(winner=team, "-", 1)))))</f>
        <v>1</v>
      </c>
      <c r="AV10" s="160"/>
      <c r="AW10" s="160"/>
      <c r="AX10" s="160"/>
      <c r="AY10" s="160"/>
      <c r="AZ10" s="160"/>
      <c r="BA10" s="160"/>
      <c r="BB10" s="160"/>
      <c r="BC10" s="160"/>
      <c r="BD10" s="160"/>
      <c r="BE10" s="160"/>
      <c r="BF10" s="160"/>
      <c r="BG10" s="160"/>
      <c r="BH10" s="160"/>
      <c r="BI10" s="160"/>
      <c r="BJ10" s="160"/>
      <c r="BK10" s="160"/>
      <c r="BL10" s="160"/>
      <c r="BM10" s="160"/>
    </row>
    <row r="11">
      <c r="A11" s="157" t="s">
        <v>175</v>
      </c>
      <c r="B11" s="160"/>
      <c r="C11" s="160"/>
      <c r="D11" s="160"/>
      <c r="E11" s="160"/>
      <c r="F11" s="160"/>
      <c r="G11" s="160"/>
      <c r="H11" s="160"/>
      <c r="I11" s="160"/>
      <c r="J11" s="158" t="str">
        <f t="shared" ref="J11:J12" si="33">LET(team, SUBSTITUTE(J$1, " Wins", ""), IF(COUNTIF(INDIRECT("'"&amp;$A11&amp;"'!$C:$C"), team)&gt;0, 1, "-"))</f>
        <v>-</v>
      </c>
      <c r="K11" s="158">
        <f t="shared" ref="K11:K12" si="34">LET(team, SUBSTITUTE(K$1, " Losses", ""), weekSheet, "'"&amp;$A11&amp;"'!", matchIdx, MATCH("*"&amp;team&amp;"*", INDIRECT(weekSheet&amp;"$B:$B"), 0), IF(ISNA(matchIdx), "-", LET(winner, INDEX(INDIRECT(weekSheet&amp;"$C:$C"), matchIdx), IF(winner="", "-", IF(winner=team, "-", 1)))))</f>
        <v>1</v>
      </c>
      <c r="L11" s="160"/>
      <c r="M11" s="160"/>
      <c r="N11" s="158">
        <f t="array" ref="N11">LET(team, SUBSTITUTE(N$1, " Wins", ""), IF(COUNTIF(INDIRECT("'"&amp;$A11&amp;"'!$C:$C"), team)&gt;0, 1, "-"))</f>
        <v>1</v>
      </c>
      <c r="O11" s="158" t="str">
        <f t="array" ref="O11">LET(team, SUBSTITUTE(O$1, " Losses", ""), weekSheet, "'"&amp;$A11&amp;"'!", matchIdx, MATCH("*"&amp;team&amp;"*", INDIRECT(weekSheet&amp;"$B:$B"), 0), IF(ISNA(matchIdx), "-", LET(winner, INDEX(INDIRECT(weekSheet&amp;"$C:$C"), matchIdx), IF(winner="", "-", IF(winner=team, "-", 1)))))</f>
        <v>-</v>
      </c>
      <c r="P11" s="160"/>
      <c r="Q11" s="160"/>
      <c r="R11" s="160"/>
      <c r="S11" s="160"/>
      <c r="T11" s="160"/>
      <c r="U11" s="160"/>
      <c r="V11" s="158" t="str">
        <f t="array" ref="V11">LET(team, SUBSTITUTE(V$1, " Wins", ""), IF(COUNTIF(INDIRECT("'"&amp;$A11&amp;"'!$C:$C"), team)&gt;0, 1, "-"))</f>
        <v>-</v>
      </c>
      <c r="W11" s="158">
        <f t="array" ref="W11">LET(team, SUBSTITUTE(W$1, " Losses", ""), weekSheet, "'"&amp;$A11&amp;"'!", matchIdx, MATCH("*"&amp;team&amp;"*", INDIRECT(weekSheet&amp;"$B:$B"), 0), IF(ISNA(matchIdx), "-", LET(winner, INDEX(INDIRECT(weekSheet&amp;"$C:$C"), matchIdx), IF(winner="", "-", IF(winner=team, "-", 1)))))</f>
        <v>1</v>
      </c>
      <c r="X11" s="45">
        <f t="array" ref="X11">LET(team, SUBSTITUTE(X$1, " Wins", ""), IF(COUNTIF(INDIRECT("'"&amp;$A11&amp;"'!$C:$C"), team)&gt;0, 1, "-"))</f>
        <v>1</v>
      </c>
      <c r="Y11" s="45" t="str">
        <f t="array" ref="Y11">LET(team, SUBSTITUTE(Y$1, " Losses", ""), weekSheet, "'"&amp;$A11&amp;"'!", matchIdx, MATCH("*"&amp;team&amp;"*", INDIRECT(weekSheet&amp;"$B:$B"), 0), IF(ISNA(matchIdx), "-", LET(winner, INDEX(INDIRECT(weekSheet&amp;"$C:$C"), matchIdx), IF(winner="", "-", IF(winner=team, "-", 1)))))</f>
        <v>-</v>
      </c>
      <c r="Z11" s="160"/>
      <c r="AA11" s="160"/>
      <c r="AB11" s="158">
        <f t="array" ref="AB11">LET(team, SUBSTITUTE(AB$1, " Wins", ""), IF(COUNTIF(INDIRECT("'"&amp;$A11&amp;"'!$C:$C"), team)&gt;0, 1, "-"))</f>
        <v>1</v>
      </c>
      <c r="AC11" s="158" t="str">
        <f t="array" ref="AC11">LET(team, SUBSTITUTE(AC$1, " Losses", ""), weekSheet, "'"&amp;$A11&amp;"'!", matchIdx, MATCH("*"&amp;team&amp;"*", INDIRECT(weekSheet&amp;"$B:$B"), 0), IF(ISNA(matchIdx), "-", LET(winner, INDEX(INDIRECT(weekSheet&amp;"$C:$C"), matchIdx), IF(winner="", "-", IF(winner=team, "-", 1)))))</f>
        <v>-</v>
      </c>
      <c r="AD11" s="160"/>
      <c r="AE11" s="160"/>
      <c r="AF11" s="45" t="str">
        <f t="array" ref="AF11">LET(team, SUBSTITUTE(AF$1, " Wins", ""), IF(COUNTIF(INDIRECT("'"&amp;$A11&amp;"'!$C:$C"), team)&gt;0, 1, "-"))</f>
        <v>-</v>
      </c>
      <c r="AG11" s="45">
        <f t="array" ref="AG11">LET(team, SUBSTITUTE(AG$1, " Losses", ""), weekSheet, "'"&amp;$A11&amp;"'!", matchIdx, MATCH("*"&amp;team&amp;"*", INDIRECT(weekSheet&amp;"$B:$B"), 0), IF(ISNA(matchIdx), "-", LET(winner, INDEX(INDIRECT(weekSheet&amp;"$C:$C"), matchIdx), IF(winner="", "-", IF(winner=team, "-", 1)))))</f>
        <v>1</v>
      </c>
      <c r="AH11" s="160"/>
      <c r="AI11" s="160"/>
      <c r="AJ11" s="158" t="str">
        <f t="array" ref="AJ11">LET(team, SUBSTITUTE(AJ$1, " Wins", ""), IF(COUNTIF(INDIRECT("'"&amp;$A11&amp;"'!$C:$C"), team)&gt;0, 1, "-"))</f>
        <v>-</v>
      </c>
      <c r="AK11" s="158">
        <f t="array" ref="AK11">LET(team, SUBSTITUTE(AK$1, " Losses", ""), weekSheet, "'"&amp;$A11&amp;"'!", matchIdx, MATCH("*"&amp;team&amp;"*", INDIRECT(weekSheet&amp;"$B:$B"), 0), IF(ISNA(matchIdx), "-", LET(winner, INDEX(INDIRECT(weekSheet&amp;"$C:$C"), matchIdx), IF(winner="", "-", IF(winner=team, "-", 1)))))</f>
        <v>1</v>
      </c>
      <c r="AL11" s="160"/>
      <c r="AM11" s="160"/>
      <c r="AN11" s="158">
        <f t="shared" si="29"/>
        <v>1</v>
      </c>
      <c r="AO11" s="158" t="str">
        <f t="shared" si="30"/>
        <v>-</v>
      </c>
      <c r="AP11" s="160"/>
      <c r="AQ11" s="160"/>
      <c r="AR11" s="160"/>
      <c r="AS11" s="160"/>
      <c r="AT11" s="158" t="str">
        <f t="shared" si="31"/>
        <v>-</v>
      </c>
      <c r="AU11" s="158">
        <f t="shared" si="32"/>
        <v>1</v>
      </c>
      <c r="AV11" s="158">
        <f t="array" ref="AV11">LET(team, SUBSTITUTE(AV$1, " Wins", ""), IF(COUNTIF(INDIRECT("'"&amp;$A11&amp;"'!$C:$C"), team)&gt;0, 1, "-"))</f>
        <v>1</v>
      </c>
      <c r="AW11" s="158" t="str">
        <f t="array" ref="AW11">LET(team, SUBSTITUTE(AW$1, " Losses", ""), weekSheet, "'"&amp;$A11&amp;"'!", matchIdx, MATCH("*"&amp;team&amp;"*", INDIRECT(weekSheet&amp;"$B:$B"), 0), IF(ISNA(matchIdx), "-", LET(winner, INDEX(INDIRECT(weekSheet&amp;"$C:$C"), matchIdx), IF(winner="", "-", IF(winner=team, "-", 1)))))</f>
        <v>-</v>
      </c>
      <c r="AX11" s="160"/>
      <c r="AY11" s="160"/>
      <c r="AZ11" s="45">
        <f t="array" ref="AZ11">LET(team, SUBSTITUTE(AZ$1, " Wins", ""), IF(COUNTIF(INDIRECT("'"&amp;$A11&amp;"'!$C:$C"), team)&gt;0, 1, "-"))</f>
        <v>1</v>
      </c>
      <c r="BA11" s="45" t="str">
        <f t="array" ref="BA11">LET(team, SUBSTITUTE(BA$1, " Losses", ""), weekSheet, "'"&amp;$A11&amp;"'!", matchIdx, MATCH("*"&amp;team&amp;"*", INDIRECT(weekSheet&amp;"$B:$B"), 0), IF(ISNA(matchIdx), "-", LET(winner, INDEX(INDIRECT(weekSheet&amp;"$C:$C"), matchIdx), IF(winner="", "-", IF(winner=team, "-", 1)))))</f>
        <v>-</v>
      </c>
      <c r="BB11" s="158" t="str">
        <f t="array" ref="BB11">LET(team, SUBSTITUTE(BB$1, " Wins", ""), IF(COUNTIF(INDIRECT("'"&amp;$A11&amp;"'!$C:$C"), team)&gt;0, 1, "-"))</f>
        <v>-</v>
      </c>
      <c r="BC11" s="158">
        <f t="array" ref="BC11">LET(team, SUBSTITUTE(BC$1, " Losses", ""), weekSheet, "'"&amp;$A11&amp;"'!", matchIdx, MATCH("*"&amp;team&amp;"*", INDIRECT(weekSheet&amp;"$B:$B"), 0), IF(ISNA(matchIdx), "-", LET(winner, INDEX(INDIRECT(weekSheet&amp;"$C:$C"), matchIdx), IF(winner="", "-", IF(winner=team, "-", 1)))))</f>
        <v>1</v>
      </c>
      <c r="BD11" s="160"/>
      <c r="BE11" s="160"/>
      <c r="BF11" s="160"/>
      <c r="BG11" s="160"/>
      <c r="BH11" s="158">
        <f t="array" ref="BH11">LET(team, SUBSTITUTE(BH$1, " Wins", ""), IF(COUNTIF(INDIRECT("'"&amp;$A11&amp;"'!$C:$C"), team)&gt;0, 1, "-"))</f>
        <v>1</v>
      </c>
      <c r="BI11" s="158" t="str">
        <f t="array" ref="BI11">LET(team, SUBSTITUTE(BI$1, " Losses", ""), weekSheet, "'"&amp;$A11&amp;"'!", matchIdx, MATCH("*"&amp;team&amp;"*", INDIRECT(weekSheet&amp;"$B:$B"), 0), IF(ISNA(matchIdx), "-", LET(winner, INDEX(INDIRECT(weekSheet&amp;"$C:$C"), matchIdx), IF(winner="", "-", IF(winner=team, "-", 1)))))</f>
        <v>-</v>
      </c>
      <c r="BJ11" s="160"/>
      <c r="BK11" s="160"/>
      <c r="BL11" s="158" t="str">
        <f t="array" ref="BL11">LET(team, SUBSTITUTE(BL$1, " Wins", ""), IF(COUNTIF(INDIRECT("'"&amp;$A11&amp;"'!$C:$C"), team)&gt;0, 1, "-"))</f>
        <v>-</v>
      </c>
      <c r="BM11" s="158">
        <f t="array" ref="BM11">LET(team, SUBSTITUTE(BM$1, " Losses", ""), weekSheet, "'"&amp;$A11&amp;"'!", matchIdx, MATCH("*"&amp;team&amp;"*", INDIRECT(weekSheet&amp;"$B:$B"), 0), IF(ISNA(matchIdx), "-", LET(winner, INDEX(INDIRECT(weekSheet&amp;"$C:$C"), matchIdx), IF(winner="", "-", IF(winner=team, "-", 1)))))</f>
        <v>1</v>
      </c>
    </row>
    <row r="12">
      <c r="A12" s="157" t="s">
        <v>179</v>
      </c>
      <c r="B12" s="160"/>
      <c r="C12" s="160"/>
      <c r="D12" s="158" t="str">
        <f t="array" ref="D12">LET(team, SUBSTITUTE(D$1, " Wins", ""), IF(COUNTIF(INDIRECT("'"&amp;$A12&amp;"'!$C:$C"), team)&gt;0, 1, "-"))</f>
        <v>-</v>
      </c>
      <c r="E12" s="158">
        <f t="array" ref="E12">LET(team, SUBSTITUTE(E$1, " Losses", ""), weekSheet, "'"&amp;$A12&amp;"'!", matchIdx, MATCH("*"&amp;team&amp;"*", INDIRECT(weekSheet&amp;"$B:$B"), 0), IF(ISNA(matchIdx), "-", LET(winner, INDEX(INDIRECT(weekSheet&amp;"$C:$C"), matchIdx), IF(winner="", "-", IF(winner=team, "-", 1)))))</f>
        <v>1</v>
      </c>
      <c r="F12" s="158">
        <f t="array" ref="F12">LET(team, SUBSTITUTE(F$1, " Wins", ""), IF(COUNTIF(INDIRECT("'"&amp;$A12&amp;"'!$C:$C"), team)&gt;0, 1, "-"))</f>
        <v>1</v>
      </c>
      <c r="G12" s="158" t="str">
        <f t="array" ref="G12">LET(team, SUBSTITUTE(G$1, " Losses", ""), weekSheet, "'"&amp;$A12&amp;"'!", matchIdx, MATCH("*"&amp;team&amp;"*", INDIRECT(weekSheet&amp;"$B:$B"), 0), IF(ISNA(matchIdx), "-", LET(winner, INDEX(INDIRECT(weekSheet&amp;"$C:$C"), matchIdx), IF(winner="", "-", IF(winner=team, "-", 1)))))</f>
        <v>-</v>
      </c>
      <c r="H12" s="160"/>
      <c r="I12" s="160"/>
      <c r="J12" s="158">
        <f t="shared" si="33"/>
        <v>1</v>
      </c>
      <c r="K12" s="158" t="str">
        <f t="shared" si="34"/>
        <v>-</v>
      </c>
      <c r="L12" s="158" t="str">
        <f t="shared" ref="L12:L13" si="35">LET(team, SUBSTITUTE(L$1, " Wins", ""), IF(COUNTIF(INDIRECT("'"&amp;$A12&amp;"'!$C:$C"), team)&gt;0, 1, "-"))</f>
        <v>-</v>
      </c>
      <c r="M12" s="158">
        <f t="shared" ref="M12:M13" si="36">LET(team, SUBSTITUTE(M$1, " Losses", ""), weekSheet, "'"&amp;$A12&amp;"'!", matchIdx, MATCH("*"&amp;team&amp;"*", INDIRECT(weekSheet&amp;"$B:$B"), 0), IF(ISNA(matchIdx), "-", LET(winner, INDEX(INDIRECT(weekSheet&amp;"$C:$C"), matchIdx), IF(winner="", "-", IF(winner=team, "-", 1)))))</f>
        <v>1</v>
      </c>
      <c r="N12" s="160"/>
      <c r="O12" s="160"/>
      <c r="P12" s="160"/>
      <c r="Q12" s="160"/>
      <c r="R12" s="160"/>
      <c r="S12" s="160"/>
      <c r="T12" s="160"/>
      <c r="U12" s="160"/>
      <c r="V12" s="160"/>
      <c r="W12" s="160"/>
      <c r="X12" s="160"/>
      <c r="Y12" s="160"/>
      <c r="Z12" s="158">
        <f t="array" ref="Z12">LET(team, SUBSTITUTE(Z$1, " Wins", ""), IF(COUNTIF(INDIRECT("'"&amp;$A12&amp;"'!$C:$C"), team)&gt;0, 1, "-"))</f>
        <v>1</v>
      </c>
      <c r="AA12" s="158" t="str">
        <f t="array" ref="AA12">LET(team, SUBSTITUTE(AA$1, " Losses", ""), weekSheet, "'"&amp;$A12&amp;"'!", matchIdx, MATCH("*"&amp;team&amp;"*", INDIRECT(weekSheet&amp;"$B:$B"), 0), IF(ISNA(matchIdx), "-", LET(winner, INDEX(INDIRECT(weekSheet&amp;"$C:$C"), matchIdx), IF(winner="", "-", IF(winner=team, "-", 1)))))</f>
        <v>-</v>
      </c>
      <c r="AB12" s="160"/>
      <c r="AC12" s="160"/>
      <c r="AD12" s="45" t="str">
        <f t="array" ref="AD12">LET(team, SUBSTITUTE(AD$1, " Wins", ""), IF(COUNTIF(INDIRECT("'"&amp;$A12&amp;"'!$C:$C"), team)&gt;0, 1, "-"))</f>
        <v>-</v>
      </c>
      <c r="AE12" s="45">
        <f t="array" ref="AE12">LET(team, SUBSTITUTE(AE$1, " Losses", ""), weekSheet, "'"&amp;$A12&amp;"'!", matchIdx, MATCH("*"&amp;team&amp;"*", INDIRECT(weekSheet&amp;"$B:$B"), 0), IF(ISNA(matchIdx), "-", LET(winner, INDEX(INDIRECT(weekSheet&amp;"$C:$C"), matchIdx), IF(winner="", "-", IF(winner=team, "-", 1)))))</f>
        <v>1</v>
      </c>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row>
    <row r="13">
      <c r="A13" s="157" t="s">
        <v>185</v>
      </c>
      <c r="B13" s="160"/>
      <c r="C13" s="160"/>
      <c r="D13" s="160"/>
      <c r="E13" s="160"/>
      <c r="F13" s="160"/>
      <c r="G13" s="160"/>
      <c r="H13" s="160"/>
      <c r="I13" s="160"/>
      <c r="J13" s="160"/>
      <c r="K13" s="160"/>
      <c r="L13" s="45" t="str">
        <f t="shared" si="35"/>
        <v>-</v>
      </c>
      <c r="M13" s="45">
        <f t="shared" si="36"/>
        <v>1</v>
      </c>
      <c r="N13" s="45">
        <f t="array" ref="N13">LET(team, SUBSTITUTE(N$1, " Wins", ""), IF(COUNTIF(INDIRECT("'"&amp;$A13&amp;"'!$C:$C"), team)&gt;0, 1, "-"))</f>
        <v>1</v>
      </c>
      <c r="O13" s="45" t="str">
        <f t="array" ref="O13">LET(team, SUBSTITUTE(O$1, " Losses", ""), weekSheet, "'"&amp;$A13&amp;"'!", matchIdx, MATCH("*"&amp;team&amp;"*", INDIRECT(weekSheet&amp;"$B:$B"), 0), IF(ISNA(matchIdx), "-", LET(winner, INDEX(INDIRECT(weekSheet&amp;"$C:$C"), matchIdx), IF(winner="", "-", IF(winner=team, "-", 1)))))</f>
        <v>-</v>
      </c>
      <c r="P13" s="160"/>
      <c r="Q13" s="160"/>
      <c r="R13" s="160"/>
      <c r="S13" s="160"/>
      <c r="T13" s="160"/>
      <c r="U13" s="160"/>
      <c r="V13" s="160"/>
      <c r="W13" s="160"/>
      <c r="X13" s="160"/>
      <c r="Y13" s="160"/>
      <c r="Z13" s="160"/>
      <c r="AA13" s="160"/>
      <c r="AB13" s="45">
        <f t="array" ref="AB13">LET(team, SUBSTITUTE(AB$1, " Wins", ""), IF(COUNTIF(INDIRECT("'"&amp;$A13&amp;"'!$C:$C"), team)&gt;0, 1, "-"))</f>
        <v>1</v>
      </c>
      <c r="AC13" s="45" t="str">
        <f t="array" ref="AC13">LET(team, SUBSTITUTE(AC$1, " Losses", ""), weekSheet, "'"&amp;$A13&amp;"'!", matchIdx, MATCH("*"&amp;team&amp;"*", INDIRECT(weekSheet&amp;"$B:$B"), 0), IF(ISNA(matchIdx), "-", LET(winner, INDEX(INDIRECT(weekSheet&amp;"$C:$C"), matchIdx), IF(winner="", "-", IF(winner=team, "-", 1)))))</f>
        <v>-</v>
      </c>
      <c r="AD13" s="160"/>
      <c r="AE13" s="160"/>
      <c r="AF13" s="158" t="str">
        <f t="array" ref="AF13">LET(team, SUBSTITUTE(AF$1, " Wins", ""), IF(COUNTIF(INDIRECT("'"&amp;$A13&amp;"'!$C:$C"), team)&gt;0, 1, "-"))</f>
        <v>-</v>
      </c>
      <c r="AG13" s="158">
        <f t="array" ref="AG13">LET(team, SUBSTITUTE(AG$1, " Losses", ""), weekSheet, "'"&amp;$A13&amp;"'!", matchIdx, MATCH("*"&amp;team&amp;"*", INDIRECT(weekSheet&amp;"$B:$B"), 0), IF(ISNA(matchIdx), "-", LET(winner, INDEX(INDIRECT(weekSheet&amp;"$C:$C"), matchIdx), IF(winner="", "-", IF(winner=team, "-", 1)))))</f>
        <v>1</v>
      </c>
      <c r="AH13" s="158">
        <f t="array" ref="AH13">LET(team, SUBSTITUTE(AH$1, " Wins", ""), IF(COUNTIF(INDIRECT("'"&amp;$A13&amp;"'!$C:$C"), team)&gt;0, 1, "-"))</f>
        <v>1</v>
      </c>
      <c r="AI13" s="158" t="str">
        <f t="array" ref="AI13">LET(team, SUBSTITUTE(AI$1, " Losses", ""), weekSheet, "'"&amp;$A13&amp;"'!", matchIdx, MATCH("*"&amp;team&amp;"*", INDIRECT(weekSheet&amp;"$B:$B"), 0), IF(ISNA(matchIdx), "-", LET(winner, INDEX(INDIRECT(weekSheet&amp;"$C:$C"), matchIdx), IF(winner="", "-", IF(winner=team, "-", 1)))))</f>
        <v>-</v>
      </c>
      <c r="AJ13" s="160"/>
      <c r="AK13" s="160"/>
      <c r="AL13" s="158" t="str">
        <f t="array" ref="AL13">LET(team, SUBSTITUTE(AL$1, " Wins", ""), IF(COUNTIF(INDIRECT("'"&amp;$A13&amp;"'!$C:$C"), team)&gt;0, 1, "-"))</f>
        <v>-</v>
      </c>
      <c r="AM13" s="158">
        <f t="array" ref="AM13">LET(team, SUBSTITUTE(AM$1, " Losses", ""), weekSheet, "'"&amp;$A13&amp;"'!", matchIdx, MATCH("*"&amp;team&amp;"*", INDIRECT(weekSheet&amp;"$B:$B"), 0), IF(ISNA(matchIdx), "-", LET(winner, INDEX(INDIRECT(weekSheet&amp;"$C:$C"), matchIdx), IF(winner="", "-", IF(winner=team, "-", 1)))))</f>
        <v>1</v>
      </c>
      <c r="AN13" s="160"/>
      <c r="AO13" s="160"/>
      <c r="AP13" s="158" t="str">
        <f t="array" ref="AP13">LET(team, SUBSTITUTE(AP$1, " Wins", ""), IF(COUNTIF(INDIRECT("'"&amp;$A13&amp;"'!$C:$C"), team)&gt;0, 1, "-"))</f>
        <v>-</v>
      </c>
      <c r="AQ13" s="158">
        <f t="array" ref="AQ13">LET(team, SUBSTITUTE(AQ$1, " Losses", ""), weekSheet, "'"&amp;$A13&amp;"'!", matchIdx, MATCH("*"&amp;team&amp;"*", INDIRECT(weekSheet&amp;"$B:$B"), 0), IF(ISNA(matchIdx), "-", LET(winner, INDEX(INDIRECT(weekSheet&amp;"$C:$C"), matchIdx), IF(winner="", "-", IF(winner=team, "-", 1)))))</f>
        <v>1</v>
      </c>
      <c r="AR13" s="158">
        <f t="array" ref="AR13">LET(team, SUBSTITUTE(AR$1, " Wins", ""), IF(COUNTIF(INDIRECT("'"&amp;$A13&amp;"'!$C:$C"), team)&gt;0, 1, "-"))</f>
        <v>1</v>
      </c>
      <c r="AS13" s="158" t="str">
        <f t="array" ref="AS13">LET(team, SUBSTITUTE(AS$1, " Losses", ""), weekSheet, "'"&amp;$A13&amp;"'!", matchIdx, MATCH("*"&amp;team&amp;"*", INDIRECT(weekSheet&amp;"$B:$B"), 0), IF(ISNA(matchIdx), "-", LET(winner, INDEX(INDIRECT(weekSheet&amp;"$C:$C"), matchIdx), IF(winner="", "-", IF(winner=team, "-", 1)))))</f>
        <v>-</v>
      </c>
      <c r="AT13" s="160"/>
      <c r="AU13" s="160"/>
      <c r="AV13" s="160"/>
      <c r="AW13" s="160"/>
      <c r="AX13" s="158" t="str">
        <f t="array" ref="AX13">LET(team, SUBSTITUTE(AX$1, " Wins", ""), IF(COUNTIF(INDIRECT("'"&amp;$A13&amp;"'!$C:$C"), team)&gt;0, 1, "-"))</f>
        <v>-</v>
      </c>
      <c r="AY13" s="158">
        <f t="array" ref="AY13">LET(team, SUBSTITUTE(AY$1, " Losses", ""), weekSheet, "'"&amp;$A13&amp;"'!", matchIdx, MATCH("*"&amp;team&amp;"*", INDIRECT(weekSheet&amp;"$B:$B"), 0), IF(ISNA(matchIdx), "-", LET(winner, INDEX(INDIRECT(weekSheet&amp;"$C:$C"), matchIdx), IF(winner="", "-", IF(winner=team, "-", 1)))))</f>
        <v>1</v>
      </c>
      <c r="AZ13" s="160"/>
      <c r="BA13" s="160"/>
      <c r="BB13" s="160"/>
      <c r="BC13" s="160"/>
      <c r="BD13" s="158">
        <f t="array" ref="BD13">LET(team, SUBSTITUTE(BD$1, " Wins", ""), IF(COUNTIF(INDIRECT("'"&amp;$A13&amp;"'!$C:$C"), team)&gt;0, 1, "-"))</f>
        <v>1</v>
      </c>
      <c r="BE13" s="158" t="str">
        <f t="array" ref="BE13">LET(team, SUBSTITUTE(BE$1, " Losses", ""), weekSheet, "'"&amp;$A13&amp;"'!", matchIdx, MATCH("*"&amp;team&amp;"*", INDIRECT(weekSheet&amp;"$B:$B"), 0), IF(ISNA(matchIdx), "-", LET(winner, INDEX(INDIRECT(weekSheet&amp;"$C:$C"), matchIdx), IF(winner="", "-", IF(winner=team, "-", 1)))))</f>
        <v>-</v>
      </c>
      <c r="BF13" s="158">
        <f t="array" ref="BF13">LET(team, SUBSTITUTE(BF$1, " Wins", ""), IF(COUNTIF(INDIRECT("'"&amp;$A13&amp;"'!$C:$C"), team)&gt;0, 1, "-"))</f>
        <v>1</v>
      </c>
      <c r="BG13" s="158" t="str">
        <f t="array" ref="BG13">LET(team, SUBSTITUTE(BG$1, " Losses", ""), weekSheet, "'"&amp;$A13&amp;"'!", matchIdx, MATCH("*"&amp;team&amp;"*", INDIRECT(weekSheet&amp;"$B:$B"), 0), IF(ISNA(matchIdx), "-", LET(winner, INDEX(INDIRECT(weekSheet&amp;"$C:$C"), matchIdx), IF(winner="", "-", IF(winner=team, "-", 1)))))</f>
        <v>-</v>
      </c>
      <c r="BH13" s="160"/>
      <c r="BI13" s="160"/>
      <c r="BJ13" s="160"/>
      <c r="BK13" s="160"/>
      <c r="BL13" s="158" t="str">
        <f t="array" ref="BL13">LET(team, SUBSTITUTE(BL$1, " Wins", ""), IF(COUNTIF(INDIRECT("'"&amp;$A13&amp;"'!$C:$C"), team)&gt;0, 1, "-"))</f>
        <v>-</v>
      </c>
      <c r="BM13" s="158">
        <f t="array" ref="BM13">LET(team, SUBSTITUTE(BM$1, " Losses", ""), weekSheet, "'"&amp;$A13&amp;"'!", matchIdx, MATCH("*"&amp;team&amp;"*", INDIRECT(weekSheet&amp;"$B:$B"), 0), IF(ISNA(matchIdx), "-", LET(winner, INDEX(INDIRECT(weekSheet&amp;"$C:$C"), matchIdx), IF(winner="", "-", IF(winner=team, "-", 1)))))</f>
        <v>1</v>
      </c>
    </row>
    <row r="14">
      <c r="A14" s="157" t="s">
        <v>191</v>
      </c>
      <c r="B14" s="160"/>
      <c r="C14" s="160"/>
      <c r="D14" s="160"/>
      <c r="E14" s="160"/>
      <c r="F14" s="160"/>
      <c r="G14" s="160"/>
      <c r="H14" s="160"/>
      <c r="I14" s="160"/>
      <c r="J14" s="158" t="str">
        <f t="array" ref="J14">LET(team, SUBSTITUTE(J$1, " Wins", ""), IF(COUNTIF(INDIRECT("'"&amp;$A14&amp;"'!$C:$C"), team)&gt;0, 1, "-"))</f>
        <v>-</v>
      </c>
      <c r="K14" s="158">
        <f t="array" ref="K14">LET(team, SUBSTITUTE(K$1, " Losses", ""), weekSheet, "'"&amp;$A14&amp;"'!", matchIdx, MATCH("*"&amp;team&amp;"*", INDIRECT(weekSheet&amp;"$B:$B"), 0), IF(ISNA(matchIdx), "-", LET(winner, INDEX(INDIRECT(weekSheet&amp;"$C:$C"), matchIdx), IF(winner="", "-", IF(winner=team, "-", 1)))))</f>
        <v>1</v>
      </c>
      <c r="L14" s="160"/>
      <c r="M14" s="160"/>
      <c r="N14" s="160"/>
      <c r="O14" s="160"/>
      <c r="P14" s="158">
        <f t="array" ref="P14">LET(team, SUBSTITUTE(P$1, " Wins", ""), IF(COUNTIF(INDIRECT("'"&amp;$A14&amp;"'!$C:$C"), team)&gt;0, 1, "-"))</f>
        <v>1</v>
      </c>
      <c r="Q14" s="158" t="str">
        <f t="array" ref="Q14">LET(team, SUBSTITUTE(Q$1, " Losses", ""), weekSheet, "'"&amp;$A14&amp;"'!", matchIdx, MATCH("*"&amp;team&amp;"*", INDIRECT(weekSheet&amp;"$B:$B"), 0), IF(ISNA(matchIdx), "-", LET(winner, INDEX(INDIRECT(weekSheet&amp;"$C:$C"), matchIdx), IF(winner="", "-", IF(winner=team, "-", 1)))))</f>
        <v>-</v>
      </c>
      <c r="R14" s="160"/>
      <c r="S14" s="160"/>
      <c r="T14" s="158" t="str">
        <f t="array" ref="T14">LET(team, SUBSTITUTE(T$1, " Wins", ""), IF(COUNTIF(INDIRECT("'"&amp;$A14&amp;"'!$C:$C"), team)&gt;0, 1, "-"))</f>
        <v>-</v>
      </c>
      <c r="U14" s="158">
        <f t="array" ref="U14">LET(team, SUBSTITUTE(U$1, " Losses", ""), weekSheet, "'"&amp;$A14&amp;"'!", matchIdx, MATCH("*"&amp;team&amp;"*", INDIRECT(weekSheet&amp;"$B:$B"), 0), IF(ISNA(matchIdx), "-", LET(winner, INDEX(INDIRECT(weekSheet&amp;"$C:$C"), matchIdx), IF(winner="", "-", IF(winner=team, "-", 1)))))</f>
        <v>1</v>
      </c>
      <c r="V14" s="160"/>
      <c r="W14" s="160"/>
      <c r="X14" s="158">
        <f t="array" ref="X14">LET(team, SUBSTITUTE(X$1, " Wins", ""), IF(COUNTIF(INDIRECT("'"&amp;$A14&amp;"'!$C:$C"), team)&gt;0, 1, "-"))</f>
        <v>1</v>
      </c>
      <c r="Y14" s="158" t="str">
        <f t="array" ref="Y14">LET(team, SUBSTITUTE(Y$1, " Losses", ""), weekSheet, "'"&amp;$A14&amp;"'!", matchIdx, MATCH("*"&amp;team&amp;"*", INDIRECT(weekSheet&amp;"$B:$B"), 0), IF(ISNA(matchIdx), "-", LET(winner, INDEX(INDIRECT(weekSheet&amp;"$C:$C"), matchIdx), IF(winner="", "-", IF(winner=team, "-", 1)))))</f>
        <v>-</v>
      </c>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row>
    <row r="15">
      <c r="A15" s="157" t="s">
        <v>194</v>
      </c>
      <c r="B15" s="160"/>
      <c r="C15" s="160"/>
      <c r="D15" s="158" t="str">
        <f t="shared" ref="D15:D16" si="37">LET(team, SUBSTITUTE(D$1, " Wins", ""), IF(COUNTIF(INDIRECT("'"&amp;$A15&amp;"'!$C:$C"), team)&gt;0, 1, "-"))</f>
        <v>-</v>
      </c>
      <c r="E15" s="158">
        <f t="shared" ref="E15:E16" si="38">LET(team, SUBSTITUTE(E$1, " Losses", ""), weekSheet, "'"&amp;$A15&amp;"'!", matchIdx, MATCH("*"&amp;team&amp;"*", INDIRECT(weekSheet&amp;"$B:$B"), 0), IF(ISNA(matchIdx), "-", LET(winner, INDEX(INDIRECT(weekSheet&amp;"$C:$C"), matchIdx), IF(winner="", "-", IF(winner=team, "-", 1)))))</f>
        <v>1</v>
      </c>
      <c r="F15" s="160"/>
      <c r="G15" s="160"/>
      <c r="H15" s="158">
        <f t="array" ref="H15">LET(team, SUBSTITUTE(H$1, " Wins", ""), IF(COUNTIF(INDIRECT("'"&amp;$A15&amp;"'!$C:$C"), team)&gt;0, 1, "-"))</f>
        <v>1</v>
      </c>
      <c r="I15" s="158" t="str">
        <f t="array" ref="I15">LET(team, SUBSTITUTE(I$1, " Losses", ""), weekSheet, "'"&amp;$A15&amp;"'!", matchIdx, MATCH("*"&amp;team&amp;"*", INDIRECT(weekSheet&amp;"$B:$B"), 0), IF(ISNA(matchIdx), "-", LET(winner, INDEX(INDIRECT(weekSheet&amp;"$C:$C"), matchIdx), IF(winner="", "-", IF(winner=team, "-", 1)))))</f>
        <v>-</v>
      </c>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45">
        <f t="array" ref="AH15">LET(team, SUBSTITUTE(AH$1, " Wins", ""), IF(COUNTIF(INDIRECT("'"&amp;$A15&amp;"'!$C:$C"), team)&gt;0, 1, "-"))</f>
        <v>1</v>
      </c>
      <c r="AI15" s="45" t="str">
        <f t="array" ref="AI15">LET(team, SUBSTITUTE(AI$1, " Losses", ""), weekSheet, "'"&amp;$A15&amp;"'!", matchIdx, MATCH("*"&amp;team&amp;"*", INDIRECT(weekSheet&amp;"$B:$B"), 0), IF(ISNA(matchIdx), "-", LET(winner, INDEX(INDIRECT(weekSheet&amp;"$C:$C"), matchIdx), IF(winner="", "-", IF(winner=team, "-", 1)))))</f>
        <v>-</v>
      </c>
      <c r="AJ15" s="158" t="str">
        <f t="array" ref="AJ15">LET(team, SUBSTITUTE(AJ$1, " Wins", ""), IF(COUNTIF(INDIRECT("'"&amp;$A15&amp;"'!$C:$C"), team)&gt;0, 1, "-"))</f>
        <v>-</v>
      </c>
      <c r="AK15" s="158">
        <f t="array" ref="AK15">LET(team, SUBSTITUTE(AK$1, " Losses", ""), weekSheet, "'"&amp;$A15&amp;"'!", matchIdx, MATCH("*"&amp;team&amp;"*", INDIRECT(weekSheet&amp;"$B:$B"), 0), IF(ISNA(matchIdx), "-", LET(winner, INDEX(INDIRECT(weekSheet&amp;"$C:$C"), matchIdx), IF(winner="", "-", IF(winner=team, "-", 1)))))</f>
        <v>1</v>
      </c>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58">
        <f t="shared" ref="BH15:BH16" si="39">LET(team, SUBSTITUTE(BH$1, " Wins", ""), IF(COUNTIF(INDIRECT("'"&amp;$A15&amp;"'!$C:$C"), team)&gt;0, 1, "-"))</f>
        <v>1</v>
      </c>
      <c r="BI15" s="158" t="str">
        <f t="shared" ref="BI15:BI16" si="40">LET(team, SUBSTITUTE(BI$1, " Losses", ""), weekSheet, "'"&amp;$A15&amp;"'!", matchIdx, MATCH("*"&amp;team&amp;"*", INDIRECT(weekSheet&amp;"$B:$B"), 0), IF(ISNA(matchIdx), "-", LET(winner, INDEX(INDIRECT(weekSheet&amp;"$C:$C"), matchIdx), IF(winner="", "-", IF(winner=team, "-", 1)))))</f>
        <v>-</v>
      </c>
      <c r="BJ15" s="160"/>
      <c r="BK15" s="160"/>
      <c r="BL15" s="45" t="str">
        <f t="array" ref="BL15">LET(team, SUBSTITUTE(BL$1, " Wins", ""), IF(COUNTIF(INDIRECT("'"&amp;$A15&amp;"'!$C:$C"), team)&gt;0, 1, "-"))</f>
        <v>-</v>
      </c>
      <c r="BM15" s="45">
        <f t="array" ref="BM15">LET(team, SUBSTITUTE(BM$1, " Losses", ""), weekSheet, "'"&amp;$A15&amp;"'!", matchIdx, MATCH("*"&amp;team&amp;"*", INDIRECT(weekSheet&amp;"$B:$B"), 0), IF(ISNA(matchIdx), "-", LET(winner, INDEX(INDIRECT(weekSheet&amp;"$C:$C"), matchIdx), IF(winner="", "-", IF(winner=team, "-", 1)))))</f>
        <v>1</v>
      </c>
    </row>
    <row r="16">
      <c r="A16" s="157" t="s">
        <v>198</v>
      </c>
      <c r="B16" s="160"/>
      <c r="C16" s="160"/>
      <c r="D16" s="158">
        <f t="shared" si="37"/>
        <v>1</v>
      </c>
      <c r="E16" s="158" t="str">
        <f t="shared" si="38"/>
        <v>-</v>
      </c>
      <c r="F16" s="158" t="str">
        <f t="array" ref="F16">LET(team, SUBSTITUTE(F$1, " Wins", ""), IF(COUNTIF(INDIRECT("'"&amp;$A16&amp;"'!$C:$C"), team)&gt;0, 1, "-"))</f>
        <v>-</v>
      </c>
      <c r="G16" s="158">
        <f t="array" ref="G16">LET(team, SUBSTITUTE(G$1, " Losses", ""), weekSheet, "'"&amp;$A16&amp;"'!", matchIdx, MATCH("*"&amp;team&amp;"*", INDIRECT(weekSheet&amp;"$B:$B"), 0), IF(ISNA(matchIdx), "-", LET(winner, INDEX(INDIRECT(weekSheet&amp;"$C:$C"), matchIdx), IF(winner="", "-", IF(winner=team, "-", 1)))))</f>
        <v>1</v>
      </c>
      <c r="H16" s="160"/>
      <c r="I16" s="160"/>
      <c r="J16" s="160"/>
      <c r="K16" s="160"/>
      <c r="L16" s="160"/>
      <c r="M16" s="160"/>
      <c r="N16" s="160"/>
      <c r="O16" s="160"/>
      <c r="P16" s="160"/>
      <c r="Q16" s="160"/>
      <c r="R16" s="158" t="str">
        <f t="shared" ref="R16:R19" si="41">LET(team, SUBSTITUTE(R$1, " Wins", ""), IF(COUNTIF(INDIRECT("'"&amp;$A16&amp;"'!$C:$C"), team)&gt;0, 1, "-"))</f>
        <v>-</v>
      </c>
      <c r="S16" s="158">
        <f t="shared" ref="S16:S19" si="42">LET(team, SUBSTITUTE(S$1, " Losses", ""), weekSheet, "'"&amp;$A16&amp;"'!", matchIdx, MATCH("*"&amp;team&amp;"*", INDIRECT(weekSheet&amp;"$B:$B"), 0), IF(ISNA(matchIdx), "-", LET(winner, INDEX(INDIRECT(weekSheet&amp;"$C:$C"), matchIdx), IF(winner="", "-", IF(winner=team, "-", 1)))))</f>
        <v>1</v>
      </c>
      <c r="T16" s="160"/>
      <c r="U16" s="160"/>
      <c r="V16" s="158">
        <f t="array" ref="V16">LET(team, SUBSTITUTE(V$1, " Wins", ""), IF(COUNTIF(INDIRECT("'"&amp;$A16&amp;"'!$C:$C"), team)&gt;0, 1, "-"))</f>
        <v>1</v>
      </c>
      <c r="W16" s="158" t="str">
        <f t="array" ref="W16">LET(team, SUBSTITUTE(W$1, " Losses", ""), weekSheet, "'"&amp;$A16&amp;"'!", matchIdx, MATCH("*"&amp;team&amp;"*", INDIRECT(weekSheet&amp;"$B:$B"), 0), IF(ISNA(matchIdx), "-", LET(winner, INDEX(INDIRECT(weekSheet&amp;"$C:$C"), matchIdx), IF(winner="", "-", IF(winner=team, "-", 1)))))</f>
        <v>-</v>
      </c>
      <c r="X16" s="160"/>
      <c r="Y16" s="160"/>
      <c r="Z16" s="158" t="str">
        <f t="array" ref="Z16">LET(team, SUBSTITUTE(Z$1, " Wins", ""), IF(COUNTIF(INDIRECT("'"&amp;$A16&amp;"'!$C:$C"), team)&gt;0, 1, "-"))</f>
        <v>-</v>
      </c>
      <c r="AA16" s="158">
        <f t="array" ref="AA16">LET(team, SUBSTITUTE(AA$1, " Losses", ""), weekSheet, "'"&amp;$A16&amp;"'!", matchIdx, MATCH("*"&amp;team&amp;"*", INDIRECT(weekSheet&amp;"$B:$B"), 0), IF(ISNA(matchIdx), "-", LET(winner, INDEX(INDIRECT(weekSheet&amp;"$C:$C"), matchIdx), IF(winner="", "-", IF(winner=team, "-", 1)))))</f>
        <v>1</v>
      </c>
      <c r="AB16" s="158">
        <f t="array" ref="AB16">LET(team, SUBSTITUTE(AB$1, " Wins", ""), IF(COUNTIF(INDIRECT("'"&amp;$A16&amp;"'!$C:$C"), team)&gt;0, 1, "-"))</f>
        <v>1</v>
      </c>
      <c r="AC16" s="158" t="str">
        <f t="array" ref="AC16">LET(team, SUBSTITUTE(AC$1, " Losses", ""), weekSheet, "'"&amp;$A16&amp;"'!", matchIdx, MATCH("*"&amp;team&amp;"*", INDIRECT(weekSheet&amp;"$B:$B"), 0), IF(ISNA(matchIdx), "-", LET(winner, INDEX(INDIRECT(weekSheet&amp;"$C:$C"), matchIdx), IF(winner="", "-", IF(winner=team, "-", 1)))))</f>
        <v>-</v>
      </c>
      <c r="AD16" s="158">
        <f t="array" ref="AD16">LET(team, SUBSTITUTE(AD$1, " Wins", ""), IF(COUNTIF(INDIRECT("'"&amp;$A16&amp;"'!$C:$C"), team)&gt;0, 1, "-"))</f>
        <v>1</v>
      </c>
      <c r="AE16" s="158" t="str">
        <f t="array" ref="AE16">LET(team, SUBSTITUTE(AE$1, " Losses", ""), weekSheet, "'"&amp;$A16&amp;"'!", matchIdx, MATCH("*"&amp;team&amp;"*", INDIRECT(weekSheet&amp;"$B:$B"), 0), IF(ISNA(matchIdx), "-", LET(winner, INDEX(INDIRECT(weekSheet&amp;"$C:$C"), matchIdx), IF(winner="", "-", IF(winner=team, "-", 1)))))</f>
        <v>-</v>
      </c>
      <c r="AF16" s="158" t="str">
        <f t="array" ref="AF16">LET(team, SUBSTITUTE(AF$1, " Wins", ""), IF(COUNTIF(INDIRECT("'"&amp;$A16&amp;"'!$C:$C"), team)&gt;0, 1, "-"))</f>
        <v>-</v>
      </c>
      <c r="AG16" s="158">
        <f t="array" ref="AG16">LET(team, SUBSTITUTE(AG$1, " Losses", ""), weekSheet, "'"&amp;$A16&amp;"'!", matchIdx, MATCH("*"&amp;team&amp;"*", INDIRECT(weekSheet&amp;"$B:$B"), 0), IF(ISNA(matchIdx), "-", LET(winner, INDEX(INDIRECT(weekSheet&amp;"$C:$C"), matchIdx), IF(winner="", "-", IF(winner=team, "-", 1)))))</f>
        <v>1</v>
      </c>
      <c r="AH16" s="160"/>
      <c r="AI16" s="160"/>
      <c r="AJ16" s="160"/>
      <c r="AK16" s="160"/>
      <c r="AL16" s="160"/>
      <c r="AM16" s="160"/>
      <c r="AN16" s="160"/>
      <c r="AO16" s="160"/>
      <c r="AP16" s="160"/>
      <c r="AQ16" s="160"/>
      <c r="AR16" s="160"/>
      <c r="AS16" s="160"/>
      <c r="AT16" s="160"/>
      <c r="AU16" s="160"/>
      <c r="AV16" s="160"/>
      <c r="AW16" s="160"/>
      <c r="AX16" s="158">
        <f t="array" ref="AX16">LET(team, SUBSTITUTE(AX$1, " Wins", ""), IF(COUNTIF(INDIRECT("'"&amp;$A16&amp;"'!$C:$C"), team)&gt;0, 1, "-"))</f>
        <v>1</v>
      </c>
      <c r="AY16" s="158" t="str">
        <f t="array" ref="AY16">LET(team, SUBSTITUTE(AY$1, " Losses", ""), weekSheet, "'"&amp;$A16&amp;"'!", matchIdx, MATCH("*"&amp;team&amp;"*", INDIRECT(weekSheet&amp;"$B:$B"), 0), IF(ISNA(matchIdx), "-", LET(winner, INDEX(INDIRECT(weekSheet&amp;"$C:$C"), matchIdx), IF(winner="", "-", IF(winner=team, "-", 1)))))</f>
        <v>-</v>
      </c>
      <c r="AZ16" s="160"/>
      <c r="BA16" s="160"/>
      <c r="BB16" s="158" t="str">
        <f t="array" ref="BB16">LET(team, SUBSTITUTE(BB$1, " Wins", ""), IF(COUNTIF(INDIRECT("'"&amp;$A16&amp;"'!$C:$C"), team)&gt;0, 1, "-"))</f>
        <v>-</v>
      </c>
      <c r="BC16" s="158">
        <f t="array" ref="BC16">LET(team, SUBSTITUTE(BC$1, " Losses", ""), weekSheet, "'"&amp;$A16&amp;"'!", matchIdx, MATCH("*"&amp;team&amp;"*", INDIRECT(weekSheet&amp;"$B:$B"), 0), IF(ISNA(matchIdx), "-", LET(winner, INDEX(INDIRECT(weekSheet&amp;"$C:$C"), matchIdx), IF(winner="", "-", IF(winner=team, "-", 1)))))</f>
        <v>1</v>
      </c>
      <c r="BD16" s="160"/>
      <c r="BE16" s="160"/>
      <c r="BF16" s="158">
        <f t="shared" ref="BF16:BF17" si="43">LET(team, SUBSTITUTE(BF$1, " Wins", ""), IF(COUNTIF(INDIRECT("'"&amp;$A16&amp;"'!$C:$C"), team)&gt;0, 1, "-"))</f>
        <v>1</v>
      </c>
      <c r="BG16" s="158" t="str">
        <f t="shared" ref="BG16:BG17" si="44">LET(team, SUBSTITUTE(BG$1, " Losses", ""), weekSheet, "'"&amp;$A16&amp;"'!", matchIdx, MATCH("*"&amp;team&amp;"*", INDIRECT(weekSheet&amp;"$B:$B"), 0), IF(ISNA(matchIdx), "-", LET(winner, INDEX(INDIRECT(weekSheet&amp;"$C:$C"), matchIdx), IF(winner="", "-", IF(winner=team, "-", 1)))))</f>
        <v>-</v>
      </c>
      <c r="BH16" s="158" t="str">
        <f t="shared" si="39"/>
        <v>-</v>
      </c>
      <c r="BI16" s="158">
        <f t="shared" si="40"/>
        <v>1</v>
      </c>
      <c r="BJ16" s="160"/>
      <c r="BK16" s="160"/>
      <c r="BL16" s="160"/>
      <c r="BM16" s="160"/>
    </row>
    <row r="17">
      <c r="A17" s="157" t="s">
        <v>202</v>
      </c>
      <c r="B17" s="160"/>
      <c r="C17" s="160"/>
      <c r="D17" s="160"/>
      <c r="E17" s="160"/>
      <c r="F17" s="160"/>
      <c r="G17" s="160"/>
      <c r="H17" s="160"/>
      <c r="I17" s="160"/>
      <c r="J17" s="160"/>
      <c r="K17" s="160"/>
      <c r="L17" s="160"/>
      <c r="M17" s="160"/>
      <c r="N17" s="158" t="str">
        <f t="array" ref="N17">LET(team, SUBSTITUTE(N$1, " Wins", ""), IF(COUNTIF(INDIRECT("'"&amp;$A17&amp;"'!$C:$C"), team)&gt;0, 1, "-"))</f>
        <v>-</v>
      </c>
      <c r="O17" s="158">
        <f t="array" ref="O17">LET(team, SUBSTITUTE(O$1, " Losses", ""), weekSheet, "'"&amp;$A17&amp;"'!", matchIdx, MATCH("*"&amp;team&amp;"*", INDIRECT(weekSheet&amp;"$B:$B"), 0), IF(ISNA(matchIdx), "-", LET(winner, INDEX(INDIRECT(weekSheet&amp;"$C:$C"), matchIdx), IF(winner="", "-", IF(winner=team, "-", 1)))))</f>
        <v>1</v>
      </c>
      <c r="P17" s="158">
        <f t="array" ref="P17">LET(team, SUBSTITUTE(P$1, " Wins", ""), IF(COUNTIF(INDIRECT("'"&amp;$A17&amp;"'!$C:$C"), team)&gt;0, 1, "-"))</f>
        <v>1</v>
      </c>
      <c r="Q17" s="158" t="str">
        <f t="array" ref="Q17">LET(team, SUBSTITUTE(Q$1, " Losses", ""), weekSheet, "'"&amp;$A17&amp;"'!", matchIdx, MATCH("*"&amp;team&amp;"*", INDIRECT(weekSheet&amp;"$B:$B"), 0), IF(ISNA(matchIdx), "-", LET(winner, INDEX(INDIRECT(weekSheet&amp;"$C:$C"), matchIdx), IF(winner="", "-", IF(winner=team, "-", 1)))))</f>
        <v>-</v>
      </c>
      <c r="R17" s="158">
        <f t="shared" si="41"/>
        <v>1</v>
      </c>
      <c r="S17" s="158" t="str">
        <f t="shared" si="42"/>
        <v>-</v>
      </c>
      <c r="T17" s="158" t="str">
        <f t="array" ref="T17">LET(team, SUBSTITUTE(T$1, " Wins", ""), IF(COUNTIF(INDIRECT("'"&amp;$A17&amp;"'!$C:$C"), team)&gt;0, 1, "-"))</f>
        <v>-</v>
      </c>
      <c r="U17" s="158">
        <f t="array" ref="U17">LET(team, SUBSTITUTE(U$1, " Losses", ""), weekSheet, "'"&amp;$A17&amp;"'!", matchIdx, MATCH("*"&amp;team&amp;"*", INDIRECT(weekSheet&amp;"$B:$B"), 0), IF(ISNA(matchIdx), "-", LET(winner, INDEX(INDIRECT(weekSheet&amp;"$C:$C"), matchIdx), IF(winner="", "-", IF(winner=team, "-", 1)))))</f>
        <v>1</v>
      </c>
      <c r="V17" s="160"/>
      <c r="W17" s="160"/>
      <c r="X17" s="160"/>
      <c r="Y17" s="160"/>
      <c r="Z17" s="160"/>
      <c r="AA17" s="160"/>
      <c r="AB17" s="160"/>
      <c r="AC17" s="160"/>
      <c r="AD17" s="160"/>
      <c r="AE17" s="160"/>
      <c r="AF17" s="160"/>
      <c r="AG17" s="160"/>
      <c r="AH17" s="160"/>
      <c r="AI17" s="160"/>
      <c r="AJ17" s="158">
        <f t="array" ref="AJ17">LET(team, SUBSTITUTE(AJ$1, " Wins", ""), IF(COUNTIF(INDIRECT("'"&amp;$A17&amp;"'!$C:$C"), team)&gt;0, 1, "-"))</f>
        <v>1</v>
      </c>
      <c r="AK17" s="158" t="str">
        <f t="array" ref="AK17">LET(team, SUBSTITUTE(AK$1, " Losses", ""), weekSheet, "'"&amp;$A17&amp;"'!", matchIdx, MATCH("*"&amp;team&amp;"*", INDIRECT(weekSheet&amp;"$B:$B"), 0), IF(ISNA(matchIdx), "-", LET(winner, INDEX(INDIRECT(weekSheet&amp;"$C:$C"), matchIdx), IF(winner="", "-", IF(winner=team, "-", 1)))))</f>
        <v>-</v>
      </c>
      <c r="AL17" s="158" t="str">
        <f t="array" ref="AL17">LET(team, SUBSTITUTE(AL$1, " Wins", ""), IF(COUNTIF(INDIRECT("'"&amp;$A17&amp;"'!$C:$C"), team)&gt;0, 1, "-"))</f>
        <v>-</v>
      </c>
      <c r="AM17" s="158">
        <f t="array" ref="AM17">LET(team, SUBSTITUTE(AM$1, " Losses", ""), weekSheet, "'"&amp;$A17&amp;"'!", matchIdx, MATCH("*"&amp;team&amp;"*", INDIRECT(weekSheet&amp;"$B:$B"), 0), IF(ISNA(matchIdx), "-", LET(winner, INDEX(INDIRECT(weekSheet&amp;"$C:$C"), matchIdx), IF(winner="", "-", IF(winner=team, "-", 1)))))</f>
        <v>1</v>
      </c>
      <c r="AN17" s="160"/>
      <c r="AO17" s="160"/>
      <c r="AP17" s="160"/>
      <c r="AQ17" s="160"/>
      <c r="AR17" s="160"/>
      <c r="AS17" s="160"/>
      <c r="AT17" s="160"/>
      <c r="AU17" s="160"/>
      <c r="AV17" s="160"/>
      <c r="AW17" s="160"/>
      <c r="AX17" s="160"/>
      <c r="AY17" s="160"/>
      <c r="AZ17" s="158" t="str">
        <f t="array" ref="AZ17">LET(team, SUBSTITUTE(AZ$1, " Wins", ""), IF(COUNTIF(INDIRECT("'"&amp;$A17&amp;"'!$C:$C"), team)&gt;0, 1, "-"))</f>
        <v>-</v>
      </c>
      <c r="BA17" s="158">
        <f t="array" ref="BA17">LET(team, SUBSTITUTE(BA$1, " Losses", ""), weekSheet, "'"&amp;$A17&amp;"'!", matchIdx, MATCH("*"&amp;team&amp;"*", INDIRECT(weekSheet&amp;"$B:$B"), 0), IF(ISNA(matchIdx), "-", LET(winner, INDEX(INDIRECT(weekSheet&amp;"$C:$C"), matchIdx), IF(winner="", "-", IF(winner=team, "-", 1)))))</f>
        <v>1</v>
      </c>
      <c r="BB17" s="160"/>
      <c r="BC17" s="160"/>
      <c r="BD17" s="158">
        <f t="shared" ref="BD17:BD19" si="45">LET(team, SUBSTITUTE(BD$1, " Wins", ""), IF(COUNTIF(INDIRECT("'"&amp;$A17&amp;"'!$C:$C"), team)&gt;0, 1, "-"))</f>
        <v>1</v>
      </c>
      <c r="BE17" s="158" t="str">
        <f t="shared" ref="BE17:BE19" si="46">LET(team, SUBSTITUTE(BE$1, " Losses", ""), weekSheet, "'"&amp;$A17&amp;"'!", matchIdx, MATCH("*"&amp;team&amp;"*", INDIRECT(weekSheet&amp;"$B:$B"), 0), IF(ISNA(matchIdx), "-", LET(winner, INDEX(INDIRECT(weekSheet&amp;"$C:$C"), matchIdx), IF(winner="", "-", IF(winner=team, "-", 1)))))</f>
        <v>-</v>
      </c>
      <c r="BF17" s="158" t="str">
        <f t="shared" si="43"/>
        <v>-</v>
      </c>
      <c r="BG17" s="158">
        <f t="shared" si="44"/>
        <v>1</v>
      </c>
      <c r="BH17" s="160"/>
      <c r="BI17" s="160"/>
      <c r="BJ17" s="158">
        <f t="shared" ref="BJ17:BJ19" si="47">LET(team, SUBSTITUTE(BJ$1, " Wins", ""), IF(COUNTIF(INDIRECT("'"&amp;$A17&amp;"'!$C:$C"), team)&gt;0, 1, "-"))</f>
        <v>1</v>
      </c>
      <c r="BK17" s="158" t="str">
        <f t="shared" ref="BK17:BK19" si="48">LET(team, SUBSTITUTE(BK$1, " Losses", ""), weekSheet, "'"&amp;$A17&amp;"'!", matchIdx, MATCH("*"&amp;team&amp;"*", INDIRECT(weekSheet&amp;"$B:$B"), 0), IF(ISNA(matchIdx), "-", LET(winner, INDEX(INDIRECT(weekSheet&amp;"$C:$C"), matchIdx), IF(winner="", "-", IF(winner=team, "-", 1)))))</f>
        <v>-</v>
      </c>
      <c r="BL17" s="160"/>
      <c r="BM17" s="160"/>
    </row>
    <row r="18">
      <c r="A18" s="157" t="s">
        <v>206</v>
      </c>
      <c r="B18" s="158">
        <f t="shared" ref="B18:B19" si="49">LET(team, SUBSTITUTE(B$1, " Wins", ""), IF(COUNTIF(INDIRECT("'"&amp;$A18&amp;"'!$C:$C"), team)&gt;0, 1, "-"))</f>
        <v>1</v>
      </c>
      <c r="C18" s="158" t="str">
        <f t="shared" ref="C18:C19" si="50">LET(team, SUBSTITUTE(C$1, " Losses", ""), weekSheet, "'"&amp;$A18&amp;"'!", matchIdx, MATCH("*"&amp;team&amp;"*", INDIRECT(weekSheet&amp;"$B:$B"), 0), IF(ISNA(matchIdx), "-", LET(winner, INDEX(INDIRECT(weekSheet&amp;"$C:$C"), matchIdx), IF(winner="", "-", IF(winner=team, "-", 1)))))</f>
        <v>-</v>
      </c>
      <c r="D18" s="160"/>
      <c r="E18" s="160"/>
      <c r="F18" s="160"/>
      <c r="G18" s="160"/>
      <c r="H18" s="158" t="str">
        <f t="shared" ref="H18:H19" si="51">LET(team, SUBSTITUTE(H$1, " Wins", ""), IF(COUNTIF(INDIRECT("'"&amp;$A18&amp;"'!$C:$C"), team)&gt;0, 1, "-"))</f>
        <v>-</v>
      </c>
      <c r="I18" s="158">
        <f t="shared" ref="I18:I19" si="52">LET(team, SUBSTITUTE(I$1, " Losses", ""), weekSheet, "'"&amp;$A18&amp;"'!", matchIdx, MATCH("*"&amp;team&amp;"*", INDIRECT(weekSheet&amp;"$B:$B"), 0), IF(ISNA(matchIdx), "-", LET(winner, INDEX(INDIRECT(weekSheet&amp;"$C:$C"), matchIdx), IF(winner="", "-", IF(winner=team, "-", 1)))))</f>
        <v>1</v>
      </c>
      <c r="J18" s="158">
        <f t="shared" ref="J18:J19" si="53">LET(team, SUBSTITUTE(J$1, " Wins", ""), IF(COUNTIF(INDIRECT("'"&amp;$A18&amp;"'!$C:$C"), team)&gt;0, 1, "-"))</f>
        <v>1</v>
      </c>
      <c r="K18" s="158" t="str">
        <f t="shared" ref="K18:K19" si="54">LET(team, SUBSTITUTE(K$1, " Losses", ""), weekSheet, "'"&amp;$A18&amp;"'!", matchIdx, MATCH("*"&amp;team&amp;"*", INDIRECT(weekSheet&amp;"$B:$B"), 0), IF(ISNA(matchIdx), "-", LET(winner, INDEX(INDIRECT(weekSheet&amp;"$C:$C"), matchIdx), IF(winner="", "-", IF(winner=team, "-", 1)))))</f>
        <v>-</v>
      </c>
      <c r="L18" s="158" t="str">
        <f t="shared" ref="L18:L19" si="55">LET(team, SUBSTITUTE(L$1, " Wins", ""), IF(COUNTIF(INDIRECT("'"&amp;$A18&amp;"'!$C:$C"), team)&gt;0, 1, "-"))</f>
        <v>-</v>
      </c>
      <c r="M18" s="158">
        <f t="shared" ref="M18:M19" si="56">LET(team, SUBSTITUTE(M$1, " Losses", ""), weekSheet, "'"&amp;$A18&amp;"'!", matchIdx, MATCH("*"&amp;team&amp;"*", INDIRECT(weekSheet&amp;"$B:$B"), 0), IF(ISNA(matchIdx), "-", LET(winner, INDEX(INDIRECT(weekSheet&amp;"$C:$C"), matchIdx), IF(winner="", "-", IF(winner=team, "-", 1)))))</f>
        <v>1</v>
      </c>
      <c r="N18" s="160"/>
      <c r="O18" s="160"/>
      <c r="P18" s="160"/>
      <c r="Q18" s="160"/>
      <c r="R18" s="158">
        <f t="shared" si="41"/>
        <v>1</v>
      </c>
      <c r="S18" s="158" t="str">
        <f t="shared" si="42"/>
        <v>-</v>
      </c>
      <c r="T18" s="160"/>
      <c r="U18" s="160"/>
      <c r="V18" s="160"/>
      <c r="W18" s="160"/>
      <c r="X18" s="158" t="str">
        <f t="shared" ref="X18:X19" si="57">LET(team, SUBSTITUTE(X$1, " Wins", ""), IF(COUNTIF(INDIRECT("'"&amp;$A18&amp;"'!$C:$C"), team)&gt;0, 1, "-"))</f>
        <v>-</v>
      </c>
      <c r="Y18" s="158">
        <f t="shared" ref="Y18:Y19" si="58">LET(team, SUBSTITUTE(Y$1, " Losses", ""), weekSheet, "'"&amp;$A18&amp;"'!", matchIdx, MATCH("*"&amp;team&amp;"*", INDIRECT(weekSheet&amp;"$B:$B"), 0), IF(ISNA(matchIdx), "-", LET(winner, INDEX(INDIRECT(weekSheet&amp;"$C:$C"), matchIdx), IF(winner="", "-", IF(winner=team, "-", 1)))))</f>
        <v>1</v>
      </c>
      <c r="Z18" s="160"/>
      <c r="AA18" s="160"/>
      <c r="AB18" s="160"/>
      <c r="AC18" s="160"/>
      <c r="AD18" s="160"/>
      <c r="AE18" s="160"/>
      <c r="AF18" s="160"/>
      <c r="AG18" s="160"/>
      <c r="AH18" s="160"/>
      <c r="AI18" s="160"/>
      <c r="AJ18" s="160"/>
      <c r="AK18" s="160"/>
      <c r="AL18" s="160"/>
      <c r="AM18" s="160"/>
      <c r="AN18" s="160"/>
      <c r="AO18" s="160"/>
      <c r="AP18" s="158">
        <f t="shared" ref="AP18:AP19" si="59">LET(team, SUBSTITUTE(AP$1, " Wins", ""), IF(COUNTIF(INDIRECT("'"&amp;$A18&amp;"'!$C:$C"), team)&gt;0, 1, "-"))</f>
        <v>1</v>
      </c>
      <c r="AQ18" s="158" t="str">
        <f t="shared" ref="AQ18:AQ19" si="60">LET(team, SUBSTITUTE(AQ$1, " Losses", ""), weekSheet, "'"&amp;$A18&amp;"'!", matchIdx, MATCH("*"&amp;team&amp;"*", INDIRECT(weekSheet&amp;"$B:$B"), 0), IF(ISNA(matchIdx), "-", LET(winner, INDEX(INDIRECT(weekSheet&amp;"$C:$C"), matchIdx), IF(winner="", "-", IF(winner=team, "-", 1)))))</f>
        <v>-</v>
      </c>
      <c r="AR18" s="160"/>
      <c r="AS18" s="160"/>
      <c r="AT18" s="158" t="str">
        <f t="shared" ref="AT18:AT19" si="61">LET(team, SUBSTITUTE(AT$1, " Wins", ""), IF(COUNTIF(INDIRECT("'"&amp;$A18&amp;"'!$C:$C"), team)&gt;0, 1, "-"))</f>
        <v>-</v>
      </c>
      <c r="AU18" s="158">
        <f t="shared" ref="AU18:AU19" si="62">LET(team, SUBSTITUTE(AU$1, " Losses", ""), weekSheet, "'"&amp;$A18&amp;"'!", matchIdx, MATCH("*"&amp;team&amp;"*", INDIRECT(weekSheet&amp;"$B:$B"), 0), IF(ISNA(matchIdx), "-", LET(winner, INDEX(INDIRECT(weekSheet&amp;"$C:$C"), matchIdx), IF(winner="", "-", IF(winner=team, "-", 1)))))</f>
        <v>1</v>
      </c>
      <c r="AV18" s="160"/>
      <c r="AW18" s="160"/>
      <c r="AX18" s="158" t="str">
        <f t="shared" ref="AX18:AX19" si="63">LET(team, SUBSTITUTE(AX$1, " Wins", ""), IF(COUNTIF(INDIRECT("'"&amp;$A18&amp;"'!$C:$C"), team)&gt;0, 1, "-"))</f>
        <v>-</v>
      </c>
      <c r="AY18" s="158">
        <f t="shared" ref="AY18:AY19" si="64">LET(team, SUBSTITUTE(AY$1, " Losses", ""), weekSheet, "'"&amp;$A18&amp;"'!", matchIdx, MATCH("*"&amp;team&amp;"*", INDIRECT(weekSheet&amp;"$B:$B"), 0), IF(ISNA(matchIdx), "-", LET(winner, INDEX(INDIRECT(weekSheet&amp;"$C:$C"), matchIdx), IF(winner="", "-", IF(winner=team, "-", 1)))))</f>
        <v>1</v>
      </c>
      <c r="AZ18" s="160"/>
      <c r="BA18" s="160"/>
      <c r="BB18" s="160"/>
      <c r="BC18" s="160"/>
      <c r="BD18" s="158">
        <f t="shared" si="45"/>
        <v>1</v>
      </c>
      <c r="BE18" s="158" t="str">
        <f t="shared" si="46"/>
        <v>-</v>
      </c>
      <c r="BF18" s="160"/>
      <c r="BG18" s="160"/>
      <c r="BH18" s="158">
        <f t="shared" ref="BH18:BH19" si="65">LET(team, SUBSTITUTE(BH$1, " Wins", ""), IF(COUNTIF(INDIRECT("'"&amp;$A18&amp;"'!$C:$C"), team)&gt;0, 1, "-"))</f>
        <v>1</v>
      </c>
      <c r="BI18" s="158" t="str">
        <f t="shared" ref="BI18:BI19" si="66">LET(team, SUBSTITUTE(BI$1, " Losses", ""), weekSheet, "'"&amp;$A18&amp;"'!", matchIdx, MATCH("*"&amp;team&amp;"*", INDIRECT(weekSheet&amp;"$B:$B"), 0), IF(ISNA(matchIdx), "-", LET(winner, INDEX(INDIRECT(weekSheet&amp;"$C:$C"), matchIdx), IF(winner="", "-", IF(winner=team, "-", 1)))))</f>
        <v>-</v>
      </c>
      <c r="BJ18" s="158" t="str">
        <f t="shared" si="47"/>
        <v>-</v>
      </c>
      <c r="BK18" s="158">
        <f t="shared" si="48"/>
        <v>1</v>
      </c>
      <c r="BL18" s="160"/>
      <c r="BM18" s="160"/>
    </row>
    <row r="19">
      <c r="A19" s="157" t="s">
        <v>207</v>
      </c>
      <c r="B19" s="158">
        <f t="shared" si="49"/>
        <v>1</v>
      </c>
      <c r="C19" s="158" t="str">
        <f t="shared" si="50"/>
        <v>-</v>
      </c>
      <c r="D19" s="158" t="str">
        <f t="array" ref="D19">LET(team, SUBSTITUTE(D$1, " Wins", ""), IF(COUNTIF(INDIRECT("'"&amp;$A19&amp;"'!$C:$C"), team)&gt;0, 1, "-"))</f>
        <v>-</v>
      </c>
      <c r="E19" s="158">
        <f t="array" ref="E19">LET(team, SUBSTITUTE(E$1, " Losses", ""), weekSheet, "'"&amp;$A19&amp;"'!", matchIdx, MATCH("*"&amp;team&amp;"*", INDIRECT(weekSheet&amp;"$B:$B"), 0), IF(ISNA(matchIdx), "-", LET(winner, INDEX(INDIRECT(weekSheet&amp;"$C:$C"), matchIdx), IF(winner="", "-", IF(winner=team, "-", 1)))))</f>
        <v>1</v>
      </c>
      <c r="F19" s="158" t="str">
        <f t="array" ref="F19">LET(team, SUBSTITUTE(F$1, " Wins", ""), IF(COUNTIF(INDIRECT("'"&amp;$A19&amp;"'!$C:$C"), team)&gt;0, 1, "-"))</f>
        <v>-</v>
      </c>
      <c r="G19" s="158">
        <f t="array" ref="G19">LET(team, SUBSTITUTE(G$1, " Losses", ""), weekSheet, "'"&amp;$A19&amp;"'!", matchIdx, MATCH("*"&amp;team&amp;"*", INDIRECT(weekSheet&amp;"$B:$B"), 0), IF(ISNA(matchIdx), "-", LET(winner, INDEX(INDIRECT(weekSheet&amp;"$C:$C"), matchIdx), IF(winner="", "-", IF(winner=team, "-", 1)))))</f>
        <v>1</v>
      </c>
      <c r="H19" s="158">
        <f t="shared" si="51"/>
        <v>1</v>
      </c>
      <c r="I19" s="158" t="str">
        <f t="shared" si="52"/>
        <v>-</v>
      </c>
      <c r="J19" s="158">
        <f t="shared" si="53"/>
        <v>1</v>
      </c>
      <c r="K19" s="158" t="str">
        <f t="shared" si="54"/>
        <v>-</v>
      </c>
      <c r="L19" s="158" t="str">
        <f t="shared" si="55"/>
        <v>-</v>
      </c>
      <c r="M19" s="158">
        <f t="shared" si="56"/>
        <v>1</v>
      </c>
      <c r="N19" s="158" t="str">
        <f t="array" ref="N19">LET(team, SUBSTITUTE(N$1, " Wins", ""), IF(COUNTIF(INDIRECT("'"&amp;$A19&amp;"'!$C:$C"), team)&gt;0, 1, "-"))</f>
        <v>-</v>
      </c>
      <c r="O19" s="158">
        <f t="array" ref="O19">LET(team, SUBSTITUTE(O$1, " Losses", ""), weekSheet, "'"&amp;$A19&amp;"'!", matchIdx, MATCH("*"&amp;team&amp;"*", INDIRECT(weekSheet&amp;"$B:$B"), 0), IF(ISNA(matchIdx), "-", LET(winner, INDEX(INDIRECT(weekSheet&amp;"$C:$C"), matchIdx), IF(winner="", "-", IF(winner=team, "-", 1)))))</f>
        <v>1</v>
      </c>
      <c r="P19" s="158">
        <f t="array" ref="P19">LET(team, SUBSTITUTE(P$1, " Wins", ""), IF(COUNTIF(INDIRECT("'"&amp;$A19&amp;"'!$C:$C"), team)&gt;0, 1, "-"))</f>
        <v>1</v>
      </c>
      <c r="Q19" s="158" t="str">
        <f t="array" ref="Q19">LET(team, SUBSTITUTE(Q$1, " Losses", ""), weekSheet, "'"&amp;$A19&amp;"'!", matchIdx, MATCH("*"&amp;team&amp;"*", INDIRECT(weekSheet&amp;"$B:$B"), 0), IF(ISNA(matchIdx), "-", LET(winner, INDEX(INDIRECT(weekSheet&amp;"$C:$C"), matchIdx), IF(winner="", "-", IF(winner=team, "-", 1)))))</f>
        <v>-</v>
      </c>
      <c r="R19" s="158">
        <f t="shared" si="41"/>
        <v>1</v>
      </c>
      <c r="S19" s="158" t="str">
        <f t="shared" si="42"/>
        <v>-</v>
      </c>
      <c r="T19" s="158" t="str">
        <f t="array" ref="T19">LET(team, SUBSTITUTE(T$1, " Wins", ""), IF(COUNTIF(INDIRECT("'"&amp;$A19&amp;"'!$C:$C"), team)&gt;0, 1, "-"))</f>
        <v>-</v>
      </c>
      <c r="U19" s="158">
        <f t="array" ref="U19">LET(team, SUBSTITUTE(U$1, " Losses", ""), weekSheet, "'"&amp;$A19&amp;"'!", matchIdx, MATCH("*"&amp;team&amp;"*", INDIRECT(weekSheet&amp;"$B:$B"), 0), IF(ISNA(matchIdx), "-", LET(winner, INDEX(INDIRECT(weekSheet&amp;"$C:$C"), matchIdx), IF(winner="", "-", IF(winner=team, "-", 1)))))</f>
        <v>1</v>
      </c>
      <c r="V19" s="158" t="str">
        <f t="array" ref="V19">LET(team, SUBSTITUTE(V$1, " Wins", ""), IF(COUNTIF(INDIRECT("'"&amp;$A19&amp;"'!$C:$C"), team)&gt;0, 1, "-"))</f>
        <v>-</v>
      </c>
      <c r="W19" s="158">
        <f t="array" ref="W19">LET(team, SUBSTITUTE(W$1, " Losses", ""), weekSheet, "'"&amp;$A19&amp;"'!", matchIdx, MATCH("*"&amp;team&amp;"*", INDIRECT(weekSheet&amp;"$B:$B"), 0), IF(ISNA(matchIdx), "-", LET(winner, INDEX(INDIRECT(weekSheet&amp;"$C:$C"), matchIdx), IF(winner="", "-", IF(winner=team, "-", 1)))))</f>
        <v>1</v>
      </c>
      <c r="X19" s="158">
        <f t="shared" si="57"/>
        <v>1</v>
      </c>
      <c r="Y19" s="158" t="str">
        <f t="shared" si="58"/>
        <v>-</v>
      </c>
      <c r="Z19" s="158">
        <f t="array" ref="Z19">LET(team, SUBSTITUTE(Z$1, " Wins", ""), IF(COUNTIF(INDIRECT("'"&amp;$A19&amp;"'!$C:$C"), team)&gt;0, 1, "-"))</f>
        <v>1</v>
      </c>
      <c r="AA19" s="158" t="str">
        <f t="array" ref="AA19">LET(team, SUBSTITUTE(AA$1, " Losses", ""), weekSheet, "'"&amp;$A19&amp;"'!", matchIdx, MATCH("*"&amp;team&amp;"*", INDIRECT(weekSheet&amp;"$B:$B"), 0), IF(ISNA(matchIdx), "-", LET(winner, INDEX(INDIRECT(weekSheet&amp;"$C:$C"), matchIdx), IF(winner="", "-", IF(winner=team, "-", 1)))))</f>
        <v>-</v>
      </c>
      <c r="AB19" s="158">
        <f t="array" ref="AB19">LET(team, SUBSTITUTE(AB$1, " Wins", ""), IF(COUNTIF(INDIRECT("'"&amp;$A19&amp;"'!$C:$C"), team)&gt;0, 1, "-"))</f>
        <v>1</v>
      </c>
      <c r="AC19" s="158" t="str">
        <f t="array" ref="AC19">LET(team, SUBSTITUTE(AC$1, " Losses", ""), weekSheet, "'"&amp;$A19&amp;"'!", matchIdx, MATCH("*"&amp;team&amp;"*", INDIRECT(weekSheet&amp;"$B:$B"), 0), IF(ISNA(matchIdx), "-", LET(winner, INDEX(INDIRECT(weekSheet&amp;"$C:$C"), matchIdx), IF(winner="", "-", IF(winner=team, "-", 1)))))</f>
        <v>-</v>
      </c>
      <c r="AD19" s="158" t="str">
        <f t="array" ref="AD19">LET(team, SUBSTITUTE(AD$1, " Wins", ""), IF(COUNTIF(INDIRECT("'"&amp;$A19&amp;"'!$C:$C"), team)&gt;0, 1, "-"))</f>
        <v>-</v>
      </c>
      <c r="AE19" s="158">
        <f t="array" ref="AE19">LET(team, SUBSTITUTE(AE$1, " Losses", ""), weekSheet, "'"&amp;$A19&amp;"'!", matchIdx, MATCH("*"&amp;team&amp;"*", INDIRECT(weekSheet&amp;"$B:$B"), 0), IF(ISNA(matchIdx), "-", LET(winner, INDEX(INDIRECT(weekSheet&amp;"$C:$C"), matchIdx), IF(winner="", "-", IF(winner=team, "-", 1)))))</f>
        <v>1</v>
      </c>
      <c r="AF19" s="158" t="str">
        <f t="array" ref="AF19">LET(team, SUBSTITUTE(AF$1, " Wins", ""), IF(COUNTIF(INDIRECT("'"&amp;$A19&amp;"'!$C:$C"), team)&gt;0, 1, "-"))</f>
        <v>-</v>
      </c>
      <c r="AG19" s="158">
        <f t="array" ref="AG19">LET(team, SUBSTITUTE(AG$1, " Losses", ""), weekSheet, "'"&amp;$A19&amp;"'!", matchIdx, MATCH("*"&amp;team&amp;"*", INDIRECT(weekSheet&amp;"$B:$B"), 0), IF(ISNA(matchIdx), "-", LET(winner, INDEX(INDIRECT(weekSheet&amp;"$C:$C"), matchIdx), IF(winner="", "-", IF(winner=team, "-", 1)))))</f>
        <v>1</v>
      </c>
      <c r="AH19" s="158">
        <f t="array" ref="AH19">LET(team, SUBSTITUTE(AH$1, " Wins", ""), IF(COUNTIF(INDIRECT("'"&amp;$A19&amp;"'!$C:$C"), team)&gt;0, 1, "-"))</f>
        <v>1</v>
      </c>
      <c r="AI19" s="158" t="str">
        <f t="array" ref="AI19">LET(team, SUBSTITUTE(AI$1, " Losses", ""), weekSheet, "'"&amp;$A19&amp;"'!", matchIdx, MATCH("*"&amp;team&amp;"*", INDIRECT(weekSheet&amp;"$B:$B"), 0), IF(ISNA(matchIdx), "-", LET(winner, INDEX(INDIRECT(weekSheet&amp;"$C:$C"), matchIdx), IF(winner="", "-", IF(winner=team, "-", 1)))))</f>
        <v>-</v>
      </c>
      <c r="AJ19" s="158" t="str">
        <f t="array" ref="AJ19">LET(team, SUBSTITUTE(AJ$1, " Wins", ""), IF(COUNTIF(INDIRECT("'"&amp;$A19&amp;"'!$C:$C"), team)&gt;0, 1, "-"))</f>
        <v>-</v>
      </c>
      <c r="AK19" s="158">
        <f t="array" ref="AK19">LET(team, SUBSTITUTE(AK$1, " Losses", ""), weekSheet, "'"&amp;$A19&amp;"'!", matchIdx, MATCH("*"&amp;team&amp;"*", INDIRECT(weekSheet&amp;"$B:$B"), 0), IF(ISNA(matchIdx), "-", LET(winner, INDEX(INDIRECT(weekSheet&amp;"$C:$C"), matchIdx), IF(winner="", "-", IF(winner=team, "-", 1)))))</f>
        <v>1</v>
      </c>
      <c r="AL19" s="158">
        <f t="array" ref="AL19">LET(team, SUBSTITUTE(AL$1, " Wins", ""), IF(COUNTIF(INDIRECT("'"&amp;$A19&amp;"'!$C:$C"), team)&gt;0, 1, "-"))</f>
        <v>1</v>
      </c>
      <c r="AM19" s="158" t="str">
        <f t="array" ref="AM19">LET(team, SUBSTITUTE(AM$1, " Losses", ""), weekSheet, "'"&amp;$A19&amp;"'!", matchIdx, MATCH("*"&amp;team&amp;"*", INDIRECT(weekSheet&amp;"$B:$B"), 0), IF(ISNA(matchIdx), "-", LET(winner, INDEX(INDIRECT(weekSheet&amp;"$C:$C"), matchIdx), IF(winner="", "-", IF(winner=team, "-", 1)))))</f>
        <v>-</v>
      </c>
      <c r="AN19" s="158" t="str">
        <f t="array" ref="AN19">LET(team, SUBSTITUTE(AN$1, " Wins", ""), IF(COUNTIF(INDIRECT("'"&amp;$A19&amp;"'!$C:$C"), team)&gt;0, 1, "-"))</f>
        <v>-</v>
      </c>
      <c r="AO19" s="158">
        <f t="array" ref="AO19">LET(team, SUBSTITUTE(AO$1, " Losses", ""), weekSheet, "'"&amp;$A19&amp;"'!", matchIdx, MATCH("*"&amp;team&amp;"*", INDIRECT(weekSheet&amp;"$B:$B"), 0), IF(ISNA(matchIdx), "-", LET(winner, INDEX(INDIRECT(weekSheet&amp;"$C:$C"), matchIdx), IF(winner="", "-", IF(winner=team, "-", 1)))))</f>
        <v>1</v>
      </c>
      <c r="AP19" s="158">
        <f t="shared" si="59"/>
        <v>1</v>
      </c>
      <c r="AQ19" s="158" t="str">
        <f t="shared" si="60"/>
        <v>-</v>
      </c>
      <c r="AR19" s="158">
        <f t="array" ref="AR19">LET(team, SUBSTITUTE(AR$1, " Wins", ""), IF(COUNTIF(INDIRECT("'"&amp;$A19&amp;"'!$C:$C"), team)&gt;0, 1, "-"))</f>
        <v>1</v>
      </c>
      <c r="AS19" s="158" t="str">
        <f t="array" ref="AS19">LET(team, SUBSTITUTE(AS$1, " Losses", ""), weekSheet, "'"&amp;$A19&amp;"'!", matchIdx, MATCH("*"&amp;team&amp;"*", INDIRECT(weekSheet&amp;"$B:$B"), 0), IF(ISNA(matchIdx), "-", LET(winner, INDEX(INDIRECT(weekSheet&amp;"$C:$C"), matchIdx), IF(winner="", "-", IF(winner=team, "-", 1)))))</f>
        <v>-</v>
      </c>
      <c r="AT19" s="158" t="str">
        <f t="shared" si="61"/>
        <v>-</v>
      </c>
      <c r="AU19" s="158">
        <f t="shared" si="62"/>
        <v>1</v>
      </c>
      <c r="AV19" s="158" t="str">
        <f t="array" ref="AV19">LET(team, SUBSTITUTE(AV$1, " Wins", ""), IF(COUNTIF(INDIRECT("'"&amp;$A19&amp;"'!$C:$C"), team)&gt;0, 1, "-"))</f>
        <v>-</v>
      </c>
      <c r="AW19" s="158">
        <f t="array" ref="AW19">LET(team, SUBSTITUTE(AW$1, " Losses", ""), weekSheet, "'"&amp;$A19&amp;"'!", matchIdx, MATCH("*"&amp;team&amp;"*", INDIRECT(weekSheet&amp;"$B:$B"), 0), IF(ISNA(matchIdx), "-", LET(winner, INDEX(INDIRECT(weekSheet&amp;"$C:$C"), matchIdx), IF(winner="", "-", IF(winner=team, "-", 1)))))</f>
        <v>1</v>
      </c>
      <c r="AX19" s="158">
        <f t="shared" si="63"/>
        <v>1</v>
      </c>
      <c r="AY19" s="158" t="str">
        <f t="shared" si="64"/>
        <v>-</v>
      </c>
      <c r="AZ19" s="158" t="str">
        <f t="array" ref="AZ19">LET(team, SUBSTITUTE(AZ$1, " Wins", ""), IF(COUNTIF(INDIRECT("'"&amp;$A19&amp;"'!$C:$C"), team)&gt;0, 1, "-"))</f>
        <v>-</v>
      </c>
      <c r="BA19" s="158">
        <f t="array" ref="BA19">LET(team, SUBSTITUTE(BA$1, " Losses", ""), weekSheet, "'"&amp;$A19&amp;"'!", matchIdx, MATCH("*"&amp;team&amp;"*", INDIRECT(weekSheet&amp;"$B:$B"), 0), IF(ISNA(matchIdx), "-", LET(winner, INDEX(INDIRECT(weekSheet&amp;"$C:$C"), matchIdx), IF(winner="", "-", IF(winner=team, "-", 1)))))</f>
        <v>1</v>
      </c>
      <c r="BB19" s="158" t="str">
        <f t="array" ref="BB19">LET(team, SUBSTITUTE(BB$1, " Wins", ""), IF(COUNTIF(INDIRECT("'"&amp;$A19&amp;"'!$C:$C"), team)&gt;0, 1, "-"))</f>
        <v>-</v>
      </c>
      <c r="BC19" s="158">
        <f t="array" ref="BC19">LET(team, SUBSTITUTE(BC$1, " Losses", ""), weekSheet, "'"&amp;$A19&amp;"'!", matchIdx, MATCH("*"&amp;team&amp;"*", INDIRECT(weekSheet&amp;"$B:$B"), 0), IF(ISNA(matchIdx), "-", LET(winner, INDEX(INDIRECT(weekSheet&amp;"$C:$C"), matchIdx), IF(winner="", "-", IF(winner=team, "-", 1)))))</f>
        <v>1</v>
      </c>
      <c r="BD19" s="158">
        <f t="shared" si="45"/>
        <v>1</v>
      </c>
      <c r="BE19" s="158" t="str">
        <f t="shared" si="46"/>
        <v>-</v>
      </c>
      <c r="BF19" s="158" t="str">
        <f t="array" ref="BF19">LET(team, SUBSTITUTE(BF$1, " Wins", ""), IF(COUNTIF(INDIRECT("'"&amp;$A19&amp;"'!$C:$C"), team)&gt;0, 1, "-"))</f>
        <v>-</v>
      </c>
      <c r="BG19" s="158">
        <f t="array" ref="BG19">LET(team, SUBSTITUTE(BG$1, " Losses", ""), weekSheet, "'"&amp;$A19&amp;"'!", matchIdx, MATCH("*"&amp;team&amp;"*", INDIRECT(weekSheet&amp;"$B:$B"), 0), IF(ISNA(matchIdx), "-", LET(winner, INDEX(INDIRECT(weekSheet&amp;"$C:$C"), matchIdx), IF(winner="", "-", IF(winner=team, "-", 1)))))</f>
        <v>1</v>
      </c>
      <c r="BH19" s="158">
        <f t="shared" si="65"/>
        <v>1</v>
      </c>
      <c r="BI19" s="158" t="str">
        <f t="shared" si="66"/>
        <v>-</v>
      </c>
      <c r="BJ19" s="158">
        <f t="shared" si="47"/>
        <v>1</v>
      </c>
      <c r="BK19" s="158" t="str">
        <f t="shared" si="48"/>
        <v>-</v>
      </c>
      <c r="BL19" s="158" t="str">
        <f t="array" ref="BL19">LET(team, SUBSTITUTE(BL$1, " Wins", ""), IF(COUNTIF(INDIRECT("'"&amp;$A19&amp;"'!$C:$C"), team)&gt;0, 1, "-"))</f>
        <v>-</v>
      </c>
      <c r="BM19" s="158">
        <f t="array" ref="BM19">LET(team, SUBSTITUTE(BM$1, " Losses", ""), weekSheet, "'"&amp;$A19&amp;"'!", matchIdx, MATCH("*"&amp;team&amp;"*", INDIRECT(weekSheet&amp;"$B:$B"), 0), IF(ISNA(matchIdx), "-", LET(winner, INDEX(INDIRECT(weekSheet&amp;"$C:$C"), matchIdx), IF(winner="", "-", IF(winner=team, "-", 1)))))</f>
        <v>1</v>
      </c>
    </row>
    <row r="20">
      <c r="A20" s="227" t="s">
        <v>705</v>
      </c>
      <c r="B20" s="228">
        <f t="shared" ref="B20:BM20" si="67">SUM(B2:B19)</f>
        <v>3</v>
      </c>
      <c r="C20" s="228">
        <f t="shared" si="67"/>
        <v>3</v>
      </c>
      <c r="D20" s="228">
        <f t="shared" si="67"/>
        <v>2</v>
      </c>
      <c r="E20" s="228">
        <f t="shared" si="67"/>
        <v>4</v>
      </c>
      <c r="F20" s="228">
        <f t="shared" si="67"/>
        <v>4</v>
      </c>
      <c r="G20" s="228">
        <f t="shared" si="67"/>
        <v>2</v>
      </c>
      <c r="H20" s="228">
        <f t="shared" si="67"/>
        <v>3</v>
      </c>
      <c r="I20" s="228">
        <f t="shared" si="67"/>
        <v>3</v>
      </c>
      <c r="J20" s="228">
        <f t="shared" si="67"/>
        <v>3</v>
      </c>
      <c r="K20" s="228">
        <f t="shared" si="67"/>
        <v>3</v>
      </c>
      <c r="L20" s="228">
        <f t="shared" si="67"/>
        <v>1</v>
      </c>
      <c r="M20" s="228">
        <f t="shared" si="67"/>
        <v>5</v>
      </c>
      <c r="N20" s="228">
        <f t="shared" si="67"/>
        <v>3</v>
      </c>
      <c r="O20" s="228">
        <f t="shared" si="67"/>
        <v>3</v>
      </c>
      <c r="P20" s="228">
        <f t="shared" si="67"/>
        <v>5</v>
      </c>
      <c r="Q20" s="228">
        <f t="shared" si="67"/>
        <v>1</v>
      </c>
      <c r="R20" s="228">
        <f t="shared" si="67"/>
        <v>4</v>
      </c>
      <c r="S20" s="228">
        <f t="shared" si="67"/>
        <v>2</v>
      </c>
      <c r="T20" s="228">
        <f t="shared" si="67"/>
        <v>0</v>
      </c>
      <c r="U20" s="228">
        <f t="shared" si="67"/>
        <v>6</v>
      </c>
      <c r="V20" s="228">
        <f t="shared" si="67"/>
        <v>3</v>
      </c>
      <c r="W20" s="228">
        <f t="shared" si="67"/>
        <v>3</v>
      </c>
      <c r="X20" s="228">
        <f t="shared" si="67"/>
        <v>5</v>
      </c>
      <c r="Y20" s="228">
        <f t="shared" si="67"/>
        <v>1</v>
      </c>
      <c r="Z20" s="228">
        <f t="shared" si="67"/>
        <v>5</v>
      </c>
      <c r="AA20" s="228">
        <f t="shared" si="67"/>
        <v>1</v>
      </c>
      <c r="AB20" s="228">
        <f t="shared" si="67"/>
        <v>5</v>
      </c>
      <c r="AC20" s="228">
        <f t="shared" si="67"/>
        <v>1</v>
      </c>
      <c r="AD20" s="228">
        <f t="shared" si="67"/>
        <v>2</v>
      </c>
      <c r="AE20" s="228">
        <f t="shared" si="67"/>
        <v>4</v>
      </c>
      <c r="AF20" s="228">
        <f t="shared" si="67"/>
        <v>0</v>
      </c>
      <c r="AG20" s="228">
        <f t="shared" si="67"/>
        <v>6</v>
      </c>
      <c r="AH20" s="228">
        <f t="shared" si="67"/>
        <v>4</v>
      </c>
      <c r="AI20" s="228">
        <f t="shared" si="67"/>
        <v>2</v>
      </c>
      <c r="AJ20" s="228">
        <f t="shared" si="67"/>
        <v>3</v>
      </c>
      <c r="AK20" s="228">
        <f t="shared" si="67"/>
        <v>3</v>
      </c>
      <c r="AL20" s="228">
        <f t="shared" si="67"/>
        <v>4</v>
      </c>
      <c r="AM20" s="228">
        <f t="shared" si="67"/>
        <v>2</v>
      </c>
      <c r="AN20" s="228">
        <f t="shared" si="67"/>
        <v>1</v>
      </c>
      <c r="AO20" s="228">
        <f t="shared" si="67"/>
        <v>5</v>
      </c>
      <c r="AP20" s="228">
        <f t="shared" si="67"/>
        <v>5</v>
      </c>
      <c r="AQ20" s="228">
        <f t="shared" si="67"/>
        <v>1</v>
      </c>
      <c r="AR20" s="228">
        <f t="shared" si="67"/>
        <v>5</v>
      </c>
      <c r="AS20" s="228">
        <f t="shared" si="67"/>
        <v>1</v>
      </c>
      <c r="AT20" s="228">
        <f t="shared" si="67"/>
        <v>0</v>
      </c>
      <c r="AU20" s="228">
        <f t="shared" si="67"/>
        <v>6</v>
      </c>
      <c r="AV20" s="228">
        <f t="shared" si="67"/>
        <v>2</v>
      </c>
      <c r="AW20" s="228">
        <f t="shared" si="67"/>
        <v>4</v>
      </c>
      <c r="AX20" s="228">
        <f t="shared" si="67"/>
        <v>3</v>
      </c>
      <c r="AY20" s="228">
        <f t="shared" si="67"/>
        <v>3</v>
      </c>
      <c r="AZ20" s="228">
        <f t="shared" si="67"/>
        <v>3</v>
      </c>
      <c r="BA20" s="228">
        <f t="shared" si="67"/>
        <v>3</v>
      </c>
      <c r="BB20" s="228">
        <f t="shared" si="67"/>
        <v>1</v>
      </c>
      <c r="BC20" s="228">
        <f t="shared" si="67"/>
        <v>5</v>
      </c>
      <c r="BD20" s="228">
        <f t="shared" si="67"/>
        <v>5</v>
      </c>
      <c r="BE20" s="228">
        <f t="shared" si="67"/>
        <v>1</v>
      </c>
      <c r="BF20" s="228">
        <f t="shared" si="67"/>
        <v>3</v>
      </c>
      <c r="BG20" s="228">
        <f t="shared" si="67"/>
        <v>3</v>
      </c>
      <c r="BH20" s="228">
        <f t="shared" si="67"/>
        <v>4</v>
      </c>
      <c r="BI20" s="228">
        <f t="shared" si="67"/>
        <v>2</v>
      </c>
      <c r="BJ20" s="228">
        <f t="shared" si="67"/>
        <v>4</v>
      </c>
      <c r="BK20" s="228">
        <f t="shared" si="67"/>
        <v>2</v>
      </c>
      <c r="BL20" s="228">
        <f t="shared" si="67"/>
        <v>1</v>
      </c>
      <c r="BM20" s="228">
        <f t="shared" si="67"/>
        <v>5</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58" t="str">
        <f t="shared" ref="B2:B5" si="1">LET(team, SUBSTITUTE(B$1, " Wins", ""), IF(COUNTIF(INDIRECT("'"&amp;$A2&amp;"'!$C:$C"), team)&gt;0, 1, "-"))</f>
        <v>-</v>
      </c>
      <c r="C2" s="158">
        <f t="shared" ref="C2:C5" si="2">LET(team, SUBSTITUTE(C$1, " Losses", ""), weekSheet, "'"&amp;$A2&amp;"'!", matchIdx, MATCH("*"&amp;team&amp;"*", INDIRECT(weekSheet&amp;"$B:$B"), 0), IF(ISNA(matchIdx), "-", LET(winner, INDEX(INDIRECT(weekSheet&amp;"$C:$C"), matchIdx), IF(winner="", "-", IF(winner=team, "-", 1)))))</f>
        <v>1</v>
      </c>
      <c r="D2" s="158">
        <f t="shared" ref="D2:D3" si="3">LET(team, SUBSTITUTE(D$1, " Wins", ""), IF(COUNTIF(INDIRECT("'"&amp;$A2&amp;"'!$C:$C"), team)&gt;0, 1, "-"))</f>
        <v>1</v>
      </c>
      <c r="E2" s="158" t="str">
        <f t="shared" ref="E2:E3" si="4">LET(team, SUBSTITUTE(E$1, " Losses", ""), weekSheet, "'"&amp;$A2&amp;"'!", matchIdx, MATCH("*"&amp;team&amp;"*", INDIRECT(weekSheet&amp;"$B:$B"), 0), IF(ISNA(matchIdx), "-", LET(winner, INDEX(INDIRECT(weekSheet&amp;"$C:$C"), matchIdx), IF(winner="", "-", IF(winner=team, "-", 1)))))</f>
        <v>-</v>
      </c>
      <c r="F2" s="158">
        <f t="shared" ref="F2:F3" si="5">LET(team, SUBSTITUTE(F$1, " Wins", ""), IF(COUNTIF(INDIRECT("'"&amp;$A2&amp;"'!$C:$C"), team)&gt;0, 1, "-"))</f>
        <v>1</v>
      </c>
      <c r="G2" s="158" t="str">
        <f t="shared" ref="G2:G3" si="6">LET(team, SUBSTITUTE(G$1, " Losses", ""), weekSheet, "'"&amp;$A2&amp;"'!", matchIdx, MATCH("*"&amp;team&amp;"*", INDIRECT(weekSheet&amp;"$B:$B"), 0), IF(ISNA(matchIdx), "-", LET(winner, INDEX(INDIRECT(weekSheet&amp;"$C:$C"), matchIdx), IF(winner="", "-", IF(winner=team, "-", 1)))))</f>
        <v>-</v>
      </c>
      <c r="H2" s="160"/>
      <c r="I2" s="160"/>
      <c r="J2" s="158">
        <f t="array" ref="J2">LET(team, SUBSTITUTE(J$1, " Wins", ""), IF(COUNTIF(INDIRECT("'"&amp;$A2&amp;"'!$C:$C"), team)&gt;0, 1, "-"))</f>
        <v>1</v>
      </c>
      <c r="K2" s="158" t="str">
        <f t="array" ref="K2">LET(team, SUBSTITUTE(K$1, " Losses", ""), weekSheet, "'"&amp;$A2&amp;"'!", matchIdx, MATCH("*"&amp;team&amp;"*", INDIRECT(weekSheet&amp;"$B:$B"), 0), IF(ISNA(matchIdx), "-", LET(winner, INDEX(INDIRECT(weekSheet&amp;"$C:$C"), matchIdx), IF(winner="", "-", IF(winner=team, "-", 1)))))</f>
        <v>-</v>
      </c>
      <c r="L2" s="158" t="str">
        <f t="array" ref="L2">LET(team, SUBSTITUTE(L$1, " Wins", ""), IF(COUNTIF(INDIRECT("'"&amp;$A2&amp;"'!$C:$C"), team)&gt;0, 1, "-"))</f>
        <v>-</v>
      </c>
      <c r="M2" s="158">
        <f t="array" ref="M2">LET(team, SUBSTITUTE(M$1, " Losses", ""), weekSheet, "'"&amp;$A2&amp;"'!", matchIdx, MATCH("*"&amp;team&amp;"*", INDIRECT(weekSheet&amp;"$B:$B"), 0), IF(ISNA(matchIdx), "-", LET(winner, INDEX(INDIRECT(weekSheet&amp;"$C:$C"), matchIdx), IF(winner="", "-", IF(winner=team, "-", 1)))))</f>
        <v>1</v>
      </c>
      <c r="N2" s="158" t="str">
        <f t="array" ref="N2">LET(team, SUBSTITUTE(N$1, " Wins", ""), IF(COUNTIF(INDIRECT("'"&amp;$A2&amp;"'!$C:$C"), team)&gt;0, 1, "-"))</f>
        <v>-</v>
      </c>
      <c r="O2" s="158">
        <f t="array" ref="O2">LET(team, SUBSTITUTE(O$1, " Losses", ""), weekSheet, "'"&amp;$A2&amp;"'!", matchIdx, MATCH("*"&amp;team&amp;"*", INDIRECT(weekSheet&amp;"$B:$B"), 0), IF(ISNA(matchIdx), "-", LET(winner, INDEX(INDIRECT(weekSheet&amp;"$C:$C"), matchIdx), IF(winner="", "-", IF(winner=team, "-", 1)))))</f>
        <v>1</v>
      </c>
      <c r="P2" s="160"/>
      <c r="Q2" s="160"/>
      <c r="R2" s="158">
        <f t="array" ref="R2">LET(team, SUBSTITUTE(R$1, " Wins", ""), IF(COUNTIF(INDIRECT("'"&amp;$A2&amp;"'!$C:$C"), team)&gt;0, 1, "-"))</f>
        <v>1</v>
      </c>
      <c r="S2" s="158" t="str">
        <f t="array" ref="S2">LET(team, SUBSTITUTE(S$1, " Losses", ""), weekSheet, "'"&amp;$A2&amp;"'!", matchIdx, MATCH("*"&amp;team&amp;"*", INDIRECT(weekSheet&amp;"$B:$B"), 0), IF(ISNA(matchIdx), "-", LET(winner, INDEX(INDIRECT(weekSheet&amp;"$C:$C"), matchIdx), IF(winner="", "-", IF(winner=team, "-", 1)))))</f>
        <v>-</v>
      </c>
      <c r="T2" s="158" t="str">
        <f t="array" ref="T2">LET(team, SUBSTITUTE(T$1, " Wins", ""), IF(COUNTIF(INDIRECT("'"&amp;$A2&amp;"'!$C:$C"), team)&gt;0, 1, "-"))</f>
        <v>-</v>
      </c>
      <c r="U2" s="158">
        <f t="array" ref="U2">LET(team, SUBSTITUTE(U$1, " Losses", ""), weekSheet, "'"&amp;$A2&amp;"'!", matchIdx, MATCH("*"&amp;team&amp;"*", INDIRECT(weekSheet&amp;"$B:$B"), 0), IF(ISNA(matchIdx), "-", LET(winner, INDEX(INDIRECT(weekSheet&amp;"$C:$C"), matchIdx), IF(winner="", "-", IF(winner=team, "-", 1)))))</f>
        <v>1</v>
      </c>
      <c r="V2" s="160"/>
      <c r="W2" s="160"/>
      <c r="X2" s="160"/>
      <c r="Y2" s="160"/>
      <c r="Z2" s="158" t="str">
        <f t="shared" ref="Z2:Z4" si="7">LET(team, SUBSTITUTE(Z$1, " Wins", ""), IF(COUNTIF(INDIRECT("'"&amp;$A2&amp;"'!$C:$C"), team)&gt;0, 1, "-"))</f>
        <v>-</v>
      </c>
      <c r="AA2" s="158">
        <f t="shared" ref="AA2:AA4" si="8">LET(team, SUBSTITUTE(AA$1, " Losses", ""), weekSheet, "'"&amp;$A2&amp;"'!", matchIdx, MATCH("*"&amp;team&amp;"*", INDIRECT(weekSheet&amp;"$B:$B"), 0), IF(ISNA(matchIdx), "-", LET(winner, INDEX(INDIRECT(weekSheet&amp;"$C:$C"), matchIdx), IF(winner="", "-", IF(winner=team, "-", 1)))))</f>
        <v>1</v>
      </c>
      <c r="AB2" s="158">
        <f t="shared" ref="AB2:AB5" si="9">LET(team, SUBSTITUTE(AB$1, " Wins", ""), IF(COUNTIF(INDIRECT("'"&amp;$A2&amp;"'!$C:$C"), team)&gt;0, 1, "-"))</f>
        <v>1</v>
      </c>
      <c r="AC2" s="158" t="str">
        <f t="shared" ref="AC2:AC5" si="10">LET(team, SUBSTITUTE(AC$1, " Losses", ""), weekSheet, "'"&amp;$A2&amp;"'!", matchIdx, MATCH("*"&amp;team&amp;"*", INDIRECT(weekSheet&amp;"$B:$B"), 0), IF(ISNA(matchIdx), "-", LET(winner, INDEX(INDIRECT(weekSheet&amp;"$C:$C"), matchIdx), IF(winner="", "-", IF(winner=team, "-", 1)))))</f>
        <v>-</v>
      </c>
      <c r="AD2" s="158" t="str">
        <f t="shared" ref="AD2:AD4" si="11">LET(team, SUBSTITUTE(AD$1, " Wins", ""), IF(COUNTIF(INDIRECT("'"&amp;$A2&amp;"'!$C:$C"), team)&gt;0, 1, "-"))</f>
        <v>-</v>
      </c>
      <c r="AE2" s="158">
        <f t="shared" ref="AE2:AE4" si="12">LET(team, SUBSTITUTE(AE$1, " Losses", ""), weekSheet, "'"&amp;$A2&amp;"'!", matchIdx, MATCH("*"&amp;team&amp;"*", INDIRECT(weekSheet&amp;"$B:$B"), 0), IF(ISNA(matchIdx), "-", LET(winner, INDEX(INDIRECT(weekSheet&amp;"$C:$C"), matchIdx), IF(winner="", "-", IF(winner=team, "-", 1)))))</f>
        <v>1</v>
      </c>
      <c r="AF2" s="158">
        <f t="array" ref="AF2">LET(team, SUBSTITUTE(AF$1, " Wins", ""), IF(COUNTIF(INDIRECT("'"&amp;$A2&amp;"'!$C:$C"), team)&gt;0, 1, "-"))</f>
        <v>1</v>
      </c>
      <c r="AG2" s="158" t="str">
        <f t="array" ref="AG2">LET(team, SUBSTITUTE(AG$1, " Losses", ""), weekSheet, "'"&amp;$A2&amp;"'!", matchIdx, MATCH("*"&amp;team&amp;"*", INDIRECT(weekSheet&amp;"$B:$B"), 0), IF(ISNA(matchIdx), "-", LET(winner, INDEX(INDIRECT(weekSheet&amp;"$C:$C"), matchIdx), IF(winner="", "-", IF(winner=team, "-", 1)))))</f>
        <v>-</v>
      </c>
      <c r="AH2" s="158" t="str">
        <f t="array" ref="AH2">LET(team, SUBSTITUTE(AH$1, " Wins", ""), IF(COUNTIF(INDIRECT("'"&amp;$A2&amp;"'!$C:$C"), team)&gt;0, 1, "-"))</f>
        <v>-</v>
      </c>
      <c r="AI2" s="158">
        <f t="array" ref="AI2">LET(team, SUBSTITUTE(AI$1, " Losses", ""), weekSheet, "'"&amp;$A2&amp;"'!", matchIdx, MATCH("*"&amp;team&amp;"*", INDIRECT(weekSheet&amp;"$B:$B"), 0), IF(ISNA(matchIdx), "-", LET(winner, INDEX(INDIRECT(weekSheet&amp;"$C:$C"), matchIdx), IF(winner="", "-", IF(winner=team, "-", 1)))))</f>
        <v>1</v>
      </c>
      <c r="AJ2" s="158">
        <f t="shared" ref="AJ2:AJ3" si="13">LET(team, SUBSTITUTE(AJ$1, " Wins", ""), IF(COUNTIF(INDIRECT("'"&amp;$A2&amp;"'!$C:$C"), team)&gt;0, 1, "-"))</f>
        <v>1</v>
      </c>
      <c r="AK2" s="158" t="str">
        <f t="shared" ref="AK2:AK3" si="14">LET(team, SUBSTITUTE(AK$1, " Losses", ""), weekSheet, "'"&amp;$A2&amp;"'!", matchIdx, MATCH("*"&amp;team&amp;"*", INDIRECT(weekSheet&amp;"$B:$B"), 0), IF(ISNA(matchIdx), "-", LET(winner, INDEX(INDIRECT(weekSheet&amp;"$C:$C"), matchIdx), IF(winner="", "-", IF(winner=team, "-", 1)))))</f>
        <v>-</v>
      </c>
      <c r="AL2" s="160"/>
      <c r="AM2" s="160"/>
      <c r="AN2" s="160"/>
      <c r="AO2" s="160"/>
      <c r="AP2" s="158">
        <f t="shared" ref="AP2:AP3" si="15">LET(team, SUBSTITUTE(AP$1, " Wins", ""), IF(COUNTIF(INDIRECT("'"&amp;$A2&amp;"'!$C:$C"), team)&gt;0, 1, "-"))</f>
        <v>1</v>
      </c>
      <c r="AQ2" s="158" t="str">
        <f t="shared" ref="AQ2:AQ3" si="16">LET(team, SUBSTITUTE(AQ$1, " Losses", ""), weekSheet, "'"&amp;$A2&amp;"'!", matchIdx, MATCH("*"&amp;team&amp;"*", INDIRECT(weekSheet&amp;"$B:$B"), 0), IF(ISNA(matchIdx), "-", LET(winner, INDEX(INDIRECT(weekSheet&amp;"$C:$C"), matchIdx), IF(winner="", "-", IF(winner=team, "-", 1)))))</f>
        <v>-</v>
      </c>
      <c r="AR2" s="158">
        <f t="array" ref="AR2">LET(team, SUBSTITUTE(AR$1, " Wins", ""), IF(COUNTIF(INDIRECT("'"&amp;$A2&amp;"'!$C:$C"), team)&gt;0, 1, "-"))</f>
        <v>1</v>
      </c>
      <c r="AS2" s="158" t="str">
        <f t="array" ref="AS2">LET(team, SUBSTITUTE(AS$1, " Losses", ""), weekSheet, "'"&amp;$A2&amp;"'!", matchIdx, MATCH("*"&amp;team&amp;"*", INDIRECT(weekSheet&amp;"$B:$B"), 0), IF(ISNA(matchIdx), "-", LET(winner, INDEX(INDIRECT(weekSheet&amp;"$C:$C"), matchIdx), IF(winner="", "-", IF(winner=team, "-", 1)))))</f>
        <v>-</v>
      </c>
      <c r="AT2" s="158" t="str">
        <f t="shared" ref="AT2:AT3" si="17">LET(team, SUBSTITUTE(AT$1, " Wins", ""), IF(COUNTIF(INDIRECT("'"&amp;$A2&amp;"'!$C:$C"), team)&gt;0, 1, "-"))</f>
        <v>-</v>
      </c>
      <c r="AU2" s="158">
        <f t="shared" ref="AU2:AU3" si="18">LET(team, SUBSTITUTE(AU$1, " Losses", ""), weekSheet, "'"&amp;$A2&amp;"'!", matchIdx, MATCH("*"&amp;team&amp;"*", INDIRECT(weekSheet&amp;"$B:$B"), 0), IF(ISNA(matchIdx), "-", LET(winner, INDEX(INDIRECT(weekSheet&amp;"$C:$C"), matchIdx), IF(winner="", "-", IF(winner=team, "-", 1)))))</f>
        <v>1</v>
      </c>
      <c r="AV2" s="158" t="str">
        <f t="shared" ref="AV2:AV4" si="19">LET(team, SUBSTITUTE(AV$1, " Wins", ""), IF(COUNTIF(INDIRECT("'"&amp;$A2&amp;"'!$C:$C"), team)&gt;0, 1, "-"))</f>
        <v>-</v>
      </c>
      <c r="AW2" s="158">
        <f t="shared" ref="AW2:AW4" si="20">LET(team, SUBSTITUTE(AW$1, " Losses", ""), weekSheet, "'"&amp;$A2&amp;"'!", matchIdx, MATCH("*"&amp;team&amp;"*", INDIRECT(weekSheet&amp;"$B:$B"), 0), IF(ISNA(matchIdx), "-", LET(winner, INDEX(INDIRECT(weekSheet&amp;"$C:$C"), matchIdx), IF(winner="", "-", IF(winner=team, "-", 1)))))</f>
        <v>1</v>
      </c>
      <c r="AX2" s="158">
        <f t="array" ref="AX2">LET(team, SUBSTITUTE(AX$1, " Wins", ""), IF(COUNTIF(INDIRECT("'"&amp;$A2&amp;"'!$C:$C"), team)&gt;0, 1, "-"))</f>
        <v>1</v>
      </c>
      <c r="AY2" s="158" t="str">
        <f t="array" ref="AY2">LET(team, SUBSTITUTE(AY$1, " Losses", ""), weekSheet, "'"&amp;$A2&amp;"'!", matchIdx, MATCH("*"&amp;team&amp;"*", INDIRECT(weekSheet&amp;"$B:$B"), 0), IF(ISNA(matchIdx), "-", LET(winner, INDEX(INDIRECT(weekSheet&amp;"$C:$C"), matchIdx), IF(winner="", "-", IF(winner=team, "-", 1)))))</f>
        <v>-</v>
      </c>
      <c r="AZ2" s="158" t="str">
        <f t="array" ref="AZ2">LET(team, SUBSTITUTE(AZ$1, " Wins", ""), IF(COUNTIF(INDIRECT("'"&amp;$A2&amp;"'!$C:$C"), team)&gt;0, 1, "-"))</f>
        <v>-</v>
      </c>
      <c r="BA2" s="158">
        <f t="array" ref="BA2">LET(team, SUBSTITUTE(BA$1, " Losses", ""), weekSheet, "'"&amp;$A2&amp;"'!", matchIdx, MATCH("*"&amp;team&amp;"*", INDIRECT(weekSheet&amp;"$B:$B"), 0), IF(ISNA(matchIdx), "-", LET(winner, INDEX(INDIRECT(weekSheet&amp;"$C:$C"), matchIdx), IF(winner="", "-", IF(winner=team, "-", 1)))))</f>
        <v>1</v>
      </c>
      <c r="BB2" s="158">
        <f t="shared" ref="BB2:BB4" si="21">LET(team, SUBSTITUTE(BB$1, " Wins", ""), IF(COUNTIF(INDIRECT("'"&amp;$A2&amp;"'!$C:$C"), team)&gt;0, 1, "-"))</f>
        <v>1</v>
      </c>
      <c r="BC2" s="158" t="str">
        <f t="shared" ref="BC2:BC4" si="22">LET(team, SUBSTITUTE(BC$1, " Losses", ""), weekSheet, "'"&amp;$A2&amp;"'!", matchIdx, MATCH("*"&amp;team&amp;"*", INDIRECT(weekSheet&amp;"$B:$B"), 0), IF(ISNA(matchIdx), "-", LET(winner, INDEX(INDIRECT(weekSheet&amp;"$C:$C"), matchIdx), IF(winner="", "-", IF(winner=team, "-", 1)))))</f>
        <v>-</v>
      </c>
      <c r="BD2" s="158">
        <f t="shared" ref="BD2:BD4" si="23">LET(team, SUBSTITUTE(BD$1, " Wins", ""), IF(COUNTIF(INDIRECT("'"&amp;$A2&amp;"'!$C:$C"), team)&gt;0, 1, "-"))</f>
        <v>1</v>
      </c>
      <c r="BE2" s="158" t="str">
        <f t="shared" ref="BE2:BE4" si="24">LET(team, SUBSTITUTE(BE$1, " Losses", ""), weekSheet, "'"&amp;$A2&amp;"'!", matchIdx, MATCH("*"&amp;team&amp;"*", INDIRECT(weekSheet&amp;"$B:$B"), 0), IF(ISNA(matchIdx), "-", LET(winner, INDEX(INDIRECT(weekSheet&amp;"$C:$C"), matchIdx), IF(winner="", "-", IF(winner=team, "-", 1)))))</f>
        <v>-</v>
      </c>
      <c r="BF2" s="160"/>
      <c r="BG2" s="160"/>
      <c r="BH2" s="158" t="str">
        <f t="array" ref="BH2">LET(team, SUBSTITUTE(BH$1, " Wins", ""), IF(COUNTIF(INDIRECT("'"&amp;$A2&amp;"'!$C:$C"), team)&gt;0, 1, "-"))</f>
        <v>-</v>
      </c>
      <c r="BI2" s="158">
        <f t="array" ref="BI2">LET(team, SUBSTITUTE(BI$1, " Losses", ""), weekSheet, "'"&amp;$A2&amp;"'!", matchIdx, MATCH("*"&amp;team&amp;"*", INDIRECT(weekSheet&amp;"$B:$B"), 0), IF(ISNA(matchIdx), "-", LET(winner, INDEX(INDIRECT(weekSheet&amp;"$C:$C"), matchIdx), IF(winner="", "-", IF(winner=team, "-", 1)))))</f>
        <v>1</v>
      </c>
      <c r="BJ2" s="160"/>
      <c r="BK2" s="160"/>
      <c r="BL2" s="158" t="str">
        <f t="shared" ref="BL2:BL3" si="25">LET(team, SUBSTITUTE(BL$1, " Wins", ""), IF(COUNTIF(INDIRECT("'"&amp;$A2&amp;"'!$C:$C"), team)&gt;0, 1, "-"))</f>
        <v>-</v>
      </c>
      <c r="BM2" s="158">
        <f t="shared" ref="BM2:BM3" si="26">LET(team, SUBSTITUTE(BM$1, " Losses", ""), weekSheet, "'"&amp;$A2&amp;"'!", matchIdx, MATCH("*"&amp;team&amp;"*", INDIRECT(weekSheet&amp;"$B:$B"), 0), IF(ISNA(matchIdx), "-", LET(winner, INDEX(INDIRECT(weekSheet&amp;"$C:$C"), matchIdx), IF(winner="", "-", IF(winner=team, "-", 1)))))</f>
        <v>1</v>
      </c>
    </row>
    <row r="3">
      <c r="A3" s="157" t="s">
        <v>119</v>
      </c>
      <c r="B3" s="158" t="str">
        <f t="shared" si="1"/>
        <v>-</v>
      </c>
      <c r="C3" s="158">
        <f t="shared" si="2"/>
        <v>1</v>
      </c>
      <c r="D3" s="158" t="str">
        <f t="shared" si="3"/>
        <v>-</v>
      </c>
      <c r="E3" s="158">
        <f t="shared" si="4"/>
        <v>1</v>
      </c>
      <c r="F3" s="158">
        <f t="shared" si="5"/>
        <v>1</v>
      </c>
      <c r="G3" s="158" t="str">
        <f t="shared" si="6"/>
        <v>-</v>
      </c>
      <c r="H3" s="158">
        <f t="shared" ref="H3:H4" si="27">LET(team, SUBSTITUTE(H$1, " Wins", ""), IF(COUNTIF(INDIRECT("'"&amp;$A3&amp;"'!$C:$C"), team)&gt;0, 1, "-"))</f>
        <v>1</v>
      </c>
      <c r="I3" s="158" t="str">
        <f t="shared" ref="I3:I4" si="28">LET(team, SUBSTITUTE(I$1, " Losses", ""), weekSheet, "'"&amp;$A3&amp;"'!", matchIdx, MATCH("*"&amp;team&amp;"*", INDIRECT(weekSheet&amp;"$B:$B"), 0), IF(ISNA(matchIdx), "-", LET(winner, INDEX(INDIRECT(weekSheet&amp;"$C:$C"), matchIdx), IF(winner="", "-", IF(winner=team, "-", 1)))))</f>
        <v>-</v>
      </c>
      <c r="J3" s="160"/>
      <c r="K3" s="160"/>
      <c r="L3" s="160"/>
      <c r="M3" s="160"/>
      <c r="N3" s="160"/>
      <c r="O3" s="160"/>
      <c r="P3" s="158" t="str">
        <f t="shared" ref="P3:P7" si="29">LET(team, SUBSTITUTE(P$1, " Wins", ""), IF(COUNTIF(INDIRECT("'"&amp;$A3&amp;"'!$C:$C"), team)&gt;0, 1, "-"))</f>
        <v>-</v>
      </c>
      <c r="Q3" s="158">
        <f t="shared" ref="Q3:Q7" si="30">LET(team, SUBSTITUTE(Q$1, " Losses", ""), weekSheet, "'"&amp;$A3&amp;"'!", matchIdx, MATCH("*"&amp;team&amp;"*", INDIRECT(weekSheet&amp;"$B:$B"), 0), IF(ISNA(matchIdx), "-", LET(winner, INDEX(INDIRECT(weekSheet&amp;"$C:$C"), matchIdx), IF(winner="", "-", IF(winner=team, "-", 1)))))</f>
        <v>1</v>
      </c>
      <c r="R3" s="160"/>
      <c r="S3" s="160"/>
      <c r="T3" s="160"/>
      <c r="U3" s="160"/>
      <c r="V3" s="158">
        <f t="shared" ref="V3:V6" si="31">LET(team, SUBSTITUTE(V$1, " Wins", ""), IF(COUNTIF(INDIRECT("'"&amp;$A3&amp;"'!$C:$C"), team)&gt;0, 1, "-"))</f>
        <v>1</v>
      </c>
      <c r="W3" s="158" t="str">
        <f t="shared" ref="W3:W6" si="32">LET(team, SUBSTITUTE(W$1, " Losses", ""), weekSheet, "'"&amp;$A3&amp;"'!", matchIdx, MATCH("*"&amp;team&amp;"*", INDIRECT(weekSheet&amp;"$B:$B"), 0), IF(ISNA(matchIdx), "-", LET(winner, INDEX(INDIRECT(weekSheet&amp;"$C:$C"), matchIdx), IF(winner="", "-", IF(winner=team, "-", 1)))))</f>
        <v>-</v>
      </c>
      <c r="X3" s="158" t="str">
        <f t="shared" ref="X3:X6" si="33">LET(team, SUBSTITUTE(X$1, " Wins", ""), IF(COUNTIF(INDIRECT("'"&amp;$A3&amp;"'!$C:$C"), team)&gt;0, 1, "-"))</f>
        <v>-</v>
      </c>
      <c r="Y3" s="158">
        <f t="shared" ref="Y3:Y6" si="34">LET(team, SUBSTITUTE(Y$1, " Losses", ""), weekSheet, "'"&amp;$A3&amp;"'!", matchIdx, MATCH("*"&amp;team&amp;"*", INDIRECT(weekSheet&amp;"$B:$B"), 0), IF(ISNA(matchIdx), "-", LET(winner, INDEX(INDIRECT(weekSheet&amp;"$C:$C"), matchIdx), IF(winner="", "-", IF(winner=team, "-", 1)))))</f>
        <v>1</v>
      </c>
      <c r="Z3" s="158">
        <f t="shared" si="7"/>
        <v>1</v>
      </c>
      <c r="AA3" s="158" t="str">
        <f t="shared" si="8"/>
        <v>-</v>
      </c>
      <c r="AB3" s="158" t="str">
        <f t="shared" si="9"/>
        <v>-</v>
      </c>
      <c r="AC3" s="158">
        <f t="shared" si="10"/>
        <v>1</v>
      </c>
      <c r="AD3" s="158">
        <f t="shared" si="11"/>
        <v>1</v>
      </c>
      <c r="AE3" s="158" t="str">
        <f t="shared" si="12"/>
        <v>-</v>
      </c>
      <c r="AF3" s="160"/>
      <c r="AG3" s="160"/>
      <c r="AH3" s="160"/>
      <c r="AI3" s="160"/>
      <c r="AJ3" s="158">
        <f t="shared" si="13"/>
        <v>1</v>
      </c>
      <c r="AK3" s="158" t="str">
        <f t="shared" si="14"/>
        <v>-</v>
      </c>
      <c r="AL3" s="158">
        <f t="shared" ref="AL3:AL4" si="35">LET(team, SUBSTITUTE(AL$1, " Wins", ""), IF(COUNTIF(INDIRECT("'"&amp;$A3&amp;"'!$C:$C"), team)&gt;0, 1, "-"))</f>
        <v>1</v>
      </c>
      <c r="AM3" s="158" t="str">
        <f t="shared" ref="AM3:AM4" si="36">LET(team, SUBSTITUTE(AM$1, " Losses", ""), weekSheet, "'"&amp;$A3&amp;"'!", matchIdx, MATCH("*"&amp;team&amp;"*", INDIRECT(weekSheet&amp;"$B:$B"), 0), IF(ISNA(matchIdx), "-", LET(winner, INDEX(INDIRECT(weekSheet&amp;"$C:$C"), matchIdx), IF(winner="", "-", IF(winner=team, "-", 1)))))</f>
        <v>-</v>
      </c>
      <c r="AN3" s="158" t="str">
        <f t="shared" ref="AN3:AN7" si="37">LET(team, SUBSTITUTE(AN$1, " Wins", ""), IF(COUNTIF(INDIRECT("'"&amp;$A3&amp;"'!$C:$C"), team)&gt;0, 1, "-"))</f>
        <v>-</v>
      </c>
      <c r="AO3" s="158">
        <f t="shared" ref="AO3:AO7" si="38">LET(team, SUBSTITUTE(AO$1, " Losses", ""), weekSheet, "'"&amp;$A3&amp;"'!", matchIdx, MATCH("*"&amp;team&amp;"*", INDIRECT(weekSheet&amp;"$B:$B"), 0), IF(ISNA(matchIdx), "-", LET(winner, INDEX(INDIRECT(weekSheet&amp;"$C:$C"), matchIdx), IF(winner="", "-", IF(winner=team, "-", 1)))))</f>
        <v>1</v>
      </c>
      <c r="AP3" s="158">
        <f t="shared" si="15"/>
        <v>1</v>
      </c>
      <c r="AQ3" s="158" t="str">
        <f t="shared" si="16"/>
        <v>-</v>
      </c>
      <c r="AR3" s="160"/>
      <c r="AS3" s="160"/>
      <c r="AT3" s="158" t="str">
        <f t="shared" si="17"/>
        <v>-</v>
      </c>
      <c r="AU3" s="158">
        <f t="shared" si="18"/>
        <v>1</v>
      </c>
      <c r="AV3" s="158" t="str">
        <f t="shared" si="19"/>
        <v>-</v>
      </c>
      <c r="AW3" s="158">
        <f t="shared" si="20"/>
        <v>1</v>
      </c>
      <c r="AX3" s="160"/>
      <c r="AY3" s="160"/>
      <c r="AZ3" s="160"/>
      <c r="BA3" s="160"/>
      <c r="BB3" s="158" t="str">
        <f t="shared" si="21"/>
        <v>-</v>
      </c>
      <c r="BC3" s="158">
        <f t="shared" si="22"/>
        <v>1</v>
      </c>
      <c r="BD3" s="158">
        <f t="shared" si="23"/>
        <v>1</v>
      </c>
      <c r="BE3" s="158" t="str">
        <f t="shared" si="24"/>
        <v>-</v>
      </c>
      <c r="BF3" s="160"/>
      <c r="BG3" s="160"/>
      <c r="BH3" s="160"/>
      <c r="BI3" s="160"/>
      <c r="BJ3" s="158">
        <f t="shared" ref="BJ3:BJ5" si="39">LET(team, SUBSTITUTE(BJ$1, " Wins", ""), IF(COUNTIF(INDIRECT("'"&amp;$A3&amp;"'!$C:$C"), team)&gt;0, 1, "-"))</f>
        <v>1</v>
      </c>
      <c r="BK3" s="158" t="str">
        <f t="shared" ref="BK3:BK5" si="40">LET(team, SUBSTITUTE(BK$1, " Losses", ""), weekSheet, "'"&amp;$A3&amp;"'!", matchIdx, MATCH("*"&amp;team&amp;"*", INDIRECT(weekSheet&amp;"$B:$B"), 0), IF(ISNA(matchIdx), "-", LET(winner, INDEX(INDIRECT(weekSheet&amp;"$C:$C"), matchIdx), IF(winner="", "-", IF(winner=team, "-", 1)))))</f>
        <v>-</v>
      </c>
      <c r="BL3" s="158" t="str">
        <f t="shared" si="25"/>
        <v>-</v>
      </c>
      <c r="BM3" s="158">
        <f t="shared" si="26"/>
        <v>1</v>
      </c>
    </row>
    <row r="4">
      <c r="A4" s="157" t="s">
        <v>130</v>
      </c>
      <c r="B4" s="158">
        <f t="shared" si="1"/>
        <v>1</v>
      </c>
      <c r="C4" s="158" t="str">
        <f t="shared" si="2"/>
        <v>-</v>
      </c>
      <c r="D4" s="160"/>
      <c r="E4" s="160"/>
      <c r="F4" s="160"/>
      <c r="G4" s="160"/>
      <c r="H4" s="158" t="str">
        <f t="shared" si="27"/>
        <v>-</v>
      </c>
      <c r="I4" s="158">
        <f t="shared" si="28"/>
        <v>1</v>
      </c>
      <c r="J4" s="158">
        <f t="shared" ref="J4:J5" si="41">LET(team, SUBSTITUTE(J$1, " Wins", ""), IF(COUNTIF(INDIRECT("'"&amp;$A4&amp;"'!$C:$C"), team)&gt;0, 1, "-"))</f>
        <v>1</v>
      </c>
      <c r="K4" s="158" t="str">
        <f t="shared" ref="K4:K5" si="42">LET(team, SUBSTITUTE(K$1, " Losses", ""), weekSheet, "'"&amp;$A4&amp;"'!", matchIdx, MATCH("*"&amp;team&amp;"*", INDIRECT(weekSheet&amp;"$B:$B"), 0), IF(ISNA(matchIdx), "-", LET(winner, INDEX(INDIRECT(weekSheet&amp;"$C:$C"), matchIdx), IF(winner="", "-", IF(winner=team, "-", 1)))))</f>
        <v>-</v>
      </c>
      <c r="L4" s="158" t="str">
        <f t="array" ref="L4">LET(team, SUBSTITUTE(L$1, " Wins", ""), IF(COUNTIF(INDIRECT("'"&amp;$A4&amp;"'!$C:$C"), team)&gt;0, 1, "-"))</f>
        <v>-</v>
      </c>
      <c r="M4" s="158">
        <f t="array" ref="M4">LET(team, SUBSTITUTE(M$1, " Losses", ""), weekSheet, "'"&amp;$A4&amp;"'!", matchIdx, MATCH("*"&amp;team&amp;"*", INDIRECT(weekSheet&amp;"$B:$B"), 0), IF(ISNA(matchIdx), "-", LET(winner, INDEX(INDIRECT(weekSheet&amp;"$C:$C"), matchIdx), IF(winner="", "-", IF(winner=team, "-", 1)))))</f>
        <v>1</v>
      </c>
      <c r="N4" s="160"/>
      <c r="O4" s="160"/>
      <c r="P4" s="158">
        <f t="shared" si="29"/>
        <v>1</v>
      </c>
      <c r="Q4" s="158" t="str">
        <f t="shared" si="30"/>
        <v>-</v>
      </c>
      <c r="R4" s="160"/>
      <c r="S4" s="160"/>
      <c r="T4" s="160"/>
      <c r="U4" s="160"/>
      <c r="V4" s="158" t="str">
        <f t="shared" si="31"/>
        <v>-</v>
      </c>
      <c r="W4" s="158">
        <f t="shared" si="32"/>
        <v>1</v>
      </c>
      <c r="X4" s="158">
        <f t="shared" si="33"/>
        <v>1</v>
      </c>
      <c r="Y4" s="158" t="str">
        <f t="shared" si="34"/>
        <v>-</v>
      </c>
      <c r="Z4" s="158">
        <f t="shared" si="7"/>
        <v>1</v>
      </c>
      <c r="AA4" s="158" t="str">
        <f t="shared" si="8"/>
        <v>-</v>
      </c>
      <c r="AB4" s="158" t="str">
        <f t="shared" si="9"/>
        <v>-</v>
      </c>
      <c r="AC4" s="158">
        <f t="shared" si="10"/>
        <v>1</v>
      </c>
      <c r="AD4" s="158" t="str">
        <f t="shared" si="11"/>
        <v>-</v>
      </c>
      <c r="AE4" s="158">
        <f t="shared" si="12"/>
        <v>1</v>
      </c>
      <c r="AF4" s="160"/>
      <c r="AG4" s="160"/>
      <c r="AH4" s="158">
        <f t="array" ref="AH4">LET(team, SUBSTITUTE(AH$1, " Wins", ""), IF(COUNTIF(INDIRECT("'"&amp;$A4&amp;"'!$C:$C"), team)&gt;0, 1, "-"))</f>
        <v>1</v>
      </c>
      <c r="AI4" s="158" t="str">
        <f t="array" ref="AI4">LET(team, SUBSTITUTE(AI$1, " Losses", ""), weekSheet, "'"&amp;$A4&amp;"'!", matchIdx, MATCH("*"&amp;team&amp;"*", INDIRECT(weekSheet&amp;"$B:$B"), 0), IF(ISNA(matchIdx), "-", LET(winner, INDEX(INDIRECT(weekSheet&amp;"$C:$C"), matchIdx), IF(winner="", "-", IF(winner=team, "-", 1)))))</f>
        <v>-</v>
      </c>
      <c r="AJ4" s="160"/>
      <c r="AK4" s="160"/>
      <c r="AL4" s="158">
        <f t="shared" si="35"/>
        <v>1</v>
      </c>
      <c r="AM4" s="158" t="str">
        <f t="shared" si="36"/>
        <v>-</v>
      </c>
      <c r="AN4" s="158" t="str">
        <f t="shared" si="37"/>
        <v>-</v>
      </c>
      <c r="AO4" s="158">
        <f t="shared" si="38"/>
        <v>1</v>
      </c>
      <c r="AP4" s="160"/>
      <c r="AQ4" s="160"/>
      <c r="AR4" s="158">
        <f t="shared" ref="AR4:AR5" si="43">LET(team, SUBSTITUTE(AR$1, " Wins", ""), IF(COUNTIF(INDIRECT("'"&amp;$A4&amp;"'!$C:$C"), team)&gt;0, 1, "-"))</f>
        <v>1</v>
      </c>
      <c r="AS4" s="158" t="str">
        <f t="shared" ref="AS4:AS5" si="44">LET(team, SUBSTITUTE(AS$1, " Losses", ""), weekSheet, "'"&amp;$A4&amp;"'!", matchIdx, MATCH("*"&amp;team&amp;"*", INDIRECT(weekSheet&amp;"$B:$B"), 0), IF(ISNA(matchIdx), "-", LET(winner, INDEX(INDIRECT(weekSheet&amp;"$C:$C"), matchIdx), IF(winner="", "-", IF(winner=team, "-", 1)))))</f>
        <v>-</v>
      </c>
      <c r="AT4" s="160"/>
      <c r="AU4" s="160"/>
      <c r="AV4" s="158" t="str">
        <f t="shared" si="19"/>
        <v>-</v>
      </c>
      <c r="AW4" s="158">
        <f t="shared" si="20"/>
        <v>1</v>
      </c>
      <c r="AX4" s="160"/>
      <c r="AY4" s="160"/>
      <c r="AZ4" s="158">
        <f t="shared" ref="AZ4:AZ9" si="45">LET(team, SUBSTITUTE(AZ$1, " Wins", ""), IF(COUNTIF(INDIRECT("'"&amp;$A4&amp;"'!$C:$C"), team)&gt;0, 1, "-"))</f>
        <v>1</v>
      </c>
      <c r="BA4" s="158" t="str">
        <f t="shared" ref="BA4:BA9" si="46">LET(team, SUBSTITUTE(BA$1, " Losses", ""), weekSheet, "'"&amp;$A4&amp;"'!", matchIdx, MATCH("*"&amp;team&amp;"*", INDIRECT(weekSheet&amp;"$B:$B"), 0), IF(ISNA(matchIdx), "-", LET(winner, INDEX(INDIRECT(weekSheet&amp;"$C:$C"), matchIdx), IF(winner="", "-", IF(winner=team, "-", 1)))))</f>
        <v>-</v>
      </c>
      <c r="BB4" s="158">
        <f t="shared" si="21"/>
        <v>1</v>
      </c>
      <c r="BC4" s="158" t="str">
        <f t="shared" si="22"/>
        <v>-</v>
      </c>
      <c r="BD4" s="158" t="str">
        <f t="shared" si="23"/>
        <v>-</v>
      </c>
      <c r="BE4" s="158">
        <f t="shared" si="24"/>
        <v>1</v>
      </c>
      <c r="BF4" s="158" t="str">
        <f t="shared" ref="BF4:BF6" si="47">LET(team, SUBSTITUTE(BF$1, " Wins", ""), IF(COUNTIF(INDIRECT("'"&amp;$A4&amp;"'!$C:$C"), team)&gt;0, 1, "-"))</f>
        <v>-</v>
      </c>
      <c r="BG4" s="158">
        <f t="shared" ref="BG4:BG6" si="48">LET(team, SUBSTITUTE(BG$1, " Losses", ""), weekSheet, "'"&amp;$A4&amp;"'!", matchIdx, MATCH("*"&amp;team&amp;"*", INDIRECT(weekSheet&amp;"$B:$B"), 0), IF(ISNA(matchIdx), "-", LET(winner, INDEX(INDIRECT(weekSheet&amp;"$C:$C"), matchIdx), IF(winner="", "-", IF(winner=team, "-", 1)))))</f>
        <v>1</v>
      </c>
      <c r="BH4" s="160"/>
      <c r="BI4" s="160"/>
      <c r="BJ4" s="158" t="str">
        <f t="shared" si="39"/>
        <v>-</v>
      </c>
      <c r="BK4" s="158">
        <f t="shared" si="40"/>
        <v>1</v>
      </c>
      <c r="BL4" s="160"/>
      <c r="BM4" s="160"/>
    </row>
    <row r="5">
      <c r="A5" s="157" t="s">
        <v>141</v>
      </c>
      <c r="B5" s="158" t="str">
        <f t="shared" si="1"/>
        <v>-</v>
      </c>
      <c r="C5" s="158">
        <f t="shared" si="2"/>
        <v>1</v>
      </c>
      <c r="D5" s="158">
        <f t="shared" ref="D5:D7" si="49">LET(team, SUBSTITUTE(D$1, " Wins", ""), IF(COUNTIF(INDIRECT("'"&amp;$A5&amp;"'!$C:$C"), team)&gt;0, 1, "-"))</f>
        <v>1</v>
      </c>
      <c r="E5" s="158" t="str">
        <f t="shared" ref="E5:E7" si="50">LET(team, SUBSTITUTE(E$1, " Losses", ""), weekSheet, "'"&amp;$A5&amp;"'!", matchIdx, MATCH("*"&amp;team&amp;"*", INDIRECT(weekSheet&amp;"$B:$B"), 0), IF(ISNA(matchIdx), "-", LET(winner, INDEX(INDIRECT(weekSheet&amp;"$C:$C"), matchIdx), IF(winner="", "-", IF(winner=team, "-", 1)))))</f>
        <v>-</v>
      </c>
      <c r="F5" s="160"/>
      <c r="G5" s="160"/>
      <c r="H5" s="160"/>
      <c r="I5" s="160"/>
      <c r="J5" s="158" t="str">
        <f t="shared" si="41"/>
        <v>-</v>
      </c>
      <c r="K5" s="158">
        <f t="shared" si="42"/>
        <v>1</v>
      </c>
      <c r="L5" s="160"/>
      <c r="M5" s="160"/>
      <c r="N5" s="160"/>
      <c r="O5" s="160"/>
      <c r="P5" s="158">
        <f t="shared" si="29"/>
        <v>1</v>
      </c>
      <c r="Q5" s="158" t="str">
        <f t="shared" si="30"/>
        <v>-</v>
      </c>
      <c r="R5" s="158">
        <f t="array" ref="R5">LET(team, SUBSTITUTE(R$1, " Wins", ""), IF(COUNTIF(INDIRECT("'"&amp;$A5&amp;"'!$C:$C"), team)&gt;0, 1, "-"))</f>
        <v>1</v>
      </c>
      <c r="S5" s="158" t="str">
        <f t="array" ref="S5">LET(team, SUBSTITUTE(S$1, " Losses", ""), weekSheet, "'"&amp;$A5&amp;"'!", matchIdx, MATCH("*"&amp;team&amp;"*", INDIRECT(weekSheet&amp;"$B:$B"), 0), IF(ISNA(matchIdx), "-", LET(winner, INDEX(INDIRECT(weekSheet&amp;"$C:$C"), matchIdx), IF(winner="", "-", IF(winner=team, "-", 1)))))</f>
        <v>-</v>
      </c>
      <c r="T5" s="158" t="str">
        <f t="shared" ref="T5:T9" si="51">LET(team, SUBSTITUTE(T$1, " Wins", ""), IF(COUNTIF(INDIRECT("'"&amp;$A5&amp;"'!$C:$C"), team)&gt;0, 1, "-"))</f>
        <v>-</v>
      </c>
      <c r="U5" s="158">
        <f t="shared" ref="U5:U9" si="52">LET(team, SUBSTITUTE(U$1, " Losses", ""), weekSheet, "'"&amp;$A5&amp;"'!", matchIdx, MATCH("*"&amp;team&amp;"*", INDIRECT(weekSheet&amp;"$B:$B"), 0), IF(ISNA(matchIdx), "-", LET(winner, INDEX(INDIRECT(weekSheet&amp;"$C:$C"), matchIdx), IF(winner="", "-", IF(winner=team, "-", 1)))))</f>
        <v>1</v>
      </c>
      <c r="V5" s="158">
        <f t="shared" si="31"/>
        <v>1</v>
      </c>
      <c r="W5" s="158" t="str">
        <f t="shared" si="32"/>
        <v>-</v>
      </c>
      <c r="X5" s="158" t="str">
        <f t="shared" si="33"/>
        <v>-</v>
      </c>
      <c r="Y5" s="158">
        <f t="shared" si="34"/>
        <v>1</v>
      </c>
      <c r="Z5" s="160"/>
      <c r="AA5" s="160"/>
      <c r="AB5" s="158">
        <f t="shared" si="9"/>
        <v>1</v>
      </c>
      <c r="AC5" s="158" t="str">
        <f t="shared" si="10"/>
        <v>-</v>
      </c>
      <c r="AD5" s="160"/>
      <c r="AE5" s="160"/>
      <c r="AF5" s="158" t="str">
        <f t="shared" ref="AF5:AF9" si="53">LET(team, SUBSTITUTE(AF$1, " Wins", ""), IF(COUNTIF(INDIRECT("'"&amp;$A5&amp;"'!$C:$C"), team)&gt;0, 1, "-"))</f>
        <v>-</v>
      </c>
      <c r="AG5" s="158">
        <f t="shared" ref="AG5:AG9" si="54">LET(team, SUBSTITUTE(AG$1, " Losses", ""), weekSheet, "'"&amp;$A5&amp;"'!", matchIdx, MATCH("*"&amp;team&amp;"*", INDIRECT(weekSheet&amp;"$B:$B"), 0), IF(ISNA(matchIdx), "-", LET(winner, INDEX(INDIRECT(weekSheet&amp;"$C:$C"), matchIdx), IF(winner="", "-", IF(winner=team, "-", 1)))))</f>
        <v>1</v>
      </c>
      <c r="AH5" s="160"/>
      <c r="AI5" s="160"/>
      <c r="AJ5" s="158">
        <f t="array" ref="AJ5">LET(team, SUBSTITUTE(AJ$1, " Wins", ""), IF(COUNTIF(INDIRECT("'"&amp;$A5&amp;"'!$C:$C"), team)&gt;0, 1, "-"))</f>
        <v>1</v>
      </c>
      <c r="AK5" s="158" t="str">
        <f t="array" ref="AK5">LET(team, SUBSTITUTE(AK$1, " Losses", ""), weekSheet, "'"&amp;$A5&amp;"'!", matchIdx, MATCH("*"&amp;team&amp;"*", INDIRECT(weekSheet&amp;"$B:$B"), 0), IF(ISNA(matchIdx), "-", LET(winner, INDEX(INDIRECT(weekSheet&amp;"$C:$C"), matchIdx), IF(winner="", "-", IF(winner=team, "-", 1)))))</f>
        <v>-</v>
      </c>
      <c r="AL5" s="160"/>
      <c r="AM5" s="160"/>
      <c r="AN5" s="158" t="str">
        <f t="shared" si="37"/>
        <v>-</v>
      </c>
      <c r="AO5" s="158">
        <f t="shared" si="38"/>
        <v>1</v>
      </c>
      <c r="AP5" s="160"/>
      <c r="AQ5" s="160"/>
      <c r="AR5" s="158" t="str">
        <f t="shared" si="43"/>
        <v>-</v>
      </c>
      <c r="AS5" s="158">
        <f t="shared" si="44"/>
        <v>1</v>
      </c>
      <c r="AT5" s="158">
        <f t="shared" ref="AT5:AT7" si="55">LET(team, SUBSTITUTE(AT$1, " Wins", ""), IF(COUNTIF(INDIRECT("'"&amp;$A5&amp;"'!$C:$C"), team)&gt;0, 1, "-"))</f>
        <v>1</v>
      </c>
      <c r="AU5" s="158" t="str">
        <f t="shared" ref="AU5:AU7" si="56">LET(team, SUBSTITUTE(AU$1, " Losses", ""), weekSheet, "'"&amp;$A5&amp;"'!", matchIdx, MATCH("*"&amp;team&amp;"*", INDIRECT(weekSheet&amp;"$B:$B"), 0), IF(ISNA(matchIdx), "-", LET(winner, INDEX(INDIRECT(weekSheet&amp;"$C:$C"), matchIdx), IF(winner="", "-", IF(winner=team, "-", 1)))))</f>
        <v>-</v>
      </c>
      <c r="AV5" s="160"/>
      <c r="AW5" s="160"/>
      <c r="AX5" s="158">
        <f t="shared" ref="AX5:AX6" si="57">LET(team, SUBSTITUTE(AX$1, " Wins", ""), IF(COUNTIF(INDIRECT("'"&amp;$A5&amp;"'!$C:$C"), team)&gt;0, 1, "-"))</f>
        <v>1</v>
      </c>
      <c r="AY5" s="158" t="str">
        <f t="shared" ref="AY5:AY6" si="58">LET(team, SUBSTITUTE(AY$1, " Losses", ""), weekSheet, "'"&amp;$A5&amp;"'!", matchIdx, MATCH("*"&amp;team&amp;"*", INDIRECT(weekSheet&amp;"$B:$B"), 0), IF(ISNA(matchIdx), "-", LET(winner, INDEX(INDIRECT(weekSheet&amp;"$C:$C"), matchIdx), IF(winner="", "-", IF(winner=team, "-", 1)))))</f>
        <v>-</v>
      </c>
      <c r="AZ5" s="158" t="str">
        <f t="shared" si="45"/>
        <v>-</v>
      </c>
      <c r="BA5" s="158">
        <f t="shared" si="46"/>
        <v>1</v>
      </c>
      <c r="BB5" s="160"/>
      <c r="BC5" s="160"/>
      <c r="BD5" s="160"/>
      <c r="BE5" s="160"/>
      <c r="BF5" s="158">
        <f t="shared" si="47"/>
        <v>1</v>
      </c>
      <c r="BG5" s="158" t="str">
        <f t="shared" si="48"/>
        <v>-</v>
      </c>
      <c r="BH5" s="158" t="str">
        <f t="shared" ref="BH5:BH7" si="59">LET(team, SUBSTITUTE(BH$1, " Wins", ""), IF(COUNTIF(INDIRECT("'"&amp;$A5&amp;"'!$C:$C"), team)&gt;0, 1, "-"))</f>
        <v>-</v>
      </c>
      <c r="BI5" s="158">
        <f t="shared" ref="BI5:BI7" si="60">LET(team, SUBSTITUTE(BI$1, " Losses", ""), weekSheet, "'"&amp;$A5&amp;"'!", matchIdx, MATCH("*"&amp;team&amp;"*", INDIRECT(weekSheet&amp;"$B:$B"), 0), IF(ISNA(matchIdx), "-", LET(winner, INDEX(INDIRECT(weekSheet&amp;"$C:$C"), matchIdx), IF(winner="", "-", IF(winner=team, "-", 1)))))</f>
        <v>1</v>
      </c>
      <c r="BJ5" s="158">
        <f t="shared" si="39"/>
        <v>1</v>
      </c>
      <c r="BK5" s="158" t="str">
        <f t="shared" si="40"/>
        <v>-</v>
      </c>
      <c r="BL5" s="158" t="str">
        <f t="array" ref="BL5">LET(team, SUBSTITUTE(BL$1, " Wins", ""), IF(COUNTIF(INDIRECT("'"&amp;$A5&amp;"'!$C:$C"), team)&gt;0, 1, "-"))</f>
        <v>-</v>
      </c>
      <c r="BM5" s="158">
        <f t="array" ref="BM5">LET(team, SUBSTITUTE(BM$1, " Losses", ""), weekSheet, "'"&amp;$A5&amp;"'!", matchIdx, MATCH("*"&amp;team&amp;"*", INDIRECT(weekSheet&amp;"$B:$B"), 0), IF(ISNA(matchIdx), "-", LET(winner, INDEX(INDIRECT(weekSheet&amp;"$C:$C"), matchIdx), IF(winner="", "-", IF(winner=team, "-", 1)))))</f>
        <v>1</v>
      </c>
    </row>
    <row r="6">
      <c r="A6" s="157" t="s">
        <v>145</v>
      </c>
      <c r="B6" s="160"/>
      <c r="C6" s="160"/>
      <c r="D6" s="158" t="str">
        <f t="shared" si="49"/>
        <v>-</v>
      </c>
      <c r="E6" s="158">
        <f t="shared" si="50"/>
        <v>1</v>
      </c>
      <c r="F6" s="158">
        <f t="array" ref="F6">LET(team, SUBSTITUTE(F$1, " Wins", ""), IF(COUNTIF(INDIRECT("'"&amp;$A6&amp;"'!$C:$C"), team)&gt;0, 1, "-"))</f>
        <v>1</v>
      </c>
      <c r="G6" s="158" t="str">
        <f t="array" ref="G6">LET(team, SUBSTITUTE(G$1, " Losses", ""), weekSheet, "'"&amp;$A6&amp;"'!", matchIdx, MATCH("*"&amp;team&amp;"*", INDIRECT(weekSheet&amp;"$B:$B"), 0), IF(ISNA(matchIdx), "-", LET(winner, INDEX(INDIRECT(weekSheet&amp;"$C:$C"), matchIdx), IF(winner="", "-", IF(winner=team, "-", 1)))))</f>
        <v>-</v>
      </c>
      <c r="H6" s="158" t="str">
        <f t="shared" ref="H6:H7" si="61">LET(team, SUBSTITUTE(H$1, " Wins", ""), IF(COUNTIF(INDIRECT("'"&amp;$A6&amp;"'!$C:$C"), team)&gt;0, 1, "-"))</f>
        <v>-</v>
      </c>
      <c r="I6" s="158">
        <f t="shared" ref="I6:I7" si="62">LET(team, SUBSTITUTE(I$1, " Losses", ""), weekSheet, "'"&amp;$A6&amp;"'!", matchIdx, MATCH("*"&amp;team&amp;"*", INDIRECT(weekSheet&amp;"$B:$B"), 0), IF(ISNA(matchIdx), "-", LET(winner, INDEX(INDIRECT(weekSheet&amp;"$C:$C"), matchIdx), IF(winner="", "-", IF(winner=team, "-", 1)))))</f>
        <v>1</v>
      </c>
      <c r="J6" s="160"/>
      <c r="K6" s="160"/>
      <c r="L6" s="158" t="str">
        <f t="array" ref="L6">LET(team, SUBSTITUTE(L$1, " Wins", ""), IF(COUNTIF(INDIRECT("'"&amp;$A6&amp;"'!$C:$C"), team)&gt;0, 1, "-"))</f>
        <v>-</v>
      </c>
      <c r="M6" s="158">
        <f t="array" ref="M6">LET(team, SUBSTITUTE(M$1, " Losses", ""), weekSheet, "'"&amp;$A6&amp;"'!", matchIdx, MATCH("*"&amp;team&amp;"*", INDIRECT(weekSheet&amp;"$B:$B"), 0), IF(ISNA(matchIdx), "-", LET(winner, INDEX(INDIRECT(weekSheet&amp;"$C:$C"), matchIdx), IF(winner="", "-", IF(winner=team, "-", 1)))))</f>
        <v>1</v>
      </c>
      <c r="N6" s="158" t="str">
        <f t="shared" ref="N6:N13" si="63">LET(team, SUBSTITUTE(N$1, " Wins", ""), IF(COUNTIF(INDIRECT("'"&amp;$A6&amp;"'!$C:$C"), team)&gt;0, 1, "-"))</f>
        <v>-</v>
      </c>
      <c r="O6" s="158">
        <f t="shared" ref="O6:O13" si="64">LET(team, SUBSTITUTE(O$1, " Losses", ""), weekSheet, "'"&amp;$A6&amp;"'!", matchIdx, MATCH("*"&amp;team&amp;"*", INDIRECT(weekSheet&amp;"$B:$B"), 0), IF(ISNA(matchIdx), "-", LET(winner, INDEX(INDIRECT(weekSheet&amp;"$C:$C"), matchIdx), IF(winner="", "-", IF(winner=team, "-", 1)))))</f>
        <v>1</v>
      </c>
      <c r="P6" s="158">
        <f t="shared" si="29"/>
        <v>1</v>
      </c>
      <c r="Q6" s="158" t="str">
        <f t="shared" si="30"/>
        <v>-</v>
      </c>
      <c r="R6" s="160"/>
      <c r="S6" s="160"/>
      <c r="T6" s="158">
        <f t="shared" si="51"/>
        <v>1</v>
      </c>
      <c r="U6" s="158" t="str">
        <f t="shared" si="52"/>
        <v>-</v>
      </c>
      <c r="V6" s="45" t="str">
        <f t="shared" si="31"/>
        <v>-</v>
      </c>
      <c r="W6" s="45">
        <f t="shared" si="32"/>
        <v>1</v>
      </c>
      <c r="X6" s="158">
        <f t="shared" si="33"/>
        <v>1</v>
      </c>
      <c r="Y6" s="158" t="str">
        <f t="shared" si="34"/>
        <v>-</v>
      </c>
      <c r="Z6" s="158">
        <f t="shared" ref="Z6:Z7" si="65">LET(team, SUBSTITUTE(Z$1, " Wins", ""), IF(COUNTIF(INDIRECT("'"&amp;$A6&amp;"'!$C:$C"), team)&gt;0, 1, "-"))</f>
        <v>1</v>
      </c>
      <c r="AA6" s="158" t="str">
        <f t="shared" ref="AA6:AA7" si="66">LET(team, SUBSTITUTE(AA$1, " Losses", ""), weekSheet, "'"&amp;$A6&amp;"'!", matchIdx, MATCH("*"&amp;team&amp;"*", INDIRECT(weekSheet&amp;"$B:$B"), 0), IF(ISNA(matchIdx), "-", LET(winner, INDEX(INDIRECT(weekSheet&amp;"$C:$C"), matchIdx), IF(winner="", "-", IF(winner=team, "-", 1)))))</f>
        <v>-</v>
      </c>
      <c r="AB6" s="160"/>
      <c r="AC6" s="160"/>
      <c r="AD6" s="158">
        <f t="shared" ref="AD6:AD7" si="67">LET(team, SUBSTITUTE(AD$1, " Wins", ""), IF(COUNTIF(INDIRECT("'"&amp;$A6&amp;"'!$C:$C"), team)&gt;0, 1, "-"))</f>
        <v>1</v>
      </c>
      <c r="AE6" s="158" t="str">
        <f t="shared" ref="AE6:AE7" si="68">LET(team, SUBSTITUTE(AE$1, " Losses", ""), weekSheet, "'"&amp;$A6&amp;"'!", matchIdx, MATCH("*"&amp;team&amp;"*", INDIRECT(weekSheet&amp;"$B:$B"), 0), IF(ISNA(matchIdx), "-", LET(winner, INDEX(INDIRECT(weekSheet&amp;"$C:$C"), matchIdx), IF(winner="", "-", IF(winner=team, "-", 1)))))</f>
        <v>-</v>
      </c>
      <c r="AF6" s="45" t="str">
        <f t="shared" si="53"/>
        <v>-</v>
      </c>
      <c r="AG6" s="45">
        <f t="shared" si="54"/>
        <v>1</v>
      </c>
      <c r="AH6" s="158" t="str">
        <f t="shared" ref="AH6:AH8" si="69">LET(team, SUBSTITUTE(AH$1, " Wins", ""), IF(COUNTIF(INDIRECT("'"&amp;$A6&amp;"'!$C:$C"), team)&gt;0, 1, "-"))</f>
        <v>-</v>
      </c>
      <c r="AI6" s="158">
        <f t="shared" ref="AI6:AI8" si="70">LET(team, SUBSTITUTE(AI$1, " Losses", ""), weekSheet, "'"&amp;$A6&amp;"'!", matchIdx, MATCH("*"&amp;team&amp;"*", INDIRECT(weekSheet&amp;"$B:$B"), 0), IF(ISNA(matchIdx), "-", LET(winner, INDEX(INDIRECT(weekSheet&amp;"$C:$C"), matchIdx), IF(winner="", "-", IF(winner=team, "-", 1)))))</f>
        <v>1</v>
      </c>
      <c r="AJ6" s="160"/>
      <c r="AK6" s="160"/>
      <c r="AL6" s="158">
        <f t="array" ref="AL6">LET(team, SUBSTITUTE(AL$1, " Wins", ""), IF(COUNTIF(INDIRECT("'"&amp;$A6&amp;"'!$C:$C"), team)&gt;0, 1, "-"))</f>
        <v>1</v>
      </c>
      <c r="AM6" s="158" t="str">
        <f t="array" ref="AM6">LET(team, SUBSTITUTE(AM$1, " Losses", ""), weekSheet, "'"&amp;$A6&amp;"'!", matchIdx, MATCH("*"&amp;team&amp;"*", INDIRECT(weekSheet&amp;"$B:$B"), 0), IF(ISNA(matchIdx), "-", LET(winner, INDEX(INDIRECT(weekSheet&amp;"$C:$C"), matchIdx), IF(winner="", "-", IF(winner=team, "-", 1)))))</f>
        <v>-</v>
      </c>
      <c r="AN6" s="158" t="str">
        <f t="shared" si="37"/>
        <v>-</v>
      </c>
      <c r="AO6" s="158">
        <f t="shared" si="38"/>
        <v>1</v>
      </c>
      <c r="AP6" s="158">
        <f t="shared" ref="AP6:AP9" si="71">LET(team, SUBSTITUTE(AP$1, " Wins", ""), IF(COUNTIF(INDIRECT("'"&amp;$A6&amp;"'!$C:$C"), team)&gt;0, 1, "-"))</f>
        <v>1</v>
      </c>
      <c r="AQ6" s="158" t="str">
        <f t="shared" ref="AQ6:AQ9" si="72">LET(team, SUBSTITUTE(AQ$1, " Losses", ""), weekSheet, "'"&amp;$A6&amp;"'!", matchIdx, MATCH("*"&amp;team&amp;"*", INDIRECT(weekSheet&amp;"$B:$B"), 0), IF(ISNA(matchIdx), "-", LET(winner, INDEX(INDIRECT(weekSheet&amp;"$C:$C"), matchIdx), IF(winner="", "-", IF(winner=team, "-", 1)))))</f>
        <v>-</v>
      </c>
      <c r="AR6" s="160"/>
      <c r="AS6" s="160"/>
      <c r="AT6" s="158" t="str">
        <f t="shared" si="55"/>
        <v>-</v>
      </c>
      <c r="AU6" s="158">
        <f t="shared" si="56"/>
        <v>1</v>
      </c>
      <c r="AV6" s="158">
        <f t="shared" ref="AV6:AV7" si="73">LET(team, SUBSTITUTE(AV$1, " Wins", ""), IF(COUNTIF(INDIRECT("'"&amp;$A6&amp;"'!$C:$C"), team)&gt;0, 1, "-"))</f>
        <v>1</v>
      </c>
      <c r="AW6" s="158" t="str">
        <f t="shared" ref="AW6:AW7" si="74">LET(team, SUBSTITUTE(AW$1, " Losses", ""), weekSheet, "'"&amp;$A6&amp;"'!", matchIdx, MATCH("*"&amp;team&amp;"*", INDIRECT(weekSheet&amp;"$B:$B"), 0), IF(ISNA(matchIdx), "-", LET(winner, INDEX(INDIRECT(weekSheet&amp;"$C:$C"), matchIdx), IF(winner="", "-", IF(winner=team, "-", 1)))))</f>
        <v>-</v>
      </c>
      <c r="AX6" s="45">
        <f t="shared" si="57"/>
        <v>1</v>
      </c>
      <c r="AY6" s="45" t="str">
        <f t="shared" si="58"/>
        <v>-</v>
      </c>
      <c r="AZ6" s="45">
        <f t="shared" si="45"/>
        <v>1</v>
      </c>
      <c r="BA6" s="45" t="str">
        <f t="shared" si="46"/>
        <v>-</v>
      </c>
      <c r="BB6" s="158">
        <f t="array" ref="BB6">LET(team, SUBSTITUTE(BB$1, " Wins", ""), IF(COUNTIF(INDIRECT("'"&amp;$A6&amp;"'!$C:$C"), team)&gt;0, 1, "-"))</f>
        <v>1</v>
      </c>
      <c r="BC6" s="158" t="str">
        <f t="array" ref="BC6">LET(team, SUBSTITUTE(BC$1, " Losses", ""), weekSheet, "'"&amp;$A6&amp;"'!", matchIdx, MATCH("*"&amp;team&amp;"*", INDIRECT(weekSheet&amp;"$B:$B"), 0), IF(ISNA(matchIdx), "-", LET(winner, INDEX(INDIRECT(weekSheet&amp;"$C:$C"), matchIdx), IF(winner="", "-", IF(winner=team, "-", 1)))))</f>
        <v>-</v>
      </c>
      <c r="BD6" s="45" t="str">
        <f t="shared" ref="BD6:BD7" si="75">LET(team, SUBSTITUTE(BD$1, " Wins", ""), IF(COUNTIF(INDIRECT("'"&amp;$A6&amp;"'!$C:$C"), team)&gt;0, 1, "-"))</f>
        <v>-</v>
      </c>
      <c r="BE6" s="45">
        <f t="shared" ref="BE6:BE7" si="76">LET(team, SUBSTITUTE(BE$1, " Losses", ""), weekSheet, "'"&amp;$A6&amp;"'!", matchIdx, MATCH("*"&amp;team&amp;"*", INDIRECT(weekSheet&amp;"$B:$B"), 0), IF(ISNA(matchIdx), "-", LET(winner, INDEX(INDIRECT(weekSheet&amp;"$C:$C"), matchIdx), IF(winner="", "-", IF(winner=team, "-", 1)))))</f>
        <v>1</v>
      </c>
      <c r="BF6" s="158" t="str">
        <f t="shared" si="47"/>
        <v>-</v>
      </c>
      <c r="BG6" s="158">
        <f t="shared" si="48"/>
        <v>1</v>
      </c>
      <c r="BH6" s="158" t="str">
        <f t="shared" si="59"/>
        <v>-</v>
      </c>
      <c r="BI6" s="158">
        <f t="shared" si="60"/>
        <v>1</v>
      </c>
      <c r="BJ6" s="160"/>
      <c r="BK6" s="160"/>
      <c r="BL6" s="160"/>
      <c r="BM6" s="160"/>
    </row>
    <row r="7">
      <c r="A7" s="157" t="s">
        <v>156</v>
      </c>
      <c r="B7" s="45">
        <f t="array" ref="B7">LET(team, SUBSTITUTE(B$1, " Wins", ""), IF(COUNTIF(INDIRECT("'"&amp;$A7&amp;"'!$C:$C"), team)&gt;0, 1, "-"))</f>
        <v>1</v>
      </c>
      <c r="C7" s="45" t="str">
        <f t="array" ref="C7">LET(team, SUBSTITUTE(C$1, " Losses", ""), weekSheet, "'"&amp;$A7&amp;"'!", matchIdx, MATCH("*"&amp;team&amp;"*", INDIRECT(weekSheet&amp;"$B:$B"), 0), IF(ISNA(matchIdx), "-", LET(winner, INDEX(INDIRECT(weekSheet&amp;"$C:$C"), matchIdx), IF(winner="", "-", IF(winner=team, "-", 1)))))</f>
        <v>-</v>
      </c>
      <c r="D7" s="158" t="str">
        <f t="shared" si="49"/>
        <v>-</v>
      </c>
      <c r="E7" s="158">
        <f t="shared" si="50"/>
        <v>1</v>
      </c>
      <c r="F7" s="160"/>
      <c r="G7" s="160"/>
      <c r="H7" s="158" t="str">
        <f t="shared" si="61"/>
        <v>-</v>
      </c>
      <c r="I7" s="158">
        <f t="shared" si="62"/>
        <v>1</v>
      </c>
      <c r="J7" s="158">
        <f t="array" ref="J7">LET(team, SUBSTITUTE(J$1, " Wins", ""), IF(COUNTIF(INDIRECT("'"&amp;$A7&amp;"'!$C:$C"), team)&gt;0, 1, "-"))</f>
        <v>1</v>
      </c>
      <c r="K7" s="158" t="str">
        <f t="array" ref="K7">LET(team, SUBSTITUTE(K$1, " Losses", ""), weekSheet, "'"&amp;$A7&amp;"'!", matchIdx, MATCH("*"&amp;team&amp;"*", INDIRECT(weekSheet&amp;"$B:$B"), 0), IF(ISNA(matchIdx), "-", LET(winner, INDEX(INDIRECT(weekSheet&amp;"$C:$C"), matchIdx), IF(winner="", "-", IF(winner=team, "-", 1)))))</f>
        <v>-</v>
      </c>
      <c r="L7" s="160"/>
      <c r="M7" s="160"/>
      <c r="N7" s="158">
        <f t="shared" si="63"/>
        <v>1</v>
      </c>
      <c r="O7" s="158" t="str">
        <f t="shared" si="64"/>
        <v>-</v>
      </c>
      <c r="P7" s="158" t="str">
        <f t="shared" si="29"/>
        <v>-</v>
      </c>
      <c r="Q7" s="158">
        <f t="shared" si="30"/>
        <v>1</v>
      </c>
      <c r="R7" s="158">
        <f t="shared" ref="R7:R11" si="77">LET(team, SUBSTITUTE(R$1, " Wins", ""), IF(COUNTIF(INDIRECT("'"&amp;$A7&amp;"'!$C:$C"), team)&gt;0, 1, "-"))</f>
        <v>1</v>
      </c>
      <c r="S7" s="158" t="str">
        <f t="shared" ref="S7:S11" si="78">LET(team, SUBSTITUTE(S$1, " Losses", ""), weekSheet, "'"&amp;$A7&amp;"'!", matchIdx, MATCH("*"&amp;team&amp;"*", INDIRECT(weekSheet&amp;"$B:$B"), 0), IF(ISNA(matchIdx), "-", LET(winner, INDEX(INDIRECT(weekSheet&amp;"$C:$C"), matchIdx), IF(winner="", "-", IF(winner=team, "-", 1)))))</f>
        <v>-</v>
      </c>
      <c r="T7" s="158" t="str">
        <f t="shared" si="51"/>
        <v>-</v>
      </c>
      <c r="U7" s="158">
        <f t="shared" si="52"/>
        <v>1</v>
      </c>
      <c r="V7" s="160"/>
      <c r="W7" s="160"/>
      <c r="X7" s="160"/>
      <c r="Y7" s="160"/>
      <c r="Z7" s="45">
        <f t="shared" si="65"/>
        <v>1</v>
      </c>
      <c r="AA7" s="45" t="str">
        <f t="shared" si="66"/>
        <v>-</v>
      </c>
      <c r="AB7" s="158" t="str">
        <f t="array" ref="AB7">LET(team, SUBSTITUTE(AB$1, " Wins", ""), IF(COUNTIF(INDIRECT("'"&amp;$A7&amp;"'!$C:$C"), team)&gt;0, 1, "-"))</f>
        <v>-</v>
      </c>
      <c r="AC7" s="158">
        <f t="array" ref="AC7">LET(team, SUBSTITUTE(AC$1, " Losses", ""), weekSheet, "'"&amp;$A7&amp;"'!", matchIdx, MATCH("*"&amp;team&amp;"*", INDIRECT(weekSheet&amp;"$B:$B"), 0), IF(ISNA(matchIdx), "-", LET(winner, INDEX(INDIRECT(weekSheet&amp;"$C:$C"), matchIdx), IF(winner="", "-", IF(winner=team, "-", 1)))))</f>
        <v>1</v>
      </c>
      <c r="AD7" s="158">
        <f t="shared" si="67"/>
        <v>1</v>
      </c>
      <c r="AE7" s="158" t="str">
        <f t="shared" si="68"/>
        <v>-</v>
      </c>
      <c r="AF7" s="158" t="str">
        <f t="shared" si="53"/>
        <v>-</v>
      </c>
      <c r="AG7" s="158">
        <f t="shared" si="54"/>
        <v>1</v>
      </c>
      <c r="AH7" s="158" t="str">
        <f t="shared" si="69"/>
        <v>-</v>
      </c>
      <c r="AI7" s="158">
        <f t="shared" si="70"/>
        <v>1</v>
      </c>
      <c r="AJ7" s="45">
        <f t="array" ref="AJ7">LET(team, SUBSTITUTE(AJ$1, " Wins", ""), IF(COUNTIF(INDIRECT("'"&amp;$A7&amp;"'!$C:$C"), team)&gt;0, 1, "-"))</f>
        <v>1</v>
      </c>
      <c r="AK7" s="45" t="str">
        <f t="array" ref="AK7">LET(team, SUBSTITUTE(AK$1, " Losses", ""), weekSheet, "'"&amp;$A7&amp;"'!", matchIdx, MATCH("*"&amp;team&amp;"*", INDIRECT(weekSheet&amp;"$B:$B"), 0), IF(ISNA(matchIdx), "-", LET(winner, INDEX(INDIRECT(weekSheet&amp;"$C:$C"), matchIdx), IF(winner="", "-", IF(winner=team, "-", 1)))))</f>
        <v>-</v>
      </c>
      <c r="AL7" s="160"/>
      <c r="AM7" s="160"/>
      <c r="AN7" s="158" t="str">
        <f t="shared" si="37"/>
        <v>-</v>
      </c>
      <c r="AO7" s="158">
        <f t="shared" si="38"/>
        <v>1</v>
      </c>
      <c r="AP7" s="158">
        <f t="shared" si="71"/>
        <v>1</v>
      </c>
      <c r="AQ7" s="158" t="str">
        <f t="shared" si="72"/>
        <v>-</v>
      </c>
      <c r="AR7" s="158">
        <f t="shared" ref="AR7:AR10" si="79">LET(team, SUBSTITUTE(AR$1, " Wins", ""), IF(COUNTIF(INDIRECT("'"&amp;$A7&amp;"'!$C:$C"), team)&gt;0, 1, "-"))</f>
        <v>1</v>
      </c>
      <c r="AS7" s="158" t="str">
        <f t="shared" ref="AS7:AS10" si="80">LET(team, SUBSTITUTE(AS$1, " Losses", ""), weekSheet, "'"&amp;$A7&amp;"'!", matchIdx, MATCH("*"&amp;team&amp;"*", INDIRECT(weekSheet&amp;"$B:$B"), 0), IF(ISNA(matchIdx), "-", LET(winner, INDEX(INDIRECT(weekSheet&amp;"$C:$C"), matchIdx), IF(winner="", "-", IF(winner=team, "-", 1)))))</f>
        <v>-</v>
      </c>
      <c r="AT7" s="158" t="str">
        <f t="shared" si="55"/>
        <v>-</v>
      </c>
      <c r="AU7" s="158">
        <f t="shared" si="56"/>
        <v>1</v>
      </c>
      <c r="AV7" s="158">
        <f t="shared" si="73"/>
        <v>1</v>
      </c>
      <c r="AW7" s="158" t="str">
        <f t="shared" si="74"/>
        <v>-</v>
      </c>
      <c r="AX7" s="160"/>
      <c r="AY7" s="160"/>
      <c r="AZ7" s="158" t="str">
        <f t="shared" si="45"/>
        <v>-</v>
      </c>
      <c r="BA7" s="158">
        <f t="shared" si="46"/>
        <v>1</v>
      </c>
      <c r="BB7" s="160"/>
      <c r="BC7" s="160"/>
      <c r="BD7" s="158">
        <f t="shared" si="75"/>
        <v>1</v>
      </c>
      <c r="BE7" s="158" t="str">
        <f t="shared" si="76"/>
        <v>-</v>
      </c>
      <c r="BF7" s="160"/>
      <c r="BG7" s="160"/>
      <c r="BH7" s="158">
        <f t="shared" si="59"/>
        <v>1</v>
      </c>
      <c r="BI7" s="158" t="str">
        <f t="shared" si="60"/>
        <v>-</v>
      </c>
      <c r="BJ7" s="158" t="str">
        <f t="shared" ref="BJ7:BJ9" si="81">LET(team, SUBSTITUTE(BJ$1, " Wins", ""), IF(COUNTIF(INDIRECT("'"&amp;$A7&amp;"'!$C:$C"), team)&gt;0, 1, "-"))</f>
        <v>-</v>
      </c>
      <c r="BK7" s="158">
        <f t="shared" ref="BK7:BK9" si="82">LET(team, SUBSTITUTE(BK$1, " Losses", ""), weekSheet, "'"&amp;$A7&amp;"'!", matchIdx, MATCH("*"&amp;team&amp;"*", INDIRECT(weekSheet&amp;"$B:$B"), 0), IF(ISNA(matchIdx), "-", LET(winner, INDEX(INDIRECT(weekSheet&amp;"$C:$C"), matchIdx), IF(winner="", "-", IF(winner=team, "-", 1)))))</f>
        <v>1</v>
      </c>
      <c r="BL7" s="158" t="str">
        <f t="shared" ref="BL7:BL9" si="83">LET(team, SUBSTITUTE(BL$1, " Wins", ""), IF(COUNTIF(INDIRECT("'"&amp;$A7&amp;"'!$C:$C"), team)&gt;0, 1, "-"))</f>
        <v>-</v>
      </c>
      <c r="BM7" s="158">
        <f t="shared" ref="BM7:BM9" si="84">LET(team, SUBSTITUTE(BM$1, " Losses", ""), weekSheet, "'"&amp;$A7&amp;"'!", matchIdx, MATCH("*"&amp;team&amp;"*", INDIRECT(weekSheet&amp;"$B:$B"), 0), IF(ISNA(matchIdx), "-", LET(winner, INDEX(INDIRECT(weekSheet&amp;"$C:$C"), matchIdx), IF(winner="", "-", IF(winner=team, "-", 1)))))</f>
        <v>1</v>
      </c>
    </row>
    <row r="8">
      <c r="A8" s="157" t="s">
        <v>159</v>
      </c>
      <c r="B8" s="160"/>
      <c r="C8" s="160"/>
      <c r="D8" s="160"/>
      <c r="E8" s="160"/>
      <c r="F8" s="160"/>
      <c r="G8" s="160"/>
      <c r="H8" s="160"/>
      <c r="I8" s="160"/>
      <c r="J8" s="160"/>
      <c r="K8" s="160"/>
      <c r="L8" s="158">
        <f t="shared" ref="L8:L9" si="85">LET(team, SUBSTITUTE(L$1, " Wins", ""), IF(COUNTIF(INDIRECT("'"&amp;$A8&amp;"'!$C:$C"), team)&gt;0, 1, "-"))</f>
        <v>1</v>
      </c>
      <c r="M8" s="158" t="str">
        <f t="shared" ref="M8:M9" si="86">LET(team, SUBSTITUTE(M$1, " Losses", ""), weekSheet, "'"&amp;$A8&amp;"'!", matchIdx, MATCH("*"&amp;team&amp;"*", INDIRECT(weekSheet&amp;"$B:$B"), 0), IF(ISNA(matchIdx), "-", LET(winner, INDEX(INDIRECT(weekSheet&amp;"$C:$C"), matchIdx), IF(winner="", "-", IF(winner=team, "-", 1)))))</f>
        <v>-</v>
      </c>
      <c r="N8" s="158" t="str">
        <f t="shared" si="63"/>
        <v>-</v>
      </c>
      <c r="O8" s="158">
        <f t="shared" si="64"/>
        <v>1</v>
      </c>
      <c r="P8" s="160"/>
      <c r="Q8" s="160"/>
      <c r="R8" s="45" t="str">
        <f t="shared" si="77"/>
        <v>-</v>
      </c>
      <c r="S8" s="45">
        <f t="shared" si="78"/>
        <v>1</v>
      </c>
      <c r="T8" s="158">
        <f t="shared" si="51"/>
        <v>1</v>
      </c>
      <c r="U8" s="158" t="str">
        <f t="shared" si="52"/>
        <v>-</v>
      </c>
      <c r="V8" s="160"/>
      <c r="W8" s="160"/>
      <c r="X8" s="158">
        <f t="shared" ref="X8:X9" si="87">LET(team, SUBSTITUTE(X$1, " Wins", ""), IF(COUNTIF(INDIRECT("'"&amp;$A8&amp;"'!$C:$C"), team)&gt;0, 1, "-"))</f>
        <v>1</v>
      </c>
      <c r="Y8" s="158" t="str">
        <f t="shared" ref="Y8:Y9" si="88">LET(team, SUBSTITUTE(Y$1, " Losses", ""), weekSheet, "'"&amp;$A8&amp;"'!", matchIdx, MATCH("*"&amp;team&amp;"*", INDIRECT(weekSheet&amp;"$B:$B"), 0), IF(ISNA(matchIdx), "-", LET(winner, INDEX(INDIRECT(weekSheet&amp;"$C:$C"), matchIdx), IF(winner="", "-", IF(winner=team, "-", 1)))))</f>
        <v>-</v>
      </c>
      <c r="Z8" s="160"/>
      <c r="AA8" s="160"/>
      <c r="AB8" s="160"/>
      <c r="AC8" s="160"/>
      <c r="AD8" s="160"/>
      <c r="AE8" s="160"/>
      <c r="AF8" s="158" t="str">
        <f t="shared" si="53"/>
        <v>-</v>
      </c>
      <c r="AG8" s="158">
        <f t="shared" si="54"/>
        <v>1</v>
      </c>
      <c r="AH8" s="158">
        <f t="shared" si="69"/>
        <v>1</v>
      </c>
      <c r="AI8" s="158" t="str">
        <f t="shared" si="70"/>
        <v>-</v>
      </c>
      <c r="AJ8" s="160"/>
      <c r="AK8" s="160"/>
      <c r="AL8" s="160"/>
      <c r="AM8" s="160"/>
      <c r="AN8" s="160"/>
      <c r="AO8" s="160"/>
      <c r="AP8" s="45">
        <f t="shared" si="71"/>
        <v>1</v>
      </c>
      <c r="AQ8" s="45" t="str">
        <f t="shared" si="72"/>
        <v>-</v>
      </c>
      <c r="AR8" s="158" t="str">
        <f t="shared" si="79"/>
        <v>-</v>
      </c>
      <c r="AS8" s="158">
        <f t="shared" si="80"/>
        <v>1</v>
      </c>
      <c r="AT8" s="160"/>
      <c r="AU8" s="160"/>
      <c r="AV8" s="160"/>
      <c r="AW8" s="160"/>
      <c r="AX8" s="158" t="str">
        <f t="shared" ref="AX8:AX9" si="89">LET(team, SUBSTITUTE(AX$1, " Wins", ""), IF(COUNTIF(INDIRECT("'"&amp;$A8&amp;"'!$C:$C"), team)&gt;0, 1, "-"))</f>
        <v>-</v>
      </c>
      <c r="AY8" s="158">
        <f t="shared" ref="AY8:AY9" si="90">LET(team, SUBSTITUTE(AY$1, " Losses", ""), weekSheet, "'"&amp;$A8&amp;"'!", matchIdx, MATCH("*"&amp;team&amp;"*", INDIRECT(weekSheet&amp;"$B:$B"), 0), IF(ISNA(matchIdx), "-", LET(winner, INDEX(INDIRECT(weekSheet&amp;"$C:$C"), matchIdx), IF(winner="", "-", IF(winner=team, "-", 1)))))</f>
        <v>1</v>
      </c>
      <c r="AZ8" s="158">
        <f t="shared" si="45"/>
        <v>1</v>
      </c>
      <c r="BA8" s="158" t="str">
        <f t="shared" si="46"/>
        <v>-</v>
      </c>
      <c r="BB8" s="160"/>
      <c r="BC8" s="160"/>
      <c r="BD8" s="160"/>
      <c r="BE8" s="160"/>
      <c r="BF8" s="158" t="str">
        <f t="shared" ref="BF8:BF10" si="91">LET(team, SUBSTITUTE(BF$1, " Wins", ""), IF(COUNTIF(INDIRECT("'"&amp;$A8&amp;"'!$C:$C"), team)&gt;0, 1, "-"))</f>
        <v>-</v>
      </c>
      <c r="BG8" s="158">
        <f t="shared" ref="BG8:BG10" si="92">LET(team, SUBSTITUTE(BG$1, " Losses", ""), weekSheet, "'"&amp;$A8&amp;"'!", matchIdx, MATCH("*"&amp;team&amp;"*", INDIRECT(weekSheet&amp;"$B:$B"), 0), IF(ISNA(matchIdx), "-", LET(winner, INDEX(INDIRECT(weekSheet&amp;"$C:$C"), matchIdx), IF(winner="", "-", IF(winner=team, "-", 1)))))</f>
        <v>1</v>
      </c>
      <c r="BH8" s="160"/>
      <c r="BI8" s="160"/>
      <c r="BJ8" s="158" t="str">
        <f t="shared" si="81"/>
        <v>-</v>
      </c>
      <c r="BK8" s="158">
        <f t="shared" si="82"/>
        <v>1</v>
      </c>
      <c r="BL8" s="158">
        <f t="shared" si="83"/>
        <v>1</v>
      </c>
      <c r="BM8" s="158" t="str">
        <f t="shared" si="84"/>
        <v>-</v>
      </c>
    </row>
    <row r="9">
      <c r="A9" s="157" t="s">
        <v>164</v>
      </c>
      <c r="B9" s="158" t="str">
        <f t="shared" ref="B9:B10" si="93">LET(team, SUBSTITUTE(B$1, " Wins", ""), IF(COUNTIF(INDIRECT("'"&amp;$A9&amp;"'!$C:$C"), team)&gt;0, 1, "-"))</f>
        <v>-</v>
      </c>
      <c r="C9" s="158">
        <f t="shared" ref="C9:C10" si="94">LET(team, SUBSTITUTE(C$1, " Losses", ""), weekSheet, "'"&amp;$A9&amp;"'!", matchIdx, MATCH("*"&amp;team&amp;"*", INDIRECT(weekSheet&amp;"$B:$B"), 0), IF(ISNA(matchIdx), "-", LET(winner, INDEX(INDIRECT(weekSheet&amp;"$C:$C"), matchIdx), IF(winner="", "-", IF(winner=team, "-", 1)))))</f>
        <v>1</v>
      </c>
      <c r="D9" s="45">
        <f t="array" ref="D9">LET(team, SUBSTITUTE(D$1, " Wins", ""), IF(COUNTIF(INDIRECT("'"&amp;$A9&amp;"'!$C:$C"), team)&gt;0, 1, "-"))</f>
        <v>1</v>
      </c>
      <c r="E9" s="45" t="str">
        <f t="array" ref="E9">LET(team, SUBSTITUTE(E$1, " Losses", ""), weekSheet, "'"&amp;$A9&amp;"'!", matchIdx, MATCH("*"&amp;team&amp;"*", INDIRECT(weekSheet&amp;"$B:$B"), 0), IF(ISNA(matchIdx), "-", LET(winner, INDEX(INDIRECT(weekSheet&amp;"$C:$C"), matchIdx), IF(winner="", "-", IF(winner=team, "-", 1)))))</f>
        <v>-</v>
      </c>
      <c r="F9" s="158">
        <f t="array" ref="F9">LET(team, SUBSTITUTE(F$1, " Wins", ""), IF(COUNTIF(INDIRECT("'"&amp;$A9&amp;"'!$C:$C"), team)&gt;0, 1, "-"))</f>
        <v>1</v>
      </c>
      <c r="G9" s="158" t="str">
        <f t="array" ref="G9">LET(team, SUBSTITUTE(G$1, " Losses", ""), weekSheet, "'"&amp;$A9&amp;"'!", matchIdx, MATCH("*"&amp;team&amp;"*", INDIRECT(weekSheet&amp;"$B:$B"), 0), IF(ISNA(matchIdx), "-", LET(winner, INDEX(INDIRECT(weekSheet&amp;"$C:$C"), matchIdx), IF(winner="", "-", IF(winner=team, "-", 1)))))</f>
        <v>-</v>
      </c>
      <c r="H9" s="160"/>
      <c r="I9" s="160"/>
      <c r="J9" s="158">
        <f t="array" ref="J9">LET(team, SUBSTITUTE(J$1, " Wins", ""), IF(COUNTIF(INDIRECT("'"&amp;$A9&amp;"'!$C:$C"), team)&gt;0, 1, "-"))</f>
        <v>1</v>
      </c>
      <c r="K9" s="158" t="str">
        <f t="array" ref="K9">LET(team, SUBSTITUTE(K$1, " Losses", ""), weekSheet, "'"&amp;$A9&amp;"'!", matchIdx, MATCH("*"&amp;team&amp;"*", INDIRECT(weekSheet&amp;"$B:$B"), 0), IF(ISNA(matchIdx), "-", LET(winner, INDEX(INDIRECT(weekSheet&amp;"$C:$C"), matchIdx), IF(winner="", "-", IF(winner=team, "-", 1)))))</f>
        <v>-</v>
      </c>
      <c r="L9" s="158" t="str">
        <f t="shared" si="85"/>
        <v>-</v>
      </c>
      <c r="M9" s="158">
        <f t="shared" si="86"/>
        <v>1</v>
      </c>
      <c r="N9" s="158" t="str">
        <f t="shared" si="63"/>
        <v>-</v>
      </c>
      <c r="O9" s="158">
        <f t="shared" si="64"/>
        <v>1</v>
      </c>
      <c r="P9" s="158">
        <f t="array" ref="P9">LET(team, SUBSTITUTE(P$1, " Wins", ""), IF(COUNTIF(INDIRECT("'"&amp;$A9&amp;"'!$C:$C"), team)&gt;0, 1, "-"))</f>
        <v>1</v>
      </c>
      <c r="Q9" s="158" t="str">
        <f t="array" ref="Q9">LET(team, SUBSTITUTE(Q$1, " Losses", ""), weekSheet, "'"&amp;$A9&amp;"'!", matchIdx, MATCH("*"&amp;team&amp;"*", INDIRECT(weekSheet&amp;"$B:$B"), 0), IF(ISNA(matchIdx), "-", LET(winner, INDEX(INDIRECT(weekSheet&amp;"$C:$C"), matchIdx), IF(winner="", "-", IF(winner=team, "-", 1)))))</f>
        <v>-</v>
      </c>
      <c r="R9" s="158" t="str">
        <f t="shared" si="77"/>
        <v>-</v>
      </c>
      <c r="S9" s="158">
        <f t="shared" si="78"/>
        <v>1</v>
      </c>
      <c r="T9" s="158" t="str">
        <f t="shared" si="51"/>
        <v>-</v>
      </c>
      <c r="U9" s="158">
        <f t="shared" si="52"/>
        <v>1</v>
      </c>
      <c r="V9" s="158">
        <f t="array" ref="V9">LET(team, SUBSTITUTE(V$1, " Wins", ""), IF(COUNTIF(INDIRECT("'"&amp;$A9&amp;"'!$C:$C"), team)&gt;0, 1, "-"))</f>
        <v>1</v>
      </c>
      <c r="W9" s="158" t="str">
        <f t="array" ref="W9">LET(team, SUBSTITUTE(W$1, " Losses", ""), weekSheet, "'"&amp;$A9&amp;"'!", matchIdx, MATCH("*"&amp;team&amp;"*", INDIRECT(weekSheet&amp;"$B:$B"), 0), IF(ISNA(matchIdx), "-", LET(winner, INDEX(INDIRECT(weekSheet&amp;"$C:$C"), matchIdx), IF(winner="", "-", IF(winner=team, "-", 1)))))</f>
        <v>-</v>
      </c>
      <c r="X9" s="158">
        <f t="shared" si="87"/>
        <v>1</v>
      </c>
      <c r="Y9" s="158" t="str">
        <f t="shared" si="88"/>
        <v>-</v>
      </c>
      <c r="Z9" s="160"/>
      <c r="AA9" s="160"/>
      <c r="AB9" s="45">
        <f t="shared" ref="AB9:AB11" si="95">LET(team, SUBSTITUTE(AB$1, " Wins", ""), IF(COUNTIF(INDIRECT("'"&amp;$A9&amp;"'!$C:$C"), team)&gt;0, 1, "-"))</f>
        <v>1</v>
      </c>
      <c r="AC9" s="45" t="str">
        <f t="shared" ref="AC9:AC11" si="96">LET(team, SUBSTITUTE(AC$1, " Losses", ""), weekSheet, "'"&amp;$A9&amp;"'!", matchIdx, MATCH("*"&amp;team&amp;"*", INDIRECT(weekSheet&amp;"$B:$B"), 0), IF(ISNA(matchIdx), "-", LET(winner, INDEX(INDIRECT(weekSheet&amp;"$C:$C"), matchIdx), IF(winner="", "-", IF(winner=team, "-", 1)))))</f>
        <v>-</v>
      </c>
      <c r="AD9" s="158" t="str">
        <f t="array" ref="AD9">LET(team, SUBSTITUTE(AD$1, " Wins", ""), IF(COUNTIF(INDIRECT("'"&amp;$A9&amp;"'!$C:$C"), team)&gt;0, 1, "-"))</f>
        <v>-</v>
      </c>
      <c r="AE9" s="158">
        <f t="array" ref="AE9">LET(team, SUBSTITUTE(AE$1, " Losses", ""), weekSheet, "'"&amp;$A9&amp;"'!", matchIdx, MATCH("*"&amp;team&amp;"*", INDIRECT(weekSheet&amp;"$B:$B"), 0), IF(ISNA(matchIdx), "-", LET(winner, INDEX(INDIRECT(weekSheet&amp;"$C:$C"), matchIdx), IF(winner="", "-", IF(winner=team, "-", 1)))))</f>
        <v>1</v>
      </c>
      <c r="AF9" s="158" t="str">
        <f t="shared" si="53"/>
        <v>-</v>
      </c>
      <c r="AG9" s="158">
        <f t="shared" si="54"/>
        <v>1</v>
      </c>
      <c r="AH9" s="160"/>
      <c r="AI9" s="160"/>
      <c r="AJ9" s="160"/>
      <c r="AK9" s="160"/>
      <c r="AL9" s="45">
        <f t="shared" ref="AL9:AL10" si="97">LET(team, SUBSTITUTE(AL$1, " Wins", ""), IF(COUNTIF(INDIRECT("'"&amp;$A9&amp;"'!$C:$C"), team)&gt;0, 1, "-"))</f>
        <v>1</v>
      </c>
      <c r="AM9" s="45" t="str">
        <f t="shared" ref="AM9:AM10" si="98">LET(team, SUBSTITUTE(AM$1, " Losses", ""), weekSheet, "'"&amp;$A9&amp;"'!", matchIdx, MATCH("*"&amp;team&amp;"*", INDIRECT(weekSheet&amp;"$B:$B"), 0), IF(ISNA(matchIdx), "-", LET(winner, INDEX(INDIRECT(weekSheet&amp;"$C:$C"), matchIdx), IF(winner="", "-", IF(winner=team, "-", 1)))))</f>
        <v>-</v>
      </c>
      <c r="AN9" s="45">
        <f t="shared" ref="AN9:AN11" si="99">LET(team, SUBSTITUTE(AN$1, " Wins", ""), IF(COUNTIF(INDIRECT("'"&amp;$A9&amp;"'!$C:$C"), team)&gt;0, 1, "-"))</f>
        <v>1</v>
      </c>
      <c r="AO9" s="45" t="str">
        <f t="shared" ref="AO9:AO11" si="100">LET(team, SUBSTITUTE(AO$1, " Losses", ""), weekSheet, "'"&amp;$A9&amp;"'!", matchIdx, MATCH("*"&amp;team&amp;"*", INDIRECT(weekSheet&amp;"$B:$B"), 0), IF(ISNA(matchIdx), "-", LET(winner, INDEX(INDIRECT(weekSheet&amp;"$C:$C"), matchIdx), IF(winner="", "-", IF(winner=team, "-", 1)))))</f>
        <v>-</v>
      </c>
      <c r="AP9" s="158" t="str">
        <f t="shared" si="71"/>
        <v>-</v>
      </c>
      <c r="AQ9" s="158">
        <f t="shared" si="72"/>
        <v>1</v>
      </c>
      <c r="AR9" s="158">
        <f t="shared" si="79"/>
        <v>1</v>
      </c>
      <c r="AS9" s="158" t="str">
        <f t="shared" si="80"/>
        <v>-</v>
      </c>
      <c r="AT9" s="160"/>
      <c r="AU9" s="160"/>
      <c r="AV9" s="158" t="str">
        <f t="shared" ref="AV9:AV11" si="101">LET(team, SUBSTITUTE(AV$1, " Wins", ""), IF(COUNTIF(INDIRECT("'"&amp;$A9&amp;"'!$C:$C"), team)&gt;0, 1, "-"))</f>
        <v>-</v>
      </c>
      <c r="AW9" s="158">
        <f t="shared" ref="AW9:AW11" si="102">LET(team, SUBSTITUTE(AW$1, " Losses", ""), weekSheet, "'"&amp;$A9&amp;"'!", matchIdx, MATCH("*"&amp;team&amp;"*", INDIRECT(weekSheet&amp;"$B:$B"), 0), IF(ISNA(matchIdx), "-", LET(winner, INDEX(INDIRECT(weekSheet&amp;"$C:$C"), matchIdx), IF(winner="", "-", IF(winner=team, "-", 1)))))</f>
        <v>1</v>
      </c>
      <c r="AX9" s="45">
        <f t="shared" si="89"/>
        <v>1</v>
      </c>
      <c r="AY9" s="45" t="str">
        <f t="shared" si="90"/>
        <v>-</v>
      </c>
      <c r="AZ9" s="158">
        <f t="shared" si="45"/>
        <v>1</v>
      </c>
      <c r="BA9" s="158" t="str">
        <f t="shared" si="46"/>
        <v>-</v>
      </c>
      <c r="BB9" s="158" t="str">
        <f t="array" ref="BB9">LET(team, SUBSTITUTE(BB$1, " Wins", ""), IF(COUNTIF(INDIRECT("'"&amp;$A9&amp;"'!$C:$C"), team)&gt;0, 1, "-"))</f>
        <v>-</v>
      </c>
      <c r="BC9" s="158">
        <f t="array" ref="BC9">LET(team, SUBSTITUTE(BC$1, " Losses", ""), weekSheet, "'"&amp;$A9&amp;"'!", matchIdx, MATCH("*"&amp;team&amp;"*", INDIRECT(weekSheet&amp;"$B:$B"), 0), IF(ISNA(matchIdx), "-", LET(winner, INDEX(INDIRECT(weekSheet&amp;"$C:$C"), matchIdx), IF(winner="", "-", IF(winner=team, "-", 1)))))</f>
        <v>1</v>
      </c>
      <c r="BD9" s="158" t="str">
        <f t="shared" ref="BD9:BD10" si="103">LET(team, SUBSTITUTE(BD$1, " Wins", ""), IF(COUNTIF(INDIRECT("'"&amp;$A9&amp;"'!$C:$C"), team)&gt;0, 1, "-"))</f>
        <v>-</v>
      </c>
      <c r="BE9" s="158">
        <f t="shared" ref="BE9:BE10" si="104">LET(team, SUBSTITUTE(BE$1, " Losses", ""), weekSheet, "'"&amp;$A9&amp;"'!", matchIdx, MATCH("*"&amp;team&amp;"*", INDIRECT(weekSheet&amp;"$B:$B"), 0), IF(ISNA(matchIdx), "-", LET(winner, INDEX(INDIRECT(weekSheet&amp;"$C:$C"), matchIdx), IF(winner="", "-", IF(winner=team, "-", 1)))))</f>
        <v>1</v>
      </c>
      <c r="BF9" s="158">
        <f t="shared" si="91"/>
        <v>1</v>
      </c>
      <c r="BG9" s="158" t="str">
        <f t="shared" si="92"/>
        <v>-</v>
      </c>
      <c r="BH9" s="160"/>
      <c r="BI9" s="160"/>
      <c r="BJ9" s="158" t="str">
        <f t="shared" si="81"/>
        <v>-</v>
      </c>
      <c r="BK9" s="158">
        <f t="shared" si="82"/>
        <v>1</v>
      </c>
      <c r="BL9" s="158" t="str">
        <f t="shared" si="83"/>
        <v>-</v>
      </c>
      <c r="BM9" s="158">
        <f t="shared" si="84"/>
        <v>1</v>
      </c>
    </row>
    <row r="10">
      <c r="A10" s="157" t="s">
        <v>170</v>
      </c>
      <c r="B10" s="158">
        <f t="shared" si="93"/>
        <v>1</v>
      </c>
      <c r="C10" s="158" t="str">
        <f t="shared" si="94"/>
        <v>-</v>
      </c>
      <c r="D10" s="160"/>
      <c r="E10" s="160"/>
      <c r="F10" s="160"/>
      <c r="G10" s="160"/>
      <c r="H10" s="158">
        <f t="shared" ref="H10:H13" si="105">LET(team, SUBSTITUTE(H$1, " Wins", ""), IF(COUNTIF(INDIRECT("'"&amp;$A10&amp;"'!$C:$C"), team)&gt;0, 1, "-"))</f>
        <v>1</v>
      </c>
      <c r="I10" s="158" t="str">
        <f t="shared" ref="I10:I13" si="106">LET(team, SUBSTITUTE(I$1, " Losses", ""), weekSheet, "'"&amp;$A10&amp;"'!", matchIdx, MATCH("*"&amp;team&amp;"*", INDIRECT(weekSheet&amp;"$B:$B"), 0), IF(ISNA(matchIdx), "-", LET(winner, INDEX(INDIRECT(weekSheet&amp;"$C:$C"), matchIdx), IF(winner="", "-", IF(winner=team, "-", 1)))))</f>
        <v>-</v>
      </c>
      <c r="J10" s="160"/>
      <c r="K10" s="160"/>
      <c r="L10" s="160"/>
      <c r="M10" s="160"/>
      <c r="N10" s="45" t="str">
        <f t="shared" si="63"/>
        <v>-</v>
      </c>
      <c r="O10" s="45">
        <f t="shared" si="64"/>
        <v>1</v>
      </c>
      <c r="P10" s="160"/>
      <c r="Q10" s="160"/>
      <c r="R10" s="158">
        <f t="shared" si="77"/>
        <v>1</v>
      </c>
      <c r="S10" s="158" t="str">
        <f t="shared" si="78"/>
        <v>-</v>
      </c>
      <c r="T10" s="160"/>
      <c r="U10" s="160"/>
      <c r="V10" s="160"/>
      <c r="W10" s="160"/>
      <c r="X10" s="160"/>
      <c r="Y10" s="160"/>
      <c r="Z10" s="158" t="str">
        <f t="shared" ref="Z10:Z14" si="107">LET(team, SUBSTITUTE(Z$1, " Wins", ""), IF(COUNTIF(INDIRECT("'"&amp;$A10&amp;"'!$C:$C"), team)&gt;0, 1, "-"))</f>
        <v>-</v>
      </c>
      <c r="AA10" s="158">
        <f t="shared" ref="AA10:AA14" si="108">LET(team, SUBSTITUTE(AA$1, " Losses", ""), weekSheet, "'"&amp;$A10&amp;"'!", matchIdx, MATCH("*"&amp;team&amp;"*", INDIRECT(weekSheet&amp;"$B:$B"), 0), IF(ISNA(matchIdx), "-", LET(winner, INDEX(INDIRECT(weekSheet&amp;"$C:$C"), matchIdx), IF(winner="", "-", IF(winner=team, "-", 1)))))</f>
        <v>1</v>
      </c>
      <c r="AB10" s="158" t="str">
        <f t="shared" si="95"/>
        <v>-</v>
      </c>
      <c r="AC10" s="158">
        <f t="shared" si="96"/>
        <v>1</v>
      </c>
      <c r="AD10" s="160"/>
      <c r="AE10" s="160"/>
      <c r="AF10" s="160"/>
      <c r="AG10" s="160"/>
      <c r="AH10" s="160"/>
      <c r="AI10" s="160"/>
      <c r="AJ10" s="158">
        <f t="shared" ref="AJ10:AJ11" si="109">LET(team, SUBSTITUTE(AJ$1, " Wins", ""), IF(COUNTIF(INDIRECT("'"&amp;$A10&amp;"'!$C:$C"), team)&gt;0, 1, "-"))</f>
        <v>1</v>
      </c>
      <c r="AK10" s="158" t="str">
        <f t="shared" ref="AK10:AK11" si="110">LET(team, SUBSTITUTE(AK$1, " Losses", ""), weekSheet, "'"&amp;$A10&amp;"'!", matchIdx, MATCH("*"&amp;team&amp;"*", INDIRECT(weekSheet&amp;"$B:$B"), 0), IF(ISNA(matchIdx), "-", LET(winner, INDEX(INDIRECT(weekSheet&amp;"$C:$C"), matchIdx), IF(winner="", "-", IF(winner=team, "-", 1)))))</f>
        <v>-</v>
      </c>
      <c r="AL10" s="158">
        <f t="shared" si="97"/>
        <v>1</v>
      </c>
      <c r="AM10" s="158" t="str">
        <f t="shared" si="98"/>
        <v>-</v>
      </c>
      <c r="AN10" s="158" t="str">
        <f t="shared" si="99"/>
        <v>-</v>
      </c>
      <c r="AO10" s="158">
        <f t="shared" si="100"/>
        <v>1</v>
      </c>
      <c r="AP10" s="160"/>
      <c r="AQ10" s="160"/>
      <c r="AR10" s="45">
        <f t="shared" si="79"/>
        <v>1</v>
      </c>
      <c r="AS10" s="45" t="str">
        <f t="shared" si="80"/>
        <v>-</v>
      </c>
      <c r="AT10" s="158" t="str">
        <f t="shared" ref="AT10:AT11" si="111">LET(team, SUBSTITUTE(AT$1, " Wins", ""), IF(COUNTIF(INDIRECT("'"&amp;$A10&amp;"'!$C:$C"), team)&gt;0, 1, "-"))</f>
        <v>-</v>
      </c>
      <c r="AU10" s="158">
        <f t="shared" ref="AU10:AU11" si="112">LET(team, SUBSTITUTE(AU$1, " Losses", ""), weekSheet, "'"&amp;$A10&amp;"'!", matchIdx, MATCH("*"&amp;team&amp;"*", INDIRECT(weekSheet&amp;"$B:$B"), 0), IF(ISNA(matchIdx), "-", LET(winner, INDEX(INDIRECT(weekSheet&amp;"$C:$C"), matchIdx), IF(winner="", "-", IF(winner=team, "-", 1)))))</f>
        <v>1</v>
      </c>
      <c r="AV10" s="158" t="str">
        <f t="shared" si="101"/>
        <v>-</v>
      </c>
      <c r="AW10" s="158">
        <f t="shared" si="102"/>
        <v>1</v>
      </c>
      <c r="AX10" s="160"/>
      <c r="AY10" s="160"/>
      <c r="AZ10" s="160"/>
      <c r="BA10" s="160"/>
      <c r="BB10" s="160"/>
      <c r="BC10" s="160"/>
      <c r="BD10" s="158">
        <f t="shared" si="103"/>
        <v>1</v>
      </c>
      <c r="BE10" s="158" t="str">
        <f t="shared" si="104"/>
        <v>-</v>
      </c>
      <c r="BF10" s="45" t="str">
        <f t="shared" si="91"/>
        <v>-</v>
      </c>
      <c r="BG10" s="45">
        <f t="shared" si="92"/>
        <v>1</v>
      </c>
      <c r="BH10" s="160"/>
      <c r="BI10" s="160"/>
      <c r="BJ10" s="160"/>
      <c r="BK10" s="160"/>
      <c r="BL10" s="160"/>
      <c r="BM10" s="160"/>
    </row>
    <row r="11">
      <c r="A11" s="157" t="s">
        <v>175</v>
      </c>
      <c r="B11" s="160"/>
      <c r="C11" s="160"/>
      <c r="D11" s="160"/>
      <c r="E11" s="160"/>
      <c r="F11" s="160"/>
      <c r="G11" s="160"/>
      <c r="H11" s="158" t="str">
        <f t="shared" si="105"/>
        <v>-</v>
      </c>
      <c r="I11" s="158">
        <f t="shared" si="106"/>
        <v>1</v>
      </c>
      <c r="J11" s="158" t="str">
        <f t="shared" ref="J11:J14" si="113">LET(team, SUBSTITUTE(J$1, " Wins", ""), IF(COUNTIF(INDIRECT("'"&amp;$A11&amp;"'!$C:$C"), team)&gt;0, 1, "-"))</f>
        <v>-</v>
      </c>
      <c r="K11" s="158">
        <f t="shared" ref="K11:K14" si="114">LET(team, SUBSTITUTE(K$1, " Losses", ""), weekSheet, "'"&amp;$A11&amp;"'!", matchIdx, MATCH("*"&amp;team&amp;"*", INDIRECT(weekSheet&amp;"$B:$B"), 0), IF(ISNA(matchIdx), "-", LET(winner, INDEX(INDIRECT(weekSheet&amp;"$C:$C"), matchIdx), IF(winner="", "-", IF(winner=team, "-", 1)))))</f>
        <v>1</v>
      </c>
      <c r="L11" s="158">
        <f t="shared" ref="L11:L14" si="115">LET(team, SUBSTITUTE(L$1, " Wins", ""), IF(COUNTIF(INDIRECT("'"&amp;$A11&amp;"'!$C:$C"), team)&gt;0, 1, "-"))</f>
        <v>1</v>
      </c>
      <c r="M11" s="158" t="str">
        <f t="shared" ref="M11:M14" si="116">LET(team, SUBSTITUTE(M$1, " Losses", ""), weekSheet, "'"&amp;$A11&amp;"'!", matchIdx, MATCH("*"&amp;team&amp;"*", INDIRECT(weekSheet&amp;"$B:$B"), 0), IF(ISNA(matchIdx), "-", LET(winner, INDEX(INDIRECT(weekSheet&amp;"$C:$C"), matchIdx), IF(winner="", "-", IF(winner=team, "-", 1)))))</f>
        <v>-</v>
      </c>
      <c r="N11" s="158">
        <f t="shared" si="63"/>
        <v>1</v>
      </c>
      <c r="O11" s="158" t="str">
        <f t="shared" si="64"/>
        <v>-</v>
      </c>
      <c r="P11" s="160"/>
      <c r="Q11" s="160"/>
      <c r="R11" s="158">
        <f t="shared" si="77"/>
        <v>1</v>
      </c>
      <c r="S11" s="158" t="str">
        <f t="shared" si="78"/>
        <v>-</v>
      </c>
      <c r="T11" s="45">
        <f t="array" ref="T11">LET(team, SUBSTITUTE(T$1, " Wins", ""), IF(COUNTIF(INDIRECT("'"&amp;$A11&amp;"'!$C:$C"), team)&gt;0, 1, "-"))</f>
        <v>1</v>
      </c>
      <c r="U11" s="45" t="str">
        <f t="array" ref="U11">LET(team, SUBSTITUTE(U$1, " Losses", ""), weekSheet, "'"&amp;$A11&amp;"'!", matchIdx, MATCH("*"&amp;team&amp;"*", INDIRECT(weekSheet&amp;"$B:$B"), 0), IF(ISNA(matchIdx), "-", LET(winner, INDEX(INDIRECT(weekSheet&amp;"$C:$C"), matchIdx), IF(winner="", "-", IF(winner=team, "-", 1)))))</f>
        <v>-</v>
      </c>
      <c r="V11" s="158" t="str">
        <f t="array" ref="V11">LET(team, SUBSTITUTE(V$1, " Wins", ""), IF(COUNTIF(INDIRECT("'"&amp;$A11&amp;"'!$C:$C"), team)&gt;0, 1, "-"))</f>
        <v>-</v>
      </c>
      <c r="W11" s="158">
        <f t="array" ref="W11">LET(team, SUBSTITUTE(W$1, " Losses", ""), weekSheet, "'"&amp;$A11&amp;"'!", matchIdx, MATCH("*"&amp;team&amp;"*", INDIRECT(weekSheet&amp;"$B:$B"), 0), IF(ISNA(matchIdx), "-", LET(winner, INDEX(INDIRECT(weekSheet&amp;"$C:$C"), matchIdx), IF(winner="", "-", IF(winner=team, "-", 1)))))</f>
        <v>1</v>
      </c>
      <c r="X11" s="45">
        <f t="array" ref="X11">LET(team, SUBSTITUTE(X$1, " Wins", ""), IF(COUNTIF(INDIRECT("'"&amp;$A11&amp;"'!$C:$C"), team)&gt;0, 1, "-"))</f>
        <v>1</v>
      </c>
      <c r="Y11" s="45" t="str">
        <f t="array" ref="Y11">LET(team, SUBSTITUTE(Y$1, " Losses", ""), weekSheet, "'"&amp;$A11&amp;"'!", matchIdx, MATCH("*"&amp;team&amp;"*", INDIRECT(weekSheet&amp;"$B:$B"), 0), IF(ISNA(matchIdx), "-", LET(winner, INDEX(INDIRECT(weekSheet&amp;"$C:$C"), matchIdx), IF(winner="", "-", IF(winner=team, "-", 1)))))</f>
        <v>-</v>
      </c>
      <c r="Z11" s="158" t="str">
        <f t="shared" si="107"/>
        <v>-</v>
      </c>
      <c r="AA11" s="158">
        <f t="shared" si="108"/>
        <v>1</v>
      </c>
      <c r="AB11" s="158">
        <f t="shared" si="95"/>
        <v>1</v>
      </c>
      <c r="AC11" s="158" t="str">
        <f t="shared" si="96"/>
        <v>-</v>
      </c>
      <c r="AD11" s="158" t="str">
        <f t="shared" ref="AD11:AD12" si="117">LET(team, SUBSTITUTE(AD$1, " Wins", ""), IF(COUNTIF(INDIRECT("'"&amp;$A11&amp;"'!$C:$C"), team)&gt;0, 1, "-"))</f>
        <v>-</v>
      </c>
      <c r="AE11" s="158">
        <f t="shared" ref="AE11:AE12" si="118">LET(team, SUBSTITUTE(AE$1, " Losses", ""), weekSheet, "'"&amp;$A11&amp;"'!", matchIdx, MATCH("*"&amp;team&amp;"*", INDIRECT(weekSheet&amp;"$B:$B"), 0), IF(ISNA(matchIdx), "-", LET(winner, INDEX(INDIRECT(weekSheet&amp;"$C:$C"), matchIdx), IF(winner="", "-", IF(winner=team, "-", 1)))))</f>
        <v>1</v>
      </c>
      <c r="AF11" s="45" t="str">
        <f t="array" ref="AF11">LET(team, SUBSTITUTE(AF$1, " Wins", ""), IF(COUNTIF(INDIRECT("'"&amp;$A11&amp;"'!$C:$C"), team)&gt;0, 1, "-"))</f>
        <v>-</v>
      </c>
      <c r="AG11" s="45">
        <f t="array" ref="AG11">LET(team, SUBSTITUTE(AG$1, " Losses", ""), weekSheet, "'"&amp;$A11&amp;"'!", matchIdx, MATCH("*"&amp;team&amp;"*", INDIRECT(weekSheet&amp;"$B:$B"), 0), IF(ISNA(matchIdx), "-", LET(winner, INDEX(INDIRECT(weekSheet&amp;"$C:$C"), matchIdx), IF(winner="", "-", IF(winner=team, "-", 1)))))</f>
        <v>1</v>
      </c>
      <c r="AH11" s="158" t="str">
        <f t="shared" ref="AH11:AH15" si="119">LET(team, SUBSTITUTE(AH$1, " Wins", ""), IF(COUNTIF(INDIRECT("'"&amp;$A11&amp;"'!$C:$C"), team)&gt;0, 1, "-"))</f>
        <v>-</v>
      </c>
      <c r="AI11" s="158">
        <f t="shared" ref="AI11:AI15" si="120">LET(team, SUBSTITUTE(AI$1, " Losses", ""), weekSheet, "'"&amp;$A11&amp;"'!", matchIdx, MATCH("*"&amp;team&amp;"*", INDIRECT(weekSheet&amp;"$B:$B"), 0), IF(ISNA(matchIdx), "-", LET(winner, INDEX(INDIRECT(weekSheet&amp;"$C:$C"), matchIdx), IF(winner="", "-", IF(winner=team, "-", 1)))))</f>
        <v>1</v>
      </c>
      <c r="AJ11" s="158" t="str">
        <f t="shared" si="109"/>
        <v>-</v>
      </c>
      <c r="AK11" s="158">
        <f t="shared" si="110"/>
        <v>1</v>
      </c>
      <c r="AL11" s="160"/>
      <c r="AM11" s="160"/>
      <c r="AN11" s="158">
        <f t="shared" si="99"/>
        <v>1</v>
      </c>
      <c r="AO11" s="158" t="str">
        <f t="shared" si="100"/>
        <v>-</v>
      </c>
      <c r="AP11" s="45">
        <f t="array" ref="AP11">LET(team, SUBSTITUTE(AP$1, " Wins", ""), IF(COUNTIF(INDIRECT("'"&amp;$A11&amp;"'!$C:$C"), team)&gt;0, 1, "-"))</f>
        <v>1</v>
      </c>
      <c r="AQ11" s="45" t="str">
        <f t="array" ref="AQ11">LET(team, SUBSTITUTE(AQ$1, " Losses", ""), weekSheet, "'"&amp;$A11&amp;"'!", matchIdx, MATCH("*"&amp;team&amp;"*", INDIRECT(weekSheet&amp;"$B:$B"), 0), IF(ISNA(matchIdx), "-", LET(winner, INDEX(INDIRECT(weekSheet&amp;"$C:$C"), matchIdx), IF(winner="", "-", IF(winner=team, "-", 1)))))</f>
        <v>-</v>
      </c>
      <c r="AR11" s="160"/>
      <c r="AS11" s="160"/>
      <c r="AT11" s="158" t="str">
        <f t="shared" si="111"/>
        <v>-</v>
      </c>
      <c r="AU11" s="158">
        <f t="shared" si="112"/>
        <v>1</v>
      </c>
      <c r="AV11" s="158">
        <f t="shared" si="101"/>
        <v>1</v>
      </c>
      <c r="AW11" s="158" t="str">
        <f t="shared" si="102"/>
        <v>-</v>
      </c>
      <c r="AX11" s="160"/>
      <c r="AY11" s="160"/>
      <c r="AZ11" s="45">
        <f t="array" ref="AZ11">LET(team, SUBSTITUTE(AZ$1, " Wins", ""), IF(COUNTIF(INDIRECT("'"&amp;$A11&amp;"'!$C:$C"), team)&gt;0, 1, "-"))</f>
        <v>1</v>
      </c>
      <c r="BA11" s="45" t="str">
        <f t="array" ref="BA11">LET(team, SUBSTITUTE(BA$1, " Losses", ""), weekSheet, "'"&amp;$A11&amp;"'!", matchIdx, MATCH("*"&amp;team&amp;"*", INDIRECT(weekSheet&amp;"$B:$B"), 0), IF(ISNA(matchIdx), "-", LET(winner, INDEX(INDIRECT(weekSheet&amp;"$C:$C"), matchIdx), IF(winner="", "-", IF(winner=team, "-", 1)))))</f>
        <v>-</v>
      </c>
      <c r="BB11" s="158" t="str">
        <f t="shared" ref="BB11:BB14" si="121">LET(team, SUBSTITUTE(BB$1, " Wins", ""), IF(COUNTIF(INDIRECT("'"&amp;$A11&amp;"'!$C:$C"), team)&gt;0, 1, "-"))</f>
        <v>-</v>
      </c>
      <c r="BC11" s="158">
        <f t="shared" ref="BC11:BC14" si="122">LET(team, SUBSTITUTE(BC$1, " Losses", ""), weekSheet, "'"&amp;$A11&amp;"'!", matchIdx, MATCH("*"&amp;team&amp;"*", INDIRECT(weekSheet&amp;"$B:$B"), 0), IF(ISNA(matchIdx), "-", LET(winner, INDEX(INDIRECT(weekSheet&amp;"$C:$C"), matchIdx), IF(winner="", "-", IF(winner=team, "-", 1)))))</f>
        <v>1</v>
      </c>
      <c r="BD11" s="160"/>
      <c r="BE11" s="160"/>
      <c r="BF11" s="160"/>
      <c r="BG11" s="160"/>
      <c r="BH11" s="158">
        <f t="shared" ref="BH11:BH12" si="123">LET(team, SUBSTITUTE(BH$1, " Wins", ""), IF(COUNTIF(INDIRECT("'"&amp;$A11&amp;"'!$C:$C"), team)&gt;0, 1, "-"))</f>
        <v>1</v>
      </c>
      <c r="BI11" s="158" t="str">
        <f t="shared" ref="BI11:BI12" si="124">LET(team, SUBSTITUTE(BI$1, " Losses", ""), weekSheet, "'"&amp;$A11&amp;"'!", matchIdx, MATCH("*"&amp;team&amp;"*", INDIRECT(weekSheet&amp;"$B:$B"), 0), IF(ISNA(matchIdx), "-", LET(winner, INDEX(INDIRECT(weekSheet&amp;"$C:$C"), matchIdx), IF(winner="", "-", IF(winner=team, "-", 1)))))</f>
        <v>-</v>
      </c>
      <c r="BJ11" s="160"/>
      <c r="BK11" s="160"/>
      <c r="BL11" s="158" t="str">
        <f t="array" ref="BL11">LET(team, SUBSTITUTE(BL$1, " Wins", ""), IF(COUNTIF(INDIRECT("'"&amp;$A11&amp;"'!$C:$C"), team)&gt;0, 1, "-"))</f>
        <v>-</v>
      </c>
      <c r="BM11" s="158">
        <f t="array" ref="BM11">LET(team, SUBSTITUTE(BM$1, " Losses", ""), weekSheet, "'"&amp;$A11&amp;"'!", matchIdx, MATCH("*"&amp;team&amp;"*", INDIRECT(weekSheet&amp;"$B:$B"), 0), IF(ISNA(matchIdx), "-", LET(winner, INDEX(INDIRECT(weekSheet&amp;"$C:$C"), matchIdx), IF(winner="", "-", IF(winner=team, "-", 1)))))</f>
        <v>1</v>
      </c>
    </row>
    <row r="12">
      <c r="A12" s="157" t="s">
        <v>179</v>
      </c>
      <c r="B12" s="160"/>
      <c r="C12" s="160"/>
      <c r="D12" s="158" t="str">
        <f t="shared" ref="D12:D13" si="125">LET(team, SUBSTITUTE(D$1, " Wins", ""), IF(COUNTIF(INDIRECT("'"&amp;$A12&amp;"'!$C:$C"), team)&gt;0, 1, "-"))</f>
        <v>-</v>
      </c>
      <c r="E12" s="158">
        <f t="shared" ref="E12:E13" si="126">LET(team, SUBSTITUTE(E$1, " Losses", ""), weekSheet, "'"&amp;$A12&amp;"'!", matchIdx, MATCH("*"&amp;team&amp;"*", INDIRECT(weekSheet&amp;"$B:$B"), 0), IF(ISNA(matchIdx), "-", LET(winner, INDEX(INDIRECT(weekSheet&amp;"$C:$C"), matchIdx), IF(winner="", "-", IF(winner=team, "-", 1)))))</f>
        <v>1</v>
      </c>
      <c r="F12" s="158">
        <f t="shared" ref="F12:F19" si="127">LET(team, SUBSTITUTE(F$1, " Wins", ""), IF(COUNTIF(INDIRECT("'"&amp;$A12&amp;"'!$C:$C"), team)&gt;0, 1, "-"))</f>
        <v>1</v>
      </c>
      <c r="G12" s="158" t="str">
        <f t="shared" ref="G12:G19" si="128">LET(team, SUBSTITUTE(G$1, " Losses", ""), weekSheet, "'"&amp;$A12&amp;"'!", matchIdx, MATCH("*"&amp;team&amp;"*", INDIRECT(weekSheet&amp;"$B:$B"), 0), IF(ISNA(matchIdx), "-", LET(winner, INDEX(INDIRECT(weekSheet&amp;"$C:$C"), matchIdx), IF(winner="", "-", IF(winner=team, "-", 1)))))</f>
        <v>-</v>
      </c>
      <c r="H12" s="158">
        <f t="shared" si="105"/>
        <v>1</v>
      </c>
      <c r="I12" s="158" t="str">
        <f t="shared" si="106"/>
        <v>-</v>
      </c>
      <c r="J12" s="158">
        <f t="shared" si="113"/>
        <v>1</v>
      </c>
      <c r="K12" s="158" t="str">
        <f t="shared" si="114"/>
        <v>-</v>
      </c>
      <c r="L12" s="158" t="str">
        <f t="shared" si="115"/>
        <v>-</v>
      </c>
      <c r="M12" s="158">
        <f t="shared" si="116"/>
        <v>1</v>
      </c>
      <c r="N12" s="158" t="str">
        <f t="shared" si="63"/>
        <v>-</v>
      </c>
      <c r="O12" s="158">
        <f t="shared" si="64"/>
        <v>1</v>
      </c>
      <c r="P12" s="160"/>
      <c r="Q12" s="160"/>
      <c r="R12" s="160"/>
      <c r="S12" s="160"/>
      <c r="T12" s="160"/>
      <c r="U12" s="160"/>
      <c r="V12" s="160"/>
      <c r="W12" s="160"/>
      <c r="X12" s="160"/>
      <c r="Y12" s="160"/>
      <c r="Z12" s="158">
        <f t="shared" si="107"/>
        <v>1</v>
      </c>
      <c r="AA12" s="158" t="str">
        <f t="shared" si="108"/>
        <v>-</v>
      </c>
      <c r="AB12" s="160"/>
      <c r="AC12" s="160"/>
      <c r="AD12" s="45" t="str">
        <f t="shared" si="117"/>
        <v>-</v>
      </c>
      <c r="AE12" s="45">
        <f t="shared" si="118"/>
        <v>1</v>
      </c>
      <c r="AF12" s="160"/>
      <c r="AG12" s="160"/>
      <c r="AH12" s="158" t="str">
        <f t="shared" si="119"/>
        <v>-</v>
      </c>
      <c r="AI12" s="158">
        <f t="shared" si="120"/>
        <v>1</v>
      </c>
      <c r="AJ12" s="160"/>
      <c r="AK12" s="160"/>
      <c r="AL12" s="160"/>
      <c r="AM12" s="160"/>
      <c r="AN12" s="160"/>
      <c r="AO12" s="160"/>
      <c r="AP12" s="160"/>
      <c r="AQ12" s="160"/>
      <c r="AR12" s="160"/>
      <c r="AS12" s="160"/>
      <c r="AT12" s="160"/>
      <c r="AU12" s="160"/>
      <c r="AV12" s="160"/>
      <c r="AW12" s="160"/>
      <c r="AX12" s="158" t="str">
        <f t="shared" ref="AX12:AX14" si="129">LET(team, SUBSTITUTE(AX$1, " Wins", ""), IF(COUNTIF(INDIRECT("'"&amp;$A12&amp;"'!$C:$C"), team)&gt;0, 1, "-"))</f>
        <v>-</v>
      </c>
      <c r="AY12" s="158">
        <f t="shared" ref="AY12:AY14" si="130">LET(team, SUBSTITUTE(AY$1, " Losses", ""), weekSheet, "'"&amp;$A12&amp;"'!", matchIdx, MATCH("*"&amp;team&amp;"*", INDIRECT(weekSheet&amp;"$B:$B"), 0), IF(ISNA(matchIdx), "-", LET(winner, INDEX(INDIRECT(weekSheet&amp;"$C:$C"), matchIdx), IF(winner="", "-", IF(winner=team, "-", 1)))))</f>
        <v>1</v>
      </c>
      <c r="AZ12" s="160"/>
      <c r="BA12" s="160"/>
      <c r="BB12" s="158">
        <f t="shared" si="121"/>
        <v>1</v>
      </c>
      <c r="BC12" s="158" t="str">
        <f t="shared" si="122"/>
        <v>-</v>
      </c>
      <c r="BD12" s="158">
        <f t="shared" ref="BD12:BD13" si="131">LET(team, SUBSTITUTE(BD$1, " Wins", ""), IF(COUNTIF(INDIRECT("'"&amp;$A12&amp;"'!$C:$C"), team)&gt;0, 1, "-"))</f>
        <v>1</v>
      </c>
      <c r="BE12" s="158" t="str">
        <f t="shared" ref="BE12:BE13" si="132">LET(team, SUBSTITUTE(BE$1, " Losses", ""), weekSheet, "'"&amp;$A12&amp;"'!", matchIdx, MATCH("*"&amp;team&amp;"*", INDIRECT(weekSheet&amp;"$B:$B"), 0), IF(ISNA(matchIdx), "-", LET(winner, INDEX(INDIRECT(weekSheet&amp;"$C:$C"), matchIdx), IF(winner="", "-", IF(winner=team, "-", 1)))))</f>
        <v>-</v>
      </c>
      <c r="BF12" s="45">
        <f t="shared" ref="BF12:BF13" si="133">LET(team, SUBSTITUTE(BF$1, " Wins", ""), IF(COUNTIF(INDIRECT("'"&amp;$A12&amp;"'!$C:$C"), team)&gt;0, 1, "-"))</f>
        <v>1</v>
      </c>
      <c r="BG12" s="45" t="str">
        <f t="shared" ref="BG12:BG13" si="134">LET(team, SUBSTITUTE(BG$1, " Losses", ""), weekSheet, "'"&amp;$A12&amp;"'!", matchIdx, MATCH("*"&amp;team&amp;"*", INDIRECT(weekSheet&amp;"$B:$B"), 0), IF(ISNA(matchIdx), "-", LET(winner, INDEX(INDIRECT(weekSheet&amp;"$C:$C"), matchIdx), IF(winner="", "-", IF(winner=team, "-", 1)))))</f>
        <v>-</v>
      </c>
      <c r="BH12" s="45" t="str">
        <f t="shared" si="123"/>
        <v>-</v>
      </c>
      <c r="BI12" s="45">
        <f t="shared" si="124"/>
        <v>1</v>
      </c>
      <c r="BJ12" s="160"/>
      <c r="BK12" s="160"/>
      <c r="BL12" s="160"/>
      <c r="BM12" s="160"/>
    </row>
    <row r="13">
      <c r="A13" s="157" t="s">
        <v>185</v>
      </c>
      <c r="B13" s="158" t="str">
        <f t="array" ref="B13">LET(team, SUBSTITUTE(B$1, " Wins", ""), IF(COUNTIF(INDIRECT("'"&amp;$A13&amp;"'!$C:$C"), team)&gt;0, 1, "-"))</f>
        <v>-</v>
      </c>
      <c r="C13" s="158">
        <f t="array" ref="C13">LET(team, SUBSTITUTE(C$1, " Losses", ""), weekSheet, "'"&amp;$A13&amp;"'!", matchIdx, MATCH("*"&amp;team&amp;"*", INDIRECT(weekSheet&amp;"$B:$B"), 0), IF(ISNA(matchIdx), "-", LET(winner, INDEX(INDIRECT(weekSheet&amp;"$C:$C"), matchIdx), IF(winner="", "-", IF(winner=team, "-", 1)))))</f>
        <v>1</v>
      </c>
      <c r="D13" s="158">
        <f t="shared" si="125"/>
        <v>1</v>
      </c>
      <c r="E13" s="158" t="str">
        <f t="shared" si="126"/>
        <v>-</v>
      </c>
      <c r="F13" s="45">
        <f t="shared" si="127"/>
        <v>1</v>
      </c>
      <c r="G13" s="45" t="str">
        <f t="shared" si="128"/>
        <v>-</v>
      </c>
      <c r="H13" s="45" t="str">
        <f t="shared" si="105"/>
        <v>-</v>
      </c>
      <c r="I13" s="45">
        <f t="shared" si="106"/>
        <v>1</v>
      </c>
      <c r="J13" s="45">
        <f t="shared" si="113"/>
        <v>1</v>
      </c>
      <c r="K13" s="45" t="str">
        <f t="shared" si="114"/>
        <v>-</v>
      </c>
      <c r="L13" s="45" t="str">
        <f t="shared" si="115"/>
        <v>-</v>
      </c>
      <c r="M13" s="45">
        <f t="shared" si="116"/>
        <v>1</v>
      </c>
      <c r="N13" s="45">
        <f t="shared" si="63"/>
        <v>1</v>
      </c>
      <c r="O13" s="45" t="str">
        <f t="shared" si="64"/>
        <v>-</v>
      </c>
      <c r="P13" s="158">
        <f t="shared" ref="P13:P14" si="135">LET(team, SUBSTITUTE(P$1, " Wins", ""), IF(COUNTIF(INDIRECT("'"&amp;$A13&amp;"'!$C:$C"), team)&gt;0, 1, "-"))</f>
        <v>1</v>
      </c>
      <c r="Q13" s="158" t="str">
        <f t="shared" ref="Q13:Q14" si="136">LET(team, SUBSTITUTE(Q$1, " Losses", ""), weekSheet, "'"&amp;$A13&amp;"'!", matchIdx, MATCH("*"&amp;team&amp;"*", INDIRECT(weekSheet&amp;"$B:$B"), 0), IF(ISNA(matchIdx), "-", LET(winner, INDEX(INDIRECT(weekSheet&amp;"$C:$C"), matchIdx), IF(winner="", "-", IF(winner=team, "-", 1)))))</f>
        <v>-</v>
      </c>
      <c r="R13" s="158">
        <f t="array" ref="R13">LET(team, SUBSTITUTE(R$1, " Wins", ""), IF(COUNTIF(INDIRECT("'"&amp;$A13&amp;"'!$C:$C"), team)&gt;0, 1, "-"))</f>
        <v>1</v>
      </c>
      <c r="S13" s="158" t="str">
        <f t="array" ref="S13">LET(team, SUBSTITUTE(S$1, " Losses", ""), weekSheet, "'"&amp;$A13&amp;"'!", matchIdx, MATCH("*"&amp;team&amp;"*", INDIRECT(weekSheet&amp;"$B:$B"), 0), IF(ISNA(matchIdx), "-", LET(winner, INDEX(INDIRECT(weekSheet&amp;"$C:$C"), matchIdx), IF(winner="", "-", IF(winner=team, "-", 1)))))</f>
        <v>-</v>
      </c>
      <c r="T13" s="158" t="str">
        <f t="shared" ref="T13:T14" si="137">LET(team, SUBSTITUTE(T$1, " Wins", ""), IF(COUNTIF(INDIRECT("'"&amp;$A13&amp;"'!$C:$C"), team)&gt;0, 1, "-"))</f>
        <v>-</v>
      </c>
      <c r="U13" s="158">
        <f t="shared" ref="U13:U14" si="138">LET(team, SUBSTITUTE(U$1, " Losses", ""), weekSheet, "'"&amp;$A13&amp;"'!", matchIdx, MATCH("*"&amp;team&amp;"*", INDIRECT(weekSheet&amp;"$B:$B"), 0), IF(ISNA(matchIdx), "-", LET(winner, INDEX(INDIRECT(weekSheet&amp;"$C:$C"), matchIdx), IF(winner="", "-", IF(winner=team, "-", 1)))))</f>
        <v>1</v>
      </c>
      <c r="V13" s="158" t="str">
        <f t="shared" ref="V13:V16" si="139">LET(team, SUBSTITUTE(V$1, " Wins", ""), IF(COUNTIF(INDIRECT("'"&amp;$A13&amp;"'!$C:$C"), team)&gt;0, 1, "-"))</f>
        <v>-</v>
      </c>
      <c r="W13" s="158">
        <f t="shared" ref="W13:W16" si="140">LET(team, SUBSTITUTE(W$1, " Losses", ""), weekSheet, "'"&amp;$A13&amp;"'!", matchIdx, MATCH("*"&amp;team&amp;"*", INDIRECT(weekSheet&amp;"$B:$B"), 0), IF(ISNA(matchIdx), "-", LET(winner, INDEX(INDIRECT(weekSheet&amp;"$C:$C"), matchIdx), IF(winner="", "-", IF(winner=team, "-", 1)))))</f>
        <v>1</v>
      </c>
      <c r="X13" s="160"/>
      <c r="Y13" s="160"/>
      <c r="Z13" s="158" t="str">
        <f t="shared" si="107"/>
        <v>-</v>
      </c>
      <c r="AA13" s="158">
        <f t="shared" si="108"/>
        <v>1</v>
      </c>
      <c r="AB13" s="45">
        <f t="array" ref="AB13">LET(team, SUBSTITUTE(AB$1, " Wins", ""), IF(COUNTIF(INDIRECT("'"&amp;$A13&amp;"'!$C:$C"), team)&gt;0, 1, "-"))</f>
        <v>1</v>
      </c>
      <c r="AC13" s="45" t="str">
        <f t="array" ref="AC13">LET(team, SUBSTITUTE(AC$1, " Losses", ""), weekSheet, "'"&amp;$A13&amp;"'!", matchIdx, MATCH("*"&amp;team&amp;"*", INDIRECT(weekSheet&amp;"$B:$B"), 0), IF(ISNA(matchIdx), "-", LET(winner, INDEX(INDIRECT(weekSheet&amp;"$C:$C"), matchIdx), IF(winner="", "-", IF(winner=team, "-", 1)))))</f>
        <v>-</v>
      </c>
      <c r="AD13" s="160"/>
      <c r="AE13" s="160"/>
      <c r="AF13" s="158" t="str">
        <f t="array" ref="AF13">LET(team, SUBSTITUTE(AF$1, " Wins", ""), IF(COUNTIF(INDIRECT("'"&amp;$A13&amp;"'!$C:$C"), team)&gt;0, 1, "-"))</f>
        <v>-</v>
      </c>
      <c r="AG13" s="158">
        <f t="array" ref="AG13">LET(team, SUBSTITUTE(AG$1, " Losses", ""), weekSheet, "'"&amp;$A13&amp;"'!", matchIdx, MATCH("*"&amp;team&amp;"*", INDIRECT(weekSheet&amp;"$B:$B"), 0), IF(ISNA(matchIdx), "-", LET(winner, INDEX(INDIRECT(weekSheet&amp;"$C:$C"), matchIdx), IF(winner="", "-", IF(winner=team, "-", 1)))))</f>
        <v>1</v>
      </c>
      <c r="AH13" s="158">
        <f t="shared" si="119"/>
        <v>1</v>
      </c>
      <c r="AI13" s="158" t="str">
        <f t="shared" si="120"/>
        <v>-</v>
      </c>
      <c r="AJ13" s="158">
        <f t="array" ref="AJ13">LET(team, SUBSTITUTE(AJ$1, " Wins", ""), IF(COUNTIF(INDIRECT("'"&amp;$A13&amp;"'!$C:$C"), team)&gt;0, 1, "-"))</f>
        <v>1</v>
      </c>
      <c r="AK13" s="158" t="str">
        <f t="array" ref="AK13">LET(team, SUBSTITUTE(AK$1, " Losses", ""), weekSheet, "'"&amp;$A13&amp;"'!", matchIdx, MATCH("*"&amp;team&amp;"*", INDIRECT(weekSheet&amp;"$B:$B"), 0), IF(ISNA(matchIdx), "-", LET(winner, INDEX(INDIRECT(weekSheet&amp;"$C:$C"), matchIdx), IF(winner="", "-", IF(winner=team, "-", 1)))))</f>
        <v>-</v>
      </c>
      <c r="AL13" s="158" t="str">
        <f t="shared" ref="AL13:AL19" si="141">LET(team, SUBSTITUTE(AL$1, " Wins", ""), IF(COUNTIF(INDIRECT("'"&amp;$A13&amp;"'!$C:$C"), team)&gt;0, 1, "-"))</f>
        <v>-</v>
      </c>
      <c r="AM13" s="158">
        <f t="shared" ref="AM13:AM19" si="142">LET(team, SUBSTITUTE(AM$1, " Losses", ""), weekSheet, "'"&amp;$A13&amp;"'!", matchIdx, MATCH("*"&amp;team&amp;"*", INDIRECT(weekSheet&amp;"$B:$B"), 0), IF(ISNA(matchIdx), "-", LET(winner, INDEX(INDIRECT(weekSheet&amp;"$C:$C"), matchIdx), IF(winner="", "-", IF(winner=team, "-", 1)))))</f>
        <v>1</v>
      </c>
      <c r="AN13" s="158">
        <f t="shared" ref="AN13:AN14" si="143">LET(team, SUBSTITUTE(AN$1, " Wins", ""), IF(COUNTIF(INDIRECT("'"&amp;$A13&amp;"'!$C:$C"), team)&gt;0, 1, "-"))</f>
        <v>1</v>
      </c>
      <c r="AO13" s="158" t="str">
        <f t="shared" ref="AO13:AO14" si="144">LET(team, SUBSTITUTE(AO$1, " Losses", ""), weekSheet, "'"&amp;$A13&amp;"'!", matchIdx, MATCH("*"&amp;team&amp;"*", INDIRECT(weekSheet&amp;"$B:$B"), 0), IF(ISNA(matchIdx), "-", LET(winner, INDEX(INDIRECT(weekSheet&amp;"$C:$C"), matchIdx), IF(winner="", "-", IF(winner=team, "-", 1)))))</f>
        <v>-</v>
      </c>
      <c r="AP13" s="158" t="str">
        <f t="shared" ref="AP13:AP14" si="145">LET(team, SUBSTITUTE(AP$1, " Wins", ""), IF(COUNTIF(INDIRECT("'"&amp;$A13&amp;"'!$C:$C"), team)&gt;0, 1, "-"))</f>
        <v>-</v>
      </c>
      <c r="AQ13" s="158">
        <f t="shared" ref="AQ13:AQ14" si="146">LET(team, SUBSTITUTE(AQ$1, " Losses", ""), weekSheet, "'"&amp;$A13&amp;"'!", matchIdx, MATCH("*"&amp;team&amp;"*", INDIRECT(weekSheet&amp;"$B:$B"), 0), IF(ISNA(matchIdx), "-", LET(winner, INDEX(INDIRECT(weekSheet&amp;"$C:$C"), matchIdx), IF(winner="", "-", IF(winner=team, "-", 1)))))</f>
        <v>1</v>
      </c>
      <c r="AR13" s="158">
        <f t="shared" ref="AR13:AR14" si="147">LET(team, SUBSTITUTE(AR$1, " Wins", ""), IF(COUNTIF(INDIRECT("'"&amp;$A13&amp;"'!$C:$C"), team)&gt;0, 1, "-"))</f>
        <v>1</v>
      </c>
      <c r="AS13" s="158" t="str">
        <f t="shared" ref="AS13:AS14" si="148">LET(team, SUBSTITUTE(AS$1, " Losses", ""), weekSheet, "'"&amp;$A13&amp;"'!", matchIdx, MATCH("*"&amp;team&amp;"*", INDIRECT(weekSheet&amp;"$B:$B"), 0), IF(ISNA(matchIdx), "-", LET(winner, INDEX(INDIRECT(weekSheet&amp;"$C:$C"), matchIdx), IF(winner="", "-", IF(winner=team, "-", 1)))))</f>
        <v>-</v>
      </c>
      <c r="AT13" s="160"/>
      <c r="AU13" s="160"/>
      <c r="AV13" s="45" t="str">
        <f t="array" ref="AV13">LET(team, SUBSTITUTE(AV$1, " Wins", ""), IF(COUNTIF(INDIRECT("'"&amp;$A13&amp;"'!$C:$C"), team)&gt;0, 1, "-"))</f>
        <v>-</v>
      </c>
      <c r="AW13" s="45">
        <f t="array" ref="AW13">LET(team, SUBSTITUTE(AW$1, " Losses", ""), weekSheet, "'"&amp;$A13&amp;"'!", matchIdx, MATCH("*"&amp;team&amp;"*", INDIRECT(weekSheet&amp;"$B:$B"), 0), IF(ISNA(matchIdx), "-", LET(winner, INDEX(INDIRECT(weekSheet&amp;"$C:$C"), matchIdx), IF(winner="", "-", IF(winner=team, "-", 1)))))</f>
        <v>1</v>
      </c>
      <c r="AX13" s="158" t="str">
        <f t="shared" si="129"/>
        <v>-</v>
      </c>
      <c r="AY13" s="158">
        <f t="shared" si="130"/>
        <v>1</v>
      </c>
      <c r="AZ13" s="158" t="str">
        <f t="shared" ref="AZ13:AZ14" si="149">LET(team, SUBSTITUTE(AZ$1, " Wins", ""), IF(COUNTIF(INDIRECT("'"&amp;$A13&amp;"'!$C:$C"), team)&gt;0, 1, "-"))</f>
        <v>-</v>
      </c>
      <c r="BA13" s="158">
        <f t="shared" ref="BA13:BA14" si="150">LET(team, SUBSTITUTE(BA$1, " Losses", ""), weekSheet, "'"&amp;$A13&amp;"'!", matchIdx, MATCH("*"&amp;team&amp;"*", INDIRECT(weekSheet&amp;"$B:$B"), 0), IF(ISNA(matchIdx), "-", LET(winner, INDEX(INDIRECT(weekSheet&amp;"$C:$C"), matchIdx), IF(winner="", "-", IF(winner=team, "-", 1)))))</f>
        <v>1</v>
      </c>
      <c r="BB13" s="158" t="str">
        <f t="shared" si="121"/>
        <v>-</v>
      </c>
      <c r="BC13" s="158">
        <f t="shared" si="122"/>
        <v>1</v>
      </c>
      <c r="BD13" s="158">
        <f t="shared" si="131"/>
        <v>1</v>
      </c>
      <c r="BE13" s="158" t="str">
        <f t="shared" si="132"/>
        <v>-</v>
      </c>
      <c r="BF13" s="158">
        <f t="shared" si="133"/>
        <v>1</v>
      </c>
      <c r="BG13" s="158" t="str">
        <f t="shared" si="134"/>
        <v>-</v>
      </c>
      <c r="BH13" s="160"/>
      <c r="BI13" s="160"/>
      <c r="BJ13" s="45">
        <f t="shared" ref="BJ13:BJ14" si="151">LET(team, SUBSTITUTE(BJ$1, " Wins", ""), IF(COUNTIF(INDIRECT("'"&amp;$A13&amp;"'!$C:$C"), team)&gt;0, 1, "-"))</f>
        <v>1</v>
      </c>
      <c r="BK13" s="45" t="str">
        <f t="shared" ref="BK13:BK14" si="152">LET(team, SUBSTITUTE(BK$1, " Losses", ""), weekSheet, "'"&amp;$A13&amp;"'!", matchIdx, MATCH("*"&amp;team&amp;"*", INDIRECT(weekSheet&amp;"$B:$B"), 0), IF(ISNA(matchIdx), "-", LET(winner, INDEX(INDIRECT(weekSheet&amp;"$C:$C"), matchIdx), IF(winner="", "-", IF(winner=team, "-", 1)))))</f>
        <v>-</v>
      </c>
      <c r="BL13" s="158" t="str">
        <f t="shared" ref="BL13:BL15" si="153">LET(team, SUBSTITUTE(BL$1, " Wins", ""), IF(COUNTIF(INDIRECT("'"&amp;$A13&amp;"'!$C:$C"), team)&gt;0, 1, "-"))</f>
        <v>-</v>
      </c>
      <c r="BM13" s="158">
        <f t="shared" ref="BM13:BM15" si="154">LET(team, SUBSTITUTE(BM$1, " Losses", ""), weekSheet, "'"&amp;$A13&amp;"'!", matchIdx, MATCH("*"&amp;team&amp;"*", INDIRECT(weekSheet&amp;"$B:$B"), 0), IF(ISNA(matchIdx), "-", LET(winner, INDEX(INDIRECT(weekSheet&amp;"$C:$C"), matchIdx), IF(winner="", "-", IF(winner=team, "-", 1)))))</f>
        <v>1</v>
      </c>
    </row>
    <row r="14">
      <c r="A14" s="157" t="s">
        <v>191</v>
      </c>
      <c r="B14" s="160"/>
      <c r="C14" s="160"/>
      <c r="D14" s="160"/>
      <c r="E14" s="160"/>
      <c r="F14" s="158">
        <f t="shared" si="127"/>
        <v>1</v>
      </c>
      <c r="G14" s="158" t="str">
        <f t="shared" si="128"/>
        <v>-</v>
      </c>
      <c r="H14" s="160"/>
      <c r="I14" s="160"/>
      <c r="J14" s="158" t="str">
        <f t="shared" si="113"/>
        <v>-</v>
      </c>
      <c r="K14" s="158">
        <f t="shared" si="114"/>
        <v>1</v>
      </c>
      <c r="L14" s="158" t="str">
        <f t="shared" si="115"/>
        <v>-</v>
      </c>
      <c r="M14" s="158">
        <f t="shared" si="116"/>
        <v>1</v>
      </c>
      <c r="N14" s="160"/>
      <c r="O14" s="160"/>
      <c r="P14" s="158">
        <f t="shared" si="135"/>
        <v>1</v>
      </c>
      <c r="Q14" s="158" t="str">
        <f t="shared" si="136"/>
        <v>-</v>
      </c>
      <c r="R14" s="160"/>
      <c r="S14" s="160"/>
      <c r="T14" s="158" t="str">
        <f t="shared" si="137"/>
        <v>-</v>
      </c>
      <c r="U14" s="158">
        <f t="shared" si="138"/>
        <v>1</v>
      </c>
      <c r="V14" s="158" t="str">
        <f t="shared" si="139"/>
        <v>-</v>
      </c>
      <c r="W14" s="158">
        <f t="shared" si="140"/>
        <v>1</v>
      </c>
      <c r="X14" s="158">
        <f t="shared" ref="X14:X15" si="155">LET(team, SUBSTITUTE(X$1, " Wins", ""), IF(COUNTIF(INDIRECT("'"&amp;$A14&amp;"'!$C:$C"), team)&gt;0, 1, "-"))</f>
        <v>1</v>
      </c>
      <c r="Y14" s="158" t="str">
        <f t="shared" ref="Y14:Y15" si="156">LET(team, SUBSTITUTE(Y$1, " Losses", ""), weekSheet, "'"&amp;$A14&amp;"'!", matchIdx, MATCH("*"&amp;team&amp;"*", INDIRECT(weekSheet&amp;"$B:$B"), 0), IF(ISNA(matchIdx), "-", LET(winner, INDEX(INDIRECT(weekSheet&amp;"$C:$C"), matchIdx), IF(winner="", "-", IF(winner=team, "-", 1)))))</f>
        <v>-</v>
      </c>
      <c r="Z14" s="158">
        <f t="shared" si="107"/>
        <v>1</v>
      </c>
      <c r="AA14" s="158" t="str">
        <f t="shared" si="108"/>
        <v>-</v>
      </c>
      <c r="AB14" s="160"/>
      <c r="AC14" s="160"/>
      <c r="AD14" s="160"/>
      <c r="AE14" s="160"/>
      <c r="AF14" s="160"/>
      <c r="AG14" s="160"/>
      <c r="AH14" s="158">
        <f t="shared" si="119"/>
        <v>1</v>
      </c>
      <c r="AI14" s="158" t="str">
        <f t="shared" si="120"/>
        <v>-</v>
      </c>
      <c r="AJ14" s="160"/>
      <c r="AK14" s="160"/>
      <c r="AL14" s="158">
        <f t="shared" si="141"/>
        <v>1</v>
      </c>
      <c r="AM14" s="158" t="str">
        <f t="shared" si="142"/>
        <v>-</v>
      </c>
      <c r="AN14" s="158" t="str">
        <f t="shared" si="143"/>
        <v>-</v>
      </c>
      <c r="AO14" s="158">
        <f t="shared" si="144"/>
        <v>1</v>
      </c>
      <c r="AP14" s="158" t="str">
        <f t="shared" si="145"/>
        <v>-</v>
      </c>
      <c r="AQ14" s="158">
        <f t="shared" si="146"/>
        <v>1</v>
      </c>
      <c r="AR14" s="158">
        <f t="shared" si="147"/>
        <v>1</v>
      </c>
      <c r="AS14" s="158" t="str">
        <f t="shared" si="148"/>
        <v>-</v>
      </c>
      <c r="AT14" s="158" t="str">
        <f t="shared" ref="AT14:AT15" si="157">LET(team, SUBSTITUTE(AT$1, " Wins", ""), IF(COUNTIF(INDIRECT("'"&amp;$A14&amp;"'!$C:$C"), team)&gt;0, 1, "-"))</f>
        <v>-</v>
      </c>
      <c r="AU14" s="158">
        <f t="shared" ref="AU14:AU15" si="158">LET(team, SUBSTITUTE(AU$1, " Losses", ""), weekSheet, "'"&amp;$A14&amp;"'!", matchIdx, MATCH("*"&amp;team&amp;"*", INDIRECT(weekSheet&amp;"$B:$B"), 0), IF(ISNA(matchIdx), "-", LET(winner, INDEX(INDIRECT(weekSheet&amp;"$C:$C"), matchIdx), IF(winner="", "-", IF(winner=team, "-", 1)))))</f>
        <v>1</v>
      </c>
      <c r="AV14" s="160"/>
      <c r="AW14" s="160"/>
      <c r="AX14" s="158">
        <f t="shared" si="129"/>
        <v>1</v>
      </c>
      <c r="AY14" s="158" t="str">
        <f t="shared" si="130"/>
        <v>-</v>
      </c>
      <c r="AZ14" s="158">
        <f t="shared" si="149"/>
        <v>1</v>
      </c>
      <c r="BA14" s="158" t="str">
        <f t="shared" si="150"/>
        <v>-</v>
      </c>
      <c r="BB14" s="158">
        <f t="shared" si="121"/>
        <v>1</v>
      </c>
      <c r="BC14" s="158" t="str">
        <f t="shared" si="122"/>
        <v>-</v>
      </c>
      <c r="BD14" s="160"/>
      <c r="BE14" s="160"/>
      <c r="BF14" s="160"/>
      <c r="BG14" s="160"/>
      <c r="BH14" s="158" t="str">
        <f t="shared" ref="BH14:BH19" si="159">LET(team, SUBSTITUTE(BH$1, " Wins", ""), IF(COUNTIF(INDIRECT("'"&amp;$A14&amp;"'!$C:$C"), team)&gt;0, 1, "-"))</f>
        <v>-</v>
      </c>
      <c r="BI14" s="158">
        <f t="shared" ref="BI14:BI19" si="160">LET(team, SUBSTITUTE(BI$1, " Losses", ""), weekSheet, "'"&amp;$A14&amp;"'!", matchIdx, MATCH("*"&amp;team&amp;"*", INDIRECT(weekSheet&amp;"$B:$B"), 0), IF(ISNA(matchIdx), "-", LET(winner, INDEX(INDIRECT(weekSheet&amp;"$C:$C"), matchIdx), IF(winner="", "-", IF(winner=team, "-", 1)))))</f>
        <v>1</v>
      </c>
      <c r="BJ14" s="158" t="str">
        <f t="shared" si="151"/>
        <v>-</v>
      </c>
      <c r="BK14" s="158">
        <f t="shared" si="152"/>
        <v>1</v>
      </c>
      <c r="BL14" s="158" t="str">
        <f t="shared" si="153"/>
        <v>-</v>
      </c>
      <c r="BM14" s="158">
        <f t="shared" si="154"/>
        <v>1</v>
      </c>
    </row>
    <row r="15">
      <c r="A15" s="157" t="s">
        <v>194</v>
      </c>
      <c r="B15" s="158">
        <f t="shared" ref="B15:B16" si="161">LET(team, SUBSTITUTE(B$1, " Wins", ""), IF(COUNTIF(INDIRECT("'"&amp;$A15&amp;"'!$C:$C"), team)&gt;0, 1, "-"))</f>
        <v>1</v>
      </c>
      <c r="C15" s="158" t="str">
        <f t="shared" ref="C15:C16" si="162">LET(team, SUBSTITUTE(C$1, " Losses", ""), weekSheet, "'"&amp;$A15&amp;"'!", matchIdx, MATCH("*"&amp;team&amp;"*", INDIRECT(weekSheet&amp;"$B:$B"), 0), IF(ISNA(matchIdx), "-", LET(winner, INDEX(INDIRECT(weekSheet&amp;"$C:$C"), matchIdx), IF(winner="", "-", IF(winner=team, "-", 1)))))</f>
        <v>-</v>
      </c>
      <c r="D15" s="158" t="str">
        <f t="shared" ref="D15:D17" si="163">LET(team, SUBSTITUTE(D$1, " Wins", ""), IF(COUNTIF(INDIRECT("'"&amp;$A15&amp;"'!$C:$C"), team)&gt;0, 1, "-"))</f>
        <v>-</v>
      </c>
      <c r="E15" s="158">
        <f t="shared" ref="E15:E17" si="164">LET(team, SUBSTITUTE(E$1, " Losses", ""), weekSheet, "'"&amp;$A15&amp;"'!", matchIdx, MATCH("*"&amp;team&amp;"*", INDIRECT(weekSheet&amp;"$B:$B"), 0), IF(ISNA(matchIdx), "-", LET(winner, INDEX(INDIRECT(weekSheet&amp;"$C:$C"), matchIdx), IF(winner="", "-", IF(winner=team, "-", 1)))))</f>
        <v>1</v>
      </c>
      <c r="F15" s="45">
        <f t="shared" si="127"/>
        <v>1</v>
      </c>
      <c r="G15" s="45" t="str">
        <f t="shared" si="128"/>
        <v>-</v>
      </c>
      <c r="H15" s="158">
        <f t="array" ref="H15">LET(team, SUBSTITUTE(H$1, " Wins", ""), IF(COUNTIF(INDIRECT("'"&amp;$A15&amp;"'!$C:$C"), team)&gt;0, 1, "-"))</f>
        <v>1</v>
      </c>
      <c r="I15" s="158" t="str">
        <f t="array" ref="I15">LET(team, SUBSTITUTE(I$1, " Losses", ""), weekSheet, "'"&amp;$A15&amp;"'!", matchIdx, MATCH("*"&amp;team&amp;"*", INDIRECT(weekSheet&amp;"$B:$B"), 0), IF(ISNA(matchIdx), "-", LET(winner, INDEX(INDIRECT(weekSheet&amp;"$C:$C"), matchIdx), IF(winner="", "-", IF(winner=team, "-", 1)))))</f>
        <v>-</v>
      </c>
      <c r="J15" s="160"/>
      <c r="K15" s="160"/>
      <c r="L15" s="160"/>
      <c r="M15" s="160"/>
      <c r="N15" s="158" t="str">
        <f t="array" ref="N15">LET(team, SUBSTITUTE(N$1, " Wins", ""), IF(COUNTIF(INDIRECT("'"&amp;$A15&amp;"'!$C:$C"), team)&gt;0, 1, "-"))</f>
        <v>-</v>
      </c>
      <c r="O15" s="158">
        <f t="array" ref="O15">LET(team, SUBSTITUTE(O$1, " Losses", ""), weekSheet, "'"&amp;$A15&amp;"'!", matchIdx, MATCH("*"&amp;team&amp;"*", INDIRECT(weekSheet&amp;"$B:$B"), 0), IF(ISNA(matchIdx), "-", LET(winner, INDEX(INDIRECT(weekSheet&amp;"$C:$C"), matchIdx), IF(winner="", "-", IF(winner=team, "-", 1)))))</f>
        <v>1</v>
      </c>
      <c r="P15" s="160"/>
      <c r="Q15" s="160"/>
      <c r="R15" s="160"/>
      <c r="S15" s="160"/>
      <c r="T15" s="160"/>
      <c r="U15" s="160"/>
      <c r="V15" s="158">
        <f t="shared" si="139"/>
        <v>1</v>
      </c>
      <c r="W15" s="158" t="str">
        <f t="shared" si="140"/>
        <v>-</v>
      </c>
      <c r="X15" s="158" t="str">
        <f t="shared" si="155"/>
        <v>-</v>
      </c>
      <c r="Y15" s="158">
        <f t="shared" si="156"/>
        <v>1</v>
      </c>
      <c r="Z15" s="160"/>
      <c r="AA15" s="160"/>
      <c r="AB15" s="158" t="str">
        <f t="shared" ref="AB15:AB16" si="165">LET(team, SUBSTITUTE(AB$1, " Wins", ""), IF(COUNTIF(INDIRECT("'"&amp;$A15&amp;"'!$C:$C"), team)&gt;0, 1, "-"))</f>
        <v>-</v>
      </c>
      <c r="AC15" s="158">
        <f t="shared" ref="AC15:AC16" si="166">LET(team, SUBSTITUTE(AC$1, " Losses", ""), weekSheet, "'"&amp;$A15&amp;"'!", matchIdx, MATCH("*"&amp;team&amp;"*", INDIRECT(weekSheet&amp;"$B:$B"), 0), IF(ISNA(matchIdx), "-", LET(winner, INDEX(INDIRECT(weekSheet&amp;"$C:$C"), matchIdx), IF(winner="", "-", IF(winner=team, "-", 1)))))</f>
        <v>1</v>
      </c>
      <c r="AD15" s="160"/>
      <c r="AE15" s="160"/>
      <c r="AF15" s="160"/>
      <c r="AG15" s="160"/>
      <c r="AH15" s="45">
        <f t="shared" si="119"/>
        <v>1</v>
      </c>
      <c r="AI15" s="45" t="str">
        <f t="shared" si="120"/>
        <v>-</v>
      </c>
      <c r="AJ15" s="158" t="str">
        <f t="shared" ref="AJ15:AJ19" si="167">LET(team, SUBSTITUTE(AJ$1, " Wins", ""), IF(COUNTIF(INDIRECT("'"&amp;$A15&amp;"'!$C:$C"), team)&gt;0, 1, "-"))</f>
        <v>-</v>
      </c>
      <c r="AK15" s="158">
        <f t="shared" ref="AK15:AK19" si="168">LET(team, SUBSTITUTE(AK$1, " Losses", ""), weekSheet, "'"&amp;$A15&amp;"'!", matchIdx, MATCH("*"&amp;team&amp;"*", INDIRECT(weekSheet&amp;"$B:$B"), 0), IF(ISNA(matchIdx), "-", LET(winner, INDEX(INDIRECT(weekSheet&amp;"$C:$C"), matchIdx), IF(winner="", "-", IF(winner=team, "-", 1)))))</f>
        <v>1</v>
      </c>
      <c r="AL15" s="158">
        <f t="shared" si="141"/>
        <v>1</v>
      </c>
      <c r="AM15" s="158" t="str">
        <f t="shared" si="142"/>
        <v>-</v>
      </c>
      <c r="AN15" s="160"/>
      <c r="AO15" s="160"/>
      <c r="AP15" s="160"/>
      <c r="AQ15" s="160"/>
      <c r="AR15" s="160"/>
      <c r="AS15" s="160"/>
      <c r="AT15" s="45" t="str">
        <f t="shared" si="157"/>
        <v>-</v>
      </c>
      <c r="AU15" s="45">
        <f t="shared" si="158"/>
        <v>1</v>
      </c>
      <c r="AV15" s="160"/>
      <c r="AW15" s="160"/>
      <c r="AX15" s="160"/>
      <c r="AY15" s="160"/>
      <c r="AZ15" s="160"/>
      <c r="BA15" s="160"/>
      <c r="BB15" s="160"/>
      <c r="BC15" s="160"/>
      <c r="BD15" s="160"/>
      <c r="BE15" s="160"/>
      <c r="BF15" s="160"/>
      <c r="BG15" s="160"/>
      <c r="BH15" s="158">
        <f t="shared" si="159"/>
        <v>1</v>
      </c>
      <c r="BI15" s="158" t="str">
        <f t="shared" si="160"/>
        <v>-</v>
      </c>
      <c r="BJ15" s="160"/>
      <c r="BK15" s="160"/>
      <c r="BL15" s="45" t="str">
        <f t="shared" si="153"/>
        <v>-</v>
      </c>
      <c r="BM15" s="45">
        <f t="shared" si="154"/>
        <v>1</v>
      </c>
    </row>
    <row r="16">
      <c r="A16" s="157" t="s">
        <v>198</v>
      </c>
      <c r="B16" s="158">
        <f t="shared" si="161"/>
        <v>1</v>
      </c>
      <c r="C16" s="158" t="str">
        <f t="shared" si="162"/>
        <v>-</v>
      </c>
      <c r="D16" s="158">
        <f t="shared" si="163"/>
        <v>1</v>
      </c>
      <c r="E16" s="158" t="str">
        <f t="shared" si="164"/>
        <v>-</v>
      </c>
      <c r="F16" s="158" t="str">
        <f t="shared" si="127"/>
        <v>-</v>
      </c>
      <c r="G16" s="158">
        <f t="shared" si="128"/>
        <v>1</v>
      </c>
      <c r="H16" s="160"/>
      <c r="I16" s="160"/>
      <c r="J16" s="160"/>
      <c r="K16" s="160"/>
      <c r="L16" s="160"/>
      <c r="M16" s="160"/>
      <c r="N16" s="160"/>
      <c r="O16" s="160"/>
      <c r="P16" s="158" t="str">
        <f t="shared" ref="P16:P19" si="169">LET(team, SUBSTITUTE(P$1, " Wins", ""), IF(COUNTIF(INDIRECT("'"&amp;$A16&amp;"'!$C:$C"), team)&gt;0, 1, "-"))</f>
        <v>-</v>
      </c>
      <c r="Q16" s="158">
        <f t="shared" ref="Q16:Q19" si="170">LET(team, SUBSTITUTE(Q$1, " Losses", ""), weekSheet, "'"&amp;$A16&amp;"'!", matchIdx, MATCH("*"&amp;team&amp;"*", INDIRECT(weekSheet&amp;"$B:$B"), 0), IF(ISNA(matchIdx), "-", LET(winner, INDEX(INDIRECT(weekSheet&amp;"$C:$C"), matchIdx), IF(winner="", "-", IF(winner=team, "-", 1)))))</f>
        <v>1</v>
      </c>
      <c r="R16" s="158" t="str">
        <f t="shared" ref="R16:R19" si="171">LET(team, SUBSTITUTE(R$1, " Wins", ""), IF(COUNTIF(INDIRECT("'"&amp;$A16&amp;"'!$C:$C"), team)&gt;0, 1, "-"))</f>
        <v>-</v>
      </c>
      <c r="S16" s="158">
        <f t="shared" ref="S16:S19" si="172">LET(team, SUBSTITUTE(S$1, " Losses", ""), weekSheet, "'"&amp;$A16&amp;"'!", matchIdx, MATCH("*"&amp;team&amp;"*", INDIRECT(weekSheet&amp;"$B:$B"), 0), IF(ISNA(matchIdx), "-", LET(winner, INDEX(INDIRECT(weekSheet&amp;"$C:$C"), matchIdx), IF(winner="", "-", IF(winner=team, "-", 1)))))</f>
        <v>1</v>
      </c>
      <c r="T16" s="160"/>
      <c r="U16" s="160"/>
      <c r="V16" s="158">
        <f t="shared" si="139"/>
        <v>1</v>
      </c>
      <c r="W16" s="158" t="str">
        <f t="shared" si="140"/>
        <v>-</v>
      </c>
      <c r="X16" s="160"/>
      <c r="Y16" s="160"/>
      <c r="Z16" s="158" t="str">
        <f t="array" ref="Z16">LET(team, SUBSTITUTE(Z$1, " Wins", ""), IF(COUNTIF(INDIRECT("'"&amp;$A16&amp;"'!$C:$C"), team)&gt;0, 1, "-"))</f>
        <v>-</v>
      </c>
      <c r="AA16" s="158">
        <f t="array" ref="AA16">LET(team, SUBSTITUTE(AA$1, " Losses", ""), weekSheet, "'"&amp;$A16&amp;"'!", matchIdx, MATCH("*"&amp;team&amp;"*", INDIRECT(weekSheet&amp;"$B:$B"), 0), IF(ISNA(matchIdx), "-", LET(winner, INDEX(INDIRECT(weekSheet&amp;"$C:$C"), matchIdx), IF(winner="", "-", IF(winner=team, "-", 1)))))</f>
        <v>1</v>
      </c>
      <c r="AB16" s="158">
        <f t="shared" si="165"/>
        <v>1</v>
      </c>
      <c r="AC16" s="158" t="str">
        <f t="shared" si="166"/>
        <v>-</v>
      </c>
      <c r="AD16" s="158">
        <f t="shared" ref="AD16:AD19" si="173">LET(team, SUBSTITUTE(AD$1, " Wins", ""), IF(COUNTIF(INDIRECT("'"&amp;$A16&amp;"'!$C:$C"), team)&gt;0, 1, "-"))</f>
        <v>1</v>
      </c>
      <c r="AE16" s="158" t="str">
        <f t="shared" ref="AE16:AE19" si="174">LET(team, SUBSTITUTE(AE$1, " Losses", ""), weekSheet, "'"&amp;$A16&amp;"'!", matchIdx, MATCH("*"&amp;team&amp;"*", INDIRECT(weekSheet&amp;"$B:$B"), 0), IF(ISNA(matchIdx), "-", LET(winner, INDEX(INDIRECT(weekSheet&amp;"$C:$C"), matchIdx), IF(winner="", "-", IF(winner=team, "-", 1)))))</f>
        <v>-</v>
      </c>
      <c r="AF16" s="158" t="str">
        <f t="shared" ref="AF16:AF19" si="175">LET(team, SUBSTITUTE(AF$1, " Wins", ""), IF(COUNTIF(INDIRECT("'"&amp;$A16&amp;"'!$C:$C"), team)&gt;0, 1, "-"))</f>
        <v>-</v>
      </c>
      <c r="AG16" s="158">
        <f t="shared" ref="AG16:AG19" si="176">LET(team, SUBSTITUTE(AG$1, " Losses", ""), weekSheet, "'"&amp;$A16&amp;"'!", matchIdx, MATCH("*"&amp;team&amp;"*", INDIRECT(weekSheet&amp;"$B:$B"), 0), IF(ISNA(matchIdx), "-", LET(winner, INDEX(INDIRECT(weekSheet&amp;"$C:$C"), matchIdx), IF(winner="", "-", IF(winner=team, "-", 1)))))</f>
        <v>1</v>
      </c>
      <c r="AH16" s="160"/>
      <c r="AI16" s="160"/>
      <c r="AJ16" s="158">
        <f t="shared" si="167"/>
        <v>1</v>
      </c>
      <c r="AK16" s="158" t="str">
        <f t="shared" si="168"/>
        <v>-</v>
      </c>
      <c r="AL16" s="158" t="str">
        <f t="shared" si="141"/>
        <v>-</v>
      </c>
      <c r="AM16" s="158">
        <f t="shared" si="142"/>
        <v>1</v>
      </c>
      <c r="AN16" s="160"/>
      <c r="AO16" s="160"/>
      <c r="AP16" s="158" t="str">
        <f t="array" ref="AP16">LET(team, SUBSTITUTE(AP$1, " Wins", ""), IF(COUNTIF(INDIRECT("'"&amp;$A16&amp;"'!$C:$C"), team)&gt;0, 1, "-"))</f>
        <v>-</v>
      </c>
      <c r="AQ16" s="158">
        <f t="array" ref="AQ16">LET(team, SUBSTITUTE(AQ$1, " Losses", ""), weekSheet, "'"&amp;$A16&amp;"'!", matchIdx, MATCH("*"&amp;team&amp;"*", INDIRECT(weekSheet&amp;"$B:$B"), 0), IF(ISNA(matchIdx), "-", LET(winner, INDEX(INDIRECT(weekSheet&amp;"$C:$C"), matchIdx), IF(winner="", "-", IF(winner=team, "-", 1)))))</f>
        <v>1</v>
      </c>
      <c r="AR16" s="158">
        <f t="array" ref="AR16">LET(team, SUBSTITUTE(AR$1, " Wins", ""), IF(COUNTIF(INDIRECT("'"&amp;$A16&amp;"'!$C:$C"), team)&gt;0, 1, "-"))</f>
        <v>1</v>
      </c>
      <c r="AS16" s="158" t="str">
        <f t="array" ref="AS16">LET(team, SUBSTITUTE(AS$1, " Losses", ""), weekSheet, "'"&amp;$A16&amp;"'!", matchIdx, MATCH("*"&amp;team&amp;"*", INDIRECT(weekSheet&amp;"$B:$B"), 0), IF(ISNA(matchIdx), "-", LET(winner, INDEX(INDIRECT(weekSheet&amp;"$C:$C"), matchIdx), IF(winner="", "-", IF(winner=team, "-", 1)))))</f>
        <v>-</v>
      </c>
      <c r="AT16" s="160"/>
      <c r="AU16" s="160"/>
      <c r="AV16" s="158" t="str">
        <f t="shared" ref="AV16:AV17" si="177">LET(team, SUBSTITUTE(AV$1, " Wins", ""), IF(COUNTIF(INDIRECT("'"&amp;$A16&amp;"'!$C:$C"), team)&gt;0, 1, "-"))</f>
        <v>-</v>
      </c>
      <c r="AW16" s="158">
        <f t="shared" ref="AW16:AW17" si="178">LET(team, SUBSTITUTE(AW$1, " Losses", ""), weekSheet, "'"&amp;$A16&amp;"'!", matchIdx, MATCH("*"&amp;team&amp;"*", INDIRECT(weekSheet&amp;"$B:$B"), 0), IF(ISNA(matchIdx), "-", LET(winner, INDEX(INDIRECT(weekSheet&amp;"$C:$C"), matchIdx), IF(winner="", "-", IF(winner=team, "-", 1)))))</f>
        <v>1</v>
      </c>
      <c r="AX16" s="158">
        <f t="shared" ref="AX16:AX19" si="179">LET(team, SUBSTITUTE(AX$1, " Wins", ""), IF(COUNTIF(INDIRECT("'"&amp;$A16&amp;"'!$C:$C"), team)&gt;0, 1, "-"))</f>
        <v>1</v>
      </c>
      <c r="AY16" s="158" t="str">
        <f t="shared" ref="AY16:AY19" si="180">LET(team, SUBSTITUTE(AY$1, " Losses", ""), weekSheet, "'"&amp;$A16&amp;"'!", matchIdx, MATCH("*"&amp;team&amp;"*", INDIRECT(weekSheet&amp;"$B:$B"), 0), IF(ISNA(matchIdx), "-", LET(winner, INDEX(INDIRECT(weekSheet&amp;"$C:$C"), matchIdx), IF(winner="", "-", IF(winner=team, "-", 1)))))</f>
        <v>-</v>
      </c>
      <c r="AZ16" s="160"/>
      <c r="BA16" s="160"/>
      <c r="BB16" s="158" t="str">
        <f t="shared" ref="BB16:BB17" si="181">LET(team, SUBSTITUTE(BB$1, " Wins", ""), IF(COUNTIF(INDIRECT("'"&amp;$A16&amp;"'!$C:$C"), team)&gt;0, 1, "-"))</f>
        <v>-</v>
      </c>
      <c r="BC16" s="158">
        <f t="shared" ref="BC16:BC17" si="182">LET(team, SUBSTITUTE(BC$1, " Losses", ""), weekSheet, "'"&amp;$A16&amp;"'!", matchIdx, MATCH("*"&amp;team&amp;"*", INDIRECT(weekSheet&amp;"$B:$B"), 0), IF(ISNA(matchIdx), "-", LET(winner, INDEX(INDIRECT(weekSheet&amp;"$C:$C"), matchIdx), IF(winner="", "-", IF(winner=team, "-", 1)))))</f>
        <v>1</v>
      </c>
      <c r="BD16" s="160"/>
      <c r="BE16" s="160"/>
      <c r="BF16" s="158">
        <f t="shared" ref="BF16:BF19" si="183">LET(team, SUBSTITUTE(BF$1, " Wins", ""), IF(COUNTIF(INDIRECT("'"&amp;$A16&amp;"'!$C:$C"), team)&gt;0, 1, "-"))</f>
        <v>1</v>
      </c>
      <c r="BG16" s="158" t="str">
        <f t="shared" ref="BG16:BG19" si="184">LET(team, SUBSTITUTE(BG$1, " Losses", ""), weekSheet, "'"&amp;$A16&amp;"'!", matchIdx, MATCH("*"&amp;team&amp;"*", INDIRECT(weekSheet&amp;"$B:$B"), 0), IF(ISNA(matchIdx), "-", LET(winner, INDEX(INDIRECT(weekSheet&amp;"$C:$C"), matchIdx), IF(winner="", "-", IF(winner=team, "-", 1)))))</f>
        <v>-</v>
      </c>
      <c r="BH16" s="158" t="str">
        <f t="shared" si="159"/>
        <v>-</v>
      </c>
      <c r="BI16" s="158">
        <f t="shared" si="160"/>
        <v>1</v>
      </c>
      <c r="BJ16" s="158">
        <f t="shared" ref="BJ16:BJ19" si="185">LET(team, SUBSTITUTE(BJ$1, " Wins", ""), IF(COUNTIF(INDIRECT("'"&amp;$A16&amp;"'!$C:$C"), team)&gt;0, 1, "-"))</f>
        <v>1</v>
      </c>
      <c r="BK16" s="158" t="str">
        <f t="shared" ref="BK16:BK19" si="186">LET(team, SUBSTITUTE(BK$1, " Losses", ""), weekSheet, "'"&amp;$A16&amp;"'!", matchIdx, MATCH("*"&amp;team&amp;"*", INDIRECT(weekSheet&amp;"$B:$B"), 0), IF(ISNA(matchIdx), "-", LET(winner, INDEX(INDIRECT(weekSheet&amp;"$C:$C"), matchIdx), IF(winner="", "-", IF(winner=team, "-", 1)))))</f>
        <v>-</v>
      </c>
      <c r="BL16" s="160"/>
      <c r="BM16" s="160"/>
    </row>
    <row r="17">
      <c r="A17" s="157" t="s">
        <v>202</v>
      </c>
      <c r="B17" s="160"/>
      <c r="C17" s="160"/>
      <c r="D17" s="158">
        <f t="shared" si="163"/>
        <v>1</v>
      </c>
      <c r="E17" s="158" t="str">
        <f t="shared" si="164"/>
        <v>-</v>
      </c>
      <c r="F17" s="158" t="str">
        <f t="shared" si="127"/>
        <v>-</v>
      </c>
      <c r="G17" s="158">
        <f t="shared" si="128"/>
        <v>1</v>
      </c>
      <c r="H17" s="158">
        <f t="shared" ref="H17:H19" si="187">LET(team, SUBSTITUTE(H$1, " Wins", ""), IF(COUNTIF(INDIRECT("'"&amp;$A17&amp;"'!$C:$C"), team)&gt;0, 1, "-"))</f>
        <v>1</v>
      </c>
      <c r="I17" s="158" t="str">
        <f t="shared" ref="I17:I19" si="188">LET(team, SUBSTITUTE(I$1, " Losses", ""), weekSheet, "'"&amp;$A17&amp;"'!", matchIdx, MATCH("*"&amp;team&amp;"*", INDIRECT(weekSheet&amp;"$B:$B"), 0), IF(ISNA(matchIdx), "-", LET(winner, INDEX(INDIRECT(weekSheet&amp;"$C:$C"), matchIdx), IF(winner="", "-", IF(winner=team, "-", 1)))))</f>
        <v>-</v>
      </c>
      <c r="J17" s="158">
        <f t="shared" ref="J17:J19" si="189">LET(team, SUBSTITUTE(J$1, " Wins", ""), IF(COUNTIF(INDIRECT("'"&amp;$A17&amp;"'!$C:$C"), team)&gt;0, 1, "-"))</f>
        <v>1</v>
      </c>
      <c r="K17" s="158" t="str">
        <f t="shared" ref="K17:K19" si="190">LET(team, SUBSTITUTE(K$1, " Losses", ""), weekSheet, "'"&amp;$A17&amp;"'!", matchIdx, MATCH("*"&amp;team&amp;"*", INDIRECT(weekSheet&amp;"$B:$B"), 0), IF(ISNA(matchIdx), "-", LET(winner, INDEX(INDIRECT(weekSheet&amp;"$C:$C"), matchIdx), IF(winner="", "-", IF(winner=team, "-", 1)))))</f>
        <v>-</v>
      </c>
      <c r="L17" s="158" t="str">
        <f t="shared" ref="L17:L19" si="191">LET(team, SUBSTITUTE(L$1, " Wins", ""), IF(COUNTIF(INDIRECT("'"&amp;$A17&amp;"'!$C:$C"), team)&gt;0, 1, "-"))</f>
        <v>-</v>
      </c>
      <c r="M17" s="158">
        <f t="shared" ref="M17:M19" si="192">LET(team, SUBSTITUTE(M$1, " Losses", ""), weekSheet, "'"&amp;$A17&amp;"'!", matchIdx, MATCH("*"&amp;team&amp;"*", INDIRECT(weekSheet&amp;"$B:$B"), 0), IF(ISNA(matchIdx), "-", LET(winner, INDEX(INDIRECT(weekSheet&amp;"$C:$C"), matchIdx), IF(winner="", "-", IF(winner=team, "-", 1)))))</f>
        <v>1</v>
      </c>
      <c r="N17" s="158" t="str">
        <f t="array" ref="N17">LET(team, SUBSTITUTE(N$1, " Wins", ""), IF(COUNTIF(INDIRECT("'"&amp;$A17&amp;"'!$C:$C"), team)&gt;0, 1, "-"))</f>
        <v>-</v>
      </c>
      <c r="O17" s="158">
        <f t="array" ref="O17">LET(team, SUBSTITUTE(O$1, " Losses", ""), weekSheet, "'"&amp;$A17&amp;"'!", matchIdx, MATCH("*"&amp;team&amp;"*", INDIRECT(weekSheet&amp;"$B:$B"), 0), IF(ISNA(matchIdx), "-", LET(winner, INDEX(INDIRECT(weekSheet&amp;"$C:$C"), matchIdx), IF(winner="", "-", IF(winner=team, "-", 1)))))</f>
        <v>1</v>
      </c>
      <c r="P17" s="158">
        <f t="shared" si="169"/>
        <v>1</v>
      </c>
      <c r="Q17" s="158" t="str">
        <f t="shared" si="170"/>
        <v>-</v>
      </c>
      <c r="R17" s="158">
        <f t="shared" si="171"/>
        <v>1</v>
      </c>
      <c r="S17" s="158" t="str">
        <f t="shared" si="172"/>
        <v>-</v>
      </c>
      <c r="T17" s="158" t="str">
        <f t="shared" ref="T17:T19" si="193">LET(team, SUBSTITUTE(T$1, " Wins", ""), IF(COUNTIF(INDIRECT("'"&amp;$A17&amp;"'!$C:$C"), team)&gt;0, 1, "-"))</f>
        <v>-</v>
      </c>
      <c r="U17" s="158">
        <f t="shared" ref="U17:U19" si="194">LET(team, SUBSTITUTE(U$1, " Losses", ""), weekSheet, "'"&amp;$A17&amp;"'!", matchIdx, MATCH("*"&amp;team&amp;"*", INDIRECT(weekSheet&amp;"$B:$B"), 0), IF(ISNA(matchIdx), "-", LET(winner, INDEX(INDIRECT(weekSheet&amp;"$C:$C"), matchIdx), IF(winner="", "-", IF(winner=team, "-", 1)))))</f>
        <v>1</v>
      </c>
      <c r="V17" s="160"/>
      <c r="W17" s="160"/>
      <c r="X17" s="158">
        <f t="shared" ref="X17:X19" si="195">LET(team, SUBSTITUTE(X$1, " Wins", ""), IF(COUNTIF(INDIRECT("'"&amp;$A17&amp;"'!$C:$C"), team)&gt;0, 1, "-"))</f>
        <v>1</v>
      </c>
      <c r="Y17" s="158" t="str">
        <f t="shared" ref="Y17:Y19" si="196">LET(team, SUBSTITUTE(Y$1, " Losses", ""), weekSheet, "'"&amp;$A17&amp;"'!", matchIdx, MATCH("*"&amp;team&amp;"*", INDIRECT(weekSheet&amp;"$B:$B"), 0), IF(ISNA(matchIdx), "-", LET(winner, INDEX(INDIRECT(weekSheet&amp;"$C:$C"), matchIdx), IF(winner="", "-", IF(winner=team, "-", 1)))))</f>
        <v>-</v>
      </c>
      <c r="Z17" s="160"/>
      <c r="AA17" s="160"/>
      <c r="AB17" s="160"/>
      <c r="AC17" s="160"/>
      <c r="AD17" s="158" t="str">
        <f t="shared" si="173"/>
        <v>-</v>
      </c>
      <c r="AE17" s="158">
        <f t="shared" si="174"/>
        <v>1</v>
      </c>
      <c r="AF17" s="158" t="str">
        <f t="shared" si="175"/>
        <v>-</v>
      </c>
      <c r="AG17" s="158">
        <f t="shared" si="176"/>
        <v>1</v>
      </c>
      <c r="AH17" s="160"/>
      <c r="AI17" s="160"/>
      <c r="AJ17" s="158">
        <f t="shared" si="167"/>
        <v>1</v>
      </c>
      <c r="AK17" s="158" t="str">
        <f t="shared" si="168"/>
        <v>-</v>
      </c>
      <c r="AL17" s="158" t="str">
        <f t="shared" si="141"/>
        <v>-</v>
      </c>
      <c r="AM17" s="158">
        <f t="shared" si="142"/>
        <v>1</v>
      </c>
      <c r="AN17" s="158" t="str">
        <f t="array" ref="AN17">LET(team, SUBSTITUTE(AN$1, " Wins", ""), IF(COUNTIF(INDIRECT("'"&amp;$A17&amp;"'!$C:$C"), team)&gt;0, 1, "-"))</f>
        <v>-</v>
      </c>
      <c r="AO17" s="158">
        <f t="array" ref="AO17">LET(team, SUBSTITUTE(AO$1, " Losses", ""), weekSheet, "'"&amp;$A17&amp;"'!", matchIdx, MATCH("*"&amp;team&amp;"*", INDIRECT(weekSheet&amp;"$B:$B"), 0), IF(ISNA(matchIdx), "-", LET(winner, INDEX(INDIRECT(weekSheet&amp;"$C:$C"), matchIdx), IF(winner="", "-", IF(winner=team, "-", 1)))))</f>
        <v>1</v>
      </c>
      <c r="AP17" s="160"/>
      <c r="AQ17" s="160"/>
      <c r="AR17" s="160"/>
      <c r="AS17" s="160"/>
      <c r="AT17" s="158" t="str">
        <f t="shared" ref="AT17:AT19" si="197">LET(team, SUBSTITUTE(AT$1, " Wins", ""), IF(COUNTIF(INDIRECT("'"&amp;$A17&amp;"'!$C:$C"), team)&gt;0, 1, "-"))</f>
        <v>-</v>
      </c>
      <c r="AU17" s="158">
        <f t="shared" ref="AU17:AU19" si="198">LET(team, SUBSTITUTE(AU$1, " Losses", ""), weekSheet, "'"&amp;$A17&amp;"'!", matchIdx, MATCH("*"&amp;team&amp;"*", INDIRECT(weekSheet&amp;"$B:$B"), 0), IF(ISNA(matchIdx), "-", LET(winner, INDEX(INDIRECT(weekSheet&amp;"$C:$C"), matchIdx), IF(winner="", "-", IF(winner=team, "-", 1)))))</f>
        <v>1</v>
      </c>
      <c r="AV17" s="158" t="str">
        <f t="shared" si="177"/>
        <v>-</v>
      </c>
      <c r="AW17" s="158">
        <f t="shared" si="178"/>
        <v>1</v>
      </c>
      <c r="AX17" s="158">
        <f t="shared" si="179"/>
        <v>1</v>
      </c>
      <c r="AY17" s="158" t="str">
        <f t="shared" si="180"/>
        <v>-</v>
      </c>
      <c r="AZ17" s="158" t="str">
        <f t="array" ref="AZ17">LET(team, SUBSTITUTE(AZ$1, " Wins", ""), IF(COUNTIF(INDIRECT("'"&amp;$A17&amp;"'!$C:$C"), team)&gt;0, 1, "-"))</f>
        <v>-</v>
      </c>
      <c r="BA17" s="158">
        <f t="array" ref="BA17">LET(team, SUBSTITUTE(BA$1, " Losses", ""), weekSheet, "'"&amp;$A17&amp;"'!", matchIdx, MATCH("*"&amp;team&amp;"*", INDIRECT(weekSheet&amp;"$B:$B"), 0), IF(ISNA(matchIdx), "-", LET(winner, INDEX(INDIRECT(weekSheet&amp;"$C:$C"), matchIdx), IF(winner="", "-", IF(winner=team, "-", 1)))))</f>
        <v>1</v>
      </c>
      <c r="BB17" s="158">
        <f t="shared" si="181"/>
        <v>1</v>
      </c>
      <c r="BC17" s="158" t="str">
        <f t="shared" si="182"/>
        <v>-</v>
      </c>
      <c r="BD17" s="158">
        <f t="shared" ref="BD17:BD19" si="199">LET(team, SUBSTITUTE(BD$1, " Wins", ""), IF(COUNTIF(INDIRECT("'"&amp;$A17&amp;"'!$C:$C"), team)&gt;0, 1, "-"))</f>
        <v>1</v>
      </c>
      <c r="BE17" s="158" t="str">
        <f t="shared" ref="BE17:BE19" si="200">LET(team, SUBSTITUTE(BE$1, " Losses", ""), weekSheet, "'"&amp;$A17&amp;"'!", matchIdx, MATCH("*"&amp;team&amp;"*", INDIRECT(weekSheet&amp;"$B:$B"), 0), IF(ISNA(matchIdx), "-", LET(winner, INDEX(INDIRECT(weekSheet&amp;"$C:$C"), matchIdx), IF(winner="", "-", IF(winner=team, "-", 1)))))</f>
        <v>-</v>
      </c>
      <c r="BF17" s="158" t="str">
        <f t="shared" si="183"/>
        <v>-</v>
      </c>
      <c r="BG17" s="158">
        <f t="shared" si="184"/>
        <v>1</v>
      </c>
      <c r="BH17" s="158">
        <f t="shared" si="159"/>
        <v>1</v>
      </c>
      <c r="BI17" s="158" t="str">
        <f t="shared" si="160"/>
        <v>-</v>
      </c>
      <c r="BJ17" s="158">
        <f t="shared" si="185"/>
        <v>1</v>
      </c>
      <c r="BK17" s="158" t="str">
        <f t="shared" si="186"/>
        <v>-</v>
      </c>
      <c r="BL17" s="160"/>
      <c r="BM17" s="160"/>
    </row>
    <row r="18">
      <c r="A18" s="157" t="s">
        <v>206</v>
      </c>
      <c r="B18" s="158">
        <f t="shared" ref="B18:B19" si="201">LET(team, SUBSTITUTE(B$1, " Wins", ""), IF(COUNTIF(INDIRECT("'"&amp;$A18&amp;"'!$C:$C"), team)&gt;0, 1, "-"))</f>
        <v>1</v>
      </c>
      <c r="C18" s="158" t="str">
        <f t="shared" ref="C18:C19" si="202">LET(team, SUBSTITUTE(C$1, " Losses", ""), weekSheet, "'"&amp;$A18&amp;"'!", matchIdx, MATCH("*"&amp;team&amp;"*", INDIRECT(weekSheet&amp;"$B:$B"), 0), IF(ISNA(matchIdx), "-", LET(winner, INDEX(INDIRECT(weekSheet&amp;"$C:$C"), matchIdx), IF(winner="", "-", IF(winner=team, "-", 1)))))</f>
        <v>-</v>
      </c>
      <c r="D18" s="160"/>
      <c r="E18" s="160"/>
      <c r="F18" s="158" t="str">
        <f t="shared" si="127"/>
        <v>-</v>
      </c>
      <c r="G18" s="158">
        <f t="shared" si="128"/>
        <v>1</v>
      </c>
      <c r="H18" s="158" t="str">
        <f t="shared" si="187"/>
        <v>-</v>
      </c>
      <c r="I18" s="158">
        <f t="shared" si="188"/>
        <v>1</v>
      </c>
      <c r="J18" s="158">
        <f t="shared" si="189"/>
        <v>1</v>
      </c>
      <c r="K18" s="158" t="str">
        <f t="shared" si="190"/>
        <v>-</v>
      </c>
      <c r="L18" s="158" t="str">
        <f t="shared" si="191"/>
        <v>-</v>
      </c>
      <c r="M18" s="158">
        <f t="shared" si="192"/>
        <v>1</v>
      </c>
      <c r="N18" s="160"/>
      <c r="O18" s="160"/>
      <c r="P18" s="158">
        <f t="shared" si="169"/>
        <v>1</v>
      </c>
      <c r="Q18" s="158" t="str">
        <f t="shared" si="170"/>
        <v>-</v>
      </c>
      <c r="R18" s="158">
        <f t="shared" si="171"/>
        <v>1</v>
      </c>
      <c r="S18" s="158" t="str">
        <f t="shared" si="172"/>
        <v>-</v>
      </c>
      <c r="T18" s="158" t="str">
        <f t="shared" si="193"/>
        <v>-</v>
      </c>
      <c r="U18" s="158">
        <f t="shared" si="194"/>
        <v>1</v>
      </c>
      <c r="V18" s="158" t="str">
        <f t="shared" ref="V18:V19" si="203">LET(team, SUBSTITUTE(V$1, " Wins", ""), IF(COUNTIF(INDIRECT("'"&amp;$A18&amp;"'!$C:$C"), team)&gt;0, 1, "-"))</f>
        <v>-</v>
      </c>
      <c r="W18" s="158">
        <f t="shared" ref="W18:W19" si="204">LET(team, SUBSTITUTE(W$1, " Losses", ""), weekSheet, "'"&amp;$A18&amp;"'!", matchIdx, MATCH("*"&amp;team&amp;"*", INDIRECT(weekSheet&amp;"$B:$B"), 0), IF(ISNA(matchIdx), "-", LET(winner, INDEX(INDIRECT(weekSheet&amp;"$C:$C"), matchIdx), IF(winner="", "-", IF(winner=team, "-", 1)))))</f>
        <v>1</v>
      </c>
      <c r="X18" s="158" t="str">
        <f t="shared" si="195"/>
        <v>-</v>
      </c>
      <c r="Y18" s="158">
        <f t="shared" si="196"/>
        <v>1</v>
      </c>
      <c r="Z18" s="160"/>
      <c r="AA18" s="160"/>
      <c r="AB18" s="160"/>
      <c r="AC18" s="160"/>
      <c r="AD18" s="158">
        <f t="shared" si="173"/>
        <v>1</v>
      </c>
      <c r="AE18" s="158" t="str">
        <f t="shared" si="174"/>
        <v>-</v>
      </c>
      <c r="AF18" s="158">
        <f t="shared" si="175"/>
        <v>1</v>
      </c>
      <c r="AG18" s="158" t="str">
        <f t="shared" si="176"/>
        <v>-</v>
      </c>
      <c r="AH18" s="158">
        <f t="shared" ref="AH18:AH19" si="205">LET(team, SUBSTITUTE(AH$1, " Wins", ""), IF(COUNTIF(INDIRECT("'"&amp;$A18&amp;"'!$C:$C"), team)&gt;0, 1, "-"))</f>
        <v>1</v>
      </c>
      <c r="AI18" s="158" t="str">
        <f t="shared" ref="AI18:AI19" si="206">LET(team, SUBSTITUTE(AI$1, " Losses", ""), weekSheet, "'"&amp;$A18&amp;"'!", matchIdx, MATCH("*"&amp;team&amp;"*", INDIRECT(weekSheet&amp;"$B:$B"), 0), IF(ISNA(matchIdx), "-", LET(winner, INDEX(INDIRECT(weekSheet&amp;"$C:$C"), matchIdx), IF(winner="", "-", IF(winner=team, "-", 1)))))</f>
        <v>-</v>
      </c>
      <c r="AJ18" s="158">
        <f t="shared" si="167"/>
        <v>1</v>
      </c>
      <c r="AK18" s="158" t="str">
        <f t="shared" si="168"/>
        <v>-</v>
      </c>
      <c r="AL18" s="158">
        <f t="shared" si="141"/>
        <v>1</v>
      </c>
      <c r="AM18" s="158" t="str">
        <f t="shared" si="142"/>
        <v>-</v>
      </c>
      <c r="AN18" s="160"/>
      <c r="AO18" s="160"/>
      <c r="AP18" s="158">
        <f t="shared" ref="AP18:AP19" si="207">LET(team, SUBSTITUTE(AP$1, " Wins", ""), IF(COUNTIF(INDIRECT("'"&amp;$A18&amp;"'!$C:$C"), team)&gt;0, 1, "-"))</f>
        <v>1</v>
      </c>
      <c r="AQ18" s="158" t="str">
        <f t="shared" ref="AQ18:AQ19" si="208">LET(team, SUBSTITUTE(AQ$1, " Losses", ""), weekSheet, "'"&amp;$A18&amp;"'!", matchIdx, MATCH("*"&amp;team&amp;"*", INDIRECT(weekSheet&amp;"$B:$B"), 0), IF(ISNA(matchIdx), "-", LET(winner, INDEX(INDIRECT(weekSheet&amp;"$C:$C"), matchIdx), IF(winner="", "-", IF(winner=team, "-", 1)))))</f>
        <v>-</v>
      </c>
      <c r="AR18" s="158" t="str">
        <f t="shared" ref="AR18:AR19" si="209">LET(team, SUBSTITUTE(AR$1, " Wins", ""), IF(COUNTIF(INDIRECT("'"&amp;$A18&amp;"'!$C:$C"), team)&gt;0, 1, "-"))</f>
        <v>-</v>
      </c>
      <c r="AS18" s="158">
        <f t="shared" ref="AS18:AS19" si="210">LET(team, SUBSTITUTE(AS$1, " Losses", ""), weekSheet, "'"&amp;$A18&amp;"'!", matchIdx, MATCH("*"&amp;team&amp;"*", INDIRECT(weekSheet&amp;"$B:$B"), 0), IF(ISNA(matchIdx), "-", LET(winner, INDEX(INDIRECT(weekSheet&amp;"$C:$C"), matchIdx), IF(winner="", "-", IF(winner=team, "-", 1)))))</f>
        <v>1</v>
      </c>
      <c r="AT18" s="158" t="str">
        <f t="shared" si="197"/>
        <v>-</v>
      </c>
      <c r="AU18" s="158">
        <f t="shared" si="198"/>
        <v>1</v>
      </c>
      <c r="AV18" s="160"/>
      <c r="AW18" s="160"/>
      <c r="AX18" s="158" t="str">
        <f t="shared" si="179"/>
        <v>-</v>
      </c>
      <c r="AY18" s="158">
        <f t="shared" si="180"/>
        <v>1</v>
      </c>
      <c r="AZ18" s="160"/>
      <c r="BA18" s="160"/>
      <c r="BB18" s="160"/>
      <c r="BC18" s="160"/>
      <c r="BD18" s="158">
        <f t="shared" si="199"/>
        <v>1</v>
      </c>
      <c r="BE18" s="158" t="str">
        <f t="shared" si="200"/>
        <v>-</v>
      </c>
      <c r="BF18" s="158" t="str">
        <f t="shared" si="183"/>
        <v>-</v>
      </c>
      <c r="BG18" s="158">
        <f t="shared" si="184"/>
        <v>1</v>
      </c>
      <c r="BH18" s="158">
        <f t="shared" si="159"/>
        <v>1</v>
      </c>
      <c r="BI18" s="158" t="str">
        <f t="shared" si="160"/>
        <v>-</v>
      </c>
      <c r="BJ18" s="158" t="str">
        <f t="shared" si="185"/>
        <v>-</v>
      </c>
      <c r="BK18" s="158">
        <f t="shared" si="186"/>
        <v>1</v>
      </c>
      <c r="BL18" s="158" t="str">
        <f t="shared" ref="BL18:BL19" si="211">LET(team, SUBSTITUTE(BL$1, " Wins", ""), IF(COUNTIF(INDIRECT("'"&amp;$A18&amp;"'!$C:$C"), team)&gt;0, 1, "-"))</f>
        <v>-</v>
      </c>
      <c r="BM18" s="158">
        <f t="shared" ref="BM18:BM19" si="212">LET(team, SUBSTITUTE(BM$1, " Losses", ""), weekSheet, "'"&amp;$A18&amp;"'!", matchIdx, MATCH("*"&amp;team&amp;"*", INDIRECT(weekSheet&amp;"$B:$B"), 0), IF(ISNA(matchIdx), "-", LET(winner, INDEX(INDIRECT(weekSheet&amp;"$C:$C"), matchIdx), IF(winner="", "-", IF(winner=team, "-", 1)))))</f>
        <v>1</v>
      </c>
    </row>
    <row r="19">
      <c r="A19" s="157" t="s">
        <v>207</v>
      </c>
      <c r="B19" s="158">
        <f t="shared" si="201"/>
        <v>1</v>
      </c>
      <c r="C19" s="158" t="str">
        <f t="shared" si="202"/>
        <v>-</v>
      </c>
      <c r="D19" s="158" t="str">
        <f t="array" ref="D19">LET(team, SUBSTITUTE(D$1, " Wins", ""), IF(COUNTIF(INDIRECT("'"&amp;$A19&amp;"'!$C:$C"), team)&gt;0, 1, "-"))</f>
        <v>-</v>
      </c>
      <c r="E19" s="158">
        <f t="array" ref="E19">LET(team, SUBSTITUTE(E$1, " Losses", ""), weekSheet, "'"&amp;$A19&amp;"'!", matchIdx, MATCH("*"&amp;team&amp;"*", INDIRECT(weekSheet&amp;"$B:$B"), 0), IF(ISNA(matchIdx), "-", LET(winner, INDEX(INDIRECT(weekSheet&amp;"$C:$C"), matchIdx), IF(winner="", "-", IF(winner=team, "-", 1)))))</f>
        <v>1</v>
      </c>
      <c r="F19" s="158" t="str">
        <f t="shared" si="127"/>
        <v>-</v>
      </c>
      <c r="G19" s="158">
        <f t="shared" si="128"/>
        <v>1</v>
      </c>
      <c r="H19" s="158">
        <f t="shared" si="187"/>
        <v>1</v>
      </c>
      <c r="I19" s="158" t="str">
        <f t="shared" si="188"/>
        <v>-</v>
      </c>
      <c r="J19" s="158">
        <f t="shared" si="189"/>
        <v>1</v>
      </c>
      <c r="K19" s="158" t="str">
        <f t="shared" si="190"/>
        <v>-</v>
      </c>
      <c r="L19" s="158" t="str">
        <f t="shared" si="191"/>
        <v>-</v>
      </c>
      <c r="M19" s="158">
        <f t="shared" si="192"/>
        <v>1</v>
      </c>
      <c r="N19" s="158" t="str">
        <f t="array" ref="N19">LET(team, SUBSTITUTE(N$1, " Wins", ""), IF(COUNTIF(INDIRECT("'"&amp;$A19&amp;"'!$C:$C"), team)&gt;0, 1, "-"))</f>
        <v>-</v>
      </c>
      <c r="O19" s="158">
        <f t="array" ref="O19">LET(team, SUBSTITUTE(O$1, " Losses", ""), weekSheet, "'"&amp;$A19&amp;"'!", matchIdx, MATCH("*"&amp;team&amp;"*", INDIRECT(weekSheet&amp;"$B:$B"), 0), IF(ISNA(matchIdx), "-", LET(winner, INDEX(INDIRECT(weekSheet&amp;"$C:$C"), matchIdx), IF(winner="", "-", IF(winner=team, "-", 1)))))</f>
        <v>1</v>
      </c>
      <c r="P19" s="158">
        <f t="shared" si="169"/>
        <v>1</v>
      </c>
      <c r="Q19" s="158" t="str">
        <f t="shared" si="170"/>
        <v>-</v>
      </c>
      <c r="R19" s="158">
        <f t="shared" si="171"/>
        <v>1</v>
      </c>
      <c r="S19" s="158" t="str">
        <f t="shared" si="172"/>
        <v>-</v>
      </c>
      <c r="T19" s="158" t="str">
        <f t="shared" si="193"/>
        <v>-</v>
      </c>
      <c r="U19" s="158">
        <f t="shared" si="194"/>
        <v>1</v>
      </c>
      <c r="V19" s="158" t="str">
        <f t="shared" si="203"/>
        <v>-</v>
      </c>
      <c r="W19" s="158">
        <f t="shared" si="204"/>
        <v>1</v>
      </c>
      <c r="X19" s="158">
        <f t="shared" si="195"/>
        <v>1</v>
      </c>
      <c r="Y19" s="158" t="str">
        <f t="shared" si="196"/>
        <v>-</v>
      </c>
      <c r="Z19" s="158">
        <f t="array" ref="Z19">LET(team, SUBSTITUTE(Z$1, " Wins", ""), IF(COUNTIF(INDIRECT("'"&amp;$A19&amp;"'!$C:$C"), team)&gt;0, 1, "-"))</f>
        <v>1</v>
      </c>
      <c r="AA19" s="158" t="str">
        <f t="array" ref="AA19">LET(team, SUBSTITUTE(AA$1, " Losses", ""), weekSheet, "'"&amp;$A19&amp;"'!", matchIdx, MATCH("*"&amp;team&amp;"*", INDIRECT(weekSheet&amp;"$B:$B"), 0), IF(ISNA(matchIdx), "-", LET(winner, INDEX(INDIRECT(weekSheet&amp;"$C:$C"), matchIdx), IF(winner="", "-", IF(winner=team, "-", 1)))))</f>
        <v>-</v>
      </c>
      <c r="AB19" s="158">
        <f t="array" ref="AB19">LET(team, SUBSTITUTE(AB$1, " Wins", ""), IF(COUNTIF(INDIRECT("'"&amp;$A19&amp;"'!$C:$C"), team)&gt;0, 1, "-"))</f>
        <v>1</v>
      </c>
      <c r="AC19" s="158" t="str">
        <f t="array" ref="AC19">LET(team, SUBSTITUTE(AC$1, " Losses", ""), weekSheet, "'"&amp;$A19&amp;"'!", matchIdx, MATCH("*"&amp;team&amp;"*", INDIRECT(weekSheet&amp;"$B:$B"), 0), IF(ISNA(matchIdx), "-", LET(winner, INDEX(INDIRECT(weekSheet&amp;"$C:$C"), matchIdx), IF(winner="", "-", IF(winner=team, "-", 1)))))</f>
        <v>-</v>
      </c>
      <c r="AD19" s="158" t="str">
        <f t="shared" si="173"/>
        <v>-</v>
      </c>
      <c r="AE19" s="158">
        <f t="shared" si="174"/>
        <v>1</v>
      </c>
      <c r="AF19" s="158" t="str">
        <f t="shared" si="175"/>
        <v>-</v>
      </c>
      <c r="AG19" s="158">
        <f t="shared" si="176"/>
        <v>1</v>
      </c>
      <c r="AH19" s="158">
        <f t="shared" si="205"/>
        <v>1</v>
      </c>
      <c r="AI19" s="158" t="str">
        <f t="shared" si="206"/>
        <v>-</v>
      </c>
      <c r="AJ19" s="158" t="str">
        <f t="shared" si="167"/>
        <v>-</v>
      </c>
      <c r="AK19" s="158">
        <f t="shared" si="168"/>
        <v>1</v>
      </c>
      <c r="AL19" s="158">
        <f t="shared" si="141"/>
        <v>1</v>
      </c>
      <c r="AM19" s="158" t="str">
        <f t="shared" si="142"/>
        <v>-</v>
      </c>
      <c r="AN19" s="158" t="str">
        <f t="array" ref="AN19">LET(team, SUBSTITUTE(AN$1, " Wins", ""), IF(COUNTIF(INDIRECT("'"&amp;$A19&amp;"'!$C:$C"), team)&gt;0, 1, "-"))</f>
        <v>-</v>
      </c>
      <c r="AO19" s="158">
        <f t="array" ref="AO19">LET(team, SUBSTITUTE(AO$1, " Losses", ""), weekSheet, "'"&amp;$A19&amp;"'!", matchIdx, MATCH("*"&amp;team&amp;"*", INDIRECT(weekSheet&amp;"$B:$B"), 0), IF(ISNA(matchIdx), "-", LET(winner, INDEX(INDIRECT(weekSheet&amp;"$C:$C"), matchIdx), IF(winner="", "-", IF(winner=team, "-", 1)))))</f>
        <v>1</v>
      </c>
      <c r="AP19" s="158">
        <f t="shared" si="207"/>
        <v>1</v>
      </c>
      <c r="AQ19" s="158" t="str">
        <f t="shared" si="208"/>
        <v>-</v>
      </c>
      <c r="AR19" s="158">
        <f t="shared" si="209"/>
        <v>1</v>
      </c>
      <c r="AS19" s="158" t="str">
        <f t="shared" si="210"/>
        <v>-</v>
      </c>
      <c r="AT19" s="158" t="str">
        <f t="shared" si="197"/>
        <v>-</v>
      </c>
      <c r="AU19" s="158">
        <f t="shared" si="198"/>
        <v>1</v>
      </c>
      <c r="AV19" s="158" t="str">
        <f t="array" ref="AV19">LET(team, SUBSTITUTE(AV$1, " Wins", ""), IF(COUNTIF(INDIRECT("'"&amp;$A19&amp;"'!$C:$C"), team)&gt;0, 1, "-"))</f>
        <v>-</v>
      </c>
      <c r="AW19" s="158">
        <f t="array" ref="AW19">LET(team, SUBSTITUTE(AW$1, " Losses", ""), weekSheet, "'"&amp;$A19&amp;"'!", matchIdx, MATCH("*"&amp;team&amp;"*", INDIRECT(weekSheet&amp;"$B:$B"), 0), IF(ISNA(matchIdx), "-", LET(winner, INDEX(INDIRECT(weekSheet&amp;"$C:$C"), matchIdx), IF(winner="", "-", IF(winner=team, "-", 1)))))</f>
        <v>1</v>
      </c>
      <c r="AX19" s="158">
        <f t="shared" si="179"/>
        <v>1</v>
      </c>
      <c r="AY19" s="158" t="str">
        <f t="shared" si="180"/>
        <v>-</v>
      </c>
      <c r="AZ19" s="158" t="str">
        <f t="array" ref="AZ19">LET(team, SUBSTITUTE(AZ$1, " Wins", ""), IF(COUNTIF(INDIRECT("'"&amp;$A19&amp;"'!$C:$C"), team)&gt;0, 1, "-"))</f>
        <v>-</v>
      </c>
      <c r="BA19" s="158">
        <f t="array" ref="BA19">LET(team, SUBSTITUTE(BA$1, " Losses", ""), weekSheet, "'"&amp;$A19&amp;"'!", matchIdx, MATCH("*"&amp;team&amp;"*", INDIRECT(weekSheet&amp;"$B:$B"), 0), IF(ISNA(matchIdx), "-", LET(winner, INDEX(INDIRECT(weekSheet&amp;"$C:$C"), matchIdx), IF(winner="", "-", IF(winner=team, "-", 1)))))</f>
        <v>1</v>
      </c>
      <c r="BB19" s="158" t="str">
        <f t="array" ref="BB19">LET(team, SUBSTITUTE(BB$1, " Wins", ""), IF(COUNTIF(INDIRECT("'"&amp;$A19&amp;"'!$C:$C"), team)&gt;0, 1, "-"))</f>
        <v>-</v>
      </c>
      <c r="BC19" s="158">
        <f t="array" ref="BC19">LET(team, SUBSTITUTE(BC$1, " Losses", ""), weekSheet, "'"&amp;$A19&amp;"'!", matchIdx, MATCH("*"&amp;team&amp;"*", INDIRECT(weekSheet&amp;"$B:$B"), 0), IF(ISNA(matchIdx), "-", LET(winner, INDEX(INDIRECT(weekSheet&amp;"$C:$C"), matchIdx), IF(winner="", "-", IF(winner=team, "-", 1)))))</f>
        <v>1</v>
      </c>
      <c r="BD19" s="158">
        <f t="shared" si="199"/>
        <v>1</v>
      </c>
      <c r="BE19" s="158" t="str">
        <f t="shared" si="200"/>
        <v>-</v>
      </c>
      <c r="BF19" s="158" t="str">
        <f t="shared" si="183"/>
        <v>-</v>
      </c>
      <c r="BG19" s="158">
        <f t="shared" si="184"/>
        <v>1</v>
      </c>
      <c r="BH19" s="158">
        <f t="shared" si="159"/>
        <v>1</v>
      </c>
      <c r="BI19" s="158" t="str">
        <f t="shared" si="160"/>
        <v>-</v>
      </c>
      <c r="BJ19" s="158">
        <f t="shared" si="185"/>
        <v>1</v>
      </c>
      <c r="BK19" s="158" t="str">
        <f t="shared" si="186"/>
        <v>-</v>
      </c>
      <c r="BL19" s="158" t="str">
        <f t="shared" si="211"/>
        <v>-</v>
      </c>
      <c r="BM19" s="158">
        <f t="shared" si="212"/>
        <v>1</v>
      </c>
    </row>
    <row r="20">
      <c r="A20" s="227" t="s">
        <v>705</v>
      </c>
      <c r="B20" s="229">
        <f t="shared" ref="B20:BM20" si="213">SUM(B2:B19)</f>
        <v>7</v>
      </c>
      <c r="C20" s="229">
        <f t="shared" si="213"/>
        <v>5</v>
      </c>
      <c r="D20" s="230">
        <f t="shared" si="213"/>
        <v>6</v>
      </c>
      <c r="E20" s="230">
        <f t="shared" si="213"/>
        <v>6</v>
      </c>
      <c r="F20" s="231">
        <f t="shared" si="213"/>
        <v>8</v>
      </c>
      <c r="G20" s="231">
        <f t="shared" si="213"/>
        <v>4</v>
      </c>
      <c r="H20" s="232">
        <f t="shared" si="213"/>
        <v>6</v>
      </c>
      <c r="I20" s="232">
        <f t="shared" si="213"/>
        <v>6</v>
      </c>
      <c r="J20" s="233">
        <f t="shared" si="213"/>
        <v>9</v>
      </c>
      <c r="K20" s="233">
        <f t="shared" si="213"/>
        <v>3</v>
      </c>
      <c r="L20" s="234">
        <f t="shared" si="213"/>
        <v>2</v>
      </c>
      <c r="M20" s="234">
        <f t="shared" si="213"/>
        <v>10</v>
      </c>
      <c r="N20" s="235">
        <f t="shared" si="213"/>
        <v>3</v>
      </c>
      <c r="O20" s="235">
        <f t="shared" si="213"/>
        <v>9</v>
      </c>
      <c r="P20" s="236">
        <f t="shared" si="213"/>
        <v>9</v>
      </c>
      <c r="Q20" s="236">
        <f t="shared" si="213"/>
        <v>3</v>
      </c>
      <c r="R20" s="237">
        <f t="shared" si="213"/>
        <v>9</v>
      </c>
      <c r="S20" s="237">
        <f t="shared" si="213"/>
        <v>3</v>
      </c>
      <c r="T20" s="238">
        <f t="shared" si="213"/>
        <v>3</v>
      </c>
      <c r="U20" s="238">
        <f t="shared" si="213"/>
        <v>9</v>
      </c>
      <c r="V20" s="239">
        <f t="shared" si="213"/>
        <v>5</v>
      </c>
      <c r="W20" s="239">
        <f t="shared" si="213"/>
        <v>7</v>
      </c>
      <c r="X20" s="240">
        <f t="shared" si="213"/>
        <v>8</v>
      </c>
      <c r="Y20" s="240">
        <f t="shared" si="213"/>
        <v>4</v>
      </c>
      <c r="Z20" s="241">
        <f t="shared" si="213"/>
        <v>7</v>
      </c>
      <c r="AA20" s="241">
        <f t="shared" si="213"/>
        <v>5</v>
      </c>
      <c r="AB20" s="242">
        <f t="shared" si="213"/>
        <v>7</v>
      </c>
      <c r="AC20" s="242">
        <f t="shared" si="213"/>
        <v>5</v>
      </c>
      <c r="AD20" s="243">
        <f t="shared" si="213"/>
        <v>5</v>
      </c>
      <c r="AE20" s="243">
        <f t="shared" si="213"/>
        <v>7</v>
      </c>
      <c r="AF20" s="244">
        <f t="shared" si="213"/>
        <v>2</v>
      </c>
      <c r="AG20" s="244">
        <f t="shared" si="213"/>
        <v>10</v>
      </c>
      <c r="AH20" s="245">
        <f t="shared" si="213"/>
        <v>7</v>
      </c>
      <c r="AI20" s="245">
        <f t="shared" si="213"/>
        <v>5</v>
      </c>
      <c r="AJ20" s="246">
        <f t="shared" si="213"/>
        <v>9</v>
      </c>
      <c r="AK20" s="246">
        <f t="shared" si="213"/>
        <v>3</v>
      </c>
      <c r="AL20" s="247">
        <f t="shared" si="213"/>
        <v>9</v>
      </c>
      <c r="AM20" s="247">
        <f t="shared" si="213"/>
        <v>3</v>
      </c>
      <c r="AN20" s="248">
        <f t="shared" si="213"/>
        <v>3</v>
      </c>
      <c r="AO20" s="248">
        <f t="shared" si="213"/>
        <v>9</v>
      </c>
      <c r="AP20" s="249">
        <f t="shared" si="213"/>
        <v>8</v>
      </c>
      <c r="AQ20" s="249">
        <f t="shared" si="213"/>
        <v>4</v>
      </c>
      <c r="AR20" s="250">
        <f t="shared" si="213"/>
        <v>9</v>
      </c>
      <c r="AS20" s="250">
        <f t="shared" si="213"/>
        <v>3</v>
      </c>
      <c r="AT20" s="251">
        <f t="shared" si="213"/>
        <v>1</v>
      </c>
      <c r="AU20" s="251">
        <f t="shared" si="213"/>
        <v>11</v>
      </c>
      <c r="AV20" s="252">
        <f t="shared" si="213"/>
        <v>3</v>
      </c>
      <c r="AW20" s="252">
        <f t="shared" si="213"/>
        <v>9</v>
      </c>
      <c r="AX20" s="253">
        <f t="shared" si="213"/>
        <v>8</v>
      </c>
      <c r="AY20" s="253">
        <f t="shared" si="213"/>
        <v>4</v>
      </c>
      <c r="AZ20" s="254">
        <f t="shared" si="213"/>
        <v>6</v>
      </c>
      <c r="BA20" s="254">
        <f t="shared" si="213"/>
        <v>6</v>
      </c>
      <c r="BB20" s="255">
        <f t="shared" si="213"/>
        <v>6</v>
      </c>
      <c r="BC20" s="255">
        <f t="shared" si="213"/>
        <v>6</v>
      </c>
      <c r="BD20" s="256">
        <f t="shared" si="213"/>
        <v>9</v>
      </c>
      <c r="BE20" s="256">
        <f t="shared" si="213"/>
        <v>3</v>
      </c>
      <c r="BF20" s="257">
        <f t="shared" si="213"/>
        <v>5</v>
      </c>
      <c r="BG20" s="257">
        <f t="shared" si="213"/>
        <v>7</v>
      </c>
      <c r="BH20" s="258">
        <f t="shared" si="213"/>
        <v>6</v>
      </c>
      <c r="BI20" s="258">
        <f t="shared" si="213"/>
        <v>6</v>
      </c>
      <c r="BJ20" s="259">
        <f t="shared" si="213"/>
        <v>6</v>
      </c>
      <c r="BK20" s="259">
        <f t="shared" si="213"/>
        <v>6</v>
      </c>
      <c r="BL20" s="260">
        <f t="shared" si="213"/>
        <v>1</v>
      </c>
      <c r="BM20" s="260">
        <f t="shared" si="213"/>
        <v>11</v>
      </c>
    </row>
    <row r="21">
      <c r="A21" s="261" t="s">
        <v>7</v>
      </c>
      <c r="B21" s="262">
        <f>IF(AND(B20=0,C20=0),0,DIVIDE(B20,SUM(B20,C20)))</f>
        <v>0.5833333333</v>
      </c>
      <c r="C21" s="262"/>
      <c r="D21" s="262">
        <f>IF(AND(D20=0,E20=0),0,DIVIDE(D20,SUM(D20,E20)))</f>
        <v>0.5</v>
      </c>
      <c r="E21" s="262"/>
      <c r="F21" s="262">
        <f>IF(AND(F20=0,G20=0),0,DIVIDE(F20,SUM(F20,G20)))</f>
        <v>0.6666666667</v>
      </c>
      <c r="G21" s="262"/>
      <c r="H21" s="262">
        <f>IF(AND(H20=0,I20=0),0,DIVIDE(H20,SUM(H20,I20)))</f>
        <v>0.5</v>
      </c>
      <c r="I21" s="262"/>
      <c r="J21" s="262">
        <f>IF(AND(J20=0,K20=0),0,DIVIDE(J20,SUM(J20,K20)))</f>
        <v>0.75</v>
      </c>
      <c r="K21" s="262"/>
      <c r="L21" s="262">
        <f>IF(AND(L20=0,M20=0),0,DIVIDE(L20,SUM(L20,M20)))</f>
        <v>0.1666666667</v>
      </c>
      <c r="M21" s="262"/>
      <c r="N21" s="262">
        <f>IF(AND(N20=0,O20=0),0,DIVIDE(N20,SUM(N20,O20)))</f>
        <v>0.25</v>
      </c>
      <c r="O21" s="262"/>
      <c r="P21" s="262">
        <f>IF(AND(P20=0,Q20=0),0,DIVIDE(P20,SUM(P20,Q20)))</f>
        <v>0.75</v>
      </c>
      <c r="Q21" s="262"/>
      <c r="R21" s="262">
        <f>IF(AND(R20=0,S20=0),0,DIVIDE(R20,SUM(R20,S20)))</f>
        <v>0.75</v>
      </c>
      <c r="S21" s="262"/>
      <c r="T21" s="262">
        <f>IF(AND(T20=0,U20=0),0,DIVIDE(T20,SUM(T20,U20)))</f>
        <v>0.25</v>
      </c>
      <c r="U21" s="262"/>
      <c r="V21" s="262">
        <f>IF(AND(V20=0,W20=0),0,DIVIDE(V20,SUM(V20,W20)))</f>
        <v>0.4166666667</v>
      </c>
      <c r="W21" s="262"/>
      <c r="X21" s="262">
        <f>IF(AND(X20=0,Y20=0),0,DIVIDE(X20,SUM(X20,Y20)))</f>
        <v>0.6666666667</v>
      </c>
      <c r="Y21" s="262"/>
      <c r="Z21" s="262">
        <f>IF(AND(Z20=0,AA20=0),0,DIVIDE(Z20,SUM(Z20,AA20)))</f>
        <v>0.5833333333</v>
      </c>
      <c r="AA21" s="262"/>
      <c r="AB21" s="262">
        <f>IF(AND(AB20=0,AC20=0),0,DIVIDE(AB20,SUM(AB20,AC20)))</f>
        <v>0.5833333333</v>
      </c>
      <c r="AC21" s="262"/>
      <c r="AD21" s="262">
        <f>IF(AND(AD20=0,AE20=0),0,DIVIDE(AD20,SUM(AD20,AE20)))</f>
        <v>0.4166666667</v>
      </c>
      <c r="AE21" s="262"/>
      <c r="AF21" s="262">
        <f>IF(AND(AF20=0,AG20=0),0,DIVIDE(AF20,SUM(AF20,AG20)))</f>
        <v>0.1666666667</v>
      </c>
      <c r="AG21" s="262"/>
      <c r="AH21" s="262">
        <f>IF(AND(AH20=0,AI20=0),0,DIVIDE(AH20,SUM(AH20,AI20)))</f>
        <v>0.5833333333</v>
      </c>
      <c r="AI21" s="262"/>
      <c r="AJ21" s="262">
        <f>IF(AND(AJ20=0,AK20=0),0,DIVIDE(AJ20,SUM(AJ20,AK20)))</f>
        <v>0.75</v>
      </c>
      <c r="AK21" s="262"/>
      <c r="AL21" s="262">
        <f>IF(AND(AL20=0,AM20=0),0,DIVIDE(AL20,SUM(AL20,AM20)))</f>
        <v>0.75</v>
      </c>
      <c r="AM21" s="262"/>
      <c r="AN21" s="262">
        <f>IF(AND(AN20=0,AO20=0),0,DIVIDE(AN20,SUM(AN20,AO20)))</f>
        <v>0.25</v>
      </c>
      <c r="AO21" s="262"/>
      <c r="AP21" s="262">
        <f>IF(AND(AP20=0,AQ20=0),0,DIVIDE(AP20,SUM(AP20,AQ20)))</f>
        <v>0.6666666667</v>
      </c>
      <c r="AQ21" s="262"/>
      <c r="AR21" s="262">
        <f>IF(AND(AR20=0,AS20=0),0,DIVIDE(AR20,SUM(AR20,AS20)))</f>
        <v>0.75</v>
      </c>
      <c r="AS21" s="262"/>
      <c r="AT21" s="262">
        <f>IF(AND(AT20=0,AU20=0),0,DIVIDE(AT20,SUM(AT20,AU20)))</f>
        <v>0.08333333333</v>
      </c>
      <c r="AU21" s="262"/>
      <c r="AV21" s="262">
        <f>IF(AND(AV20=0,AW20=0),0,DIVIDE(AV20,SUM(AV20,AW20)))</f>
        <v>0.25</v>
      </c>
      <c r="AW21" s="262"/>
      <c r="AX21" s="262">
        <f>IF(AND(AX20=0,AY20=0),0,DIVIDE(AX20,SUM(AX20,AY20)))</f>
        <v>0.6666666667</v>
      </c>
      <c r="AY21" s="262"/>
      <c r="AZ21" s="262">
        <f>IF(AND(AZ20=0,BA20=0),0,DIVIDE(AZ20,SUM(AZ20,BA20)))</f>
        <v>0.5</v>
      </c>
      <c r="BA21" s="262"/>
      <c r="BB21" s="262">
        <f>IF(AND(BB20=0,BC20=0),0,DIVIDE(BB20,SUM(BB20,BC20)))</f>
        <v>0.5</v>
      </c>
      <c r="BC21" s="262"/>
      <c r="BD21" s="262">
        <f>IF(AND(BD20=0,BE20=0),0,DIVIDE(BD20,SUM(BD20,BE20)))</f>
        <v>0.75</v>
      </c>
      <c r="BE21" s="262"/>
      <c r="BF21" s="262">
        <f>IF(AND(BF20=0,BG20=0),0,DIVIDE(BF20,SUM(BF20,BG20)))</f>
        <v>0.4166666667</v>
      </c>
      <c r="BG21" s="262"/>
      <c r="BH21" s="262">
        <f>IF(AND(BH20=0,BI20=0),0,DIVIDE(BH20,SUM(BH20,BI20)))</f>
        <v>0.5</v>
      </c>
      <c r="BI21" s="262"/>
      <c r="BJ21" s="262">
        <f>IF(AND(BJ20=0,BK20=0),0,DIVIDE(BJ20,SUM(BJ20,BK20)))</f>
        <v>0.5</v>
      </c>
      <c r="BK21" s="262"/>
      <c r="BL21" s="262">
        <f>IF(AND(BL20=0,BM20=0),0,DIVIDE(BL20,SUM(BL20,BM20)))</f>
        <v>0.08333333333</v>
      </c>
      <c r="BM21" s="262"/>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54"/>
      <c r="B1" s="155" t="s">
        <v>641</v>
      </c>
      <c r="C1" s="155" t="s">
        <v>642</v>
      </c>
      <c r="D1" s="155" t="s">
        <v>643</v>
      </c>
      <c r="E1" s="155" t="s">
        <v>644</v>
      </c>
      <c r="F1" s="155" t="s">
        <v>645</v>
      </c>
      <c r="G1" s="155" t="s">
        <v>646</v>
      </c>
      <c r="H1" s="155" t="s">
        <v>647</v>
      </c>
      <c r="I1" s="155" t="s">
        <v>648</v>
      </c>
      <c r="J1" s="155" t="s">
        <v>649</v>
      </c>
      <c r="K1" s="155" t="s">
        <v>650</v>
      </c>
      <c r="L1" s="155" t="s">
        <v>651</v>
      </c>
      <c r="M1" s="155" t="s">
        <v>652</v>
      </c>
      <c r="N1" s="155" t="s">
        <v>653</v>
      </c>
      <c r="O1" s="155" t="s">
        <v>654</v>
      </c>
      <c r="P1" s="155" t="s">
        <v>655</v>
      </c>
      <c r="Q1" s="155" t="s">
        <v>656</v>
      </c>
      <c r="R1" s="155" t="s">
        <v>657</v>
      </c>
      <c r="S1" s="155" t="s">
        <v>658</v>
      </c>
      <c r="T1" s="155" t="s">
        <v>659</v>
      </c>
      <c r="U1" s="155" t="s">
        <v>660</v>
      </c>
      <c r="V1" s="155" t="s">
        <v>661</v>
      </c>
      <c r="W1" s="155" t="s">
        <v>662</v>
      </c>
      <c r="X1" s="155" t="s">
        <v>663</v>
      </c>
      <c r="Y1" s="155" t="s">
        <v>664</v>
      </c>
      <c r="Z1" s="155" t="s">
        <v>665</v>
      </c>
      <c r="AA1" s="155" t="s">
        <v>666</v>
      </c>
      <c r="AB1" s="155" t="s">
        <v>667</v>
      </c>
      <c r="AC1" s="155" t="s">
        <v>668</v>
      </c>
      <c r="AD1" s="155" t="s">
        <v>669</v>
      </c>
      <c r="AE1" s="155" t="s">
        <v>670</v>
      </c>
      <c r="AF1" s="155" t="s">
        <v>671</v>
      </c>
      <c r="AG1" s="155" t="s">
        <v>672</v>
      </c>
      <c r="AH1" s="155" t="s">
        <v>673</v>
      </c>
      <c r="AI1" s="155" t="s">
        <v>674</v>
      </c>
      <c r="AJ1" s="155" t="s">
        <v>675</v>
      </c>
      <c r="AK1" s="155" t="s">
        <v>676</v>
      </c>
      <c r="AL1" s="155" t="s">
        <v>677</v>
      </c>
      <c r="AM1" s="155" t="s">
        <v>678</v>
      </c>
      <c r="AN1" s="155" t="s">
        <v>679</v>
      </c>
      <c r="AO1" s="155" t="s">
        <v>680</v>
      </c>
      <c r="AP1" s="155" t="s">
        <v>681</v>
      </c>
      <c r="AQ1" s="155" t="s">
        <v>682</v>
      </c>
      <c r="AR1" s="155" t="s">
        <v>683</v>
      </c>
      <c r="AS1" s="155" t="s">
        <v>684</v>
      </c>
      <c r="AT1" s="155" t="s">
        <v>685</v>
      </c>
      <c r="AU1" s="155" t="s">
        <v>686</v>
      </c>
      <c r="AV1" s="155" t="s">
        <v>687</v>
      </c>
      <c r="AW1" s="155" t="s">
        <v>688</v>
      </c>
      <c r="AX1" s="155" t="s">
        <v>689</v>
      </c>
      <c r="AY1" s="155" t="s">
        <v>690</v>
      </c>
      <c r="AZ1" s="155" t="s">
        <v>691</v>
      </c>
      <c r="BA1" s="155" t="s">
        <v>692</v>
      </c>
      <c r="BB1" s="155" t="s">
        <v>693</v>
      </c>
      <c r="BC1" s="155" t="s">
        <v>694</v>
      </c>
      <c r="BD1" s="155" t="s">
        <v>695</v>
      </c>
      <c r="BE1" s="155" t="s">
        <v>696</v>
      </c>
      <c r="BF1" s="155" t="s">
        <v>697</v>
      </c>
      <c r="BG1" s="155" t="s">
        <v>698</v>
      </c>
      <c r="BH1" s="155" t="s">
        <v>699</v>
      </c>
      <c r="BI1" s="155" t="s">
        <v>700</v>
      </c>
      <c r="BJ1" s="155" t="s">
        <v>701</v>
      </c>
      <c r="BK1" s="155" t="s">
        <v>702</v>
      </c>
      <c r="BL1" s="155" t="s">
        <v>703</v>
      </c>
      <c r="BM1" s="155" t="s">
        <v>704</v>
      </c>
    </row>
    <row r="2">
      <c r="A2" s="157" t="s">
        <v>123</v>
      </c>
      <c r="B2" s="158">
        <f t="shared" ref="B2:BM2" si="1">IFERROR(LET(team, SUBSTITUTE(SUBSTITUTE(SUBSTITUTE(B$1," PF","")," PA",""),"WSH","WAS"), isPF, RIGHT(B$1,2)="PF", awayMatch, team &amp; " @*", homeMatch, "*@ " &amp; team, awayScore, SUMIF(INDIRECT("'" &amp; $A2 &amp; "'!$B:$B"), awayMatch, INDIRECT("'" &amp; $A2 &amp; "'!$E:$E")), homeScore, SUMIF(INDIRECT("'" &amp; $A2 &amp; "'!$B:$B"), homeMatch, INDIRECT("'" &amp; $A2 &amp; "'!$F:$F")), awayPA, SUMIF(INDIRECT("'" &amp; $A2 &amp; "'!$B:$B"), awayMatch, INDIRECT("'" &amp; $A2 &amp; "'!$F:$F")), homePA, SUMIF(INDIRECT("'" &amp; $A2 &amp; "'!$B:$B"), homeMatch, INDIRECT("'" &amp; $A2 &amp; "'!$E:$E")), IF(isPF, awayScore + homeScore, awayPA + homePA)), 0)</f>
        <v>14</v>
      </c>
      <c r="C2" s="158">
        <f t="shared" si="1"/>
        <v>17</v>
      </c>
      <c r="D2" s="158">
        <f t="shared" si="1"/>
        <v>21</v>
      </c>
      <c r="E2" s="158">
        <f t="shared" si="1"/>
        <v>17</v>
      </c>
      <c r="F2" s="158">
        <f t="shared" si="1"/>
        <v>17</v>
      </c>
      <c r="G2" s="158">
        <f t="shared" si="1"/>
        <v>14</v>
      </c>
      <c r="H2" s="158">
        <f t="shared" si="1"/>
        <v>31</v>
      </c>
      <c r="I2" s="158">
        <f t="shared" si="1"/>
        <v>24</v>
      </c>
      <c r="J2" s="194">
        <f t="shared" si="1"/>
        <v>17</v>
      </c>
      <c r="K2" s="194">
        <f t="shared" si="1"/>
        <v>14</v>
      </c>
      <c r="L2" s="158">
        <f t="shared" si="1"/>
        <v>17</v>
      </c>
      <c r="M2" s="158">
        <f t="shared" si="1"/>
        <v>21</v>
      </c>
      <c r="N2" s="158">
        <f t="shared" si="1"/>
        <v>24</v>
      </c>
      <c r="O2" s="158">
        <f t="shared" si="1"/>
        <v>31</v>
      </c>
      <c r="P2" s="158">
        <f t="shared" si="1"/>
        <v>21</v>
      </c>
      <c r="Q2" s="158">
        <f t="shared" si="1"/>
        <v>28</v>
      </c>
      <c r="R2" s="158">
        <f t="shared" si="1"/>
        <v>20</v>
      </c>
      <c r="S2" s="158">
        <f t="shared" si="1"/>
        <v>14</v>
      </c>
      <c r="T2" s="158">
        <f t="shared" si="1"/>
        <v>17</v>
      </c>
      <c r="U2" s="158">
        <f t="shared" si="1"/>
        <v>21</v>
      </c>
      <c r="V2" s="158">
        <f t="shared" si="1"/>
        <v>21</v>
      </c>
      <c r="W2" s="158">
        <f t="shared" si="1"/>
        <v>17</v>
      </c>
      <c r="X2" s="194">
        <f t="shared" si="1"/>
        <v>17</v>
      </c>
      <c r="Y2" s="194">
        <f t="shared" si="1"/>
        <v>14</v>
      </c>
      <c r="Z2" s="158">
        <f t="shared" si="1"/>
        <v>14</v>
      </c>
      <c r="AA2" s="158">
        <f t="shared" si="1"/>
        <v>17</v>
      </c>
      <c r="AB2" s="194">
        <f t="shared" si="1"/>
        <v>21</v>
      </c>
      <c r="AC2" s="194">
        <f t="shared" si="1"/>
        <v>17</v>
      </c>
      <c r="AD2" s="158">
        <f t="shared" si="1"/>
        <v>14</v>
      </c>
      <c r="AE2" s="158">
        <f t="shared" si="1"/>
        <v>20</v>
      </c>
      <c r="AF2" s="158">
        <f t="shared" si="1"/>
        <v>31</v>
      </c>
      <c r="AG2" s="158">
        <f t="shared" si="1"/>
        <v>24</v>
      </c>
      <c r="AH2" s="158">
        <f t="shared" si="1"/>
        <v>17</v>
      </c>
      <c r="AI2" s="158">
        <f t="shared" si="1"/>
        <v>21</v>
      </c>
      <c r="AJ2" s="158">
        <f t="shared" si="1"/>
        <v>21</v>
      </c>
      <c r="AK2" s="158">
        <f t="shared" si="1"/>
        <v>17</v>
      </c>
      <c r="AL2" s="158">
        <f t="shared" si="1"/>
        <v>28</v>
      </c>
      <c r="AM2" s="158">
        <f t="shared" si="1"/>
        <v>21</v>
      </c>
      <c r="AN2" s="158">
        <f t="shared" si="1"/>
        <v>24</v>
      </c>
      <c r="AO2" s="158">
        <f t="shared" si="1"/>
        <v>31</v>
      </c>
      <c r="AP2" s="158">
        <f t="shared" si="1"/>
        <v>21</v>
      </c>
      <c r="AQ2" s="158">
        <f t="shared" si="1"/>
        <v>17</v>
      </c>
      <c r="AR2" s="158">
        <f t="shared" si="1"/>
        <v>23</v>
      </c>
      <c r="AS2" s="158">
        <f t="shared" si="1"/>
        <v>20</v>
      </c>
      <c r="AT2" s="194">
        <f t="shared" si="1"/>
        <v>17</v>
      </c>
      <c r="AU2" s="194">
        <f t="shared" si="1"/>
        <v>21</v>
      </c>
      <c r="AV2" s="158">
        <f t="shared" si="1"/>
        <v>0</v>
      </c>
      <c r="AW2" s="158">
        <f t="shared" si="1"/>
        <v>0</v>
      </c>
      <c r="AX2" s="158">
        <f t="shared" si="1"/>
        <v>20</v>
      </c>
      <c r="AY2" s="158">
        <f t="shared" si="1"/>
        <v>17</v>
      </c>
      <c r="AZ2" s="158">
        <f t="shared" si="1"/>
        <v>14</v>
      </c>
      <c r="BA2" s="158">
        <f t="shared" si="1"/>
        <v>20</v>
      </c>
      <c r="BB2" s="158">
        <f t="shared" si="1"/>
        <v>20</v>
      </c>
      <c r="BC2" s="158">
        <f t="shared" si="1"/>
        <v>14</v>
      </c>
      <c r="BD2" s="158">
        <f t="shared" si="1"/>
        <v>20</v>
      </c>
      <c r="BE2" s="158">
        <f t="shared" si="1"/>
        <v>13</v>
      </c>
      <c r="BF2" s="158">
        <f t="shared" si="1"/>
        <v>14</v>
      </c>
      <c r="BG2" s="158">
        <f t="shared" si="1"/>
        <v>17</v>
      </c>
      <c r="BH2" s="158">
        <f t="shared" si="1"/>
        <v>17</v>
      </c>
      <c r="BI2" s="158">
        <f t="shared" si="1"/>
        <v>20</v>
      </c>
      <c r="BJ2" s="158">
        <f t="shared" si="1"/>
        <v>17</v>
      </c>
      <c r="BK2" s="158">
        <f t="shared" si="1"/>
        <v>21</v>
      </c>
      <c r="BL2" s="158">
        <f t="shared" si="1"/>
        <v>13</v>
      </c>
      <c r="BM2" s="158">
        <f t="shared" si="1"/>
        <v>20</v>
      </c>
    </row>
    <row r="3">
      <c r="A3" s="157" t="s">
        <v>119</v>
      </c>
      <c r="B3" s="158">
        <f t="shared" ref="B3:BM3" si="2">IFERROR(LET(team, SUBSTITUTE(SUBSTITUTE(SUBSTITUTE(B$1," PF","")," PA",""),"WSH","WAS"), isPF, RIGHT(B$1,2)="PF", awayMatch, team &amp; " @*", homeMatch, "*@ " &amp; team, awayScore, SUMIF(INDIRECT("'" &amp; $A3 &amp; "'!$B:$B"), awayMatch, INDIRECT("'" &amp; $A3 &amp; "'!$E:$E")), homeScore, SUMIF(INDIRECT("'" &amp; $A3 &amp; "'!$B:$B"), homeMatch, INDIRECT("'" &amp; $A3 &amp; "'!$F:$F")), awayPA, SUMIF(INDIRECT("'" &amp; $A3 &amp; "'!$B:$B"), awayMatch, INDIRECT("'" &amp; $A3 &amp; "'!$F:$F")), homePA, SUMIF(INDIRECT("'" &amp; $A3 &amp; "'!$B:$B"), homeMatch, INDIRECT("'" &amp; $A3 &amp; "'!$E:$E")), IF(isPF, awayScore + homeScore, awayPA + homePA)), 0)</f>
        <v>13</v>
      </c>
      <c r="C3" s="158">
        <f t="shared" si="2"/>
        <v>17</v>
      </c>
      <c r="D3" s="158">
        <f t="shared" si="2"/>
        <v>21</v>
      </c>
      <c r="E3" s="158">
        <f t="shared" si="2"/>
        <v>24</v>
      </c>
      <c r="F3" s="158">
        <f t="shared" si="2"/>
        <v>23</v>
      </c>
      <c r="G3" s="158">
        <f t="shared" si="2"/>
        <v>20</v>
      </c>
      <c r="H3" s="158">
        <f t="shared" si="2"/>
        <v>24</v>
      </c>
      <c r="I3" s="158">
        <f t="shared" si="2"/>
        <v>21</v>
      </c>
      <c r="J3" s="158">
        <f t="shared" si="2"/>
        <v>28</v>
      </c>
      <c r="K3" s="158">
        <f t="shared" si="2"/>
        <v>21</v>
      </c>
      <c r="L3" s="158">
        <f t="shared" si="2"/>
        <v>14</v>
      </c>
      <c r="M3" s="158">
        <f t="shared" si="2"/>
        <v>20</v>
      </c>
      <c r="N3" s="158">
        <f t="shared" si="2"/>
        <v>17</v>
      </c>
      <c r="O3" s="158">
        <f t="shared" si="2"/>
        <v>21</v>
      </c>
      <c r="P3" s="158">
        <f t="shared" si="2"/>
        <v>20</v>
      </c>
      <c r="Q3" s="158">
        <f t="shared" si="2"/>
        <v>23</v>
      </c>
      <c r="R3" s="158">
        <f t="shared" si="2"/>
        <v>27</v>
      </c>
      <c r="S3" s="158">
        <f t="shared" si="2"/>
        <v>24</v>
      </c>
      <c r="T3" s="158">
        <f t="shared" si="2"/>
        <v>24</v>
      </c>
      <c r="U3" s="158">
        <f t="shared" si="2"/>
        <v>27</v>
      </c>
      <c r="V3" s="158">
        <f t="shared" si="2"/>
        <v>23</v>
      </c>
      <c r="W3" s="158">
        <f t="shared" si="2"/>
        <v>20</v>
      </c>
      <c r="X3" s="158">
        <f t="shared" si="2"/>
        <v>14</v>
      </c>
      <c r="Y3" s="158">
        <f t="shared" si="2"/>
        <v>17</v>
      </c>
      <c r="Z3" s="158">
        <f t="shared" si="2"/>
        <v>17</v>
      </c>
      <c r="AA3" s="158">
        <f t="shared" si="2"/>
        <v>14</v>
      </c>
      <c r="AB3" s="158">
        <f t="shared" si="2"/>
        <v>20</v>
      </c>
      <c r="AC3" s="158">
        <f t="shared" si="2"/>
        <v>23</v>
      </c>
      <c r="AD3" s="158">
        <f t="shared" si="2"/>
        <v>17</v>
      </c>
      <c r="AE3" s="158">
        <f t="shared" si="2"/>
        <v>13</v>
      </c>
      <c r="AF3" s="158">
        <f t="shared" si="2"/>
        <v>17</v>
      </c>
      <c r="AG3" s="158">
        <f t="shared" si="2"/>
        <v>21</v>
      </c>
      <c r="AH3" s="158">
        <f t="shared" si="2"/>
        <v>20</v>
      </c>
      <c r="AI3" s="158">
        <f t="shared" si="2"/>
        <v>14</v>
      </c>
      <c r="AJ3" s="158">
        <f t="shared" si="2"/>
        <v>24</v>
      </c>
      <c r="AK3" s="158">
        <f t="shared" si="2"/>
        <v>21</v>
      </c>
      <c r="AL3" s="158">
        <f t="shared" si="2"/>
        <v>21</v>
      </c>
      <c r="AM3" s="158">
        <f t="shared" si="2"/>
        <v>17</v>
      </c>
      <c r="AN3" s="158">
        <f t="shared" si="2"/>
        <v>17</v>
      </c>
      <c r="AO3" s="158">
        <f t="shared" si="2"/>
        <v>21</v>
      </c>
      <c r="AP3" s="158">
        <f t="shared" si="2"/>
        <v>17</v>
      </c>
      <c r="AQ3" s="158">
        <f t="shared" si="2"/>
        <v>14</v>
      </c>
      <c r="AR3" s="158">
        <f t="shared" si="2"/>
        <v>21</v>
      </c>
      <c r="AS3" s="158">
        <f t="shared" si="2"/>
        <v>17</v>
      </c>
      <c r="AT3" s="158">
        <f t="shared" si="2"/>
        <v>21</v>
      </c>
      <c r="AU3" s="158">
        <f t="shared" si="2"/>
        <v>24</v>
      </c>
      <c r="AV3" s="158">
        <f t="shared" si="2"/>
        <v>0</v>
      </c>
      <c r="AW3" s="158">
        <f t="shared" si="2"/>
        <v>0</v>
      </c>
      <c r="AX3" s="158">
        <f t="shared" si="2"/>
        <v>21</v>
      </c>
      <c r="AY3" s="158">
        <f t="shared" si="2"/>
        <v>28</v>
      </c>
      <c r="AZ3" s="158">
        <f t="shared" si="2"/>
        <v>21</v>
      </c>
      <c r="BA3" s="158">
        <f t="shared" si="2"/>
        <v>17</v>
      </c>
      <c r="BB3" s="158">
        <f t="shared" si="2"/>
        <v>14</v>
      </c>
      <c r="BC3" s="158">
        <f t="shared" si="2"/>
        <v>17</v>
      </c>
      <c r="BD3" s="158">
        <f t="shared" si="2"/>
        <v>17</v>
      </c>
      <c r="BE3" s="158">
        <f t="shared" si="2"/>
        <v>14</v>
      </c>
      <c r="BF3" s="158">
        <f t="shared" si="2"/>
        <v>27</v>
      </c>
      <c r="BG3" s="158">
        <f t="shared" si="2"/>
        <v>24</v>
      </c>
      <c r="BH3" s="158">
        <f t="shared" si="2"/>
        <v>24</v>
      </c>
      <c r="BI3" s="158">
        <f t="shared" si="2"/>
        <v>27</v>
      </c>
      <c r="BJ3" s="158">
        <f t="shared" si="2"/>
        <v>21</v>
      </c>
      <c r="BK3" s="158">
        <f t="shared" si="2"/>
        <v>17</v>
      </c>
      <c r="BL3" s="158">
        <f t="shared" si="2"/>
        <v>17</v>
      </c>
      <c r="BM3" s="158">
        <f t="shared" si="2"/>
        <v>21</v>
      </c>
    </row>
    <row r="4">
      <c r="A4" s="157" t="s">
        <v>130</v>
      </c>
      <c r="B4" s="158">
        <f t="shared" ref="B4:BM4" si="3">IFERROR(LET(team, SUBSTITUTE(SUBSTITUTE(SUBSTITUTE(B$1," PF","")," PA",""),"WSH","WAS"), isPF, RIGHT(B$1,2)="PF", awayMatch, team &amp; " @*", homeMatch, "*@ " &amp; team, awayScore, SUMIF(INDIRECT("'" &amp; $A4 &amp; "'!$B:$B"), awayMatch, INDIRECT("'" &amp; $A4 &amp; "'!$E:$E")), homeScore, SUMIF(INDIRECT("'" &amp; $A4 &amp; "'!$B:$B"), homeMatch, INDIRECT("'" &amp; $A4 &amp; "'!$F:$F")), awayPA, SUMIF(INDIRECT("'" &amp; $A4 &amp; "'!$B:$B"), awayMatch, INDIRECT("'" &amp; $A4 &amp; "'!$F:$F")), homePA, SUMIF(INDIRECT("'" &amp; $A4 &amp; "'!$B:$B"), homeMatch, INDIRECT("'" &amp; $A4 &amp; "'!$E:$E")), IF(isPF, awayScore + homeScore, awayPA + homePA)), 0)</f>
        <v>27</v>
      </c>
      <c r="C4" s="158">
        <f t="shared" si="3"/>
        <v>20</v>
      </c>
      <c r="D4" s="158">
        <f t="shared" si="3"/>
        <v>24</v>
      </c>
      <c r="E4" s="158">
        <f t="shared" si="3"/>
        <v>31</v>
      </c>
      <c r="F4" s="158">
        <f t="shared" si="3"/>
        <v>31</v>
      </c>
      <c r="G4" s="158">
        <f t="shared" si="3"/>
        <v>24</v>
      </c>
      <c r="H4" s="158">
        <f t="shared" si="3"/>
        <v>21</v>
      </c>
      <c r="I4" s="158">
        <f t="shared" si="3"/>
        <v>28</v>
      </c>
      <c r="J4" s="158">
        <f t="shared" si="3"/>
        <v>28</v>
      </c>
      <c r="K4" s="158">
        <f t="shared" si="3"/>
        <v>21</v>
      </c>
      <c r="L4" s="158">
        <f t="shared" si="3"/>
        <v>20</v>
      </c>
      <c r="M4" s="158">
        <f t="shared" si="3"/>
        <v>27</v>
      </c>
      <c r="N4" s="158">
        <f t="shared" si="3"/>
        <v>24</v>
      </c>
      <c r="O4" s="158">
        <f t="shared" si="3"/>
        <v>27</v>
      </c>
      <c r="P4" s="158">
        <f t="shared" si="3"/>
        <v>31</v>
      </c>
      <c r="Q4" s="158">
        <f t="shared" si="3"/>
        <v>24</v>
      </c>
      <c r="R4" s="158">
        <f t="shared" si="3"/>
        <v>13</v>
      </c>
      <c r="S4" s="158">
        <f t="shared" si="3"/>
        <v>20</v>
      </c>
      <c r="T4" s="158">
        <f t="shared" si="3"/>
        <v>14</v>
      </c>
      <c r="U4" s="158">
        <f t="shared" si="3"/>
        <v>20</v>
      </c>
      <c r="V4" s="158">
        <f t="shared" si="3"/>
        <v>24</v>
      </c>
      <c r="W4" s="158">
        <f t="shared" si="3"/>
        <v>27</v>
      </c>
      <c r="X4" s="158">
        <f t="shared" si="3"/>
        <v>27</v>
      </c>
      <c r="Y4" s="158">
        <f t="shared" si="3"/>
        <v>24</v>
      </c>
      <c r="Z4" s="158">
        <f t="shared" si="3"/>
        <v>31</v>
      </c>
      <c r="AA4" s="158">
        <f t="shared" si="3"/>
        <v>24</v>
      </c>
      <c r="AB4" s="158">
        <f t="shared" si="3"/>
        <v>24</v>
      </c>
      <c r="AC4" s="158">
        <f t="shared" si="3"/>
        <v>31</v>
      </c>
      <c r="AD4" s="158">
        <f t="shared" si="3"/>
        <v>24</v>
      </c>
      <c r="AE4" s="158">
        <f t="shared" si="3"/>
        <v>31</v>
      </c>
      <c r="AF4" s="158">
        <f t="shared" si="3"/>
        <v>17</v>
      </c>
      <c r="AG4" s="158">
        <f t="shared" si="3"/>
        <v>20</v>
      </c>
      <c r="AH4" s="158">
        <f t="shared" si="3"/>
        <v>27</v>
      </c>
      <c r="AI4" s="158">
        <f t="shared" si="3"/>
        <v>24</v>
      </c>
      <c r="AJ4" s="158">
        <f t="shared" si="3"/>
        <v>24</v>
      </c>
      <c r="AK4" s="158">
        <f t="shared" si="3"/>
        <v>31</v>
      </c>
      <c r="AL4" s="158">
        <f t="shared" si="3"/>
        <v>28</v>
      </c>
      <c r="AM4" s="158">
        <f t="shared" si="3"/>
        <v>21</v>
      </c>
      <c r="AN4" s="158">
        <f t="shared" si="3"/>
        <v>24</v>
      </c>
      <c r="AO4" s="158">
        <f t="shared" si="3"/>
        <v>27</v>
      </c>
      <c r="AP4" s="158">
        <f t="shared" si="3"/>
        <v>20</v>
      </c>
      <c r="AQ4" s="158">
        <f t="shared" si="3"/>
        <v>13</v>
      </c>
      <c r="AR4" s="158">
        <f t="shared" si="3"/>
        <v>17</v>
      </c>
      <c r="AS4" s="158">
        <f t="shared" si="3"/>
        <v>14</v>
      </c>
      <c r="AT4" s="158">
        <f t="shared" si="3"/>
        <v>20</v>
      </c>
      <c r="AU4" s="158">
        <f t="shared" si="3"/>
        <v>17</v>
      </c>
      <c r="AV4" s="158">
        <f t="shared" si="3"/>
        <v>0</v>
      </c>
      <c r="AW4" s="158">
        <f t="shared" si="3"/>
        <v>0</v>
      </c>
      <c r="AX4" s="158">
        <f t="shared" si="3"/>
        <v>27</v>
      </c>
      <c r="AY4" s="158">
        <f t="shared" si="3"/>
        <v>24</v>
      </c>
      <c r="AZ4" s="158">
        <f t="shared" si="3"/>
        <v>21</v>
      </c>
      <c r="BA4" s="158">
        <f t="shared" si="3"/>
        <v>17</v>
      </c>
      <c r="BB4" s="158">
        <f t="shared" si="3"/>
        <v>21</v>
      </c>
      <c r="BC4" s="158">
        <f t="shared" si="3"/>
        <v>17</v>
      </c>
      <c r="BD4" s="158">
        <f t="shared" si="3"/>
        <v>14</v>
      </c>
      <c r="BE4" s="158">
        <f t="shared" si="3"/>
        <v>17</v>
      </c>
      <c r="BF4" s="158">
        <f t="shared" si="3"/>
        <v>17</v>
      </c>
      <c r="BG4" s="158">
        <f t="shared" si="3"/>
        <v>21</v>
      </c>
      <c r="BH4" s="158">
        <f t="shared" si="3"/>
        <v>31</v>
      </c>
      <c r="BI4" s="158">
        <f t="shared" si="3"/>
        <v>24</v>
      </c>
      <c r="BJ4" s="158">
        <f t="shared" si="3"/>
        <v>17</v>
      </c>
      <c r="BK4" s="158">
        <f t="shared" si="3"/>
        <v>21</v>
      </c>
      <c r="BL4" s="158">
        <f t="shared" si="3"/>
        <v>20</v>
      </c>
      <c r="BM4" s="158">
        <f t="shared" si="3"/>
        <v>14</v>
      </c>
    </row>
    <row r="5">
      <c r="A5" s="157" t="s">
        <v>141</v>
      </c>
      <c r="B5" s="158">
        <f t="shared" ref="B5:BM5" si="4">IFERROR(LET(team, SUBSTITUTE(SUBSTITUTE(SUBSTITUTE(B$1," PF","")," PA",""),"WSH","WAS"), isPF, RIGHT(B$1,2)="PF", awayMatch, team &amp; " @*", homeMatch, "*@ " &amp; team, awayScore, SUMIF(INDIRECT("'" &amp; $A5 &amp; "'!$B:$B"), awayMatch, INDIRECT("'" &amp; $A5 &amp; "'!$E:$E")), homeScore, SUMIF(INDIRECT("'" &amp; $A5 &amp; "'!$B:$B"), homeMatch, INDIRECT("'" &amp; $A5 &amp; "'!$F:$F")), awayPA, SUMIF(INDIRECT("'" &amp; $A5 &amp; "'!$B:$B"), awayMatch, INDIRECT("'" &amp; $A5 &amp; "'!$F:$F")), homePA, SUMIF(INDIRECT("'" &amp; $A5 &amp; "'!$B:$B"), homeMatch, INDIRECT("'" &amp; $A5 &amp; "'!$E:$E")), IF(isPF, awayScore + homeScore, awayPA + homePA)), 0)</f>
        <v>21</v>
      </c>
      <c r="C5" s="158">
        <f t="shared" si="4"/>
        <v>28</v>
      </c>
      <c r="D5" s="158">
        <f t="shared" si="4"/>
        <v>28</v>
      </c>
      <c r="E5" s="158">
        <f t="shared" si="4"/>
        <v>21</v>
      </c>
      <c r="F5" s="158">
        <f t="shared" si="4"/>
        <v>21</v>
      </c>
      <c r="G5" s="158">
        <f t="shared" si="4"/>
        <v>24</v>
      </c>
      <c r="H5" s="158">
        <f t="shared" si="4"/>
        <v>10</v>
      </c>
      <c r="I5" s="158">
        <f t="shared" si="4"/>
        <v>14</v>
      </c>
      <c r="J5" s="158">
        <f t="shared" si="4"/>
        <v>17</v>
      </c>
      <c r="K5" s="158">
        <f t="shared" si="4"/>
        <v>21</v>
      </c>
      <c r="L5" s="158">
        <f t="shared" si="4"/>
        <v>10</v>
      </c>
      <c r="M5" s="158">
        <f t="shared" si="4"/>
        <v>14</v>
      </c>
      <c r="N5" s="158">
        <f t="shared" si="4"/>
        <v>24</v>
      </c>
      <c r="O5" s="158">
        <f t="shared" si="4"/>
        <v>31</v>
      </c>
      <c r="P5" s="158">
        <f t="shared" si="4"/>
        <v>21</v>
      </c>
      <c r="Q5" s="158">
        <f t="shared" si="4"/>
        <v>17</v>
      </c>
      <c r="R5" s="158">
        <f t="shared" si="4"/>
        <v>20</v>
      </c>
      <c r="S5" s="158">
        <f t="shared" si="4"/>
        <v>13</v>
      </c>
      <c r="T5" s="158">
        <f t="shared" si="4"/>
        <v>24</v>
      </c>
      <c r="U5" s="158">
        <f t="shared" si="4"/>
        <v>31</v>
      </c>
      <c r="V5" s="158">
        <f t="shared" si="4"/>
        <v>31</v>
      </c>
      <c r="W5" s="158">
        <f t="shared" si="4"/>
        <v>24</v>
      </c>
      <c r="X5" s="158">
        <f t="shared" si="4"/>
        <v>14</v>
      </c>
      <c r="Y5" s="158">
        <f t="shared" si="4"/>
        <v>20</v>
      </c>
      <c r="Z5" s="158">
        <f t="shared" si="4"/>
        <v>24</v>
      </c>
      <c r="AA5" s="158">
        <f t="shared" si="4"/>
        <v>21</v>
      </c>
      <c r="AB5" s="158">
        <f t="shared" si="4"/>
        <v>20</v>
      </c>
      <c r="AC5" s="158">
        <f t="shared" si="4"/>
        <v>14</v>
      </c>
      <c r="AD5" s="158">
        <f t="shared" si="4"/>
        <v>21</v>
      </c>
      <c r="AE5" s="158">
        <f t="shared" si="4"/>
        <v>24</v>
      </c>
      <c r="AF5" s="158">
        <f t="shared" si="4"/>
        <v>13</v>
      </c>
      <c r="AG5" s="158">
        <f t="shared" si="4"/>
        <v>20</v>
      </c>
      <c r="AH5" s="158">
        <f t="shared" si="4"/>
        <v>24</v>
      </c>
      <c r="AI5" s="158">
        <f t="shared" si="4"/>
        <v>21</v>
      </c>
      <c r="AJ5" s="158">
        <f t="shared" si="4"/>
        <v>20</v>
      </c>
      <c r="AK5" s="158">
        <f t="shared" si="4"/>
        <v>17</v>
      </c>
      <c r="AL5" s="158">
        <f t="shared" si="4"/>
        <v>14</v>
      </c>
      <c r="AM5" s="158">
        <f t="shared" si="4"/>
        <v>10</v>
      </c>
      <c r="AN5" s="158">
        <f t="shared" si="4"/>
        <v>24</v>
      </c>
      <c r="AO5" s="158">
        <f t="shared" si="4"/>
        <v>31</v>
      </c>
      <c r="AP5" s="158">
        <f t="shared" si="4"/>
        <v>21</v>
      </c>
      <c r="AQ5" s="158">
        <f t="shared" si="4"/>
        <v>24</v>
      </c>
      <c r="AR5" s="158">
        <f t="shared" si="4"/>
        <v>17</v>
      </c>
      <c r="AS5" s="158">
        <f t="shared" si="4"/>
        <v>20</v>
      </c>
      <c r="AT5" s="158">
        <f t="shared" si="4"/>
        <v>31</v>
      </c>
      <c r="AU5" s="158">
        <f t="shared" si="4"/>
        <v>24</v>
      </c>
      <c r="AV5" s="158">
        <f t="shared" si="4"/>
        <v>0</v>
      </c>
      <c r="AW5" s="158">
        <f t="shared" si="4"/>
        <v>0</v>
      </c>
      <c r="AX5" s="158">
        <f t="shared" si="4"/>
        <v>14</v>
      </c>
      <c r="AY5" s="158">
        <f t="shared" si="4"/>
        <v>10</v>
      </c>
      <c r="AZ5" s="158">
        <f t="shared" si="4"/>
        <v>20</v>
      </c>
      <c r="BA5" s="158">
        <f t="shared" si="4"/>
        <v>23</v>
      </c>
      <c r="BB5" s="158">
        <f t="shared" si="4"/>
        <v>14</v>
      </c>
      <c r="BC5" s="158">
        <f t="shared" si="4"/>
        <v>10</v>
      </c>
      <c r="BD5" s="158">
        <f t="shared" si="4"/>
        <v>31</v>
      </c>
      <c r="BE5" s="158">
        <f t="shared" si="4"/>
        <v>24</v>
      </c>
      <c r="BF5" s="158">
        <f t="shared" si="4"/>
        <v>23</v>
      </c>
      <c r="BG5" s="158">
        <f t="shared" si="4"/>
        <v>20</v>
      </c>
      <c r="BH5" s="158">
        <f t="shared" si="4"/>
        <v>20</v>
      </c>
      <c r="BI5" s="158">
        <f t="shared" si="4"/>
        <v>23</v>
      </c>
      <c r="BJ5" s="158">
        <f t="shared" si="4"/>
        <v>23</v>
      </c>
      <c r="BK5" s="158">
        <f t="shared" si="4"/>
        <v>20</v>
      </c>
      <c r="BL5" s="158">
        <f t="shared" si="4"/>
        <v>10</v>
      </c>
      <c r="BM5" s="158">
        <f t="shared" si="4"/>
        <v>14</v>
      </c>
    </row>
    <row r="6">
      <c r="A6" s="157" t="s">
        <v>145</v>
      </c>
      <c r="B6" s="158">
        <f t="shared" ref="B6:BM6" si="5">IFERROR(LET(team, SUBSTITUTE(SUBSTITUTE(SUBSTITUTE(B$1," PF","")," PA",""),"WSH","WAS"), isPF, RIGHT(B$1,2)="PF", awayMatch, team &amp; " @*", homeMatch, "*@ " &amp; team, awayScore, SUMIF(INDIRECT("'" &amp; $A6 &amp; "'!$B:$B"), awayMatch, INDIRECT("'" &amp; $A6 &amp; "'!$E:$E")), homeScore, SUMIF(INDIRECT("'" &amp; $A6 &amp; "'!$B:$B"), homeMatch, INDIRECT("'" &amp; $A6 &amp; "'!$F:$F")), awayPA, SUMIF(INDIRECT("'" &amp; $A6 &amp; "'!$B:$B"), awayMatch, INDIRECT("'" &amp; $A6 &amp; "'!$F:$F")), homePA, SUMIF(INDIRECT("'" &amp; $A6 &amp; "'!$B:$B"), homeMatch, INDIRECT("'" &amp; $A6 &amp; "'!$E:$E")), IF(isPF, awayScore + homeScore, awayPA + homePA)), 0)</f>
        <v>0</v>
      </c>
      <c r="C6" s="158">
        <f t="shared" si="5"/>
        <v>0</v>
      </c>
      <c r="D6" s="158">
        <f t="shared" si="5"/>
        <v>17</v>
      </c>
      <c r="E6" s="158">
        <f t="shared" si="5"/>
        <v>21</v>
      </c>
      <c r="F6" s="158">
        <f t="shared" si="5"/>
        <v>27</v>
      </c>
      <c r="G6" s="158">
        <f t="shared" si="5"/>
        <v>24</v>
      </c>
      <c r="H6" s="158">
        <f t="shared" si="5"/>
        <v>24</v>
      </c>
      <c r="I6" s="158">
        <f t="shared" si="5"/>
        <v>27</v>
      </c>
      <c r="J6" s="158">
        <f t="shared" si="5"/>
        <v>17</v>
      </c>
      <c r="K6" s="158">
        <f t="shared" si="5"/>
        <v>20</v>
      </c>
      <c r="L6" s="158">
        <f t="shared" si="5"/>
        <v>21</v>
      </c>
      <c r="M6" s="158">
        <f t="shared" si="5"/>
        <v>24</v>
      </c>
      <c r="N6" s="158">
        <f t="shared" si="5"/>
        <v>21</v>
      </c>
      <c r="O6" s="158">
        <f t="shared" si="5"/>
        <v>28</v>
      </c>
      <c r="P6" s="158">
        <f t="shared" si="5"/>
        <v>21</v>
      </c>
      <c r="Q6" s="158">
        <f t="shared" si="5"/>
        <v>17</v>
      </c>
      <c r="R6" s="158">
        <f t="shared" si="5"/>
        <v>17</v>
      </c>
      <c r="S6" s="158">
        <f t="shared" si="5"/>
        <v>21</v>
      </c>
      <c r="T6" s="158">
        <f t="shared" si="5"/>
        <v>28</v>
      </c>
      <c r="U6" s="158">
        <f t="shared" si="5"/>
        <v>21</v>
      </c>
      <c r="V6" s="160">
        <f t="shared" si="5"/>
        <v>17</v>
      </c>
      <c r="W6" s="160">
        <f t="shared" si="5"/>
        <v>20</v>
      </c>
      <c r="X6" s="158">
        <f t="shared" si="5"/>
        <v>24</v>
      </c>
      <c r="Y6" s="158">
        <f t="shared" si="5"/>
        <v>21</v>
      </c>
      <c r="Z6" s="158">
        <f t="shared" si="5"/>
        <v>21</v>
      </c>
      <c r="AA6" s="158">
        <f t="shared" si="5"/>
        <v>17</v>
      </c>
      <c r="AB6" s="158">
        <f t="shared" si="5"/>
        <v>14</v>
      </c>
      <c r="AC6" s="158">
        <f t="shared" si="5"/>
        <v>10</v>
      </c>
      <c r="AD6" s="158">
        <f t="shared" si="5"/>
        <v>20</v>
      </c>
      <c r="AE6" s="158">
        <f t="shared" si="5"/>
        <v>17</v>
      </c>
      <c r="AF6" s="158">
        <f t="shared" si="5"/>
        <v>17</v>
      </c>
      <c r="AG6" s="158">
        <f t="shared" si="5"/>
        <v>21</v>
      </c>
      <c r="AH6" s="158">
        <f t="shared" si="5"/>
        <v>17</v>
      </c>
      <c r="AI6" s="158">
        <f t="shared" si="5"/>
        <v>21</v>
      </c>
      <c r="AJ6" s="158">
        <f t="shared" si="5"/>
        <v>20</v>
      </c>
      <c r="AK6" s="158">
        <f t="shared" si="5"/>
        <v>17</v>
      </c>
      <c r="AL6" s="158">
        <f t="shared" si="5"/>
        <v>21</v>
      </c>
      <c r="AM6" s="158">
        <f t="shared" si="5"/>
        <v>17</v>
      </c>
      <c r="AN6" s="158">
        <f t="shared" si="5"/>
        <v>24</v>
      </c>
      <c r="AO6" s="158">
        <f t="shared" si="5"/>
        <v>27</v>
      </c>
      <c r="AP6" s="158">
        <f t="shared" si="5"/>
        <v>24</v>
      </c>
      <c r="AQ6" s="158">
        <f t="shared" si="5"/>
        <v>21</v>
      </c>
      <c r="AR6" s="158">
        <f t="shared" si="5"/>
        <v>10</v>
      </c>
      <c r="AS6" s="158">
        <f t="shared" si="5"/>
        <v>14</v>
      </c>
      <c r="AT6" s="158">
        <f t="shared" si="5"/>
        <v>14</v>
      </c>
      <c r="AU6" s="158">
        <f t="shared" si="5"/>
        <v>20</v>
      </c>
      <c r="AV6" s="158">
        <f t="shared" si="5"/>
        <v>0</v>
      </c>
      <c r="AW6" s="158">
        <f t="shared" si="5"/>
        <v>0</v>
      </c>
      <c r="AX6" s="158">
        <f t="shared" si="5"/>
        <v>27</v>
      </c>
      <c r="AY6" s="158">
        <f t="shared" si="5"/>
        <v>24</v>
      </c>
      <c r="AZ6" s="160">
        <f t="shared" si="5"/>
        <v>20</v>
      </c>
      <c r="BA6" s="160">
        <f t="shared" si="5"/>
        <v>17</v>
      </c>
      <c r="BB6" s="158">
        <f t="shared" si="5"/>
        <v>20</v>
      </c>
      <c r="BC6" s="158">
        <f t="shared" si="5"/>
        <v>17</v>
      </c>
      <c r="BD6" s="160">
        <f t="shared" si="5"/>
        <v>17</v>
      </c>
      <c r="BE6" s="160">
        <f t="shared" si="5"/>
        <v>20</v>
      </c>
      <c r="BF6" s="158">
        <f t="shared" si="5"/>
        <v>21</v>
      </c>
      <c r="BG6" s="158">
        <f t="shared" si="5"/>
        <v>24</v>
      </c>
      <c r="BH6" s="158">
        <f t="shared" si="5"/>
        <v>17</v>
      </c>
      <c r="BI6" s="158">
        <f t="shared" si="5"/>
        <v>20</v>
      </c>
      <c r="BJ6" s="160">
        <f t="shared" si="5"/>
        <v>21</v>
      </c>
      <c r="BK6" s="160">
        <f t="shared" si="5"/>
        <v>17</v>
      </c>
      <c r="BL6" s="158">
        <f t="shared" si="5"/>
        <v>0</v>
      </c>
      <c r="BM6" s="158">
        <f t="shared" si="5"/>
        <v>0</v>
      </c>
    </row>
    <row r="7">
      <c r="A7" s="157" t="s">
        <v>156</v>
      </c>
      <c r="B7" s="158">
        <f t="shared" ref="B7:BM7" si="6">IFERROR(LET(team, SUBSTITUTE(SUBSTITUTE(SUBSTITUTE(B$1," PF","")," PA",""),"WSH","WAS"), isPF, RIGHT(B$1,2)="PF", awayMatch, team &amp; " @*", homeMatch, "*@ " &amp; team, awayScore, SUMIF(INDIRECT("'" &amp; $A7 &amp; "'!$B:$B"), awayMatch, INDIRECT("'" &amp; $A7 &amp; "'!$E:$E")), homeScore, SUMIF(INDIRECT("'" &amp; $A7 &amp; "'!$B:$B"), homeMatch, INDIRECT("'" &amp; $A7 &amp; "'!$F:$F")), awayPA, SUMIF(INDIRECT("'" &amp; $A7 &amp; "'!$B:$B"), awayMatch, INDIRECT("'" &amp; $A7 &amp; "'!$F:$F")), homePA, SUMIF(INDIRECT("'" &amp; $A7 &amp; "'!$B:$B"), homeMatch, INDIRECT("'" &amp; $A7 &amp; "'!$E:$E")), IF(isPF, awayScore + homeScore, awayPA + homePA)), 0)</f>
        <v>24</v>
      </c>
      <c r="C7" s="158">
        <f t="shared" si="6"/>
        <v>21</v>
      </c>
      <c r="D7" s="158">
        <f t="shared" si="6"/>
        <v>21</v>
      </c>
      <c r="E7" s="158">
        <f t="shared" si="6"/>
        <v>28</v>
      </c>
      <c r="F7" s="158">
        <f t="shared" si="6"/>
        <v>27</v>
      </c>
      <c r="G7" s="158">
        <f t="shared" si="6"/>
        <v>24</v>
      </c>
      <c r="H7" s="158">
        <f t="shared" si="6"/>
        <v>21</v>
      </c>
      <c r="I7" s="158">
        <f t="shared" si="6"/>
        <v>24</v>
      </c>
      <c r="J7" s="158">
        <f t="shared" si="6"/>
        <v>28</v>
      </c>
      <c r="K7" s="158">
        <f t="shared" si="6"/>
        <v>21</v>
      </c>
      <c r="L7" s="158">
        <f t="shared" si="6"/>
        <v>0</v>
      </c>
      <c r="M7" s="158">
        <f t="shared" si="6"/>
        <v>0</v>
      </c>
      <c r="N7" s="158">
        <f t="shared" si="6"/>
        <v>21</v>
      </c>
      <c r="O7" s="158">
        <f t="shared" si="6"/>
        <v>17</v>
      </c>
      <c r="P7" s="158">
        <f t="shared" si="6"/>
        <v>17</v>
      </c>
      <c r="Q7" s="158">
        <f t="shared" si="6"/>
        <v>21</v>
      </c>
      <c r="R7" s="158">
        <f t="shared" si="6"/>
        <v>24</v>
      </c>
      <c r="S7" s="158">
        <f t="shared" si="6"/>
        <v>21</v>
      </c>
      <c r="T7" s="158">
        <f t="shared" si="6"/>
        <v>21</v>
      </c>
      <c r="U7" s="158">
        <f t="shared" si="6"/>
        <v>24</v>
      </c>
      <c r="V7" s="158">
        <f t="shared" si="6"/>
        <v>21</v>
      </c>
      <c r="W7" s="158">
        <f t="shared" si="6"/>
        <v>24</v>
      </c>
      <c r="X7" s="158">
        <f t="shared" si="6"/>
        <v>0</v>
      </c>
      <c r="Y7" s="158">
        <f t="shared" si="6"/>
        <v>0</v>
      </c>
      <c r="Z7" s="160">
        <f t="shared" si="6"/>
        <v>24</v>
      </c>
      <c r="AA7" s="160">
        <f t="shared" si="6"/>
        <v>21</v>
      </c>
      <c r="AB7" s="158">
        <f t="shared" si="6"/>
        <v>21</v>
      </c>
      <c r="AC7" s="158">
        <f t="shared" si="6"/>
        <v>24</v>
      </c>
      <c r="AD7" s="158">
        <f t="shared" si="6"/>
        <v>28</v>
      </c>
      <c r="AE7" s="158">
        <f t="shared" si="6"/>
        <v>21</v>
      </c>
      <c r="AF7" s="158">
        <f t="shared" si="6"/>
        <v>21</v>
      </c>
      <c r="AG7" s="158">
        <f t="shared" si="6"/>
        <v>28</v>
      </c>
      <c r="AH7" s="158">
        <f t="shared" si="6"/>
        <v>20</v>
      </c>
      <c r="AI7" s="158">
        <f t="shared" si="6"/>
        <v>23</v>
      </c>
      <c r="AJ7" s="158">
        <f t="shared" si="6"/>
        <v>21</v>
      </c>
      <c r="AK7" s="158">
        <f t="shared" si="6"/>
        <v>17</v>
      </c>
      <c r="AL7" s="158">
        <f t="shared" si="6"/>
        <v>24</v>
      </c>
      <c r="AM7" s="158">
        <f t="shared" si="6"/>
        <v>27</v>
      </c>
      <c r="AN7" s="158">
        <f t="shared" si="6"/>
        <v>17</v>
      </c>
      <c r="AO7" s="158">
        <f t="shared" si="6"/>
        <v>21</v>
      </c>
      <c r="AP7" s="158">
        <f t="shared" si="6"/>
        <v>28</v>
      </c>
      <c r="AQ7" s="158">
        <f t="shared" si="6"/>
        <v>21</v>
      </c>
      <c r="AR7" s="158">
        <f t="shared" si="6"/>
        <v>20</v>
      </c>
      <c r="AS7" s="158">
        <f t="shared" si="6"/>
        <v>14</v>
      </c>
      <c r="AT7" s="158">
        <f t="shared" si="6"/>
        <v>14</v>
      </c>
      <c r="AU7" s="158">
        <f t="shared" si="6"/>
        <v>17</v>
      </c>
      <c r="AV7" s="158">
        <f t="shared" si="6"/>
        <v>0</v>
      </c>
      <c r="AW7" s="158">
        <f t="shared" si="6"/>
        <v>0</v>
      </c>
      <c r="AX7" s="158">
        <f t="shared" si="6"/>
        <v>0</v>
      </c>
      <c r="AY7" s="158">
        <f t="shared" si="6"/>
        <v>0</v>
      </c>
      <c r="AZ7" s="158">
        <f t="shared" si="6"/>
        <v>21</v>
      </c>
      <c r="BA7" s="158">
        <f t="shared" si="6"/>
        <v>28</v>
      </c>
      <c r="BB7" s="160">
        <f t="shared" si="6"/>
        <v>0</v>
      </c>
      <c r="BC7" s="160">
        <f t="shared" si="6"/>
        <v>0</v>
      </c>
      <c r="BD7" s="158">
        <f t="shared" si="6"/>
        <v>31</v>
      </c>
      <c r="BE7" s="158">
        <f t="shared" si="6"/>
        <v>24</v>
      </c>
      <c r="BF7" s="158">
        <f t="shared" si="6"/>
        <v>24</v>
      </c>
      <c r="BG7" s="158">
        <f t="shared" si="6"/>
        <v>21</v>
      </c>
      <c r="BH7" s="158">
        <f t="shared" si="6"/>
        <v>17</v>
      </c>
      <c r="BI7" s="158">
        <f t="shared" si="6"/>
        <v>14</v>
      </c>
      <c r="BJ7" s="158">
        <f t="shared" si="6"/>
        <v>24</v>
      </c>
      <c r="BK7" s="158">
        <f t="shared" si="6"/>
        <v>31</v>
      </c>
      <c r="BL7" s="158">
        <f t="shared" si="6"/>
        <v>14</v>
      </c>
      <c r="BM7" s="158">
        <f t="shared" si="6"/>
        <v>20</v>
      </c>
    </row>
    <row r="8">
      <c r="A8" s="157" t="s">
        <v>159</v>
      </c>
      <c r="B8" s="158">
        <f t="shared" ref="B8:BM8" si="7">IFERROR(LET(team, SUBSTITUTE(SUBSTITUTE(SUBSTITUTE(B$1," PF","")," PA",""),"WSH","WAS"), isPF, RIGHT(B$1,2)="PF", awayMatch, team &amp; " @*", homeMatch, "*@ " &amp; team, awayScore, SUMIF(INDIRECT("'" &amp; $A8 &amp; "'!$B:$B"), awayMatch, INDIRECT("'" &amp; $A8 &amp; "'!$E:$E")), homeScore, SUMIF(INDIRECT("'" &amp; $A8 &amp; "'!$B:$B"), homeMatch, INDIRECT("'" &amp; $A8 &amp; "'!$F:$F")), awayPA, SUMIF(INDIRECT("'" &amp; $A8 &amp; "'!$B:$B"), awayMatch, INDIRECT("'" &amp; $A8 &amp; "'!$F:$F")), homePA, SUMIF(INDIRECT("'" &amp; $A8 &amp; "'!$B:$B"), homeMatch, INDIRECT("'" &amp; $A8 &amp; "'!$E:$E")), IF(isPF, awayScore + homeScore, awayPA + homePA)), 0)</f>
        <v>24</v>
      </c>
      <c r="C8" s="158">
        <f t="shared" si="7"/>
        <v>27</v>
      </c>
      <c r="D8" s="158">
        <f t="shared" si="7"/>
        <v>17</v>
      </c>
      <c r="E8" s="158">
        <f t="shared" si="7"/>
        <v>21</v>
      </c>
      <c r="F8" s="158">
        <f t="shared" si="7"/>
        <v>20</v>
      </c>
      <c r="G8" s="158">
        <f t="shared" si="7"/>
        <v>17</v>
      </c>
      <c r="H8" s="158">
        <f t="shared" si="7"/>
        <v>0</v>
      </c>
      <c r="I8" s="158">
        <f t="shared" si="7"/>
        <v>0</v>
      </c>
      <c r="J8" s="160">
        <f t="shared" si="7"/>
        <v>0</v>
      </c>
      <c r="K8" s="160">
        <f t="shared" si="7"/>
        <v>0</v>
      </c>
      <c r="L8" s="158">
        <f t="shared" si="7"/>
        <v>20</v>
      </c>
      <c r="M8" s="158">
        <f t="shared" si="7"/>
        <v>17</v>
      </c>
      <c r="N8" s="158">
        <f t="shared" si="7"/>
        <v>17</v>
      </c>
      <c r="O8" s="158">
        <f t="shared" si="7"/>
        <v>20</v>
      </c>
      <c r="P8" s="158">
        <f t="shared" si="7"/>
        <v>24</v>
      </c>
      <c r="Q8" s="158">
        <f t="shared" si="7"/>
        <v>21</v>
      </c>
      <c r="R8" s="160">
        <f t="shared" si="7"/>
        <v>14</v>
      </c>
      <c r="S8" s="160">
        <f t="shared" si="7"/>
        <v>20</v>
      </c>
      <c r="T8" s="158">
        <f t="shared" si="7"/>
        <v>20</v>
      </c>
      <c r="U8" s="158">
        <f t="shared" si="7"/>
        <v>13</v>
      </c>
      <c r="V8" s="158">
        <f t="shared" si="7"/>
        <v>17</v>
      </c>
      <c r="W8" s="158">
        <f t="shared" si="7"/>
        <v>21</v>
      </c>
      <c r="X8" s="158">
        <f t="shared" si="7"/>
        <v>20</v>
      </c>
      <c r="Y8" s="158">
        <f t="shared" si="7"/>
        <v>14</v>
      </c>
      <c r="Z8" s="158">
        <f t="shared" si="7"/>
        <v>28</v>
      </c>
      <c r="AA8" s="158">
        <f t="shared" si="7"/>
        <v>21</v>
      </c>
      <c r="AB8" s="158">
        <f t="shared" si="7"/>
        <v>0</v>
      </c>
      <c r="AC8" s="158">
        <f t="shared" si="7"/>
        <v>0</v>
      </c>
      <c r="AD8" s="158">
        <f t="shared" si="7"/>
        <v>21</v>
      </c>
      <c r="AE8" s="158">
        <f t="shared" si="7"/>
        <v>28</v>
      </c>
      <c r="AF8" s="158">
        <f t="shared" si="7"/>
        <v>13</v>
      </c>
      <c r="AG8" s="158">
        <f t="shared" si="7"/>
        <v>20</v>
      </c>
      <c r="AH8" s="158">
        <f t="shared" si="7"/>
        <v>23</v>
      </c>
      <c r="AI8" s="158">
        <f t="shared" si="7"/>
        <v>20</v>
      </c>
      <c r="AJ8" s="158">
        <f t="shared" si="7"/>
        <v>21</v>
      </c>
      <c r="AK8" s="158">
        <f t="shared" si="7"/>
        <v>17</v>
      </c>
      <c r="AL8" s="158">
        <f t="shared" si="7"/>
        <v>27</v>
      </c>
      <c r="AM8" s="158">
        <f t="shared" si="7"/>
        <v>24</v>
      </c>
      <c r="AN8" s="158">
        <f t="shared" si="7"/>
        <v>17</v>
      </c>
      <c r="AO8" s="158">
        <f t="shared" si="7"/>
        <v>20</v>
      </c>
      <c r="AP8" s="158">
        <f t="shared" si="7"/>
        <v>20</v>
      </c>
      <c r="AQ8" s="158">
        <f t="shared" si="7"/>
        <v>17</v>
      </c>
      <c r="AR8" s="158">
        <f t="shared" si="7"/>
        <v>17</v>
      </c>
      <c r="AS8" s="158">
        <f t="shared" si="7"/>
        <v>20</v>
      </c>
      <c r="AT8" s="158">
        <f t="shared" si="7"/>
        <v>21</v>
      </c>
      <c r="AU8" s="158">
        <f t="shared" si="7"/>
        <v>28</v>
      </c>
      <c r="AV8" s="158">
        <f t="shared" si="7"/>
        <v>0</v>
      </c>
      <c r="AW8" s="158">
        <f t="shared" si="7"/>
        <v>0</v>
      </c>
      <c r="AX8" s="158">
        <f t="shared" si="7"/>
        <v>21</v>
      </c>
      <c r="AY8" s="158">
        <f t="shared" si="7"/>
        <v>28</v>
      </c>
      <c r="AZ8" s="158">
        <f t="shared" si="7"/>
        <v>28</v>
      </c>
      <c r="BA8" s="158">
        <f t="shared" si="7"/>
        <v>21</v>
      </c>
      <c r="BB8" s="158">
        <f t="shared" si="7"/>
        <v>28</v>
      </c>
      <c r="BC8" s="158">
        <f t="shared" si="7"/>
        <v>21</v>
      </c>
      <c r="BD8" s="158">
        <f t="shared" si="7"/>
        <v>21</v>
      </c>
      <c r="BE8" s="158">
        <f t="shared" si="7"/>
        <v>24</v>
      </c>
      <c r="BF8" s="158">
        <f t="shared" si="7"/>
        <v>14</v>
      </c>
      <c r="BG8" s="158">
        <f t="shared" si="7"/>
        <v>17</v>
      </c>
      <c r="BH8" s="158">
        <f t="shared" si="7"/>
        <v>21</v>
      </c>
      <c r="BI8" s="158">
        <f t="shared" si="7"/>
        <v>17</v>
      </c>
      <c r="BJ8" s="158">
        <f t="shared" si="7"/>
        <v>20</v>
      </c>
      <c r="BK8" s="158">
        <f t="shared" si="7"/>
        <v>23</v>
      </c>
      <c r="BL8" s="158">
        <f t="shared" si="7"/>
        <v>17</v>
      </c>
      <c r="BM8" s="158">
        <f t="shared" si="7"/>
        <v>14</v>
      </c>
    </row>
    <row r="9">
      <c r="A9" s="157" t="s">
        <v>164</v>
      </c>
      <c r="B9" s="158">
        <f t="shared" ref="B9:BM9" si="8">IFERROR(LET(team, SUBSTITUTE(SUBSTITUTE(SUBSTITUTE(B$1," PF","")," PA",""),"WSH","WAS"), isPF, RIGHT(B$1,2)="PF", awayMatch, team &amp; " @*", homeMatch, "*@ " &amp; team, awayScore, SUMIF(INDIRECT("'" &amp; $A9 &amp; "'!$B:$B"), awayMatch, INDIRECT("'" &amp; $A9 &amp; "'!$E:$E")), homeScore, SUMIF(INDIRECT("'" &amp; $A9 &amp; "'!$B:$B"), homeMatch, INDIRECT("'" &amp; $A9 &amp; "'!$F:$F")), awayPA, SUMIF(INDIRECT("'" &amp; $A9 &amp; "'!$B:$B"), awayMatch, INDIRECT("'" &amp; $A9 &amp; "'!$F:$F")), homePA, SUMIF(INDIRECT("'" &amp; $A9 &amp; "'!$B:$B"), homeMatch, INDIRECT("'" &amp; $A9 &amp; "'!$E:$E")), IF(isPF, awayScore + homeScore, awayPA + homePA)), 0)</f>
        <v>20</v>
      </c>
      <c r="C9" s="158">
        <f t="shared" si="8"/>
        <v>23</v>
      </c>
      <c r="D9" s="160">
        <f t="shared" si="8"/>
        <v>23</v>
      </c>
      <c r="E9" s="160">
        <f t="shared" si="8"/>
        <v>20</v>
      </c>
      <c r="F9" s="158">
        <f t="shared" si="8"/>
        <v>23</v>
      </c>
      <c r="G9" s="158">
        <f t="shared" si="8"/>
        <v>20</v>
      </c>
      <c r="H9" s="158">
        <f t="shared" si="8"/>
        <v>14</v>
      </c>
      <c r="I9" s="158">
        <f t="shared" si="8"/>
        <v>20</v>
      </c>
      <c r="J9" s="158">
        <f t="shared" si="8"/>
        <v>31</v>
      </c>
      <c r="K9" s="158">
        <f t="shared" si="8"/>
        <v>24</v>
      </c>
      <c r="L9" s="158">
        <f t="shared" si="8"/>
        <v>14</v>
      </c>
      <c r="M9" s="158">
        <f t="shared" si="8"/>
        <v>17</v>
      </c>
      <c r="N9" s="158">
        <f t="shared" si="8"/>
        <v>20</v>
      </c>
      <c r="O9" s="158">
        <f t="shared" si="8"/>
        <v>23</v>
      </c>
      <c r="P9" s="158">
        <f t="shared" si="8"/>
        <v>17</v>
      </c>
      <c r="Q9" s="158">
        <f t="shared" si="8"/>
        <v>14</v>
      </c>
      <c r="R9" s="158">
        <f t="shared" si="8"/>
        <v>24</v>
      </c>
      <c r="S9" s="158">
        <f t="shared" si="8"/>
        <v>31</v>
      </c>
      <c r="T9" s="158">
        <f t="shared" si="8"/>
        <v>13</v>
      </c>
      <c r="U9" s="158">
        <f t="shared" si="8"/>
        <v>20</v>
      </c>
      <c r="V9" s="158">
        <f t="shared" si="8"/>
        <v>20</v>
      </c>
      <c r="W9" s="158">
        <f t="shared" si="8"/>
        <v>13</v>
      </c>
      <c r="X9" s="158">
        <f t="shared" si="8"/>
        <v>23</v>
      </c>
      <c r="Y9" s="158">
        <f t="shared" si="8"/>
        <v>20</v>
      </c>
      <c r="Z9" s="158">
        <f t="shared" si="8"/>
        <v>0</v>
      </c>
      <c r="AA9" s="158">
        <f t="shared" si="8"/>
        <v>0</v>
      </c>
      <c r="AB9" s="160">
        <f t="shared" si="8"/>
        <v>20</v>
      </c>
      <c r="AC9" s="160">
        <f t="shared" si="8"/>
        <v>14</v>
      </c>
      <c r="AD9" s="158">
        <f t="shared" si="8"/>
        <v>14</v>
      </c>
      <c r="AE9" s="158">
        <f t="shared" si="8"/>
        <v>20</v>
      </c>
      <c r="AF9" s="158">
        <f t="shared" si="8"/>
        <v>20</v>
      </c>
      <c r="AG9" s="158">
        <f t="shared" si="8"/>
        <v>23</v>
      </c>
      <c r="AH9" s="158">
        <f t="shared" si="8"/>
        <v>0</v>
      </c>
      <c r="AI9" s="158">
        <f t="shared" si="8"/>
        <v>0</v>
      </c>
      <c r="AJ9" s="160">
        <f t="shared" si="8"/>
        <v>20</v>
      </c>
      <c r="AK9" s="160">
        <f t="shared" si="8"/>
        <v>14</v>
      </c>
      <c r="AL9" s="160">
        <f t="shared" si="8"/>
        <v>17</v>
      </c>
      <c r="AM9" s="160">
        <f t="shared" si="8"/>
        <v>14</v>
      </c>
      <c r="AN9" s="160">
        <f t="shared" si="8"/>
        <v>20</v>
      </c>
      <c r="AO9" s="160">
        <f t="shared" si="8"/>
        <v>17</v>
      </c>
      <c r="AP9" s="158">
        <f t="shared" si="8"/>
        <v>17</v>
      </c>
      <c r="AQ9" s="158">
        <f t="shared" si="8"/>
        <v>20</v>
      </c>
      <c r="AR9" s="158">
        <f t="shared" si="8"/>
        <v>23</v>
      </c>
      <c r="AS9" s="158">
        <f t="shared" si="8"/>
        <v>20</v>
      </c>
      <c r="AT9" s="158">
        <f t="shared" si="8"/>
        <v>0</v>
      </c>
      <c r="AU9" s="158">
        <f t="shared" si="8"/>
        <v>0</v>
      </c>
      <c r="AV9" s="158">
        <f t="shared" si="8"/>
        <v>0</v>
      </c>
      <c r="AW9" s="158">
        <f t="shared" si="8"/>
        <v>0</v>
      </c>
      <c r="AX9" s="160">
        <f t="shared" si="8"/>
        <v>28</v>
      </c>
      <c r="AY9" s="160">
        <f t="shared" si="8"/>
        <v>21</v>
      </c>
      <c r="AZ9" s="158">
        <f t="shared" si="8"/>
        <v>20</v>
      </c>
      <c r="BA9" s="158">
        <f t="shared" si="8"/>
        <v>17</v>
      </c>
      <c r="BB9" s="158">
        <f t="shared" si="8"/>
        <v>21</v>
      </c>
      <c r="BC9" s="158">
        <f t="shared" si="8"/>
        <v>28</v>
      </c>
      <c r="BD9" s="158">
        <f t="shared" si="8"/>
        <v>14</v>
      </c>
      <c r="BE9" s="158">
        <f t="shared" si="8"/>
        <v>17</v>
      </c>
      <c r="BF9" s="158">
        <f t="shared" si="8"/>
        <v>17</v>
      </c>
      <c r="BG9" s="158">
        <f t="shared" si="8"/>
        <v>14</v>
      </c>
      <c r="BH9" s="158">
        <f t="shared" si="8"/>
        <v>0</v>
      </c>
      <c r="BI9" s="158">
        <f t="shared" si="8"/>
        <v>0</v>
      </c>
      <c r="BJ9" s="158">
        <f t="shared" si="8"/>
        <v>14</v>
      </c>
      <c r="BK9" s="158">
        <f t="shared" si="8"/>
        <v>17</v>
      </c>
      <c r="BL9" s="158">
        <f t="shared" si="8"/>
        <v>17</v>
      </c>
      <c r="BM9" s="158">
        <f t="shared" si="8"/>
        <v>20</v>
      </c>
    </row>
    <row r="10">
      <c r="A10" s="157" t="s">
        <v>170</v>
      </c>
      <c r="B10" s="158">
        <f t="shared" ref="B10:BM10" si="9">IFERROR(LET(team, SUBSTITUTE(SUBSTITUTE(SUBSTITUTE(B$1," PF","")," PA",""),"WSH","WAS"), isPF, RIGHT(B$1,2)="PF", awayMatch, team &amp; " @*", homeMatch, "*@ " &amp; team, awayScore, SUMIF(INDIRECT("'" &amp; $A10 &amp; "'!$B:$B"), awayMatch, INDIRECT("'" &amp; $A10 &amp; "'!$E:$E")), homeScore, SUMIF(INDIRECT("'" &amp; $A10 &amp; "'!$B:$B"), homeMatch, INDIRECT("'" &amp; $A10 &amp; "'!$F:$F")), awayPA, SUMIF(INDIRECT("'" &amp; $A10 &amp; "'!$B:$B"), awayMatch, INDIRECT("'" &amp; $A10 &amp; "'!$F:$F")), homePA, SUMIF(INDIRECT("'" &amp; $A10 &amp; "'!$B:$B"), homeMatch, INDIRECT("'" &amp; $A10 &amp; "'!$E:$E")), IF(isPF, awayScore + homeScore, awayPA + homePA)), 0)</f>
        <v>20</v>
      </c>
      <c r="C10" s="158">
        <f t="shared" si="9"/>
        <v>17</v>
      </c>
      <c r="D10" s="158">
        <f t="shared" si="9"/>
        <v>10</v>
      </c>
      <c r="E10" s="158">
        <f t="shared" si="9"/>
        <v>14</v>
      </c>
      <c r="F10" s="158">
        <f t="shared" si="9"/>
        <v>24</v>
      </c>
      <c r="G10" s="158">
        <f t="shared" si="9"/>
        <v>21</v>
      </c>
      <c r="H10" s="158">
        <f t="shared" si="9"/>
        <v>24</v>
      </c>
      <c r="I10" s="158">
        <f t="shared" si="9"/>
        <v>21</v>
      </c>
      <c r="J10" s="158">
        <f t="shared" si="9"/>
        <v>28</v>
      </c>
      <c r="K10" s="158">
        <f t="shared" si="9"/>
        <v>21</v>
      </c>
      <c r="L10" s="158">
        <f t="shared" si="9"/>
        <v>21</v>
      </c>
      <c r="M10" s="158">
        <f t="shared" si="9"/>
        <v>24</v>
      </c>
      <c r="N10" s="160">
        <f t="shared" si="9"/>
        <v>17</v>
      </c>
      <c r="O10" s="160">
        <f t="shared" si="9"/>
        <v>20</v>
      </c>
      <c r="P10" s="158">
        <f t="shared" si="9"/>
        <v>24</v>
      </c>
      <c r="Q10" s="158">
        <f t="shared" si="9"/>
        <v>21</v>
      </c>
      <c r="R10" s="158">
        <f t="shared" si="9"/>
        <v>14</v>
      </c>
      <c r="S10" s="158">
        <f t="shared" si="9"/>
        <v>10</v>
      </c>
      <c r="T10" s="160">
        <f t="shared" si="9"/>
        <v>14</v>
      </c>
      <c r="U10" s="160">
        <f t="shared" si="9"/>
        <v>17</v>
      </c>
      <c r="V10" s="158">
        <f t="shared" si="9"/>
        <v>0</v>
      </c>
      <c r="W10" s="158">
        <f t="shared" si="9"/>
        <v>0</v>
      </c>
      <c r="X10" s="158">
        <f t="shared" si="9"/>
        <v>21</v>
      </c>
      <c r="Y10" s="158">
        <f t="shared" si="9"/>
        <v>28</v>
      </c>
      <c r="Z10" s="158">
        <f t="shared" si="9"/>
        <v>21</v>
      </c>
      <c r="AA10" s="158">
        <f t="shared" si="9"/>
        <v>24</v>
      </c>
      <c r="AB10" s="158">
        <f t="shared" si="9"/>
        <v>10</v>
      </c>
      <c r="AC10" s="158">
        <f t="shared" si="9"/>
        <v>14</v>
      </c>
      <c r="AD10" s="158">
        <f t="shared" si="9"/>
        <v>23</v>
      </c>
      <c r="AE10" s="158">
        <f t="shared" si="9"/>
        <v>20</v>
      </c>
      <c r="AF10" s="158">
        <f t="shared" si="9"/>
        <v>0</v>
      </c>
      <c r="AG10" s="158">
        <f t="shared" si="9"/>
        <v>0</v>
      </c>
      <c r="AH10" s="158">
        <f t="shared" si="9"/>
        <v>14</v>
      </c>
      <c r="AI10" s="158">
        <f t="shared" si="9"/>
        <v>10</v>
      </c>
      <c r="AJ10" s="158">
        <f t="shared" si="9"/>
        <v>14</v>
      </c>
      <c r="AK10" s="158">
        <f t="shared" si="9"/>
        <v>10</v>
      </c>
      <c r="AL10" s="158">
        <f t="shared" si="9"/>
        <v>20</v>
      </c>
      <c r="AM10" s="158">
        <f t="shared" si="9"/>
        <v>14</v>
      </c>
      <c r="AN10" s="158">
        <f t="shared" si="9"/>
        <v>14</v>
      </c>
      <c r="AO10" s="158">
        <f t="shared" si="9"/>
        <v>20</v>
      </c>
      <c r="AP10" s="158">
        <f t="shared" si="9"/>
        <v>20</v>
      </c>
      <c r="AQ10" s="158">
        <f t="shared" si="9"/>
        <v>23</v>
      </c>
      <c r="AR10" s="160">
        <f t="shared" si="9"/>
        <v>20</v>
      </c>
      <c r="AS10" s="160">
        <f t="shared" si="9"/>
        <v>17</v>
      </c>
      <c r="AT10" s="158">
        <f t="shared" si="9"/>
        <v>17</v>
      </c>
      <c r="AU10" s="158">
        <f t="shared" si="9"/>
        <v>20</v>
      </c>
      <c r="AV10" s="158">
        <f t="shared" si="9"/>
        <v>0</v>
      </c>
      <c r="AW10" s="158">
        <f t="shared" si="9"/>
        <v>0</v>
      </c>
      <c r="AX10" s="158">
        <f t="shared" si="9"/>
        <v>24</v>
      </c>
      <c r="AY10" s="158">
        <f t="shared" si="9"/>
        <v>21</v>
      </c>
      <c r="AZ10" s="158">
        <f t="shared" si="9"/>
        <v>21</v>
      </c>
      <c r="BA10" s="158">
        <f t="shared" si="9"/>
        <v>24</v>
      </c>
      <c r="BB10" s="158">
        <f t="shared" si="9"/>
        <v>21</v>
      </c>
      <c r="BC10" s="158">
        <f t="shared" si="9"/>
        <v>28</v>
      </c>
      <c r="BD10" s="158">
        <f t="shared" si="9"/>
        <v>31</v>
      </c>
      <c r="BE10" s="158">
        <f t="shared" si="9"/>
        <v>24</v>
      </c>
      <c r="BF10" s="160">
        <f t="shared" si="9"/>
        <v>24</v>
      </c>
      <c r="BG10" s="160">
        <f t="shared" si="9"/>
        <v>31</v>
      </c>
      <c r="BH10" s="158">
        <f t="shared" si="9"/>
        <v>17</v>
      </c>
      <c r="BI10" s="158">
        <f t="shared" si="9"/>
        <v>14</v>
      </c>
      <c r="BJ10" s="158">
        <f t="shared" si="9"/>
        <v>28</v>
      </c>
      <c r="BK10" s="158">
        <f t="shared" si="9"/>
        <v>21</v>
      </c>
      <c r="BL10" s="158">
        <f t="shared" si="9"/>
        <v>21</v>
      </c>
      <c r="BM10" s="158">
        <f t="shared" si="9"/>
        <v>24</v>
      </c>
    </row>
    <row r="11">
      <c r="A11" s="157" t="s">
        <v>175</v>
      </c>
      <c r="B11" s="160">
        <f t="shared" ref="B11:BM11" si="10">IFERROR(LET(team, SUBSTITUTE(SUBSTITUTE(SUBSTITUTE(B$1," PF","")," PA",""),"WSH","WAS"), isPF, RIGHT(B$1,2)="PF", awayMatch, team &amp; " @*", homeMatch, "*@ " &amp; team, awayScore, SUMIF(INDIRECT("'" &amp; $A11 &amp; "'!$B:$B"), awayMatch, INDIRECT("'" &amp; $A11 &amp; "'!$E:$E")), homeScore, SUMIF(INDIRECT("'" &amp; $A11 &amp; "'!$B:$B"), homeMatch, INDIRECT("'" &amp; $A11 &amp; "'!$F:$F")), awayPA, SUMIF(INDIRECT("'" &amp; $A11 &amp; "'!$B:$B"), awayMatch, INDIRECT("'" &amp; $A11 &amp; "'!$F:$F")), homePA, SUMIF(INDIRECT("'" &amp; $A11 &amp; "'!$B:$B"), homeMatch, INDIRECT("'" &amp; $A11 &amp; "'!$E:$E")), IF(isPF, awayScore + homeScore, awayPA + homePA)), 0)</f>
        <v>28</v>
      </c>
      <c r="C11" s="160">
        <f t="shared" si="10"/>
        <v>21</v>
      </c>
      <c r="D11" s="158">
        <f t="shared" si="10"/>
        <v>31</v>
      </c>
      <c r="E11" s="158">
        <f t="shared" si="10"/>
        <v>24</v>
      </c>
      <c r="F11" s="158">
        <f t="shared" si="10"/>
        <v>0</v>
      </c>
      <c r="G11" s="158">
        <f t="shared" si="10"/>
        <v>0</v>
      </c>
      <c r="H11" s="158">
        <f t="shared" si="10"/>
        <v>10</v>
      </c>
      <c r="I11" s="158">
        <f t="shared" si="10"/>
        <v>14</v>
      </c>
      <c r="J11" s="158">
        <f t="shared" si="10"/>
        <v>21</v>
      </c>
      <c r="K11" s="158">
        <f t="shared" si="10"/>
        <v>28</v>
      </c>
      <c r="L11" s="158">
        <f t="shared" si="10"/>
        <v>20</v>
      </c>
      <c r="M11" s="158">
        <f t="shared" si="10"/>
        <v>14</v>
      </c>
      <c r="N11" s="158">
        <f t="shared" si="10"/>
        <v>28</v>
      </c>
      <c r="O11" s="158">
        <f t="shared" si="10"/>
        <v>21</v>
      </c>
      <c r="P11" s="158">
        <f t="shared" si="10"/>
        <v>21</v>
      </c>
      <c r="Q11" s="158">
        <f t="shared" si="10"/>
        <v>17</v>
      </c>
      <c r="R11" s="158">
        <f t="shared" si="10"/>
        <v>14</v>
      </c>
      <c r="S11" s="158">
        <f t="shared" si="10"/>
        <v>10</v>
      </c>
      <c r="T11" s="158">
        <f t="shared" si="10"/>
        <v>27</v>
      </c>
      <c r="U11" s="158">
        <f t="shared" si="10"/>
        <v>24</v>
      </c>
      <c r="V11" s="158">
        <f t="shared" si="10"/>
        <v>13</v>
      </c>
      <c r="W11" s="158">
        <f t="shared" si="10"/>
        <v>20</v>
      </c>
      <c r="X11" s="160">
        <f t="shared" si="10"/>
        <v>20</v>
      </c>
      <c r="Y11" s="160">
        <f t="shared" si="10"/>
        <v>13</v>
      </c>
      <c r="Z11" s="158">
        <f t="shared" si="10"/>
        <v>24</v>
      </c>
      <c r="AA11" s="158">
        <f t="shared" si="10"/>
        <v>27</v>
      </c>
      <c r="AB11" s="158">
        <f t="shared" si="10"/>
        <v>24</v>
      </c>
      <c r="AC11" s="158">
        <f t="shared" si="10"/>
        <v>21</v>
      </c>
      <c r="AD11" s="158">
        <f t="shared" si="10"/>
        <v>14</v>
      </c>
      <c r="AE11" s="158">
        <f t="shared" si="10"/>
        <v>20</v>
      </c>
      <c r="AF11" s="160">
        <f t="shared" si="10"/>
        <v>21</v>
      </c>
      <c r="AG11" s="160">
        <f t="shared" si="10"/>
        <v>24</v>
      </c>
      <c r="AH11" s="158">
        <f t="shared" si="10"/>
        <v>21</v>
      </c>
      <c r="AI11" s="158">
        <f t="shared" si="10"/>
        <v>24</v>
      </c>
      <c r="AJ11" s="158">
        <f t="shared" si="10"/>
        <v>20</v>
      </c>
      <c r="AK11" s="158">
        <f t="shared" si="10"/>
        <v>23</v>
      </c>
      <c r="AL11" s="158">
        <f t="shared" si="10"/>
        <v>24</v>
      </c>
      <c r="AM11" s="158">
        <f t="shared" si="10"/>
        <v>31</v>
      </c>
      <c r="AN11" s="158">
        <f t="shared" si="10"/>
        <v>23</v>
      </c>
      <c r="AO11" s="158">
        <f t="shared" si="10"/>
        <v>20</v>
      </c>
      <c r="AP11" s="160">
        <f t="shared" si="10"/>
        <v>24</v>
      </c>
      <c r="AQ11" s="160">
        <f t="shared" si="10"/>
        <v>21</v>
      </c>
      <c r="AR11" s="158">
        <f t="shared" si="10"/>
        <v>0</v>
      </c>
      <c r="AS11" s="158">
        <f t="shared" si="10"/>
        <v>0</v>
      </c>
      <c r="AT11" s="158">
        <f t="shared" si="10"/>
        <v>10</v>
      </c>
      <c r="AU11" s="158">
        <f t="shared" si="10"/>
        <v>14</v>
      </c>
      <c r="AV11" s="158">
        <f t="shared" si="10"/>
        <v>0</v>
      </c>
      <c r="AW11" s="158">
        <f t="shared" si="10"/>
        <v>0</v>
      </c>
      <c r="AX11" s="158">
        <f t="shared" si="10"/>
        <v>17</v>
      </c>
      <c r="AY11" s="158">
        <f t="shared" si="10"/>
        <v>21</v>
      </c>
      <c r="AZ11" s="158">
        <f t="shared" si="10"/>
        <v>24</v>
      </c>
      <c r="BA11" s="158">
        <f t="shared" si="10"/>
        <v>21</v>
      </c>
      <c r="BB11" s="158">
        <f t="shared" si="10"/>
        <v>21</v>
      </c>
      <c r="BC11" s="158">
        <f t="shared" si="10"/>
        <v>24</v>
      </c>
      <c r="BD11" s="158">
        <f t="shared" si="10"/>
        <v>0</v>
      </c>
      <c r="BE11" s="158">
        <f t="shared" si="10"/>
        <v>0</v>
      </c>
      <c r="BF11" s="158">
        <f t="shared" si="10"/>
        <v>0</v>
      </c>
      <c r="BG11" s="158">
        <f t="shared" si="10"/>
        <v>0</v>
      </c>
      <c r="BH11" s="158">
        <f t="shared" si="10"/>
        <v>14</v>
      </c>
      <c r="BI11" s="158">
        <f t="shared" si="10"/>
        <v>10</v>
      </c>
      <c r="BJ11" s="158">
        <f t="shared" si="10"/>
        <v>21</v>
      </c>
      <c r="BK11" s="158">
        <f t="shared" si="10"/>
        <v>28</v>
      </c>
      <c r="BL11" s="158">
        <f t="shared" si="10"/>
        <v>10</v>
      </c>
      <c r="BM11" s="158">
        <f t="shared" si="10"/>
        <v>14</v>
      </c>
    </row>
    <row r="12">
      <c r="A12" s="157" t="s">
        <v>179</v>
      </c>
      <c r="B12" s="158">
        <f t="shared" ref="B12:BM12" si="11">IFERROR(LET(team, SUBSTITUTE(SUBSTITUTE(SUBSTITUTE(B$1," PF","")," PA",""),"WSH","WAS"), isPF, RIGHT(B$1,2)="PF", awayMatch, team &amp; " @*", homeMatch, "*@ " &amp; team, awayScore, SUMIF(INDIRECT("'" &amp; $A12 &amp; "'!$B:$B"), awayMatch, INDIRECT("'" &amp; $A12 &amp; "'!$E:$E")), homeScore, SUMIF(INDIRECT("'" &amp; $A12 &amp; "'!$B:$B"), homeMatch, INDIRECT("'" &amp; $A12 &amp; "'!$F:$F")), awayPA, SUMIF(INDIRECT("'" &amp; $A12 &amp; "'!$B:$B"), awayMatch, INDIRECT("'" &amp; $A12 &amp; "'!$F:$F")), homePA, SUMIF(INDIRECT("'" &amp; $A12 &amp; "'!$B:$B"), homeMatch, INDIRECT("'" &amp; $A12 &amp; "'!$E:$E")), IF(isPF, awayScore + homeScore, awayPA + homePA)), 0)</f>
        <v>20</v>
      </c>
      <c r="C12" s="158">
        <f t="shared" si="11"/>
        <v>13</v>
      </c>
      <c r="D12" s="158">
        <f t="shared" si="11"/>
        <v>14</v>
      </c>
      <c r="E12" s="158">
        <f t="shared" si="11"/>
        <v>17</v>
      </c>
      <c r="F12" s="158">
        <f t="shared" si="11"/>
        <v>17</v>
      </c>
      <c r="G12" s="158">
        <f t="shared" si="11"/>
        <v>14</v>
      </c>
      <c r="H12" s="158">
        <f t="shared" si="11"/>
        <v>20</v>
      </c>
      <c r="I12" s="158">
        <f t="shared" si="11"/>
        <v>17</v>
      </c>
      <c r="J12" s="158">
        <f t="shared" si="11"/>
        <v>20</v>
      </c>
      <c r="K12" s="158">
        <f t="shared" si="11"/>
        <v>14</v>
      </c>
      <c r="L12" s="158">
        <f t="shared" si="11"/>
        <v>14</v>
      </c>
      <c r="M12" s="158">
        <f t="shared" si="11"/>
        <v>20</v>
      </c>
      <c r="N12" s="158">
        <f t="shared" si="11"/>
        <v>17</v>
      </c>
      <c r="O12" s="158">
        <f t="shared" si="11"/>
        <v>20</v>
      </c>
      <c r="P12" s="158">
        <f t="shared" si="11"/>
        <v>0</v>
      </c>
      <c r="Q12" s="158">
        <f t="shared" si="11"/>
        <v>0</v>
      </c>
      <c r="R12" s="158">
        <f t="shared" si="11"/>
        <v>24</v>
      </c>
      <c r="S12" s="158">
        <f t="shared" si="11"/>
        <v>27</v>
      </c>
      <c r="T12" s="158">
        <f t="shared" si="11"/>
        <v>0</v>
      </c>
      <c r="U12" s="158">
        <f t="shared" si="11"/>
        <v>0</v>
      </c>
      <c r="V12" s="158">
        <f t="shared" si="11"/>
        <v>17</v>
      </c>
      <c r="W12" s="158">
        <f t="shared" si="11"/>
        <v>21</v>
      </c>
      <c r="X12" s="158">
        <f t="shared" si="11"/>
        <v>14</v>
      </c>
      <c r="Y12" s="158">
        <f t="shared" si="11"/>
        <v>17</v>
      </c>
      <c r="Z12" s="158">
        <f t="shared" si="11"/>
        <v>31</v>
      </c>
      <c r="AA12" s="158">
        <f t="shared" si="11"/>
        <v>24</v>
      </c>
      <c r="AB12" s="158">
        <f t="shared" si="11"/>
        <v>14</v>
      </c>
      <c r="AC12" s="158">
        <f t="shared" si="11"/>
        <v>17</v>
      </c>
      <c r="AD12" s="160">
        <f t="shared" si="11"/>
        <v>24</v>
      </c>
      <c r="AE12" s="160">
        <f t="shared" si="11"/>
        <v>31</v>
      </c>
      <c r="AF12" s="158">
        <f t="shared" si="11"/>
        <v>21</v>
      </c>
      <c r="AG12" s="158">
        <f t="shared" si="11"/>
        <v>24</v>
      </c>
      <c r="AH12" s="158">
        <f t="shared" si="11"/>
        <v>14</v>
      </c>
      <c r="AI12" s="158">
        <f t="shared" si="11"/>
        <v>17</v>
      </c>
      <c r="AJ12" s="158">
        <f t="shared" si="11"/>
        <v>0</v>
      </c>
      <c r="AK12" s="158">
        <f t="shared" si="11"/>
        <v>0</v>
      </c>
      <c r="AL12" s="158">
        <f t="shared" si="11"/>
        <v>0</v>
      </c>
      <c r="AM12" s="158">
        <f t="shared" si="11"/>
        <v>0</v>
      </c>
      <c r="AN12" s="158">
        <f t="shared" si="11"/>
        <v>13</v>
      </c>
      <c r="AO12" s="158">
        <f t="shared" si="11"/>
        <v>20</v>
      </c>
      <c r="AP12" s="158">
        <f t="shared" si="11"/>
        <v>24</v>
      </c>
      <c r="AQ12" s="158">
        <f t="shared" si="11"/>
        <v>21</v>
      </c>
      <c r="AR12" s="158">
        <f t="shared" si="11"/>
        <v>21</v>
      </c>
      <c r="AS12" s="158">
        <f t="shared" si="11"/>
        <v>17</v>
      </c>
      <c r="AT12" s="158">
        <f t="shared" si="11"/>
        <v>17</v>
      </c>
      <c r="AU12" s="158">
        <f t="shared" si="11"/>
        <v>14</v>
      </c>
      <c r="AV12" s="158">
        <f t="shared" si="11"/>
        <v>0</v>
      </c>
      <c r="AW12" s="158">
        <f t="shared" si="11"/>
        <v>0</v>
      </c>
      <c r="AX12" s="158">
        <f t="shared" si="11"/>
        <v>20</v>
      </c>
      <c r="AY12" s="158">
        <f t="shared" si="11"/>
        <v>23</v>
      </c>
      <c r="AZ12" s="158">
        <f t="shared" si="11"/>
        <v>0</v>
      </c>
      <c r="BA12" s="158">
        <f t="shared" si="11"/>
        <v>0</v>
      </c>
      <c r="BB12" s="158">
        <f t="shared" si="11"/>
        <v>17</v>
      </c>
      <c r="BC12" s="158">
        <f t="shared" si="11"/>
        <v>14</v>
      </c>
      <c r="BD12" s="158">
        <f t="shared" si="11"/>
        <v>27</v>
      </c>
      <c r="BE12" s="158">
        <f t="shared" si="11"/>
        <v>24</v>
      </c>
      <c r="BF12" s="158">
        <f t="shared" si="11"/>
        <v>23</v>
      </c>
      <c r="BG12" s="158">
        <f t="shared" si="11"/>
        <v>20</v>
      </c>
      <c r="BH12" s="160">
        <f t="shared" si="11"/>
        <v>24</v>
      </c>
      <c r="BI12" s="160">
        <f t="shared" si="11"/>
        <v>27</v>
      </c>
      <c r="BJ12" s="158">
        <f t="shared" si="11"/>
        <v>0</v>
      </c>
      <c r="BK12" s="158">
        <f t="shared" si="11"/>
        <v>0</v>
      </c>
      <c r="BL12" s="158">
        <f t="shared" si="11"/>
        <v>27</v>
      </c>
      <c r="BM12" s="158">
        <f t="shared" si="11"/>
        <v>24</v>
      </c>
    </row>
    <row r="13">
      <c r="A13" s="157" t="s">
        <v>185</v>
      </c>
      <c r="B13" s="158">
        <f t="shared" ref="B13:BM13" si="12">IFERROR(LET(team, SUBSTITUTE(SUBSTITUTE(SUBSTITUTE(B$1," PF","")," PA",""),"WSH","WAS"), isPF, RIGHT(B$1,2)="PF", awayMatch, team &amp; " @*", homeMatch, "*@ " &amp; team, awayScore, SUMIF(INDIRECT("'" &amp; $A13 &amp; "'!$B:$B"), awayMatch, INDIRECT("'" &amp; $A13 &amp; "'!$E:$E")), homeScore, SUMIF(INDIRECT("'" &amp; $A13 &amp; "'!$B:$B"), homeMatch, INDIRECT("'" &amp; $A13 &amp; "'!$F:$F")), awayPA, SUMIF(INDIRECT("'" &amp; $A13 &amp; "'!$B:$B"), awayMatch, INDIRECT("'" &amp; $A13 &amp; "'!$F:$F")), homePA, SUMIF(INDIRECT("'" &amp; $A13 &amp; "'!$B:$B"), homeMatch, INDIRECT("'" &amp; $A13 &amp; "'!$E:$E")), IF(isPF, awayScore + homeScore, awayPA + homePA)), 0)</f>
        <v>21</v>
      </c>
      <c r="C13" s="158">
        <f t="shared" si="12"/>
        <v>28</v>
      </c>
      <c r="D13" s="158">
        <f t="shared" si="12"/>
        <v>27</v>
      </c>
      <c r="E13" s="158">
        <f t="shared" si="12"/>
        <v>24</v>
      </c>
      <c r="F13" s="160">
        <f t="shared" si="12"/>
        <v>21</v>
      </c>
      <c r="G13" s="160">
        <f t="shared" si="12"/>
        <v>17</v>
      </c>
      <c r="H13" s="160">
        <f t="shared" si="12"/>
        <v>21</v>
      </c>
      <c r="I13" s="160">
        <f t="shared" si="12"/>
        <v>24</v>
      </c>
      <c r="J13" s="158">
        <f t="shared" si="12"/>
        <v>28</v>
      </c>
      <c r="K13" s="158">
        <f t="shared" si="12"/>
        <v>21</v>
      </c>
      <c r="L13" s="160">
        <f t="shared" si="12"/>
        <v>21</v>
      </c>
      <c r="M13" s="160">
        <f t="shared" si="12"/>
        <v>28</v>
      </c>
      <c r="N13" s="158">
        <f t="shared" si="12"/>
        <v>28</v>
      </c>
      <c r="O13" s="158">
        <f t="shared" si="12"/>
        <v>21</v>
      </c>
      <c r="P13" s="158">
        <f t="shared" si="12"/>
        <v>24</v>
      </c>
      <c r="Q13" s="158">
        <f t="shared" si="12"/>
        <v>21</v>
      </c>
      <c r="R13" s="158">
        <f t="shared" si="12"/>
        <v>24</v>
      </c>
      <c r="S13" s="158">
        <f t="shared" si="12"/>
        <v>21</v>
      </c>
      <c r="T13" s="158">
        <f t="shared" si="12"/>
        <v>24</v>
      </c>
      <c r="U13" s="158">
        <f t="shared" si="12"/>
        <v>27</v>
      </c>
      <c r="V13" s="158">
        <f t="shared" si="12"/>
        <v>17</v>
      </c>
      <c r="W13" s="158">
        <f t="shared" si="12"/>
        <v>21</v>
      </c>
      <c r="X13" s="158">
        <f t="shared" si="12"/>
        <v>21</v>
      </c>
      <c r="Y13" s="158">
        <f t="shared" si="12"/>
        <v>17</v>
      </c>
      <c r="Z13" s="158">
        <f t="shared" si="12"/>
        <v>21</v>
      </c>
      <c r="AA13" s="158">
        <f t="shared" si="12"/>
        <v>24</v>
      </c>
      <c r="AB13" s="158">
        <f t="shared" si="12"/>
        <v>27</v>
      </c>
      <c r="AC13" s="158">
        <f t="shared" si="12"/>
        <v>24</v>
      </c>
      <c r="AD13" s="158">
        <f t="shared" si="12"/>
        <v>14</v>
      </c>
      <c r="AE13" s="158">
        <f t="shared" si="12"/>
        <v>10</v>
      </c>
      <c r="AF13" s="158">
        <f t="shared" si="12"/>
        <v>24</v>
      </c>
      <c r="AG13" s="158">
        <f t="shared" si="12"/>
        <v>27</v>
      </c>
      <c r="AH13" s="158">
        <f t="shared" si="12"/>
        <v>20</v>
      </c>
      <c r="AI13" s="158">
        <f t="shared" si="12"/>
        <v>13</v>
      </c>
      <c r="AJ13" s="158">
        <f t="shared" si="12"/>
        <v>20</v>
      </c>
      <c r="AK13" s="158">
        <f t="shared" si="12"/>
        <v>14</v>
      </c>
      <c r="AL13" s="158">
        <f t="shared" si="12"/>
        <v>13</v>
      </c>
      <c r="AM13" s="158">
        <f t="shared" si="12"/>
        <v>20</v>
      </c>
      <c r="AN13" s="158">
        <f t="shared" si="12"/>
        <v>20</v>
      </c>
      <c r="AO13" s="158">
        <f t="shared" si="12"/>
        <v>14</v>
      </c>
      <c r="AP13" s="158">
        <f t="shared" si="12"/>
        <v>17</v>
      </c>
      <c r="AQ13" s="158">
        <f t="shared" si="12"/>
        <v>21</v>
      </c>
      <c r="AR13" s="158">
        <f t="shared" si="12"/>
        <v>21</v>
      </c>
      <c r="AS13" s="158">
        <f t="shared" si="12"/>
        <v>17</v>
      </c>
      <c r="AT13" s="158">
        <f t="shared" si="12"/>
        <v>10</v>
      </c>
      <c r="AU13" s="158">
        <f t="shared" si="12"/>
        <v>14</v>
      </c>
      <c r="AV13" s="160">
        <f t="shared" si="12"/>
        <v>0</v>
      </c>
      <c r="AW13" s="160">
        <f t="shared" si="12"/>
        <v>0</v>
      </c>
      <c r="AX13" s="158">
        <f t="shared" si="12"/>
        <v>24</v>
      </c>
      <c r="AY13" s="158">
        <f t="shared" si="12"/>
        <v>27</v>
      </c>
      <c r="AZ13" s="158">
        <f t="shared" si="12"/>
        <v>14</v>
      </c>
      <c r="BA13" s="158">
        <f t="shared" si="12"/>
        <v>20</v>
      </c>
      <c r="BB13" s="158">
        <f t="shared" si="12"/>
        <v>10</v>
      </c>
      <c r="BC13" s="158">
        <f t="shared" si="12"/>
        <v>14</v>
      </c>
      <c r="BD13" s="158">
        <f t="shared" si="12"/>
        <v>27</v>
      </c>
      <c r="BE13" s="158">
        <f t="shared" si="12"/>
        <v>24</v>
      </c>
      <c r="BF13" s="158">
        <f t="shared" si="12"/>
        <v>21</v>
      </c>
      <c r="BG13" s="158">
        <f t="shared" si="12"/>
        <v>17</v>
      </c>
      <c r="BH13" s="158">
        <f t="shared" si="12"/>
        <v>17</v>
      </c>
      <c r="BI13" s="158">
        <f t="shared" si="12"/>
        <v>21</v>
      </c>
      <c r="BJ13" s="158">
        <f t="shared" si="12"/>
        <v>14</v>
      </c>
      <c r="BK13" s="158">
        <f t="shared" si="12"/>
        <v>10</v>
      </c>
      <c r="BL13" s="158">
        <f t="shared" si="12"/>
        <v>17</v>
      </c>
      <c r="BM13" s="158">
        <f t="shared" si="12"/>
        <v>21</v>
      </c>
    </row>
    <row r="14">
      <c r="A14" s="157" t="s">
        <v>191</v>
      </c>
      <c r="B14" s="158">
        <f t="shared" ref="B14:BM14" si="13">IFERROR(LET(team, SUBSTITUTE(SUBSTITUTE(SUBSTITUTE(B$1," PF","")," PA",""),"WSH","WAS"), isPF, RIGHT(B$1,2)="PF", awayMatch, team &amp; " @*", homeMatch, "*@ " &amp; team, awayScore, SUMIF(INDIRECT("'" &amp; $A14 &amp; "'!$B:$B"), awayMatch, INDIRECT("'" &amp; $A14 &amp; "'!$E:$E")), homeScore, SUMIF(INDIRECT("'" &amp; $A14 &amp; "'!$B:$B"), homeMatch, INDIRECT("'" &amp; $A14 &amp; "'!$F:$F")), awayPA, SUMIF(INDIRECT("'" &amp; $A14 &amp; "'!$B:$B"), awayMatch, INDIRECT("'" &amp; $A14 &amp; "'!$F:$F")), homePA, SUMIF(INDIRECT("'" &amp; $A14 &amp; "'!$B:$B"), homeMatch, INDIRECT("'" &amp; $A14 &amp; "'!$E:$E")), IF(isPF, awayScore + homeScore, awayPA + homePA)), 0)</f>
        <v>10</v>
      </c>
      <c r="C14" s="158">
        <f t="shared" si="13"/>
        <v>14</v>
      </c>
      <c r="D14" s="158">
        <f t="shared" si="13"/>
        <v>0</v>
      </c>
      <c r="E14" s="158">
        <f t="shared" si="13"/>
        <v>0</v>
      </c>
      <c r="F14" s="158">
        <f t="shared" si="13"/>
        <v>31</v>
      </c>
      <c r="G14" s="158">
        <f t="shared" si="13"/>
        <v>24</v>
      </c>
      <c r="H14" s="158">
        <f t="shared" si="13"/>
        <v>21</v>
      </c>
      <c r="I14" s="158">
        <f t="shared" si="13"/>
        <v>24</v>
      </c>
      <c r="J14" s="158">
        <f t="shared" si="13"/>
        <v>14</v>
      </c>
      <c r="K14" s="158">
        <f t="shared" si="13"/>
        <v>17</v>
      </c>
      <c r="L14" s="158">
        <f t="shared" si="13"/>
        <v>24</v>
      </c>
      <c r="M14" s="158">
        <f t="shared" si="13"/>
        <v>31</v>
      </c>
      <c r="N14" s="158">
        <f t="shared" si="13"/>
        <v>0</v>
      </c>
      <c r="O14" s="158">
        <f t="shared" si="13"/>
        <v>0</v>
      </c>
      <c r="P14" s="158">
        <f t="shared" si="13"/>
        <v>17</v>
      </c>
      <c r="Q14" s="158">
        <f t="shared" si="13"/>
        <v>14</v>
      </c>
      <c r="R14" s="158">
        <f t="shared" si="13"/>
        <v>0</v>
      </c>
      <c r="S14" s="158">
        <f t="shared" si="13"/>
        <v>0</v>
      </c>
      <c r="T14" s="158">
        <f t="shared" si="13"/>
        <v>17</v>
      </c>
      <c r="U14" s="158">
        <f t="shared" si="13"/>
        <v>20</v>
      </c>
      <c r="V14" s="158">
        <f t="shared" si="13"/>
        <v>10</v>
      </c>
      <c r="W14" s="158">
        <f t="shared" si="13"/>
        <v>14</v>
      </c>
      <c r="X14" s="158">
        <f t="shared" si="13"/>
        <v>20</v>
      </c>
      <c r="Y14" s="158">
        <f t="shared" si="13"/>
        <v>17</v>
      </c>
      <c r="Z14" s="158">
        <f t="shared" si="13"/>
        <v>14</v>
      </c>
      <c r="AA14" s="158">
        <f t="shared" si="13"/>
        <v>10</v>
      </c>
      <c r="AB14" s="158">
        <f t="shared" si="13"/>
        <v>24</v>
      </c>
      <c r="AC14" s="158">
        <f t="shared" si="13"/>
        <v>21</v>
      </c>
      <c r="AD14" s="158">
        <f t="shared" si="13"/>
        <v>0</v>
      </c>
      <c r="AE14" s="158">
        <f t="shared" si="13"/>
        <v>0</v>
      </c>
      <c r="AF14" s="158">
        <f t="shared" si="13"/>
        <v>24</v>
      </c>
      <c r="AG14" s="158">
        <f t="shared" si="13"/>
        <v>21</v>
      </c>
      <c r="AH14" s="158">
        <f t="shared" si="13"/>
        <v>24</v>
      </c>
      <c r="AI14" s="158">
        <f t="shared" si="13"/>
        <v>21</v>
      </c>
      <c r="AJ14" s="158">
        <f t="shared" si="13"/>
        <v>14</v>
      </c>
      <c r="AK14" s="158">
        <f t="shared" si="13"/>
        <v>10</v>
      </c>
      <c r="AL14" s="158">
        <f t="shared" si="13"/>
        <v>17</v>
      </c>
      <c r="AM14" s="158">
        <f t="shared" si="13"/>
        <v>14</v>
      </c>
      <c r="AN14" s="158">
        <f t="shared" si="13"/>
        <v>17</v>
      </c>
      <c r="AO14" s="158">
        <f t="shared" si="13"/>
        <v>21</v>
      </c>
      <c r="AP14" s="158">
        <f t="shared" si="13"/>
        <v>14</v>
      </c>
      <c r="AQ14" s="158">
        <f t="shared" si="13"/>
        <v>17</v>
      </c>
      <c r="AR14" s="158">
        <f t="shared" si="13"/>
        <v>21</v>
      </c>
      <c r="AS14" s="158">
        <f t="shared" si="13"/>
        <v>17</v>
      </c>
      <c r="AT14" s="158">
        <f t="shared" si="13"/>
        <v>21</v>
      </c>
      <c r="AU14" s="158">
        <f t="shared" si="13"/>
        <v>24</v>
      </c>
      <c r="AV14" s="158">
        <f t="shared" si="13"/>
        <v>0</v>
      </c>
      <c r="AW14" s="158">
        <f t="shared" si="13"/>
        <v>0</v>
      </c>
      <c r="AX14" s="158">
        <f t="shared" si="13"/>
        <v>17</v>
      </c>
      <c r="AY14" s="158">
        <f t="shared" si="13"/>
        <v>14</v>
      </c>
      <c r="AZ14" s="158">
        <f t="shared" si="13"/>
        <v>20</v>
      </c>
      <c r="BA14" s="158">
        <f t="shared" si="13"/>
        <v>14</v>
      </c>
      <c r="BB14" s="158">
        <f t="shared" si="13"/>
        <v>20</v>
      </c>
      <c r="BC14" s="158">
        <f t="shared" si="13"/>
        <v>17</v>
      </c>
      <c r="BD14" s="158">
        <f t="shared" si="13"/>
        <v>21</v>
      </c>
      <c r="BE14" s="158">
        <f t="shared" si="13"/>
        <v>24</v>
      </c>
      <c r="BF14" s="158">
        <f t="shared" si="13"/>
        <v>24</v>
      </c>
      <c r="BG14" s="158">
        <f t="shared" si="13"/>
        <v>21</v>
      </c>
      <c r="BH14" s="158">
        <f t="shared" si="13"/>
        <v>14</v>
      </c>
      <c r="BI14" s="158">
        <f t="shared" si="13"/>
        <v>20</v>
      </c>
      <c r="BJ14" s="158">
        <f t="shared" si="13"/>
        <v>14</v>
      </c>
      <c r="BK14" s="158">
        <f t="shared" si="13"/>
        <v>17</v>
      </c>
      <c r="BL14" s="158">
        <f t="shared" si="13"/>
        <v>17</v>
      </c>
      <c r="BM14" s="158">
        <f t="shared" si="13"/>
        <v>20</v>
      </c>
    </row>
    <row r="15">
      <c r="A15" s="157" t="s">
        <v>194</v>
      </c>
      <c r="B15" s="158">
        <f t="shared" ref="B15:BM15" si="14">IFERROR(LET(team, SUBSTITUTE(SUBSTITUTE(SUBSTITUTE(B$1," PF","")," PA",""),"WSH","WAS"), isPF, RIGHT(B$1,2)="PF", awayMatch, team &amp; " @*", homeMatch, "*@ " &amp; team, awayScore, SUMIF(INDIRECT("'" &amp; $A15 &amp; "'!$B:$B"), awayMatch, INDIRECT("'" &amp; $A15 &amp; "'!$E:$E")), homeScore, SUMIF(INDIRECT("'" &amp; $A15 &amp; "'!$B:$B"), homeMatch, INDIRECT("'" &amp; $A15 &amp; "'!$F:$F")), awayPA, SUMIF(INDIRECT("'" &amp; $A15 &amp; "'!$B:$B"), awayMatch, INDIRECT("'" &amp; $A15 &amp; "'!$F:$F")), homePA, SUMIF(INDIRECT("'" &amp; $A15 &amp; "'!$B:$B"), homeMatch, INDIRECT("'" &amp; $A15 &amp; "'!$E:$E")), IF(isPF, awayScore + homeScore, awayPA + homePA)), 0)</f>
        <v>27</v>
      </c>
      <c r="C15" s="158">
        <f t="shared" si="14"/>
        <v>24</v>
      </c>
      <c r="D15" s="158">
        <f t="shared" si="14"/>
        <v>17</v>
      </c>
      <c r="E15" s="158">
        <f t="shared" si="14"/>
        <v>20</v>
      </c>
      <c r="F15" s="158">
        <f t="shared" si="14"/>
        <v>23</v>
      </c>
      <c r="G15" s="158">
        <f t="shared" si="14"/>
        <v>20</v>
      </c>
      <c r="H15" s="158">
        <f t="shared" si="14"/>
        <v>20</v>
      </c>
      <c r="I15" s="158">
        <f t="shared" si="14"/>
        <v>17</v>
      </c>
      <c r="J15" s="158">
        <f t="shared" si="14"/>
        <v>24</v>
      </c>
      <c r="K15" s="158">
        <f t="shared" si="14"/>
        <v>27</v>
      </c>
      <c r="L15" s="158">
        <f t="shared" si="14"/>
        <v>17</v>
      </c>
      <c r="M15" s="158">
        <f t="shared" si="14"/>
        <v>14</v>
      </c>
      <c r="N15" s="158">
        <f t="shared" si="14"/>
        <v>20</v>
      </c>
      <c r="O15" s="158">
        <f t="shared" si="14"/>
        <v>23</v>
      </c>
      <c r="P15" s="160">
        <f t="shared" si="14"/>
        <v>24</v>
      </c>
      <c r="Q15" s="160">
        <f t="shared" si="14"/>
        <v>21</v>
      </c>
      <c r="R15" s="158">
        <f t="shared" si="14"/>
        <v>14</v>
      </c>
      <c r="S15" s="158">
        <f t="shared" si="14"/>
        <v>10</v>
      </c>
      <c r="T15" s="158">
        <f t="shared" si="14"/>
        <v>28</v>
      </c>
      <c r="U15" s="158">
        <f t="shared" si="14"/>
        <v>21</v>
      </c>
      <c r="V15" s="158">
        <f t="shared" si="14"/>
        <v>14</v>
      </c>
      <c r="W15" s="158">
        <f t="shared" si="14"/>
        <v>10</v>
      </c>
      <c r="X15" s="158">
        <f t="shared" si="14"/>
        <v>24</v>
      </c>
      <c r="Y15" s="158">
        <f t="shared" si="14"/>
        <v>27</v>
      </c>
      <c r="Z15" s="158">
        <f t="shared" si="14"/>
        <v>24</v>
      </c>
      <c r="AA15" s="158">
        <f t="shared" si="14"/>
        <v>27</v>
      </c>
      <c r="AB15" s="158">
        <f t="shared" si="14"/>
        <v>10</v>
      </c>
      <c r="AC15" s="158">
        <f t="shared" si="14"/>
        <v>14</v>
      </c>
      <c r="AD15" s="158">
        <f t="shared" si="14"/>
        <v>24</v>
      </c>
      <c r="AE15" s="158">
        <f t="shared" si="14"/>
        <v>27</v>
      </c>
      <c r="AF15" s="158">
        <f t="shared" si="14"/>
        <v>21</v>
      </c>
      <c r="AG15" s="158">
        <f t="shared" si="14"/>
        <v>28</v>
      </c>
      <c r="AH15" s="160">
        <f t="shared" si="14"/>
        <v>17</v>
      </c>
      <c r="AI15" s="160">
        <f t="shared" si="14"/>
        <v>14</v>
      </c>
      <c r="AJ15" s="158">
        <f t="shared" si="14"/>
        <v>14</v>
      </c>
      <c r="AK15" s="158">
        <f t="shared" si="14"/>
        <v>17</v>
      </c>
      <c r="AL15" s="158">
        <f t="shared" si="14"/>
        <v>20</v>
      </c>
      <c r="AM15" s="158">
        <f t="shared" si="14"/>
        <v>14</v>
      </c>
      <c r="AN15" s="158">
        <f t="shared" si="14"/>
        <v>0</v>
      </c>
      <c r="AO15" s="158">
        <f t="shared" si="14"/>
        <v>0</v>
      </c>
      <c r="AP15" s="158">
        <f t="shared" si="14"/>
        <v>0</v>
      </c>
      <c r="AQ15" s="158">
        <f t="shared" si="14"/>
        <v>0</v>
      </c>
      <c r="AR15" s="158">
        <f t="shared" si="14"/>
        <v>27</v>
      </c>
      <c r="AS15" s="158">
        <f t="shared" si="14"/>
        <v>24</v>
      </c>
      <c r="AT15" s="160">
        <f t="shared" si="14"/>
        <v>14</v>
      </c>
      <c r="AU15" s="160">
        <f t="shared" si="14"/>
        <v>20</v>
      </c>
      <c r="AV15" s="158">
        <f t="shared" si="14"/>
        <v>0</v>
      </c>
      <c r="AW15" s="158">
        <f t="shared" si="14"/>
        <v>0</v>
      </c>
      <c r="AX15" s="158">
        <f t="shared" si="14"/>
        <v>28</v>
      </c>
      <c r="AY15" s="158">
        <f t="shared" si="14"/>
        <v>21</v>
      </c>
      <c r="AZ15" s="158">
        <f t="shared" si="14"/>
        <v>27</v>
      </c>
      <c r="BA15" s="158">
        <f t="shared" si="14"/>
        <v>24</v>
      </c>
      <c r="BB15" s="158">
        <f t="shared" si="14"/>
        <v>21</v>
      </c>
      <c r="BC15" s="158">
        <f t="shared" si="14"/>
        <v>24</v>
      </c>
      <c r="BD15" s="158">
        <f t="shared" si="14"/>
        <v>14</v>
      </c>
      <c r="BE15" s="158">
        <f t="shared" si="14"/>
        <v>17</v>
      </c>
      <c r="BF15" s="158">
        <f t="shared" si="14"/>
        <v>10</v>
      </c>
      <c r="BG15" s="158">
        <f t="shared" si="14"/>
        <v>14</v>
      </c>
      <c r="BH15" s="158">
        <f t="shared" si="14"/>
        <v>17</v>
      </c>
      <c r="BI15" s="158">
        <f t="shared" si="14"/>
        <v>14</v>
      </c>
      <c r="BJ15" s="158">
        <f t="shared" si="14"/>
        <v>21</v>
      </c>
      <c r="BK15" s="158">
        <f t="shared" si="14"/>
        <v>28</v>
      </c>
      <c r="BL15" s="160">
        <f t="shared" si="14"/>
        <v>14</v>
      </c>
      <c r="BM15" s="160">
        <f t="shared" si="14"/>
        <v>17</v>
      </c>
    </row>
    <row r="16">
      <c r="A16" s="157" t="s">
        <v>198</v>
      </c>
      <c r="B16" s="158">
        <f t="shared" ref="B16:BM16" si="15">IFERROR(LET(team, SUBSTITUTE(SUBSTITUTE(SUBSTITUTE(B$1," PF","")," PA",""),"WSH","WAS"), isPF, RIGHT(B$1,2)="PF", awayMatch, team &amp; " @*", homeMatch, "*@ " &amp; team, awayScore, SUMIF(INDIRECT("'" &amp; $A16 &amp; "'!$B:$B"), awayMatch, INDIRECT("'" &amp; $A16 &amp; "'!$E:$E")), homeScore, SUMIF(INDIRECT("'" &amp; $A16 &amp; "'!$B:$B"), homeMatch, INDIRECT("'" &amp; $A16 &amp; "'!$F:$F")), awayPA, SUMIF(INDIRECT("'" &amp; $A16 &amp; "'!$B:$B"), awayMatch, INDIRECT("'" &amp; $A16 &amp; "'!$F:$F")), homePA, SUMIF(INDIRECT("'" &amp; $A16 &amp; "'!$B:$B"), homeMatch, INDIRECT("'" &amp; $A16 &amp; "'!$E:$E")), IF(isPF, awayScore + homeScore, awayPA + homePA)), 0)</f>
        <v>20</v>
      </c>
      <c r="C16" s="158">
        <f t="shared" si="15"/>
        <v>14</v>
      </c>
      <c r="D16" s="158">
        <f t="shared" si="15"/>
        <v>20</v>
      </c>
      <c r="E16" s="158">
        <f t="shared" si="15"/>
        <v>13</v>
      </c>
      <c r="F16" s="158">
        <f t="shared" si="15"/>
        <v>13</v>
      </c>
      <c r="G16" s="158">
        <f t="shared" si="15"/>
        <v>20</v>
      </c>
      <c r="H16" s="158">
        <f t="shared" si="15"/>
        <v>27</v>
      </c>
      <c r="I16" s="158">
        <f t="shared" si="15"/>
        <v>24</v>
      </c>
      <c r="J16" s="158">
        <f t="shared" si="15"/>
        <v>27</v>
      </c>
      <c r="K16" s="158">
        <f t="shared" si="15"/>
        <v>24</v>
      </c>
      <c r="L16" s="158">
        <f t="shared" si="15"/>
        <v>17</v>
      </c>
      <c r="M16" s="158">
        <f t="shared" si="15"/>
        <v>21</v>
      </c>
      <c r="N16" s="158">
        <f t="shared" si="15"/>
        <v>14</v>
      </c>
      <c r="O16" s="158">
        <f t="shared" si="15"/>
        <v>17</v>
      </c>
      <c r="P16" s="158">
        <f t="shared" si="15"/>
        <v>14</v>
      </c>
      <c r="Q16" s="158">
        <f t="shared" si="15"/>
        <v>20</v>
      </c>
      <c r="R16" s="158">
        <f t="shared" si="15"/>
        <v>20</v>
      </c>
      <c r="S16" s="158">
        <f t="shared" si="15"/>
        <v>23</v>
      </c>
      <c r="T16" s="158">
        <f t="shared" si="15"/>
        <v>14</v>
      </c>
      <c r="U16" s="158">
        <f t="shared" si="15"/>
        <v>17</v>
      </c>
      <c r="V16" s="158">
        <f t="shared" si="15"/>
        <v>23</v>
      </c>
      <c r="W16" s="158">
        <f t="shared" si="15"/>
        <v>20</v>
      </c>
      <c r="X16" s="158">
        <f t="shared" si="15"/>
        <v>21</v>
      </c>
      <c r="Y16" s="158">
        <f t="shared" si="15"/>
        <v>28</v>
      </c>
      <c r="Z16" s="158">
        <f t="shared" si="15"/>
        <v>17</v>
      </c>
      <c r="AA16" s="158">
        <f t="shared" si="15"/>
        <v>21</v>
      </c>
      <c r="AB16" s="158">
        <f t="shared" si="15"/>
        <v>21</v>
      </c>
      <c r="AC16" s="158">
        <f t="shared" si="15"/>
        <v>17</v>
      </c>
      <c r="AD16" s="158">
        <f t="shared" si="15"/>
        <v>23</v>
      </c>
      <c r="AE16" s="158">
        <f t="shared" si="15"/>
        <v>20</v>
      </c>
      <c r="AF16" s="158">
        <f t="shared" si="15"/>
        <v>20</v>
      </c>
      <c r="AG16" s="158">
        <f t="shared" si="15"/>
        <v>23</v>
      </c>
      <c r="AH16" s="158">
        <f t="shared" si="15"/>
        <v>24</v>
      </c>
      <c r="AI16" s="158">
        <f t="shared" si="15"/>
        <v>27</v>
      </c>
      <c r="AJ16" s="158">
        <f t="shared" si="15"/>
        <v>17</v>
      </c>
      <c r="AK16" s="158">
        <f t="shared" si="15"/>
        <v>10</v>
      </c>
      <c r="AL16" s="158">
        <f t="shared" si="15"/>
        <v>24</v>
      </c>
      <c r="AM16" s="158">
        <f t="shared" si="15"/>
        <v>27</v>
      </c>
      <c r="AN16" s="158">
        <f t="shared" si="15"/>
        <v>17</v>
      </c>
      <c r="AO16" s="158">
        <f t="shared" si="15"/>
        <v>14</v>
      </c>
      <c r="AP16" s="158">
        <f t="shared" si="15"/>
        <v>10</v>
      </c>
      <c r="AQ16" s="158">
        <f t="shared" si="15"/>
        <v>17</v>
      </c>
      <c r="AR16" s="158">
        <f t="shared" si="15"/>
        <v>27</v>
      </c>
      <c r="AS16" s="158">
        <f t="shared" si="15"/>
        <v>24</v>
      </c>
      <c r="AT16" s="158">
        <f t="shared" si="15"/>
        <v>17</v>
      </c>
      <c r="AU16" s="158">
        <f t="shared" si="15"/>
        <v>14</v>
      </c>
      <c r="AV16" s="158">
        <f t="shared" si="15"/>
        <v>0</v>
      </c>
      <c r="AW16" s="158">
        <f t="shared" si="15"/>
        <v>0</v>
      </c>
      <c r="AX16" s="158">
        <f t="shared" si="15"/>
        <v>20</v>
      </c>
      <c r="AY16" s="158">
        <f t="shared" si="15"/>
        <v>17</v>
      </c>
      <c r="AZ16" s="158">
        <f t="shared" si="15"/>
        <v>21</v>
      </c>
      <c r="BA16" s="158">
        <f t="shared" si="15"/>
        <v>17</v>
      </c>
      <c r="BB16" s="158">
        <f t="shared" si="15"/>
        <v>17</v>
      </c>
      <c r="BC16" s="158">
        <f t="shared" si="15"/>
        <v>20</v>
      </c>
      <c r="BD16" s="158">
        <f t="shared" si="15"/>
        <v>24</v>
      </c>
      <c r="BE16" s="158">
        <f t="shared" si="15"/>
        <v>27</v>
      </c>
      <c r="BF16" s="158">
        <f t="shared" si="15"/>
        <v>20</v>
      </c>
      <c r="BG16" s="158">
        <f t="shared" si="15"/>
        <v>14</v>
      </c>
      <c r="BH16" s="158">
        <f t="shared" si="15"/>
        <v>14</v>
      </c>
      <c r="BI16" s="158">
        <f t="shared" si="15"/>
        <v>20</v>
      </c>
      <c r="BJ16" s="158">
        <f t="shared" si="15"/>
        <v>20</v>
      </c>
      <c r="BK16" s="158">
        <f t="shared" si="15"/>
        <v>13</v>
      </c>
      <c r="BL16" s="158">
        <f t="shared" si="15"/>
        <v>28</v>
      </c>
      <c r="BM16" s="158">
        <f t="shared" si="15"/>
        <v>21</v>
      </c>
    </row>
    <row r="17">
      <c r="A17" s="157" t="s">
        <v>202</v>
      </c>
      <c r="B17" s="158">
        <f t="shared" ref="B17:BM17" si="16">IFERROR(LET(team, SUBSTITUTE(SUBSTITUTE(SUBSTITUTE(B$1," PF","")," PA",""),"WSH","WAS"), isPF, RIGHT(B$1,2)="PF", awayMatch, team &amp; " @*", homeMatch, "*@ " &amp; team, awayScore, SUMIF(INDIRECT("'" &amp; $A17 &amp; "'!$B:$B"), awayMatch, INDIRECT("'" &amp; $A17 &amp; "'!$E:$E")), homeScore, SUMIF(INDIRECT("'" &amp; $A17 &amp; "'!$B:$B"), homeMatch, INDIRECT("'" &amp; $A17 &amp; "'!$F:$F")), awayPA, SUMIF(INDIRECT("'" &amp; $A17 &amp; "'!$B:$B"), awayMatch, INDIRECT("'" &amp; $A17 &amp; "'!$F:$F")), homePA, SUMIF(INDIRECT("'" &amp; $A17 &amp; "'!$B:$B"), homeMatch, INDIRECT("'" &amp; $A17 &amp; "'!$E:$E")), IF(isPF, awayScore + homeScore, awayPA + homePA)), 0)</f>
        <v>14</v>
      </c>
      <c r="C17" s="158">
        <f t="shared" si="16"/>
        <v>10</v>
      </c>
      <c r="D17" s="158">
        <f t="shared" si="16"/>
        <v>24</v>
      </c>
      <c r="E17" s="158">
        <f t="shared" si="16"/>
        <v>21</v>
      </c>
      <c r="F17" s="158">
        <f t="shared" si="16"/>
        <v>21</v>
      </c>
      <c r="G17" s="158">
        <f t="shared" si="16"/>
        <v>24</v>
      </c>
      <c r="H17" s="158">
        <f t="shared" si="16"/>
        <v>21</v>
      </c>
      <c r="I17" s="158">
        <f t="shared" si="16"/>
        <v>17</v>
      </c>
      <c r="J17" s="158">
        <f t="shared" si="16"/>
        <v>24</v>
      </c>
      <c r="K17" s="158">
        <f t="shared" si="16"/>
        <v>21</v>
      </c>
      <c r="L17" s="158">
        <f t="shared" si="16"/>
        <v>17</v>
      </c>
      <c r="M17" s="158">
        <f t="shared" si="16"/>
        <v>21</v>
      </c>
      <c r="N17" s="158">
        <f t="shared" si="16"/>
        <v>13</v>
      </c>
      <c r="O17" s="158">
        <f t="shared" si="16"/>
        <v>20</v>
      </c>
      <c r="P17" s="158">
        <f t="shared" si="16"/>
        <v>20</v>
      </c>
      <c r="Q17" s="158">
        <f t="shared" si="16"/>
        <v>13</v>
      </c>
      <c r="R17" s="158">
        <f t="shared" si="16"/>
        <v>24</v>
      </c>
      <c r="S17" s="158">
        <f t="shared" si="16"/>
        <v>21</v>
      </c>
      <c r="T17" s="158">
        <f t="shared" si="16"/>
        <v>21</v>
      </c>
      <c r="U17" s="158">
        <f t="shared" si="16"/>
        <v>24</v>
      </c>
      <c r="V17" s="158">
        <f t="shared" si="16"/>
        <v>23</v>
      </c>
      <c r="W17" s="158">
        <f t="shared" si="16"/>
        <v>20</v>
      </c>
      <c r="X17" s="158">
        <f t="shared" si="16"/>
        <v>20</v>
      </c>
      <c r="Y17" s="158">
        <f t="shared" si="16"/>
        <v>17</v>
      </c>
      <c r="Z17" s="158">
        <f t="shared" si="16"/>
        <v>24</v>
      </c>
      <c r="AA17" s="158">
        <f t="shared" si="16"/>
        <v>31</v>
      </c>
      <c r="AB17" s="158">
        <f t="shared" si="16"/>
        <v>21</v>
      </c>
      <c r="AC17" s="158">
        <f t="shared" si="16"/>
        <v>24</v>
      </c>
      <c r="AD17" s="158">
        <f t="shared" si="16"/>
        <v>17</v>
      </c>
      <c r="AE17" s="158">
        <f t="shared" si="16"/>
        <v>20</v>
      </c>
      <c r="AF17" s="158">
        <f t="shared" si="16"/>
        <v>21</v>
      </c>
      <c r="AG17" s="158">
        <f t="shared" si="16"/>
        <v>24</v>
      </c>
      <c r="AH17" s="158">
        <f t="shared" si="16"/>
        <v>10</v>
      </c>
      <c r="AI17" s="158">
        <f t="shared" si="16"/>
        <v>14</v>
      </c>
      <c r="AJ17" s="158">
        <f t="shared" si="16"/>
        <v>28</v>
      </c>
      <c r="AK17" s="158">
        <f t="shared" si="16"/>
        <v>21</v>
      </c>
      <c r="AL17" s="158">
        <f t="shared" si="16"/>
        <v>21</v>
      </c>
      <c r="AM17" s="158">
        <f t="shared" si="16"/>
        <v>28</v>
      </c>
      <c r="AN17" s="158">
        <f t="shared" si="16"/>
        <v>21</v>
      </c>
      <c r="AO17" s="158">
        <f t="shared" si="16"/>
        <v>28</v>
      </c>
      <c r="AP17" s="158">
        <f t="shared" si="16"/>
        <v>24</v>
      </c>
      <c r="AQ17" s="158">
        <f t="shared" si="16"/>
        <v>21</v>
      </c>
      <c r="AR17" s="158">
        <f t="shared" si="16"/>
        <v>31</v>
      </c>
      <c r="AS17" s="158">
        <f t="shared" si="16"/>
        <v>24</v>
      </c>
      <c r="AT17" s="158">
        <f t="shared" si="16"/>
        <v>20</v>
      </c>
      <c r="AU17" s="158">
        <f t="shared" si="16"/>
        <v>23</v>
      </c>
      <c r="AV17" s="158">
        <f t="shared" si="16"/>
        <v>0</v>
      </c>
      <c r="AW17" s="158">
        <f t="shared" si="16"/>
        <v>0</v>
      </c>
      <c r="AX17" s="158">
        <f t="shared" si="16"/>
        <v>23</v>
      </c>
      <c r="AY17" s="158">
        <f t="shared" si="16"/>
        <v>20</v>
      </c>
      <c r="AZ17" s="158">
        <f t="shared" si="16"/>
        <v>21</v>
      </c>
      <c r="BA17" s="158">
        <f t="shared" si="16"/>
        <v>24</v>
      </c>
      <c r="BB17" s="158">
        <f t="shared" si="16"/>
        <v>14</v>
      </c>
      <c r="BC17" s="158">
        <f t="shared" si="16"/>
        <v>10</v>
      </c>
      <c r="BD17" s="158">
        <f t="shared" si="16"/>
        <v>24</v>
      </c>
      <c r="BE17" s="158">
        <f t="shared" si="16"/>
        <v>21</v>
      </c>
      <c r="BF17" s="158">
        <f t="shared" si="16"/>
        <v>14</v>
      </c>
      <c r="BG17" s="158">
        <f t="shared" si="16"/>
        <v>20</v>
      </c>
      <c r="BH17" s="158">
        <f t="shared" si="16"/>
        <v>28</v>
      </c>
      <c r="BI17" s="158">
        <f t="shared" si="16"/>
        <v>21</v>
      </c>
      <c r="BJ17" s="158">
        <f t="shared" si="16"/>
        <v>20</v>
      </c>
      <c r="BK17" s="158">
        <f t="shared" si="16"/>
        <v>14</v>
      </c>
      <c r="BL17" s="158">
        <f t="shared" si="16"/>
        <v>20</v>
      </c>
      <c r="BM17" s="158">
        <f t="shared" si="16"/>
        <v>23</v>
      </c>
    </row>
    <row r="18">
      <c r="A18" s="157" t="s">
        <v>206</v>
      </c>
      <c r="B18" s="158">
        <f t="shared" ref="B18:BM18" si="17">IFERROR(LET(team, SUBSTITUTE(SUBSTITUTE(SUBSTITUTE(B$1," PF","")," PA",""),"WSH","WAS"), isPF, RIGHT(B$1,2)="PF", awayMatch, team &amp; " @*", homeMatch, "*@ " &amp; team, awayScore, SUMIF(INDIRECT("'" &amp; $A18 &amp; "'!$B:$B"), awayMatch, INDIRECT("'" &amp; $A18 &amp; "'!$E:$E")), homeScore, SUMIF(INDIRECT("'" &amp; $A18 &amp; "'!$B:$B"), homeMatch, INDIRECT("'" &amp; $A18 &amp; "'!$F:$F")), awayPA, SUMIF(INDIRECT("'" &amp; $A18 &amp; "'!$B:$B"), awayMatch, INDIRECT("'" &amp; $A18 &amp; "'!$F:$F")), homePA, SUMIF(INDIRECT("'" &amp; $A18 &amp; "'!$B:$B"), homeMatch, INDIRECT("'" &amp; $A18 &amp; "'!$E:$E")), IF(isPF, awayScore + homeScore, awayPA + homePA)), 0)</f>
        <v>24</v>
      </c>
      <c r="C18" s="158">
        <f t="shared" si="17"/>
        <v>21</v>
      </c>
      <c r="D18" s="158">
        <f t="shared" si="17"/>
        <v>21</v>
      </c>
      <c r="E18" s="158">
        <f t="shared" si="17"/>
        <v>24</v>
      </c>
      <c r="F18" s="158">
        <f t="shared" si="17"/>
        <v>24</v>
      </c>
      <c r="G18" s="158">
        <f t="shared" si="17"/>
        <v>31</v>
      </c>
      <c r="H18" s="158">
        <f t="shared" si="17"/>
        <v>21</v>
      </c>
      <c r="I18" s="158">
        <f t="shared" si="17"/>
        <v>24</v>
      </c>
      <c r="J18" s="158">
        <f t="shared" si="17"/>
        <v>23</v>
      </c>
      <c r="K18" s="158">
        <f t="shared" si="17"/>
        <v>20</v>
      </c>
      <c r="L18" s="158">
        <f t="shared" si="17"/>
        <v>20</v>
      </c>
      <c r="M18" s="158">
        <f t="shared" si="17"/>
        <v>23</v>
      </c>
      <c r="N18" s="158">
        <f t="shared" si="17"/>
        <v>24</v>
      </c>
      <c r="O18" s="158">
        <f t="shared" si="17"/>
        <v>21</v>
      </c>
      <c r="P18" s="158">
        <f t="shared" si="17"/>
        <v>31</v>
      </c>
      <c r="Q18" s="158">
        <f t="shared" si="17"/>
        <v>24</v>
      </c>
      <c r="R18" s="158">
        <f t="shared" si="17"/>
        <v>14</v>
      </c>
      <c r="S18" s="158">
        <f t="shared" si="17"/>
        <v>10</v>
      </c>
      <c r="T18" s="158">
        <f t="shared" si="17"/>
        <v>21</v>
      </c>
      <c r="U18" s="158">
        <f t="shared" si="17"/>
        <v>28</v>
      </c>
      <c r="V18" s="158">
        <f t="shared" si="17"/>
        <v>17</v>
      </c>
      <c r="W18" s="158">
        <f t="shared" si="17"/>
        <v>20</v>
      </c>
      <c r="X18" s="158">
        <f t="shared" si="17"/>
        <v>10</v>
      </c>
      <c r="Y18" s="158">
        <f t="shared" si="17"/>
        <v>14</v>
      </c>
      <c r="Z18" s="158">
        <f t="shared" si="17"/>
        <v>23</v>
      </c>
      <c r="AA18" s="158">
        <f t="shared" si="17"/>
        <v>20</v>
      </c>
      <c r="AB18" s="158">
        <f t="shared" si="17"/>
        <v>20</v>
      </c>
      <c r="AC18" s="158">
        <f t="shared" si="17"/>
        <v>17</v>
      </c>
      <c r="AD18" s="158">
        <f t="shared" si="17"/>
        <v>28</v>
      </c>
      <c r="AE18" s="158">
        <f t="shared" si="17"/>
        <v>21</v>
      </c>
      <c r="AF18" s="158">
        <f t="shared" si="17"/>
        <v>20</v>
      </c>
      <c r="AG18" s="158">
        <f t="shared" si="17"/>
        <v>17</v>
      </c>
      <c r="AH18" s="158">
        <f t="shared" si="17"/>
        <v>24</v>
      </c>
      <c r="AI18" s="158">
        <f t="shared" si="17"/>
        <v>21</v>
      </c>
      <c r="AJ18" s="158">
        <f t="shared" si="17"/>
        <v>23</v>
      </c>
      <c r="AK18" s="158">
        <f t="shared" si="17"/>
        <v>20</v>
      </c>
      <c r="AL18" s="158">
        <f t="shared" si="17"/>
        <v>21</v>
      </c>
      <c r="AM18" s="158">
        <f t="shared" si="17"/>
        <v>17</v>
      </c>
      <c r="AN18" s="158">
        <f t="shared" si="17"/>
        <v>24</v>
      </c>
      <c r="AO18" s="158">
        <f t="shared" si="17"/>
        <v>21</v>
      </c>
      <c r="AP18" s="158">
        <f t="shared" si="17"/>
        <v>27</v>
      </c>
      <c r="AQ18" s="158">
        <f t="shared" si="17"/>
        <v>24</v>
      </c>
      <c r="AR18" s="158">
        <f t="shared" si="17"/>
        <v>21</v>
      </c>
      <c r="AS18" s="158">
        <f t="shared" si="17"/>
        <v>24</v>
      </c>
      <c r="AT18" s="158">
        <f t="shared" si="17"/>
        <v>24</v>
      </c>
      <c r="AU18" s="158">
        <f t="shared" si="17"/>
        <v>27</v>
      </c>
      <c r="AV18" s="158">
        <f t="shared" si="17"/>
        <v>0</v>
      </c>
      <c r="AW18" s="158">
        <f t="shared" si="17"/>
        <v>0</v>
      </c>
      <c r="AX18" s="158">
        <f t="shared" si="17"/>
        <v>17</v>
      </c>
      <c r="AY18" s="158">
        <f t="shared" si="17"/>
        <v>20</v>
      </c>
      <c r="AZ18" s="158">
        <f t="shared" si="17"/>
        <v>20</v>
      </c>
      <c r="BA18" s="158">
        <f t="shared" si="17"/>
        <v>23</v>
      </c>
      <c r="BB18" s="158">
        <f t="shared" si="17"/>
        <v>21</v>
      </c>
      <c r="BC18" s="158">
        <f t="shared" si="17"/>
        <v>24</v>
      </c>
      <c r="BD18" s="158">
        <f t="shared" si="17"/>
        <v>20</v>
      </c>
      <c r="BE18" s="158">
        <f t="shared" si="17"/>
        <v>17</v>
      </c>
      <c r="BF18" s="158">
        <f t="shared" si="17"/>
        <v>20</v>
      </c>
      <c r="BG18" s="158">
        <f t="shared" si="17"/>
        <v>23</v>
      </c>
      <c r="BH18" s="158">
        <f t="shared" si="17"/>
        <v>28</v>
      </c>
      <c r="BI18" s="158">
        <f t="shared" si="17"/>
        <v>21</v>
      </c>
      <c r="BJ18" s="158">
        <f t="shared" si="17"/>
        <v>21</v>
      </c>
      <c r="BK18" s="158">
        <f t="shared" si="17"/>
        <v>28</v>
      </c>
      <c r="BL18" s="158">
        <f t="shared" si="17"/>
        <v>17</v>
      </c>
      <c r="BM18" s="158">
        <f t="shared" si="17"/>
        <v>21</v>
      </c>
    </row>
    <row r="19">
      <c r="A19" s="157" t="s">
        <v>207</v>
      </c>
      <c r="B19" s="158">
        <f t="shared" ref="B19:BM19" si="18">IFERROR(LET(team, SUBSTITUTE(SUBSTITUTE(SUBSTITUTE(B$1," PF","")," PA",""),"WSH","WAS"), isPF, RIGHT(B$1,2)="PF", awayMatch, team &amp; " @*", homeMatch, "*@ " &amp; team, awayScore, SUMIF(INDIRECT("'" &amp; $A19 &amp; "'!$B:$B"), awayMatch, INDIRECT("'" &amp; $A19 &amp; "'!$E:$E")), homeScore, SUMIF(INDIRECT("'" &amp; $A19 &amp; "'!$B:$B"), homeMatch, INDIRECT("'" &amp; $A19 &amp; "'!$F:$F")), awayPA, SUMIF(INDIRECT("'" &amp; $A19 &amp; "'!$B:$B"), awayMatch, INDIRECT("'" &amp; $A19 &amp; "'!$F:$F")), homePA, SUMIF(INDIRECT("'" &amp; $A19 &amp; "'!$B:$B"), homeMatch, INDIRECT("'" &amp; $A19 &amp; "'!$E:$E")), IF(isPF, awayScore + homeScore, awayPA + homePA)), 0)</f>
        <v>27</v>
      </c>
      <c r="C19" s="158">
        <f t="shared" si="18"/>
        <v>24</v>
      </c>
      <c r="D19" s="158">
        <f t="shared" si="18"/>
        <v>24</v>
      </c>
      <c r="E19" s="158">
        <f t="shared" si="18"/>
        <v>27</v>
      </c>
      <c r="F19" s="158">
        <f t="shared" si="18"/>
        <v>21</v>
      </c>
      <c r="G19" s="158">
        <f t="shared" si="18"/>
        <v>24</v>
      </c>
      <c r="H19" s="158">
        <f t="shared" si="18"/>
        <v>24</v>
      </c>
      <c r="I19" s="158">
        <f t="shared" si="18"/>
        <v>21</v>
      </c>
      <c r="J19" s="158">
        <f t="shared" si="18"/>
        <v>14</v>
      </c>
      <c r="K19" s="158">
        <f t="shared" si="18"/>
        <v>10</v>
      </c>
      <c r="L19" s="158">
        <f t="shared" si="18"/>
        <v>17</v>
      </c>
      <c r="M19" s="158">
        <f t="shared" si="18"/>
        <v>20</v>
      </c>
      <c r="N19" s="158">
        <f t="shared" si="18"/>
        <v>10</v>
      </c>
      <c r="O19" s="158">
        <f t="shared" si="18"/>
        <v>14</v>
      </c>
      <c r="P19" s="158">
        <f t="shared" si="18"/>
        <v>20</v>
      </c>
      <c r="Q19" s="158">
        <f t="shared" si="18"/>
        <v>17</v>
      </c>
      <c r="R19" s="158">
        <f t="shared" si="18"/>
        <v>14</v>
      </c>
      <c r="S19" s="158">
        <f t="shared" si="18"/>
        <v>10</v>
      </c>
      <c r="T19" s="158">
        <f t="shared" si="18"/>
        <v>14</v>
      </c>
      <c r="U19" s="158">
        <f t="shared" si="18"/>
        <v>17</v>
      </c>
      <c r="V19" s="158">
        <f t="shared" si="18"/>
        <v>10</v>
      </c>
      <c r="W19" s="158">
        <f t="shared" si="18"/>
        <v>14</v>
      </c>
      <c r="X19" s="158">
        <f t="shared" si="18"/>
        <v>17</v>
      </c>
      <c r="Y19" s="158">
        <f t="shared" si="18"/>
        <v>14</v>
      </c>
      <c r="Z19" s="158">
        <f t="shared" si="18"/>
        <v>28</v>
      </c>
      <c r="AA19" s="158">
        <f t="shared" si="18"/>
        <v>21</v>
      </c>
      <c r="AB19" s="158">
        <f t="shared" si="18"/>
        <v>24</v>
      </c>
      <c r="AC19" s="158">
        <f t="shared" si="18"/>
        <v>21</v>
      </c>
      <c r="AD19" s="158">
        <f t="shared" si="18"/>
        <v>21</v>
      </c>
      <c r="AE19" s="158">
        <f t="shared" si="18"/>
        <v>24</v>
      </c>
      <c r="AF19" s="158">
        <f t="shared" si="18"/>
        <v>21</v>
      </c>
      <c r="AG19" s="158">
        <f t="shared" si="18"/>
        <v>28</v>
      </c>
      <c r="AH19" s="158">
        <f t="shared" si="18"/>
        <v>17</v>
      </c>
      <c r="AI19" s="158">
        <f t="shared" si="18"/>
        <v>14</v>
      </c>
      <c r="AJ19" s="158">
        <f t="shared" si="18"/>
        <v>24</v>
      </c>
      <c r="AK19" s="158">
        <f t="shared" si="18"/>
        <v>31</v>
      </c>
      <c r="AL19" s="158">
        <f t="shared" si="18"/>
        <v>31</v>
      </c>
      <c r="AM19" s="158">
        <f t="shared" si="18"/>
        <v>24</v>
      </c>
      <c r="AN19" s="158">
        <f t="shared" si="18"/>
        <v>14</v>
      </c>
      <c r="AO19" s="158">
        <f t="shared" si="18"/>
        <v>17</v>
      </c>
      <c r="AP19" s="158">
        <f t="shared" si="18"/>
        <v>14</v>
      </c>
      <c r="AQ19" s="158">
        <f t="shared" si="18"/>
        <v>10</v>
      </c>
      <c r="AR19" s="158">
        <f t="shared" si="18"/>
        <v>14</v>
      </c>
      <c r="AS19" s="158">
        <f t="shared" si="18"/>
        <v>10</v>
      </c>
      <c r="AT19" s="158">
        <f t="shared" si="18"/>
        <v>10</v>
      </c>
      <c r="AU19" s="158">
        <f t="shared" si="18"/>
        <v>14</v>
      </c>
      <c r="AV19" s="158">
        <f t="shared" si="18"/>
        <v>0</v>
      </c>
      <c r="AW19" s="158">
        <f t="shared" si="18"/>
        <v>0</v>
      </c>
      <c r="AX19" s="158">
        <f t="shared" si="18"/>
        <v>27</v>
      </c>
      <c r="AY19" s="158">
        <f t="shared" si="18"/>
        <v>24</v>
      </c>
      <c r="AZ19" s="158">
        <f t="shared" si="18"/>
        <v>24</v>
      </c>
      <c r="BA19" s="158">
        <f t="shared" si="18"/>
        <v>27</v>
      </c>
      <c r="BB19" s="158">
        <f t="shared" si="18"/>
        <v>21</v>
      </c>
      <c r="BC19" s="158">
        <f t="shared" si="18"/>
        <v>24</v>
      </c>
      <c r="BD19" s="158">
        <f t="shared" si="18"/>
        <v>24</v>
      </c>
      <c r="BE19" s="158">
        <f t="shared" si="18"/>
        <v>21</v>
      </c>
      <c r="BF19" s="158">
        <f t="shared" si="18"/>
        <v>17</v>
      </c>
      <c r="BG19" s="158">
        <f t="shared" si="18"/>
        <v>21</v>
      </c>
      <c r="BH19" s="158">
        <f t="shared" si="18"/>
        <v>21</v>
      </c>
      <c r="BI19" s="158">
        <f t="shared" si="18"/>
        <v>17</v>
      </c>
      <c r="BJ19" s="158">
        <f t="shared" si="18"/>
        <v>24</v>
      </c>
      <c r="BK19" s="158">
        <f t="shared" si="18"/>
        <v>21</v>
      </c>
      <c r="BL19" s="158">
        <f t="shared" si="18"/>
        <v>21</v>
      </c>
      <c r="BM19" s="158">
        <f t="shared" si="18"/>
        <v>24</v>
      </c>
    </row>
    <row r="20">
      <c r="A20" s="227" t="s">
        <v>705</v>
      </c>
      <c r="B20" s="228">
        <f t="shared" ref="B20:BM20" si="19">SUM(B2:B19)</f>
        <v>354</v>
      </c>
      <c r="C20" s="228">
        <f t="shared" si="19"/>
        <v>339</v>
      </c>
      <c r="D20" s="228">
        <f t="shared" si="19"/>
        <v>360</v>
      </c>
      <c r="E20" s="228">
        <f t="shared" si="19"/>
        <v>367</v>
      </c>
      <c r="F20" s="228">
        <f t="shared" si="19"/>
        <v>384</v>
      </c>
      <c r="G20" s="228">
        <f t="shared" si="19"/>
        <v>362</v>
      </c>
      <c r="H20" s="228">
        <f t="shared" si="19"/>
        <v>354</v>
      </c>
      <c r="I20" s="228">
        <f t="shared" si="19"/>
        <v>361</v>
      </c>
      <c r="J20" s="228">
        <f t="shared" si="19"/>
        <v>389</v>
      </c>
      <c r="K20" s="228">
        <f t="shared" si="19"/>
        <v>345</v>
      </c>
      <c r="L20" s="228">
        <f t="shared" si="19"/>
        <v>304</v>
      </c>
      <c r="M20" s="228">
        <f t="shared" si="19"/>
        <v>356</v>
      </c>
      <c r="N20" s="228">
        <f t="shared" si="19"/>
        <v>339</v>
      </c>
      <c r="O20" s="228">
        <f t="shared" si="19"/>
        <v>375</v>
      </c>
      <c r="P20" s="228">
        <f t="shared" si="19"/>
        <v>367</v>
      </c>
      <c r="Q20" s="228">
        <f t="shared" si="19"/>
        <v>333</v>
      </c>
      <c r="R20" s="228">
        <f t="shared" si="19"/>
        <v>321</v>
      </c>
      <c r="S20" s="228">
        <f t="shared" si="19"/>
        <v>306</v>
      </c>
      <c r="T20" s="228">
        <f t="shared" si="19"/>
        <v>341</v>
      </c>
      <c r="U20" s="228">
        <f t="shared" si="19"/>
        <v>372</v>
      </c>
      <c r="V20" s="228">
        <f t="shared" si="19"/>
        <v>318</v>
      </c>
      <c r="W20" s="228">
        <f t="shared" si="19"/>
        <v>326</v>
      </c>
      <c r="X20" s="228">
        <f t="shared" si="19"/>
        <v>327</v>
      </c>
      <c r="Y20" s="228">
        <f t="shared" si="19"/>
        <v>322</v>
      </c>
      <c r="Z20" s="228">
        <f t="shared" si="19"/>
        <v>386</v>
      </c>
      <c r="AA20" s="228">
        <f t="shared" si="19"/>
        <v>364</v>
      </c>
      <c r="AB20" s="228">
        <f t="shared" si="19"/>
        <v>335</v>
      </c>
      <c r="AC20" s="228">
        <f t="shared" si="19"/>
        <v>323</v>
      </c>
      <c r="AD20" s="228">
        <f t="shared" si="19"/>
        <v>347</v>
      </c>
      <c r="AE20" s="228">
        <f t="shared" si="19"/>
        <v>367</v>
      </c>
      <c r="AF20" s="228">
        <f t="shared" si="19"/>
        <v>342</v>
      </c>
      <c r="AG20" s="228">
        <f t="shared" si="19"/>
        <v>393</v>
      </c>
      <c r="AH20" s="228">
        <f t="shared" si="19"/>
        <v>333</v>
      </c>
      <c r="AI20" s="228">
        <f t="shared" si="19"/>
        <v>319</v>
      </c>
      <c r="AJ20" s="228">
        <f t="shared" si="19"/>
        <v>345</v>
      </c>
      <c r="AK20" s="228">
        <f t="shared" si="19"/>
        <v>307</v>
      </c>
      <c r="AL20" s="228">
        <f t="shared" si="19"/>
        <v>371</v>
      </c>
      <c r="AM20" s="228">
        <f t="shared" si="19"/>
        <v>340</v>
      </c>
      <c r="AN20" s="228">
        <f t="shared" si="19"/>
        <v>330</v>
      </c>
      <c r="AO20" s="228">
        <f t="shared" si="19"/>
        <v>370</v>
      </c>
      <c r="AP20" s="228">
        <f t="shared" si="19"/>
        <v>342</v>
      </c>
      <c r="AQ20" s="228">
        <f t="shared" si="19"/>
        <v>322</v>
      </c>
      <c r="AR20" s="228">
        <f t="shared" si="19"/>
        <v>351</v>
      </c>
      <c r="AS20" s="228">
        <f t="shared" si="19"/>
        <v>313</v>
      </c>
      <c r="AT20" s="228">
        <f t="shared" si="19"/>
        <v>298</v>
      </c>
      <c r="AU20" s="228">
        <f t="shared" si="19"/>
        <v>335</v>
      </c>
      <c r="AV20" s="228">
        <f t="shared" si="19"/>
        <v>0</v>
      </c>
      <c r="AW20" s="228">
        <f t="shared" si="19"/>
        <v>0</v>
      </c>
      <c r="AX20" s="228">
        <f t="shared" si="19"/>
        <v>375</v>
      </c>
      <c r="AY20" s="228">
        <f t="shared" si="19"/>
        <v>360</v>
      </c>
      <c r="AZ20" s="228">
        <f t="shared" si="19"/>
        <v>357</v>
      </c>
      <c r="BA20" s="228">
        <f t="shared" si="19"/>
        <v>354</v>
      </c>
      <c r="BB20" s="228">
        <f t="shared" si="19"/>
        <v>321</v>
      </c>
      <c r="BC20" s="228">
        <f t="shared" si="19"/>
        <v>323</v>
      </c>
      <c r="BD20" s="228">
        <f t="shared" si="19"/>
        <v>377</v>
      </c>
      <c r="BE20" s="228">
        <f t="shared" si="19"/>
        <v>352</v>
      </c>
      <c r="BF20" s="228">
        <f t="shared" si="19"/>
        <v>330</v>
      </c>
      <c r="BG20" s="228">
        <f t="shared" si="19"/>
        <v>339</v>
      </c>
      <c r="BH20" s="228">
        <f t="shared" si="19"/>
        <v>341</v>
      </c>
      <c r="BI20" s="228">
        <f t="shared" si="19"/>
        <v>330</v>
      </c>
      <c r="BJ20" s="228">
        <f t="shared" si="19"/>
        <v>340</v>
      </c>
      <c r="BK20" s="228">
        <f t="shared" si="19"/>
        <v>347</v>
      </c>
      <c r="BL20" s="228">
        <f t="shared" si="19"/>
        <v>300</v>
      </c>
      <c r="BM20" s="228">
        <f t="shared" si="19"/>
        <v>332</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58" t="str">
        <f t="shared" ref="B2:B3" si="1">LET(team, SUBSTITUTE(B$1, " Wins", ""), IF(COUNTIF(INDIRECT("'"&amp;$A2&amp;"'!$C:$C"), team)&gt;0, 1, "-"))</f>
        <v>-</v>
      </c>
      <c r="C2" s="158">
        <f t="shared" ref="C2:C3" si="2">LET(team, SUBSTITUTE(C$1, " Losses", ""), weekSheet, "'"&amp;$A2&amp;"'!", matchIdx, MATCH("*"&amp;team&amp;"*", INDIRECT(weekSheet&amp;"$B:$B"), 0), IF(ISNA(matchIdx), "-", LET(winner, INDEX(INDIRECT(weekSheet&amp;"$C:$C"), matchIdx), IF(winner="", "-", IF(winner=team, "-", 1)))))</f>
        <v>1</v>
      </c>
      <c r="D2" s="158">
        <f t="array" ref="D2">LET(team, SUBSTITUTE(D$1, " Wins", ""), IF(COUNTIF(INDIRECT("'"&amp;$A2&amp;"'!$C:$C"), team)&gt;0, 1, "-"))</f>
        <v>1</v>
      </c>
      <c r="E2" s="158" t="str">
        <f t="array" ref="E2">LET(team, SUBSTITUTE(E$1, " Losses", ""), weekSheet, "'"&amp;$A2&amp;"'!", matchIdx, MATCH("*"&amp;team&amp;"*", INDIRECT(weekSheet&amp;"$B:$B"), 0), IF(ISNA(matchIdx), "-", LET(winner, INDEX(INDIRECT(weekSheet&amp;"$C:$C"), matchIdx), IF(winner="", "-", IF(winner=team, "-", 1)))))</f>
        <v>-</v>
      </c>
      <c r="F2" s="160"/>
      <c r="G2" s="160"/>
      <c r="H2" s="158">
        <f t="shared" ref="H2:H3" si="3">LET(team, SUBSTITUTE(H$1, " Wins", ""), IF(COUNTIF(INDIRECT("'"&amp;$A2&amp;"'!$C:$C"), team)&gt;0, 1, "-"))</f>
        <v>1</v>
      </c>
      <c r="I2" s="158" t="str">
        <f t="shared" ref="I2:I3" si="4">LET(team, SUBSTITUTE(I$1, " Losses", ""), weekSheet, "'"&amp;$A2&amp;"'!", matchIdx, MATCH("*"&amp;team&amp;"*", INDIRECT(weekSheet&amp;"$B:$B"), 0), IF(ISNA(matchIdx), "-", LET(winner, INDEX(INDIRECT(weekSheet&amp;"$C:$C"), matchIdx), IF(winner="", "-", IF(winner=team, "-", 1)))))</f>
        <v>-</v>
      </c>
      <c r="J2" s="160"/>
      <c r="K2" s="160"/>
      <c r="L2" s="160"/>
      <c r="M2" s="160"/>
      <c r="N2" s="160"/>
      <c r="O2" s="160"/>
      <c r="P2" s="160"/>
      <c r="Q2" s="160"/>
      <c r="R2" s="160"/>
      <c r="S2" s="160"/>
      <c r="T2" s="160"/>
      <c r="U2" s="160"/>
      <c r="V2" s="158">
        <f t="array" ref="V2">LET(team, SUBSTITUTE(V$1, " Wins", ""), IF(COUNTIF(INDIRECT("'"&amp;$A2&amp;"'!$C:$C"), team)&gt;0, 1, "-"))</f>
        <v>1</v>
      </c>
      <c r="W2" s="158" t="str">
        <f t="array" ref="W2">LET(team, SUBSTITUTE(W$1, " Losses", ""), weekSheet, "'"&amp;$A2&amp;"'!", matchIdx, MATCH("*"&amp;team&amp;"*", INDIRECT(weekSheet&amp;"$B:$B"), 0), IF(ISNA(matchIdx), "-", LET(winner, INDEX(INDIRECT(weekSheet&amp;"$C:$C"), matchIdx), IF(winner="", "-", IF(winner=team, "-", 1)))))</f>
        <v>-</v>
      </c>
      <c r="X2" s="158">
        <f t="array" ref="X2">LET(team, SUBSTITUTE(X$1, " Wins", ""), IF(COUNTIF(INDIRECT("'"&amp;$A2&amp;"'!$C:$C"), team)&gt;0, 1, "-"))</f>
        <v>1</v>
      </c>
      <c r="Y2" s="158" t="str">
        <f t="array" ref="Y2">LET(team, SUBSTITUTE(Y$1, " Losses", ""), weekSheet, "'"&amp;$A2&amp;"'!", matchIdx, MATCH("*"&amp;team&amp;"*", INDIRECT(weekSheet&amp;"$B:$B"), 0), IF(ISNA(matchIdx), "-", LET(winner, INDEX(INDIRECT(weekSheet&amp;"$C:$C"), matchIdx), IF(winner="", "-", IF(winner=team, "-", 1)))))</f>
        <v>-</v>
      </c>
      <c r="Z2" s="158" t="str">
        <f t="shared" ref="Z2:Z3" si="5">LET(team, SUBSTITUTE(Z$1, " Wins", ""), IF(COUNTIF(INDIRECT("'"&amp;$A2&amp;"'!$C:$C"), team)&gt;0, 1, "-"))</f>
        <v>-</v>
      </c>
      <c r="AA2" s="158">
        <f t="shared" ref="AA2:AA3" si="6">LET(team, SUBSTITUTE(AA$1, " Losses", ""), weekSheet, "'"&amp;$A2&amp;"'!", matchIdx, MATCH("*"&amp;team&amp;"*", INDIRECT(weekSheet&amp;"$B:$B"), 0), IF(ISNA(matchIdx), "-", LET(winner, INDEX(INDIRECT(weekSheet&amp;"$C:$C"), matchIdx), IF(winner="", "-", IF(winner=team, "-", 1)))))</f>
        <v>1</v>
      </c>
      <c r="AB2" s="158">
        <f t="array" ref="AB2">LET(team, SUBSTITUTE(AB$1, " Wins", ""), IF(COUNTIF(INDIRECT("'"&amp;$A2&amp;"'!$C:$C"), team)&gt;0, 1, "-"))</f>
        <v>1</v>
      </c>
      <c r="AC2" s="158" t="str">
        <f t="array" ref="AC2">LET(team, SUBSTITUTE(AC$1, " Losses", ""), weekSheet, "'"&amp;$A2&amp;"'!", matchIdx, MATCH("*"&amp;team&amp;"*", INDIRECT(weekSheet&amp;"$B:$B"), 0), IF(ISNA(matchIdx), "-", LET(winner, INDEX(INDIRECT(weekSheet&amp;"$C:$C"), matchIdx), IF(winner="", "-", IF(winner=team, "-", 1)))))</f>
        <v>-</v>
      </c>
      <c r="AD2" s="158" t="str">
        <f t="array" ref="AD2">LET(team, SUBSTITUTE(AD$1, " Wins", ""), IF(COUNTIF(INDIRECT("'"&amp;$A2&amp;"'!$C:$C"), team)&gt;0, 1, "-"))</f>
        <v>-</v>
      </c>
      <c r="AE2" s="158">
        <f t="array" ref="AE2">LET(team, SUBSTITUTE(AE$1, " Losses", ""), weekSheet, "'"&amp;$A2&amp;"'!", matchIdx, MATCH("*"&amp;team&amp;"*", INDIRECT(weekSheet&amp;"$B:$B"), 0), IF(ISNA(matchIdx), "-", LET(winner, INDEX(INDIRECT(weekSheet&amp;"$C:$C"), matchIdx), IF(winner="", "-", IF(winner=team, "-", 1)))))</f>
        <v>1</v>
      </c>
      <c r="AF2" s="158">
        <f t="shared" ref="AF2:AF3" si="7">LET(team, SUBSTITUTE(AF$1, " Wins", ""), IF(COUNTIF(INDIRECT("'"&amp;$A2&amp;"'!$C:$C"), team)&gt;0, 1, "-"))</f>
        <v>1</v>
      </c>
      <c r="AG2" s="158" t="str">
        <f t="shared" ref="AG2:AG3" si="8">LET(team, SUBSTITUTE(AG$1, " Losses", ""), weekSheet, "'"&amp;$A2&amp;"'!", matchIdx, MATCH("*"&amp;team&amp;"*", INDIRECT(weekSheet&amp;"$B:$B"), 0), IF(ISNA(matchIdx), "-", LET(winner, INDEX(INDIRECT(weekSheet&amp;"$C:$C"), matchIdx), IF(winner="", "-", IF(winner=team, "-", 1)))))</f>
        <v>-</v>
      </c>
      <c r="AH2" s="160"/>
      <c r="AI2" s="160"/>
      <c r="AJ2" s="158">
        <f t="shared" ref="AJ2:AJ3" si="9">LET(team, SUBSTITUTE(AJ$1, " Wins", ""), IF(COUNTIF(INDIRECT("'"&amp;$A2&amp;"'!$C:$C"), team)&gt;0, 1, "-"))</f>
        <v>1</v>
      </c>
      <c r="AK2" s="158" t="str">
        <f t="shared" ref="AK2:AK3" si="10">LET(team, SUBSTITUTE(AK$1, " Losses", ""), weekSheet, "'"&amp;$A2&amp;"'!", matchIdx, MATCH("*"&amp;team&amp;"*", INDIRECT(weekSheet&amp;"$B:$B"), 0), IF(ISNA(matchIdx), "-", LET(winner, INDEX(INDIRECT(weekSheet&amp;"$C:$C"), matchIdx), IF(winner="", "-", IF(winner=team, "-", 1)))))</f>
        <v>-</v>
      </c>
      <c r="AL2" s="158">
        <f t="array" ref="AL2">LET(team, SUBSTITUTE(AL$1, " Wins", ""), IF(COUNTIF(INDIRECT("'"&amp;$A2&amp;"'!$C:$C"), team)&gt;0, 1, "-"))</f>
        <v>1</v>
      </c>
      <c r="AM2" s="158" t="str">
        <f t="array" ref="AM2">LET(team, SUBSTITUTE(AM$1, " Losses", ""), weekSheet, "'"&amp;$A2&amp;"'!", matchIdx, MATCH("*"&amp;team&amp;"*", INDIRECT(weekSheet&amp;"$B:$B"), 0), IF(ISNA(matchIdx), "-", LET(winner, INDEX(INDIRECT(weekSheet&amp;"$C:$C"), matchIdx), IF(winner="", "-", IF(winner=team, "-", 1)))))</f>
        <v>-</v>
      </c>
      <c r="AN2" s="160"/>
      <c r="AO2" s="160"/>
      <c r="AP2" s="160"/>
      <c r="AQ2" s="160"/>
      <c r="AR2" s="158">
        <f t="array" ref="AR2">LET(team, SUBSTITUTE(AR$1, " Wins", ""), IF(COUNTIF(INDIRECT("'"&amp;$A2&amp;"'!$C:$C"), team)&gt;0, 1, "-"))</f>
        <v>1</v>
      </c>
      <c r="AS2" s="158" t="str">
        <f t="array" ref="AS2">LET(team, SUBSTITUTE(AS$1, " Losses", ""), weekSheet, "'"&amp;$A2&amp;"'!", matchIdx, MATCH("*"&amp;team&amp;"*", INDIRECT(weekSheet&amp;"$B:$B"), 0), IF(ISNA(matchIdx), "-", LET(winner, INDEX(INDIRECT(weekSheet&amp;"$C:$C"), matchIdx), IF(winner="", "-", IF(winner=team, "-", 1)))))</f>
        <v>-</v>
      </c>
      <c r="AT2" s="158" t="str">
        <f t="array" ref="AT2">LET(team, SUBSTITUTE(AT$1, " Wins", ""), IF(COUNTIF(INDIRECT("'"&amp;$A2&amp;"'!$C:$C"), team)&gt;0, 1, "-"))</f>
        <v>-</v>
      </c>
      <c r="AU2" s="158">
        <f t="array" ref="AU2">LET(team, SUBSTITUTE(AU$1, " Losses", ""), weekSheet, "'"&amp;$A2&amp;"'!", matchIdx, MATCH("*"&amp;team&amp;"*", INDIRECT(weekSheet&amp;"$B:$B"), 0), IF(ISNA(matchIdx), "-", LET(winner, INDEX(INDIRECT(weekSheet&amp;"$C:$C"), matchIdx), IF(winner="", "-", IF(winner=team, "-", 1)))))</f>
        <v>1</v>
      </c>
      <c r="AV2" s="160"/>
      <c r="AW2" s="160"/>
      <c r="AX2" s="158">
        <f t="array" ref="AX2">LET(team, SUBSTITUTE(AX$1, " Wins", ""), IF(COUNTIF(INDIRECT("'"&amp;$A2&amp;"'!$C:$C"), team)&gt;0, 1, "-"))</f>
        <v>1</v>
      </c>
      <c r="AY2" s="158" t="str">
        <f t="array" ref="AY2">LET(team, SUBSTITUTE(AY$1, " Losses", ""), weekSheet, "'"&amp;$A2&amp;"'!", matchIdx, MATCH("*"&amp;team&amp;"*", INDIRECT(weekSheet&amp;"$B:$B"), 0), IF(ISNA(matchIdx), "-", LET(winner, INDEX(INDIRECT(weekSheet&amp;"$C:$C"), matchIdx), IF(winner="", "-", IF(winner=team, "-", 1)))))</f>
        <v>-</v>
      </c>
      <c r="AZ2" s="160"/>
      <c r="BA2" s="160"/>
      <c r="BB2" s="158">
        <f t="array" ref="BB2">LET(team, SUBSTITUTE(BB$1, " Wins", ""), IF(COUNTIF(INDIRECT("'"&amp;$A2&amp;"'!$C:$C"), team)&gt;0, 1, "-"))</f>
        <v>1</v>
      </c>
      <c r="BC2" s="158" t="str">
        <f t="array" ref="BC2">LET(team, SUBSTITUTE(BC$1, " Losses", ""), weekSheet, "'"&amp;$A2&amp;"'!", matchIdx, MATCH("*"&amp;team&amp;"*", INDIRECT(weekSheet&amp;"$B:$B"), 0), IF(ISNA(matchIdx), "-", LET(winner, INDEX(INDIRECT(weekSheet&amp;"$C:$C"), matchIdx), IF(winner="", "-", IF(winner=team, "-", 1)))))</f>
        <v>-</v>
      </c>
      <c r="BD2" s="160"/>
      <c r="BE2" s="160"/>
      <c r="BF2" s="160"/>
      <c r="BG2" s="160"/>
      <c r="BH2" s="160"/>
      <c r="BI2" s="160"/>
      <c r="BJ2" s="160"/>
      <c r="BK2" s="160"/>
      <c r="BL2" s="158" t="str">
        <f t="array" ref="BL2">LET(team, SUBSTITUTE(BL$1, " Wins", ""), IF(COUNTIF(INDIRECT("'"&amp;$A2&amp;"'!$C:$C"), team)&gt;0, 1, "-"))</f>
        <v>-</v>
      </c>
      <c r="BM2" s="158">
        <f t="array" ref="BM2">LET(team, SUBSTITUTE(BM$1, " Losses", ""), weekSheet, "'"&amp;$A2&amp;"'!", matchIdx, MATCH("*"&amp;team&amp;"*", INDIRECT(weekSheet&amp;"$B:$B"), 0), IF(ISNA(matchIdx), "-", LET(winner, INDEX(INDIRECT(weekSheet&amp;"$C:$C"), matchIdx), IF(winner="", "-", IF(winner=team, "-", 1)))))</f>
        <v>1</v>
      </c>
    </row>
    <row r="3">
      <c r="A3" s="157" t="s">
        <v>119</v>
      </c>
      <c r="B3" s="158" t="str">
        <f t="shared" si="1"/>
        <v>-</v>
      </c>
      <c r="C3" s="158">
        <f t="shared" si="2"/>
        <v>1</v>
      </c>
      <c r="D3" s="160"/>
      <c r="E3" s="160"/>
      <c r="F3" s="158">
        <f t="shared" ref="F3:F4" si="11">LET(team, SUBSTITUTE(F$1, " Wins", ""), IF(COUNTIF(INDIRECT("'"&amp;$A3&amp;"'!$C:$C"), team)&gt;0, 1, "-"))</f>
        <v>1</v>
      </c>
      <c r="G3" s="158" t="str">
        <f t="shared" ref="G3:G4" si="12">LET(team, SUBSTITUTE(G$1, " Losses", ""), weekSheet, "'"&amp;$A3&amp;"'!", matchIdx, MATCH("*"&amp;team&amp;"*", INDIRECT(weekSheet&amp;"$B:$B"), 0), IF(ISNA(matchIdx), "-", LET(winner, INDEX(INDIRECT(weekSheet&amp;"$C:$C"), matchIdx), IF(winner="", "-", IF(winner=team, "-", 1)))))</f>
        <v>-</v>
      </c>
      <c r="H3" s="158">
        <f t="shared" si="3"/>
        <v>1</v>
      </c>
      <c r="I3" s="158" t="str">
        <f t="shared" si="4"/>
        <v>-</v>
      </c>
      <c r="J3" s="158">
        <f t="shared" ref="J3:J5" si="13">LET(team, SUBSTITUTE(J$1, " Wins", ""), IF(COUNTIF(INDIRECT("'"&amp;$A3&amp;"'!$C:$C"), team)&gt;0, 1, "-"))</f>
        <v>1</v>
      </c>
      <c r="K3" s="158" t="str">
        <f t="shared" ref="K3:K5" si="14">LET(team, SUBSTITUTE(K$1, " Losses", ""), weekSheet, "'"&amp;$A3&amp;"'!", matchIdx, MATCH("*"&amp;team&amp;"*", INDIRECT(weekSheet&amp;"$B:$B"), 0), IF(ISNA(matchIdx), "-", LET(winner, INDEX(INDIRECT(weekSheet&amp;"$C:$C"), matchIdx), IF(winner="", "-", IF(winner=team, "-", 1)))))</f>
        <v>-</v>
      </c>
      <c r="L3" s="160"/>
      <c r="M3" s="160"/>
      <c r="N3" s="158" t="str">
        <f t="array" ref="N3">LET(team, SUBSTITUTE(N$1, " Wins", ""), IF(COUNTIF(INDIRECT("'"&amp;$A3&amp;"'!$C:$C"), team)&gt;0, 1, "-"))</f>
        <v>-</v>
      </c>
      <c r="O3" s="158">
        <f t="array" ref="O3">LET(team, SUBSTITUTE(O$1, " Losses", ""), weekSheet, "'"&amp;$A3&amp;"'!", matchIdx, MATCH("*"&amp;team&amp;"*", INDIRECT(weekSheet&amp;"$B:$B"), 0), IF(ISNA(matchIdx), "-", LET(winner, INDEX(INDIRECT(weekSheet&amp;"$C:$C"), matchIdx), IF(winner="", "-", IF(winner=team, "-", 1)))))</f>
        <v>1</v>
      </c>
      <c r="P3" s="158" t="str">
        <f t="array" ref="P3">LET(team, SUBSTITUTE(P$1, " Wins", ""), IF(COUNTIF(INDIRECT("'"&amp;$A3&amp;"'!$C:$C"), team)&gt;0, 1, "-"))</f>
        <v>-</v>
      </c>
      <c r="Q3" s="158">
        <f t="array" ref="Q3">LET(team, SUBSTITUTE(Q$1, " Losses", ""), weekSheet, "'"&amp;$A3&amp;"'!", matchIdx, MATCH("*"&amp;team&amp;"*", INDIRECT(weekSheet&amp;"$B:$B"), 0), IF(ISNA(matchIdx), "-", LET(winner, INDEX(INDIRECT(weekSheet&amp;"$C:$C"), matchIdx), IF(winner="", "-", IF(winner=team, "-", 1)))))</f>
        <v>1</v>
      </c>
      <c r="R3" s="158">
        <f t="array" ref="R3">LET(team, SUBSTITUTE(R$1, " Wins", ""), IF(COUNTIF(INDIRECT("'"&amp;$A3&amp;"'!$C:$C"), team)&gt;0, 1, "-"))</f>
        <v>1</v>
      </c>
      <c r="S3" s="158" t="str">
        <f t="array" ref="S3">LET(team, SUBSTITUTE(S$1, " Losses", ""), weekSheet, "'"&amp;$A3&amp;"'!", matchIdx, MATCH("*"&amp;team&amp;"*", INDIRECT(weekSheet&amp;"$B:$B"), 0), IF(ISNA(matchIdx), "-", LET(winner, INDEX(INDIRECT(weekSheet&amp;"$C:$C"), matchIdx), IF(winner="", "-", IF(winner=team, "-", 1)))))</f>
        <v>-</v>
      </c>
      <c r="T3" s="160"/>
      <c r="U3" s="160"/>
      <c r="V3" s="160"/>
      <c r="W3" s="160"/>
      <c r="X3" s="160"/>
      <c r="Y3" s="160"/>
      <c r="Z3" s="158">
        <f t="shared" si="5"/>
        <v>1</v>
      </c>
      <c r="AA3" s="158" t="str">
        <f t="shared" si="6"/>
        <v>-</v>
      </c>
      <c r="AB3" s="160"/>
      <c r="AC3" s="160"/>
      <c r="AD3" s="160"/>
      <c r="AE3" s="160"/>
      <c r="AF3" s="158" t="str">
        <f t="shared" si="7"/>
        <v>-</v>
      </c>
      <c r="AG3" s="158">
        <f t="shared" si="8"/>
        <v>1</v>
      </c>
      <c r="AH3" s="158">
        <f t="shared" ref="AH3:AH5" si="15">LET(team, SUBSTITUTE(AH$1, " Wins", ""), IF(COUNTIF(INDIRECT("'"&amp;$A3&amp;"'!$C:$C"), team)&gt;0, 1, "-"))</f>
        <v>1</v>
      </c>
      <c r="AI3" s="158" t="str">
        <f t="shared" ref="AI3:AI5" si="16">LET(team, SUBSTITUTE(AI$1, " Losses", ""), weekSheet, "'"&amp;$A3&amp;"'!", matchIdx, MATCH("*"&amp;team&amp;"*", INDIRECT(weekSheet&amp;"$B:$B"), 0), IF(ISNA(matchIdx), "-", LET(winner, INDEX(INDIRECT(weekSheet&amp;"$C:$C"), matchIdx), IF(winner="", "-", IF(winner=team, "-", 1)))))</f>
        <v>-</v>
      </c>
      <c r="AJ3" s="158">
        <f t="shared" si="9"/>
        <v>1</v>
      </c>
      <c r="AK3" s="158" t="str">
        <f t="shared" si="10"/>
        <v>-</v>
      </c>
      <c r="AL3" s="160"/>
      <c r="AM3" s="160"/>
      <c r="AN3" s="158" t="str">
        <f t="array" ref="AN3">LET(team, SUBSTITUTE(AN$1, " Wins", ""), IF(COUNTIF(INDIRECT("'"&amp;$A3&amp;"'!$C:$C"), team)&gt;0, 1, "-"))</f>
        <v>-</v>
      </c>
      <c r="AO3" s="158">
        <f t="array" ref="AO3">LET(team, SUBSTITUTE(AO$1, " Losses", ""), weekSheet, "'"&amp;$A3&amp;"'!", matchIdx, MATCH("*"&amp;team&amp;"*", INDIRECT(weekSheet&amp;"$B:$B"), 0), IF(ISNA(matchIdx), "-", LET(winner, INDEX(INDIRECT(weekSheet&amp;"$C:$C"), matchIdx), IF(winner="", "-", IF(winner=team, "-", 1)))))</f>
        <v>1</v>
      </c>
      <c r="AP3" s="158">
        <f t="shared" ref="AP3:AP4" si="17">LET(team, SUBSTITUTE(AP$1, " Wins", ""), IF(COUNTIF(INDIRECT("'"&amp;$A3&amp;"'!$C:$C"), team)&gt;0, 1, "-"))</f>
        <v>1</v>
      </c>
      <c r="AQ3" s="158" t="str">
        <f t="shared" ref="AQ3:AQ4" si="18">LET(team, SUBSTITUTE(AQ$1, " Losses", ""), weekSheet, "'"&amp;$A3&amp;"'!", matchIdx, MATCH("*"&amp;team&amp;"*", INDIRECT(weekSheet&amp;"$B:$B"), 0), IF(ISNA(matchIdx), "-", LET(winner, INDEX(INDIRECT(weekSheet&amp;"$C:$C"), matchIdx), IF(winner="", "-", IF(winner=team, "-", 1)))))</f>
        <v>-</v>
      </c>
      <c r="AR3" s="160"/>
      <c r="AS3" s="160"/>
      <c r="AT3" s="160"/>
      <c r="AU3" s="160"/>
      <c r="AV3" s="160"/>
      <c r="AW3" s="160"/>
      <c r="AX3" s="160"/>
      <c r="AY3" s="160"/>
      <c r="AZ3" s="160"/>
      <c r="BA3" s="160"/>
      <c r="BB3" s="160"/>
      <c r="BC3" s="160"/>
      <c r="BD3" s="158">
        <f t="shared" ref="BD3:BD5" si="19">LET(team, SUBSTITUTE(BD$1, " Wins", ""), IF(COUNTIF(INDIRECT("'"&amp;$A3&amp;"'!$C:$C"), team)&gt;0, 1, "-"))</f>
        <v>1</v>
      </c>
      <c r="BE3" s="158" t="str">
        <f t="shared" ref="BE3:BE5" si="20">LET(team, SUBSTITUTE(BE$1, " Losses", ""), weekSheet, "'"&amp;$A3&amp;"'!", matchIdx, MATCH("*"&amp;team&amp;"*", INDIRECT(weekSheet&amp;"$B:$B"), 0), IF(ISNA(matchIdx), "-", LET(winner, INDEX(INDIRECT(weekSheet&amp;"$C:$C"), matchIdx), IF(winner="", "-", IF(winner=team, "-", 1)))))</f>
        <v>-</v>
      </c>
      <c r="BF3" s="158">
        <f t="shared" ref="BF3:BF5" si="21">LET(team, SUBSTITUTE(BF$1, " Wins", ""), IF(COUNTIF(INDIRECT("'"&amp;$A3&amp;"'!$C:$C"), team)&gt;0, 1, "-"))</f>
        <v>1</v>
      </c>
      <c r="BG3" s="158" t="str">
        <f t="shared" ref="BG3:BG5" si="22">LET(team, SUBSTITUTE(BG$1, " Losses", ""), weekSheet, "'"&amp;$A3&amp;"'!", matchIdx, MATCH("*"&amp;team&amp;"*", INDIRECT(weekSheet&amp;"$B:$B"), 0), IF(ISNA(matchIdx), "-", LET(winner, INDEX(INDIRECT(weekSheet&amp;"$C:$C"), matchIdx), IF(winner="", "-", IF(winner=team, "-", 1)))))</f>
        <v>-</v>
      </c>
      <c r="BH3" s="160"/>
      <c r="BI3" s="160"/>
      <c r="BJ3" s="158">
        <f t="array" ref="BJ3">LET(team, SUBSTITUTE(BJ$1, " Wins", ""), IF(COUNTIF(INDIRECT("'"&amp;$A3&amp;"'!$C:$C"), team)&gt;0, 1, "-"))</f>
        <v>1</v>
      </c>
      <c r="BK3" s="158" t="str">
        <f t="array" ref="BK3">LET(team, SUBSTITUTE(BK$1, " Losses", ""), weekSheet, "'"&amp;$A3&amp;"'!", matchIdx, MATCH("*"&amp;team&amp;"*", INDIRECT(weekSheet&amp;"$B:$B"), 0), IF(ISNA(matchIdx), "-", LET(winner, INDEX(INDIRECT(weekSheet&amp;"$C:$C"), matchIdx), IF(winner="", "-", IF(winner=team, "-", 1)))))</f>
        <v>-</v>
      </c>
      <c r="BL3" s="160"/>
      <c r="BM3" s="160"/>
    </row>
    <row r="4">
      <c r="A4" s="157" t="s">
        <v>130</v>
      </c>
      <c r="B4" s="160"/>
      <c r="C4" s="160"/>
      <c r="D4" s="160"/>
      <c r="E4" s="160"/>
      <c r="F4" s="158">
        <f t="shared" si="11"/>
        <v>1</v>
      </c>
      <c r="G4" s="158" t="str">
        <f t="shared" si="12"/>
        <v>-</v>
      </c>
      <c r="H4" s="160"/>
      <c r="I4" s="160"/>
      <c r="J4" s="158">
        <f t="shared" si="13"/>
        <v>1</v>
      </c>
      <c r="K4" s="158" t="str">
        <f t="shared" si="14"/>
        <v>-</v>
      </c>
      <c r="L4" s="158" t="str">
        <f t="array" ref="L4">LET(team, SUBSTITUTE(L$1, " Wins", ""), IF(COUNTIF(INDIRECT("'"&amp;$A4&amp;"'!$C:$C"), team)&gt;0, 1, "-"))</f>
        <v>-</v>
      </c>
      <c r="M4" s="158">
        <f t="array" ref="M4">LET(team, SUBSTITUTE(M$1, " Losses", ""), weekSheet, "'"&amp;$A4&amp;"'!", matchIdx, MATCH("*"&amp;team&amp;"*", INDIRECT(weekSheet&amp;"$B:$B"), 0), IF(ISNA(matchIdx), "-", LET(winner, INDEX(INDIRECT(weekSheet&amp;"$C:$C"), matchIdx), IF(winner="", "-", IF(winner=team, "-", 1)))))</f>
        <v>1</v>
      </c>
      <c r="N4" s="160"/>
      <c r="O4" s="160"/>
      <c r="P4" s="160"/>
      <c r="Q4" s="160"/>
      <c r="R4" s="160"/>
      <c r="S4" s="160"/>
      <c r="T4" s="158" t="str">
        <f t="shared" ref="T4:T5" si="23">LET(team, SUBSTITUTE(T$1, " Wins", ""), IF(COUNTIF(INDIRECT("'"&amp;$A4&amp;"'!$C:$C"), team)&gt;0, 1, "-"))</f>
        <v>-</v>
      </c>
      <c r="U4" s="158">
        <f t="shared" ref="U4:U5" si="24">LET(team, SUBSTITUTE(U$1, " Losses", ""), weekSheet, "'"&amp;$A4&amp;"'!", matchIdx, MATCH("*"&amp;team&amp;"*", INDIRECT(weekSheet&amp;"$B:$B"), 0), IF(ISNA(matchIdx), "-", LET(winner, INDEX(INDIRECT(weekSheet&amp;"$C:$C"), matchIdx), IF(winner="", "-", IF(winner=team, "-", 1)))))</f>
        <v>1</v>
      </c>
      <c r="V4" s="158" t="str">
        <f t="array" ref="V4">LET(team, SUBSTITUTE(V$1, " Wins", ""), IF(COUNTIF(INDIRECT("'"&amp;$A4&amp;"'!$C:$C"), team)&gt;0, 1, "-"))</f>
        <v>-</v>
      </c>
      <c r="W4" s="158">
        <f t="array" ref="W4">LET(team, SUBSTITUTE(W$1, " Losses", ""), weekSheet, "'"&amp;$A4&amp;"'!", matchIdx, MATCH("*"&amp;team&amp;"*", INDIRECT(weekSheet&amp;"$B:$B"), 0), IF(ISNA(matchIdx), "-", LET(winner, INDEX(INDIRECT(weekSheet&amp;"$C:$C"), matchIdx), IF(winner="", "-", IF(winner=team, "-", 1)))))</f>
        <v>1</v>
      </c>
      <c r="X4" s="160"/>
      <c r="Y4" s="160"/>
      <c r="Z4" s="160"/>
      <c r="AA4" s="160"/>
      <c r="AB4" s="158" t="str">
        <f t="array" ref="AB4">LET(team, SUBSTITUTE(AB$1, " Wins", ""), IF(COUNTIF(INDIRECT("'"&amp;$A4&amp;"'!$C:$C"), team)&gt;0, 1, "-"))</f>
        <v>-</v>
      </c>
      <c r="AC4" s="158">
        <f t="array" ref="AC4">LET(team, SUBSTITUTE(AC$1, " Losses", ""), weekSheet, "'"&amp;$A4&amp;"'!", matchIdx, MATCH("*"&amp;team&amp;"*", INDIRECT(weekSheet&amp;"$B:$B"), 0), IF(ISNA(matchIdx), "-", LET(winner, INDEX(INDIRECT(weekSheet&amp;"$C:$C"), matchIdx), IF(winner="", "-", IF(winner=team, "-", 1)))))</f>
        <v>1</v>
      </c>
      <c r="AD4" s="158" t="str">
        <f t="array" ref="AD4">LET(team, SUBSTITUTE(AD$1, " Wins", ""), IF(COUNTIF(INDIRECT("'"&amp;$A4&amp;"'!$C:$C"), team)&gt;0, 1, "-"))</f>
        <v>-</v>
      </c>
      <c r="AE4" s="158">
        <f t="array" ref="AE4">LET(team, SUBSTITUTE(AE$1, " Losses", ""), weekSheet, "'"&amp;$A4&amp;"'!", matchIdx, MATCH("*"&amp;team&amp;"*", INDIRECT(weekSheet&amp;"$B:$B"), 0), IF(ISNA(matchIdx), "-", LET(winner, INDEX(INDIRECT(weekSheet&amp;"$C:$C"), matchIdx), IF(winner="", "-", IF(winner=team, "-", 1)))))</f>
        <v>1</v>
      </c>
      <c r="AF4" s="160"/>
      <c r="AG4" s="160"/>
      <c r="AH4" s="158">
        <f t="shared" si="15"/>
        <v>1</v>
      </c>
      <c r="AI4" s="158" t="str">
        <f t="shared" si="16"/>
        <v>-</v>
      </c>
      <c r="AJ4" s="160"/>
      <c r="AK4" s="160"/>
      <c r="AL4" s="160"/>
      <c r="AM4" s="160"/>
      <c r="AN4" s="160"/>
      <c r="AO4" s="160"/>
      <c r="AP4" s="158">
        <f t="shared" si="17"/>
        <v>1</v>
      </c>
      <c r="AQ4" s="158" t="str">
        <f t="shared" si="18"/>
        <v>-</v>
      </c>
      <c r="AR4" s="160"/>
      <c r="AS4" s="160"/>
      <c r="AT4" s="158">
        <f t="shared" ref="AT4:AT5" si="25">LET(team, SUBSTITUTE(AT$1, " Wins", ""), IF(COUNTIF(INDIRECT("'"&amp;$A4&amp;"'!$C:$C"), team)&gt;0, 1, "-"))</f>
        <v>1</v>
      </c>
      <c r="AU4" s="158" t="str">
        <f t="shared" ref="AU4:AU5" si="26">LET(team, SUBSTITUTE(AU$1, " Losses", ""), weekSheet, "'"&amp;$A4&amp;"'!", matchIdx, MATCH("*"&amp;team&amp;"*", INDIRECT(weekSheet&amp;"$B:$B"), 0), IF(ISNA(matchIdx), "-", LET(winner, INDEX(INDIRECT(weekSheet&amp;"$C:$C"), matchIdx), IF(winner="", "-", IF(winner=team, "-", 1)))))</f>
        <v>-</v>
      </c>
      <c r="AV4" s="158" t="str">
        <f t="shared" ref="AV4:AV6" si="27">LET(team, SUBSTITUTE(AV$1, " Wins", ""), IF(COUNTIF(INDIRECT("'"&amp;$A4&amp;"'!$C:$C"), team)&gt;0, 1, "-"))</f>
        <v>-</v>
      </c>
      <c r="AW4" s="158">
        <f t="shared" ref="AW4:AW6" si="28">LET(team, SUBSTITUTE(AW$1, " Losses", ""), weekSheet, "'"&amp;$A4&amp;"'!", matchIdx, MATCH("*"&amp;team&amp;"*", INDIRECT(weekSheet&amp;"$B:$B"), 0), IF(ISNA(matchIdx), "-", LET(winner, INDEX(INDIRECT(weekSheet&amp;"$C:$C"), matchIdx), IF(winner="", "-", IF(winner=team, "-", 1)))))</f>
        <v>1</v>
      </c>
      <c r="AX4" s="158">
        <f t="array" ref="AX4">LET(team, SUBSTITUTE(AX$1, " Wins", ""), IF(COUNTIF(INDIRECT("'"&amp;$A4&amp;"'!$C:$C"), team)&gt;0, 1, "-"))</f>
        <v>1</v>
      </c>
      <c r="AY4" s="158" t="str">
        <f t="array" ref="AY4">LET(team, SUBSTITUTE(AY$1, " Losses", ""), weekSheet, "'"&amp;$A4&amp;"'!", matchIdx, MATCH("*"&amp;team&amp;"*", INDIRECT(weekSheet&amp;"$B:$B"), 0), IF(ISNA(matchIdx), "-", LET(winner, INDEX(INDIRECT(weekSheet&amp;"$C:$C"), matchIdx), IF(winner="", "-", IF(winner=team, "-", 1)))))</f>
        <v>-</v>
      </c>
      <c r="AZ4" s="158">
        <f t="array" ref="AZ4">LET(team, SUBSTITUTE(AZ$1, " Wins", ""), IF(COUNTIF(INDIRECT("'"&amp;$A4&amp;"'!$C:$C"), team)&gt;0, 1, "-"))</f>
        <v>1</v>
      </c>
      <c r="BA4" s="158" t="str">
        <f t="array" ref="BA4">LET(team, SUBSTITUTE(BA$1, " Losses", ""), weekSheet, "'"&amp;$A4&amp;"'!", matchIdx, MATCH("*"&amp;team&amp;"*", INDIRECT(weekSheet&amp;"$B:$B"), 0), IF(ISNA(matchIdx), "-", LET(winner, INDEX(INDIRECT(weekSheet&amp;"$C:$C"), matchIdx), IF(winner="", "-", IF(winner=team, "-", 1)))))</f>
        <v>-</v>
      </c>
      <c r="BB4" s="160"/>
      <c r="BC4" s="160"/>
      <c r="BD4" s="158" t="str">
        <f t="shared" si="19"/>
        <v>-</v>
      </c>
      <c r="BE4" s="158">
        <f t="shared" si="20"/>
        <v>1</v>
      </c>
      <c r="BF4" s="158" t="str">
        <f t="shared" si="21"/>
        <v>-</v>
      </c>
      <c r="BG4" s="158">
        <f t="shared" si="22"/>
        <v>1</v>
      </c>
      <c r="BH4" s="158">
        <f t="shared" ref="BH4:BH6" si="29">LET(team, SUBSTITUTE(BH$1, " Wins", ""), IF(COUNTIF(INDIRECT("'"&amp;$A4&amp;"'!$C:$C"), team)&gt;0, 1, "-"))</f>
        <v>1</v>
      </c>
      <c r="BI4" s="158" t="str">
        <f t="shared" ref="BI4:BI6" si="30">LET(team, SUBSTITUTE(BI$1, " Losses", ""), weekSheet, "'"&amp;$A4&amp;"'!", matchIdx, MATCH("*"&amp;team&amp;"*", INDIRECT(weekSheet&amp;"$B:$B"), 0), IF(ISNA(matchIdx), "-", LET(winner, INDEX(INDIRECT(weekSheet&amp;"$C:$C"), matchIdx), IF(winner="", "-", IF(winner=team, "-", 1)))))</f>
        <v>-</v>
      </c>
      <c r="BJ4" s="160"/>
      <c r="BK4" s="160"/>
      <c r="BL4" s="160"/>
      <c r="BM4" s="160"/>
    </row>
    <row r="5">
      <c r="A5" s="157" t="s">
        <v>141</v>
      </c>
      <c r="B5" s="160"/>
      <c r="C5" s="160"/>
      <c r="D5" s="158">
        <f t="array" ref="D5">LET(team, SUBSTITUTE(D$1, " Wins", ""), IF(COUNTIF(INDIRECT("'"&amp;$A5&amp;"'!$C:$C"), team)&gt;0, 1, "-"))</f>
        <v>1</v>
      </c>
      <c r="E5" s="158" t="str">
        <f t="array" ref="E5">LET(team, SUBSTITUTE(E$1, " Losses", ""), weekSheet, "'"&amp;$A5&amp;"'!", matchIdx, MATCH("*"&amp;team&amp;"*", INDIRECT(weekSheet&amp;"$B:$B"), 0), IF(ISNA(matchIdx), "-", LET(winner, INDEX(INDIRECT(weekSheet&amp;"$C:$C"), matchIdx), IF(winner="", "-", IF(winner=team, "-", 1)))))</f>
        <v>-</v>
      </c>
      <c r="F5" s="160"/>
      <c r="G5" s="160"/>
      <c r="H5" s="160"/>
      <c r="I5" s="160"/>
      <c r="J5" s="158" t="str">
        <f t="shared" si="13"/>
        <v>-</v>
      </c>
      <c r="K5" s="158">
        <f t="shared" si="14"/>
        <v>1</v>
      </c>
      <c r="L5" s="160"/>
      <c r="M5" s="160"/>
      <c r="N5" s="160"/>
      <c r="O5" s="160"/>
      <c r="P5" s="160"/>
      <c r="Q5" s="160"/>
      <c r="R5" s="158">
        <f t="array" ref="R5">LET(team, SUBSTITUTE(R$1, " Wins", ""), IF(COUNTIF(INDIRECT("'"&amp;$A5&amp;"'!$C:$C"), team)&gt;0, 1, "-"))</f>
        <v>1</v>
      </c>
      <c r="S5" s="158" t="str">
        <f t="array" ref="S5">LET(team, SUBSTITUTE(S$1, " Losses", ""), weekSheet, "'"&amp;$A5&amp;"'!", matchIdx, MATCH("*"&amp;team&amp;"*", INDIRECT(weekSheet&amp;"$B:$B"), 0), IF(ISNA(matchIdx), "-", LET(winner, INDEX(INDIRECT(weekSheet&amp;"$C:$C"), matchIdx), IF(winner="", "-", IF(winner=team, "-", 1)))))</f>
        <v>-</v>
      </c>
      <c r="T5" s="158" t="str">
        <f t="shared" si="23"/>
        <v>-</v>
      </c>
      <c r="U5" s="158">
        <f t="shared" si="24"/>
        <v>1</v>
      </c>
      <c r="V5" s="160"/>
      <c r="W5" s="160"/>
      <c r="X5" s="158" t="str">
        <f t="array" ref="X5">LET(team, SUBSTITUTE(X$1, " Wins", ""), IF(COUNTIF(INDIRECT("'"&amp;$A5&amp;"'!$C:$C"), team)&gt;0, 1, "-"))</f>
        <v>-</v>
      </c>
      <c r="Y5" s="158">
        <f t="array" ref="Y5">LET(team, SUBSTITUTE(Y$1, " Losses", ""), weekSheet, "'"&amp;$A5&amp;"'!", matchIdx, MATCH("*"&amp;team&amp;"*", INDIRECT(weekSheet&amp;"$B:$B"), 0), IF(ISNA(matchIdx), "-", LET(winner, INDEX(INDIRECT(weekSheet&amp;"$C:$C"), matchIdx), IF(winner="", "-", IF(winner=team, "-", 1)))))</f>
        <v>1</v>
      </c>
      <c r="Z5" s="158">
        <f t="array" ref="Z5">LET(team, SUBSTITUTE(Z$1, " Wins", ""), IF(COUNTIF(INDIRECT("'"&amp;$A5&amp;"'!$C:$C"), team)&gt;0, 1, "-"))</f>
        <v>1</v>
      </c>
      <c r="AA5" s="158" t="str">
        <f t="array" ref="AA5">LET(team, SUBSTITUTE(AA$1, " Losses", ""), weekSheet, "'"&amp;$A5&amp;"'!", matchIdx, MATCH("*"&amp;team&amp;"*", INDIRECT(weekSheet&amp;"$B:$B"), 0), IF(ISNA(matchIdx), "-", LET(winner, INDEX(INDIRECT(weekSheet&amp;"$C:$C"), matchIdx), IF(winner="", "-", IF(winner=team, "-", 1)))))</f>
        <v>-</v>
      </c>
      <c r="AB5" s="160"/>
      <c r="AC5" s="160"/>
      <c r="AD5" s="160"/>
      <c r="AE5" s="160"/>
      <c r="AF5" s="160"/>
      <c r="AG5" s="160"/>
      <c r="AH5" s="158">
        <f t="shared" si="15"/>
        <v>1</v>
      </c>
      <c r="AI5" s="158" t="str">
        <f t="shared" si="16"/>
        <v>-</v>
      </c>
      <c r="AJ5" s="160"/>
      <c r="AK5" s="160"/>
      <c r="AL5" s="158">
        <f t="shared" ref="AL5:AL6" si="31">LET(team, SUBSTITUTE(AL$1, " Wins", ""), IF(COUNTIF(INDIRECT("'"&amp;$A5&amp;"'!$C:$C"), team)&gt;0, 1, "-"))</f>
        <v>1</v>
      </c>
      <c r="AM5" s="158" t="str">
        <f t="shared" ref="AM5:AM6" si="32">LET(team, SUBSTITUTE(AM$1, " Losses", ""), weekSheet, "'"&amp;$A5&amp;"'!", matchIdx, MATCH("*"&amp;team&amp;"*", INDIRECT(weekSheet&amp;"$B:$B"), 0), IF(ISNA(matchIdx), "-", LET(winner, INDEX(INDIRECT(weekSheet&amp;"$C:$C"), matchIdx), IF(winner="", "-", IF(winner=team, "-", 1)))))</f>
        <v>-</v>
      </c>
      <c r="AN5" s="160"/>
      <c r="AO5" s="160"/>
      <c r="AP5" s="160"/>
      <c r="AQ5" s="160"/>
      <c r="AR5" s="158" t="str">
        <f t="array" ref="AR5">LET(team, SUBSTITUTE(AR$1, " Wins", ""), IF(COUNTIF(INDIRECT("'"&amp;$A5&amp;"'!$C:$C"), team)&gt;0, 1, "-"))</f>
        <v>-</v>
      </c>
      <c r="AS5" s="158">
        <f t="array" ref="AS5">LET(team, SUBSTITUTE(AS$1, " Losses", ""), weekSheet, "'"&amp;$A5&amp;"'!", matchIdx, MATCH("*"&amp;team&amp;"*", INDIRECT(weekSheet&amp;"$B:$B"), 0), IF(ISNA(matchIdx), "-", LET(winner, INDEX(INDIRECT(weekSheet&amp;"$C:$C"), matchIdx), IF(winner="", "-", IF(winner=team, "-", 1)))))</f>
        <v>1</v>
      </c>
      <c r="AT5" s="158">
        <f t="shared" si="25"/>
        <v>1</v>
      </c>
      <c r="AU5" s="158" t="str">
        <f t="shared" si="26"/>
        <v>-</v>
      </c>
      <c r="AV5" s="158">
        <f t="shared" si="27"/>
        <v>1</v>
      </c>
      <c r="AW5" s="158" t="str">
        <f t="shared" si="28"/>
        <v>-</v>
      </c>
      <c r="AX5" s="160"/>
      <c r="AY5" s="160"/>
      <c r="AZ5" s="160"/>
      <c r="BA5" s="160"/>
      <c r="BB5" s="158">
        <f t="array" ref="BB5">LET(team, SUBSTITUTE(BB$1, " Wins", ""), IF(COUNTIF(INDIRECT("'"&amp;$A5&amp;"'!$C:$C"), team)&gt;0, 1, "-"))</f>
        <v>1</v>
      </c>
      <c r="BC5" s="158" t="str">
        <f t="array" ref="BC5">LET(team, SUBSTITUTE(BC$1, " Losses", ""), weekSheet, "'"&amp;$A5&amp;"'!", matchIdx, MATCH("*"&amp;team&amp;"*", INDIRECT(weekSheet&amp;"$B:$B"), 0), IF(ISNA(matchIdx), "-", LET(winner, INDEX(INDIRECT(weekSheet&amp;"$C:$C"), matchIdx), IF(winner="", "-", IF(winner=team, "-", 1)))))</f>
        <v>-</v>
      </c>
      <c r="BD5" s="158">
        <f t="shared" si="19"/>
        <v>1</v>
      </c>
      <c r="BE5" s="158" t="str">
        <f t="shared" si="20"/>
        <v>-</v>
      </c>
      <c r="BF5" s="158">
        <f t="shared" si="21"/>
        <v>1</v>
      </c>
      <c r="BG5" s="158" t="str">
        <f t="shared" si="22"/>
        <v>-</v>
      </c>
      <c r="BH5" s="158" t="str">
        <f t="shared" si="29"/>
        <v>-</v>
      </c>
      <c r="BI5" s="158">
        <f t="shared" si="30"/>
        <v>1</v>
      </c>
      <c r="BJ5" s="160"/>
      <c r="BK5" s="160"/>
      <c r="BL5" s="158" t="str">
        <f t="array" ref="BL5">LET(team, SUBSTITUTE(BL$1, " Wins", ""), IF(COUNTIF(INDIRECT("'"&amp;$A5&amp;"'!$C:$C"), team)&gt;0, 1, "-"))</f>
        <v>-</v>
      </c>
      <c r="BM5" s="158">
        <f t="array" ref="BM5">LET(team, SUBSTITUTE(BM$1, " Losses", ""), weekSheet, "'"&amp;$A5&amp;"'!", matchIdx, MATCH("*"&amp;team&amp;"*", INDIRECT(weekSheet&amp;"$B:$B"), 0), IF(ISNA(matchIdx), "-", LET(winner, INDEX(INDIRECT(weekSheet&amp;"$C:$C"), matchIdx), IF(winner="", "-", IF(winner=team, "-", 1)))))</f>
        <v>1</v>
      </c>
    </row>
    <row r="6">
      <c r="A6" s="157" t="s">
        <v>145</v>
      </c>
      <c r="B6" s="160"/>
      <c r="C6" s="160"/>
      <c r="D6" s="160"/>
      <c r="E6" s="160"/>
      <c r="F6" s="160"/>
      <c r="G6" s="160"/>
      <c r="H6" s="158" t="str">
        <f t="array" ref="H6">LET(team, SUBSTITUTE(H$1, " Wins", ""), IF(COUNTIF(INDIRECT("'"&amp;$A6&amp;"'!$C:$C"), team)&gt;0, 1, "-"))</f>
        <v>-</v>
      </c>
      <c r="I6" s="158">
        <f t="array" ref="I6">LET(team, SUBSTITUTE(I$1, " Losses", ""), weekSheet, "'"&amp;$A6&amp;"'!", matchIdx, MATCH("*"&amp;team&amp;"*", INDIRECT(weekSheet&amp;"$B:$B"), 0), IF(ISNA(matchIdx), "-", LET(winner, INDEX(INDIRECT(weekSheet&amp;"$C:$C"), matchIdx), IF(winner="", "-", IF(winner=team, "-", 1)))))</f>
        <v>1</v>
      </c>
      <c r="J6" s="160"/>
      <c r="K6" s="160"/>
      <c r="L6" s="158" t="str">
        <f t="array" ref="L6">LET(team, SUBSTITUTE(L$1, " Wins", ""), IF(COUNTIF(INDIRECT("'"&amp;$A6&amp;"'!$C:$C"), team)&gt;0, 1, "-"))</f>
        <v>-</v>
      </c>
      <c r="M6" s="158">
        <f t="array" ref="M6">LET(team, SUBSTITUTE(M$1, " Losses", ""), weekSheet, "'"&amp;$A6&amp;"'!", matchIdx, MATCH("*"&amp;team&amp;"*", INDIRECT(weekSheet&amp;"$B:$B"), 0), IF(ISNA(matchIdx), "-", LET(winner, INDEX(INDIRECT(weekSheet&amp;"$C:$C"), matchIdx), IF(winner="", "-", IF(winner=team, "-", 1)))))</f>
        <v>1</v>
      </c>
      <c r="N6" s="158" t="str">
        <f t="array" ref="N6">LET(team, SUBSTITUTE(N$1, " Wins", ""), IF(COUNTIF(INDIRECT("'"&amp;$A6&amp;"'!$C:$C"), team)&gt;0, 1, "-"))</f>
        <v>-</v>
      </c>
      <c r="O6" s="158">
        <f t="array" ref="O6">LET(team, SUBSTITUTE(O$1, " Losses", ""), weekSheet, "'"&amp;$A6&amp;"'!", matchIdx, MATCH("*"&amp;team&amp;"*", INDIRECT(weekSheet&amp;"$B:$B"), 0), IF(ISNA(matchIdx), "-", LET(winner, INDEX(INDIRECT(weekSheet&amp;"$C:$C"), matchIdx), IF(winner="", "-", IF(winner=team, "-", 1)))))</f>
        <v>1</v>
      </c>
      <c r="P6" s="158">
        <f t="shared" ref="P6:P7" si="33">LET(team, SUBSTITUTE(P$1, " Wins", ""), IF(COUNTIF(INDIRECT("'"&amp;$A6&amp;"'!$C:$C"), team)&gt;0, 1, "-"))</f>
        <v>1</v>
      </c>
      <c r="Q6" s="158" t="str">
        <f t="shared" ref="Q6:Q7" si="34">LET(team, SUBSTITUTE(Q$1, " Losses", ""), weekSheet, "'"&amp;$A6&amp;"'!", matchIdx, MATCH("*"&amp;team&amp;"*", INDIRECT(weekSheet&amp;"$B:$B"), 0), IF(ISNA(matchIdx), "-", LET(winner, INDEX(INDIRECT(weekSheet&amp;"$C:$C"), matchIdx), IF(winner="", "-", IF(winner=team, "-", 1)))))</f>
        <v>-</v>
      </c>
      <c r="R6" s="160"/>
      <c r="S6" s="160"/>
      <c r="T6" s="160"/>
      <c r="U6" s="160"/>
      <c r="V6" s="45" t="str">
        <f t="array" ref="V6">LET(team, SUBSTITUTE(V$1, " Wins", ""), IF(COUNTIF(INDIRECT("'"&amp;$A6&amp;"'!$C:$C"), team)&gt;0, 1, "-"))</f>
        <v>-</v>
      </c>
      <c r="W6" s="45">
        <f t="array" ref="W6">LET(team, SUBSTITUTE(W$1, " Losses", ""), weekSheet, "'"&amp;$A6&amp;"'!", matchIdx, MATCH("*"&amp;team&amp;"*", INDIRECT(weekSheet&amp;"$B:$B"), 0), IF(ISNA(matchIdx), "-", LET(winner, INDEX(INDIRECT(weekSheet&amp;"$C:$C"), matchIdx), IF(winner="", "-", IF(winner=team, "-", 1)))))</f>
        <v>1</v>
      </c>
      <c r="X6" s="160"/>
      <c r="Y6" s="160"/>
      <c r="Z6" s="160"/>
      <c r="AA6" s="160"/>
      <c r="AB6" s="158">
        <f t="shared" ref="AB6:AB7" si="35">LET(team, SUBSTITUTE(AB$1, " Wins", ""), IF(COUNTIF(INDIRECT("'"&amp;$A6&amp;"'!$C:$C"), team)&gt;0, 1, "-"))</f>
        <v>1</v>
      </c>
      <c r="AC6" s="158" t="str">
        <f t="shared" ref="AC6:AC7" si="36">LET(team, SUBSTITUTE(AC$1, " Losses", ""), weekSheet, "'"&amp;$A6&amp;"'!", matchIdx, MATCH("*"&amp;team&amp;"*", INDIRECT(weekSheet&amp;"$B:$B"), 0), IF(ISNA(matchIdx), "-", LET(winner, INDEX(INDIRECT(weekSheet&amp;"$C:$C"), matchIdx), IF(winner="", "-", IF(winner=team, "-", 1)))))</f>
        <v>-</v>
      </c>
      <c r="AD6" s="160"/>
      <c r="AE6" s="160"/>
      <c r="AF6" s="45" t="str">
        <f t="array" ref="AF6">LET(team, SUBSTITUTE(AF$1, " Wins", ""), IF(COUNTIF(INDIRECT("'"&amp;$A6&amp;"'!$C:$C"), team)&gt;0, 1, "-"))</f>
        <v>-</v>
      </c>
      <c r="AG6" s="45">
        <f t="array" ref="AG6">LET(team, SUBSTITUTE(AG$1, " Losses", ""), weekSheet, "'"&amp;$A6&amp;"'!", matchIdx, MATCH("*"&amp;team&amp;"*", INDIRECT(weekSheet&amp;"$B:$B"), 0), IF(ISNA(matchIdx), "-", LET(winner, INDEX(INDIRECT(weekSheet&amp;"$C:$C"), matchIdx), IF(winner="", "-", IF(winner=team, "-", 1)))))</f>
        <v>1</v>
      </c>
      <c r="AH6" s="160"/>
      <c r="AI6" s="160"/>
      <c r="AJ6" s="158">
        <f t="shared" ref="AJ6:AJ7" si="37">LET(team, SUBSTITUTE(AJ$1, " Wins", ""), IF(COUNTIF(INDIRECT("'"&amp;$A6&amp;"'!$C:$C"), team)&gt;0, 1, "-"))</f>
        <v>1</v>
      </c>
      <c r="AK6" s="158" t="str">
        <f t="shared" ref="AK6:AK7" si="38">LET(team, SUBSTITUTE(AK$1, " Losses", ""), weekSheet, "'"&amp;$A6&amp;"'!", matchIdx, MATCH("*"&amp;team&amp;"*", INDIRECT(weekSheet&amp;"$B:$B"), 0), IF(ISNA(matchIdx), "-", LET(winner, INDEX(INDIRECT(weekSheet&amp;"$C:$C"), matchIdx), IF(winner="", "-", IF(winner=team, "-", 1)))))</f>
        <v>-</v>
      </c>
      <c r="AL6" s="158">
        <f t="shared" si="31"/>
        <v>1</v>
      </c>
      <c r="AM6" s="158" t="str">
        <f t="shared" si="32"/>
        <v>-</v>
      </c>
      <c r="AN6" s="158" t="str">
        <f t="array" ref="AN6">LET(team, SUBSTITUTE(AN$1, " Wins", ""), IF(COUNTIF(INDIRECT("'"&amp;$A6&amp;"'!$C:$C"), team)&gt;0, 1, "-"))</f>
        <v>-</v>
      </c>
      <c r="AO6" s="158">
        <f t="array" ref="AO6">LET(team, SUBSTITUTE(AO$1, " Losses", ""), weekSheet, "'"&amp;$A6&amp;"'!", matchIdx, MATCH("*"&amp;team&amp;"*", INDIRECT(weekSheet&amp;"$B:$B"), 0), IF(ISNA(matchIdx), "-", LET(winner, INDEX(INDIRECT(weekSheet&amp;"$C:$C"), matchIdx), IF(winner="", "-", IF(winner=team, "-", 1)))))</f>
        <v>1</v>
      </c>
      <c r="AP6" s="158">
        <f t="array" ref="AP6">LET(team, SUBSTITUTE(AP$1, " Wins", ""), IF(COUNTIF(INDIRECT("'"&amp;$A6&amp;"'!$C:$C"), team)&gt;0, 1, "-"))</f>
        <v>1</v>
      </c>
      <c r="AQ6" s="158" t="str">
        <f t="array" ref="AQ6">LET(team, SUBSTITUTE(AQ$1, " Losses", ""), weekSheet, "'"&amp;$A6&amp;"'!", matchIdx, MATCH("*"&amp;team&amp;"*", INDIRECT(weekSheet&amp;"$B:$B"), 0), IF(ISNA(matchIdx), "-", LET(winner, INDEX(INDIRECT(weekSheet&amp;"$C:$C"), matchIdx), IF(winner="", "-", IF(winner=team, "-", 1)))))</f>
        <v>-</v>
      </c>
      <c r="AR6" s="160"/>
      <c r="AS6" s="160"/>
      <c r="AT6" s="160"/>
      <c r="AU6" s="160"/>
      <c r="AV6" s="158">
        <f t="shared" si="27"/>
        <v>1</v>
      </c>
      <c r="AW6" s="158" t="str">
        <f t="shared" si="28"/>
        <v>-</v>
      </c>
      <c r="AX6" s="160"/>
      <c r="AY6" s="160"/>
      <c r="AZ6" s="45">
        <f t="shared" ref="AZ6:AZ7" si="39">LET(team, SUBSTITUTE(AZ$1, " Wins", ""), IF(COUNTIF(INDIRECT("'"&amp;$A6&amp;"'!$C:$C"), team)&gt;0, 1, "-"))</f>
        <v>1</v>
      </c>
      <c r="BA6" s="45" t="str">
        <f t="shared" ref="BA6:BA7" si="40">LET(team, SUBSTITUTE(BA$1, " Losses", ""), weekSheet, "'"&amp;$A6&amp;"'!", matchIdx, MATCH("*"&amp;team&amp;"*", INDIRECT(weekSheet&amp;"$B:$B"), 0), IF(ISNA(matchIdx), "-", LET(winner, INDEX(INDIRECT(weekSheet&amp;"$C:$C"), matchIdx), IF(winner="", "-", IF(winner=team, "-", 1)))))</f>
        <v>-</v>
      </c>
      <c r="BB6" s="160"/>
      <c r="BC6" s="160"/>
      <c r="BD6" s="160"/>
      <c r="BE6" s="160"/>
      <c r="BF6" s="160"/>
      <c r="BG6" s="160"/>
      <c r="BH6" s="158" t="str">
        <f t="shared" si="29"/>
        <v>-</v>
      </c>
      <c r="BI6" s="158">
        <f t="shared" si="30"/>
        <v>1</v>
      </c>
      <c r="BJ6" s="45">
        <f t="shared" ref="BJ6:BJ8" si="41">LET(team, SUBSTITUTE(BJ$1, " Wins", ""), IF(COUNTIF(INDIRECT("'"&amp;$A6&amp;"'!$C:$C"), team)&gt;0, 1, "-"))</f>
        <v>1</v>
      </c>
      <c r="BK6" s="45" t="str">
        <f t="shared" ref="BK6:BK8" si="42">LET(team, SUBSTITUTE(BK$1, " Losses", ""), weekSheet, "'"&amp;$A6&amp;"'!", matchIdx, MATCH("*"&amp;team&amp;"*", INDIRECT(weekSheet&amp;"$B:$B"), 0), IF(ISNA(matchIdx), "-", LET(winner, INDEX(INDIRECT(weekSheet&amp;"$C:$C"), matchIdx), IF(winner="", "-", IF(winner=team, "-", 1)))))</f>
        <v>-</v>
      </c>
      <c r="BL6" s="160"/>
      <c r="BM6" s="160"/>
    </row>
    <row r="7">
      <c r="A7" s="157" t="s">
        <v>156</v>
      </c>
      <c r="B7" s="45">
        <f t="array" ref="B7">LET(team, SUBSTITUTE(B$1, " Wins", ""), IF(COUNTIF(INDIRECT("'"&amp;$A7&amp;"'!$C:$C"), team)&gt;0, 1, "-"))</f>
        <v>1</v>
      </c>
      <c r="C7" s="45" t="str">
        <f t="array" ref="C7">LET(team, SUBSTITUTE(C$1, " Losses", ""), weekSheet, "'"&amp;$A7&amp;"'!", matchIdx, MATCH("*"&amp;team&amp;"*", INDIRECT(weekSheet&amp;"$B:$B"), 0), IF(ISNA(matchIdx), "-", LET(winner, INDEX(INDIRECT(weekSheet&amp;"$C:$C"), matchIdx), IF(winner="", "-", IF(winner=team, "-", 1)))))</f>
        <v>-</v>
      </c>
      <c r="D7" s="158" t="str">
        <f t="shared" ref="D7:D8" si="43">LET(team, SUBSTITUTE(D$1, " Wins", ""), IF(COUNTIF(INDIRECT("'"&amp;$A7&amp;"'!$C:$C"), team)&gt;0, 1, "-"))</f>
        <v>-</v>
      </c>
      <c r="E7" s="158">
        <f t="shared" ref="E7:E8" si="44">LET(team, SUBSTITUTE(E$1, " Losses", ""), weekSheet, "'"&amp;$A7&amp;"'!", matchIdx, MATCH("*"&amp;team&amp;"*", INDIRECT(weekSheet&amp;"$B:$B"), 0), IF(ISNA(matchIdx), "-", LET(winner, INDEX(INDIRECT(weekSheet&amp;"$C:$C"), matchIdx), IF(winner="", "-", IF(winner=team, "-", 1)))))</f>
        <v>1</v>
      </c>
      <c r="F7" s="158">
        <f t="array" ref="F7">LET(team, SUBSTITUTE(F$1, " Wins", ""), IF(COUNTIF(INDIRECT("'"&amp;$A7&amp;"'!$C:$C"), team)&gt;0, 1, "-"))</f>
        <v>1</v>
      </c>
      <c r="G7" s="158" t="str">
        <f t="array" ref="G7">LET(team, SUBSTITUTE(G$1, " Losses", ""), weekSheet, "'"&amp;$A7&amp;"'!", matchIdx, MATCH("*"&amp;team&amp;"*", INDIRECT(weekSheet&amp;"$B:$B"), 0), IF(ISNA(matchIdx), "-", LET(winner, INDEX(INDIRECT(weekSheet&amp;"$C:$C"), matchIdx), IF(winner="", "-", IF(winner=team, "-", 1)))))</f>
        <v>-</v>
      </c>
      <c r="H7" s="160"/>
      <c r="I7" s="160"/>
      <c r="J7" s="160"/>
      <c r="K7" s="160"/>
      <c r="L7" s="160"/>
      <c r="M7" s="160"/>
      <c r="N7" s="160"/>
      <c r="O7" s="160"/>
      <c r="P7" s="158" t="str">
        <f t="shared" si="33"/>
        <v>-</v>
      </c>
      <c r="Q7" s="158">
        <f t="shared" si="34"/>
        <v>1</v>
      </c>
      <c r="R7" s="160"/>
      <c r="S7" s="160"/>
      <c r="T7" s="158" t="str">
        <f t="array" ref="T7">LET(team, SUBSTITUTE(T$1, " Wins", ""), IF(COUNTIF(INDIRECT("'"&amp;$A7&amp;"'!$C:$C"), team)&gt;0, 1, "-"))</f>
        <v>-</v>
      </c>
      <c r="U7" s="158">
        <f t="array" ref="U7">LET(team, SUBSTITUTE(U$1, " Losses", ""), weekSheet, "'"&amp;$A7&amp;"'!", matchIdx, MATCH("*"&amp;team&amp;"*", INDIRECT(weekSheet&amp;"$B:$B"), 0), IF(ISNA(matchIdx), "-", LET(winner, INDEX(INDIRECT(weekSheet&amp;"$C:$C"), matchIdx), IF(winner="", "-", IF(winner=team, "-", 1)))))</f>
        <v>1</v>
      </c>
      <c r="V7" s="160"/>
      <c r="W7" s="160"/>
      <c r="X7" s="160"/>
      <c r="Y7" s="160"/>
      <c r="Z7" s="160"/>
      <c r="AA7" s="160"/>
      <c r="AB7" s="158" t="str">
        <f t="shared" si="35"/>
        <v>-</v>
      </c>
      <c r="AC7" s="158">
        <f t="shared" si="36"/>
        <v>1</v>
      </c>
      <c r="AD7" s="158">
        <f t="array" ref="AD7">LET(team, SUBSTITUTE(AD$1, " Wins", ""), IF(COUNTIF(INDIRECT("'"&amp;$A7&amp;"'!$C:$C"), team)&gt;0, 1, "-"))</f>
        <v>1</v>
      </c>
      <c r="AE7" s="158" t="str">
        <f t="array" ref="AE7">LET(team, SUBSTITUTE(AE$1, " Losses", ""), weekSheet, "'"&amp;$A7&amp;"'!", matchIdx, MATCH("*"&amp;team&amp;"*", INDIRECT(weekSheet&amp;"$B:$B"), 0), IF(ISNA(matchIdx), "-", LET(winner, INDEX(INDIRECT(weekSheet&amp;"$C:$C"), matchIdx), IF(winner="", "-", IF(winner=team, "-", 1)))))</f>
        <v>-</v>
      </c>
      <c r="AF7" s="160"/>
      <c r="AG7" s="160"/>
      <c r="AH7" s="158" t="str">
        <f t="array" ref="AH7">LET(team, SUBSTITUTE(AH$1, " Wins", ""), IF(COUNTIF(INDIRECT("'"&amp;$A7&amp;"'!$C:$C"), team)&gt;0, 1, "-"))</f>
        <v>-</v>
      </c>
      <c r="AI7" s="158">
        <f t="array" ref="AI7">LET(team, SUBSTITUTE(AI$1, " Losses", ""), weekSheet, "'"&amp;$A7&amp;"'!", matchIdx, MATCH("*"&amp;team&amp;"*", INDIRECT(weekSheet&amp;"$B:$B"), 0), IF(ISNA(matchIdx), "-", LET(winner, INDEX(INDIRECT(weekSheet&amp;"$C:$C"), matchIdx), IF(winner="", "-", IF(winner=team, "-", 1)))))</f>
        <v>1</v>
      </c>
      <c r="AJ7" s="45">
        <f t="shared" si="37"/>
        <v>1</v>
      </c>
      <c r="AK7" s="45" t="str">
        <f t="shared" si="38"/>
        <v>-</v>
      </c>
      <c r="AL7" s="160"/>
      <c r="AM7" s="160"/>
      <c r="AN7" s="160"/>
      <c r="AO7" s="160"/>
      <c r="AP7" s="160"/>
      <c r="AQ7" s="160"/>
      <c r="AR7" s="158">
        <f t="shared" ref="AR7:AR8" si="45">LET(team, SUBSTITUTE(AR$1, " Wins", ""), IF(COUNTIF(INDIRECT("'"&amp;$A7&amp;"'!$C:$C"), team)&gt;0, 1, "-"))</f>
        <v>1</v>
      </c>
      <c r="AS7" s="158" t="str">
        <f t="shared" ref="AS7:AS8" si="46">LET(team, SUBSTITUTE(AS$1, " Losses", ""), weekSheet, "'"&amp;$A7&amp;"'!", matchIdx, MATCH("*"&amp;team&amp;"*", INDIRECT(weekSheet&amp;"$B:$B"), 0), IF(ISNA(matchIdx), "-", LET(winner, INDEX(INDIRECT(weekSheet&amp;"$C:$C"), matchIdx), IF(winner="", "-", IF(winner=team, "-", 1)))))</f>
        <v>-</v>
      </c>
      <c r="AT7" s="158" t="str">
        <f t="array" ref="AT7">LET(team, SUBSTITUTE(AT$1, " Wins", ""), IF(COUNTIF(INDIRECT("'"&amp;$A7&amp;"'!$C:$C"), team)&gt;0, 1, "-"))</f>
        <v>-</v>
      </c>
      <c r="AU7" s="158">
        <f t="array" ref="AU7">LET(team, SUBSTITUTE(AU$1, " Losses", ""), weekSheet, "'"&amp;$A7&amp;"'!", matchIdx, MATCH("*"&amp;team&amp;"*", INDIRECT(weekSheet&amp;"$B:$B"), 0), IF(ISNA(matchIdx), "-", LET(winner, INDEX(INDIRECT(weekSheet&amp;"$C:$C"), matchIdx), IF(winner="", "-", IF(winner=team, "-", 1)))))</f>
        <v>1</v>
      </c>
      <c r="AV7" s="160"/>
      <c r="AW7" s="160"/>
      <c r="AX7" s="160"/>
      <c r="AY7" s="160"/>
      <c r="AZ7" s="158" t="str">
        <f t="shared" si="39"/>
        <v>-</v>
      </c>
      <c r="BA7" s="158">
        <f t="shared" si="40"/>
        <v>1</v>
      </c>
      <c r="BB7" s="160"/>
      <c r="BC7" s="160"/>
      <c r="BD7" s="160"/>
      <c r="BE7" s="160"/>
      <c r="BF7" s="158">
        <f t="array" ref="BF7">LET(team, SUBSTITUTE(BF$1, " Wins", ""), IF(COUNTIF(INDIRECT("'"&amp;$A7&amp;"'!$C:$C"), team)&gt;0, 1, "-"))</f>
        <v>1</v>
      </c>
      <c r="BG7" s="158" t="str">
        <f t="array" ref="BG7">LET(team, SUBSTITUTE(BG$1, " Losses", ""), weekSheet, "'"&amp;$A7&amp;"'!", matchIdx, MATCH("*"&amp;team&amp;"*", INDIRECT(weekSheet&amp;"$B:$B"), 0), IF(ISNA(matchIdx), "-", LET(winner, INDEX(INDIRECT(weekSheet&amp;"$C:$C"), matchIdx), IF(winner="", "-", IF(winner=team, "-", 1)))))</f>
        <v>-</v>
      </c>
      <c r="BH7" s="160"/>
      <c r="BI7" s="160"/>
      <c r="BJ7" s="158" t="str">
        <f t="shared" si="41"/>
        <v>-</v>
      </c>
      <c r="BK7" s="158">
        <f t="shared" si="42"/>
        <v>1</v>
      </c>
      <c r="BL7" s="160"/>
      <c r="BM7" s="160"/>
    </row>
    <row r="8">
      <c r="A8" s="157" t="s">
        <v>159</v>
      </c>
      <c r="B8" s="160"/>
      <c r="C8" s="160"/>
      <c r="D8" s="158" t="str">
        <f t="shared" si="43"/>
        <v>-</v>
      </c>
      <c r="E8" s="158">
        <f t="shared" si="44"/>
        <v>1</v>
      </c>
      <c r="F8" s="160"/>
      <c r="G8" s="160"/>
      <c r="H8" s="160"/>
      <c r="I8" s="160"/>
      <c r="J8" s="160"/>
      <c r="K8" s="160"/>
      <c r="L8" s="160"/>
      <c r="M8" s="160"/>
      <c r="N8" s="158" t="str">
        <f t="shared" ref="N8:N9" si="47">LET(team, SUBSTITUTE(N$1, " Wins", ""), IF(COUNTIF(INDIRECT("'"&amp;$A8&amp;"'!$C:$C"), team)&gt;0, 1, "-"))</f>
        <v>-</v>
      </c>
      <c r="O8" s="158">
        <f t="shared" ref="O8:O9" si="48">LET(team, SUBSTITUTE(O$1, " Losses", ""), weekSheet, "'"&amp;$A8&amp;"'!", matchIdx, MATCH("*"&amp;team&amp;"*", INDIRECT(weekSheet&amp;"$B:$B"), 0), IF(ISNA(matchIdx), "-", LET(winner, INDEX(INDIRECT(weekSheet&amp;"$C:$C"), matchIdx), IF(winner="", "-", IF(winner=team, "-", 1)))))</f>
        <v>1</v>
      </c>
      <c r="P8" s="160"/>
      <c r="Q8" s="160"/>
      <c r="R8" s="45" t="str">
        <f t="array" ref="R8">LET(team, SUBSTITUTE(R$1, " Wins", ""), IF(COUNTIF(INDIRECT("'"&amp;$A8&amp;"'!$C:$C"), team)&gt;0, 1, "-"))</f>
        <v>-</v>
      </c>
      <c r="S8" s="45">
        <f t="array" ref="S8">LET(team, SUBSTITUTE(S$1, " Losses", ""), weekSheet, "'"&amp;$A8&amp;"'!", matchIdx, MATCH("*"&amp;team&amp;"*", INDIRECT(weekSheet&amp;"$B:$B"), 0), IF(ISNA(matchIdx), "-", LET(winner, INDEX(INDIRECT(weekSheet&amp;"$C:$C"), matchIdx), IF(winner="", "-", IF(winner=team, "-", 1)))))</f>
        <v>1</v>
      </c>
      <c r="T8" s="160"/>
      <c r="U8" s="160"/>
      <c r="V8" s="160"/>
      <c r="W8" s="160"/>
      <c r="X8" s="160"/>
      <c r="Y8" s="160"/>
      <c r="Z8" s="158">
        <f t="array" ref="Z8">LET(team, SUBSTITUTE(Z$1, " Wins", ""), IF(COUNTIF(INDIRECT("'"&amp;$A8&amp;"'!$C:$C"), team)&gt;0, 1, "-"))</f>
        <v>1</v>
      </c>
      <c r="AA8" s="158" t="str">
        <f t="array" ref="AA8">LET(team, SUBSTITUTE(AA$1, " Losses", ""), weekSheet, "'"&amp;$A8&amp;"'!", matchIdx, MATCH("*"&amp;team&amp;"*", INDIRECT(weekSheet&amp;"$B:$B"), 0), IF(ISNA(matchIdx), "-", LET(winner, INDEX(INDIRECT(weekSheet&amp;"$C:$C"), matchIdx), IF(winner="", "-", IF(winner=team, "-", 1)))))</f>
        <v>-</v>
      </c>
      <c r="AB8" s="160"/>
      <c r="AC8" s="160"/>
      <c r="AD8" s="160"/>
      <c r="AE8" s="160"/>
      <c r="AF8" s="158" t="str">
        <f t="array" ref="AF8">LET(team, SUBSTITUTE(AF$1, " Wins", ""), IF(COUNTIF(INDIRECT("'"&amp;$A8&amp;"'!$C:$C"), team)&gt;0, 1, "-"))</f>
        <v>-</v>
      </c>
      <c r="AG8" s="158">
        <f t="array" ref="AG8">LET(team, SUBSTITUTE(AG$1, " Losses", ""), weekSheet, "'"&amp;$A8&amp;"'!", matchIdx, MATCH("*"&amp;team&amp;"*", INDIRECT(weekSheet&amp;"$B:$B"), 0), IF(ISNA(matchIdx), "-", LET(winner, INDEX(INDIRECT(weekSheet&amp;"$C:$C"), matchIdx), IF(winner="", "-", IF(winner=team, "-", 1)))))</f>
        <v>1</v>
      </c>
      <c r="AH8" s="160"/>
      <c r="AI8" s="160"/>
      <c r="AJ8" s="160"/>
      <c r="AK8" s="160"/>
      <c r="AL8" s="158">
        <f t="shared" ref="AL8:AL10" si="49">LET(team, SUBSTITUTE(AL$1, " Wins", ""), IF(COUNTIF(INDIRECT("'"&amp;$A8&amp;"'!$C:$C"), team)&gt;0, 1, "-"))</f>
        <v>1</v>
      </c>
      <c r="AM8" s="158" t="str">
        <f t="shared" ref="AM8:AM10" si="50">LET(team, SUBSTITUTE(AM$1, " Losses", ""), weekSheet, "'"&amp;$A8&amp;"'!", matchIdx, MATCH("*"&amp;team&amp;"*", INDIRECT(weekSheet&amp;"$B:$B"), 0), IF(ISNA(matchIdx), "-", LET(winner, INDEX(INDIRECT(weekSheet&amp;"$C:$C"), matchIdx), IF(winner="", "-", IF(winner=team, "-", 1)))))</f>
        <v>-</v>
      </c>
      <c r="AN8" s="158" t="str">
        <f t="array" ref="AN8">LET(team, SUBSTITUTE(AN$1, " Wins", ""), IF(COUNTIF(INDIRECT("'"&amp;$A8&amp;"'!$C:$C"), team)&gt;0, 1, "-"))</f>
        <v>-</v>
      </c>
      <c r="AO8" s="158">
        <f t="array" ref="AO8">LET(team, SUBSTITUTE(AO$1, " Losses", ""), weekSheet, "'"&amp;$A8&amp;"'!", matchIdx, MATCH("*"&amp;team&amp;"*", INDIRECT(weekSheet&amp;"$B:$B"), 0), IF(ISNA(matchIdx), "-", LET(winner, INDEX(INDIRECT(weekSheet&amp;"$C:$C"), matchIdx), IF(winner="", "-", IF(winner=team, "-", 1)))))</f>
        <v>1</v>
      </c>
      <c r="AP8" s="160"/>
      <c r="AQ8" s="160"/>
      <c r="AR8" s="158" t="str">
        <f t="shared" si="45"/>
        <v>-</v>
      </c>
      <c r="AS8" s="158">
        <f t="shared" si="46"/>
        <v>1</v>
      </c>
      <c r="AT8" s="160"/>
      <c r="AU8" s="160"/>
      <c r="AV8" s="160"/>
      <c r="AW8" s="160"/>
      <c r="AX8" s="158" t="str">
        <f t="shared" ref="AX8:AX9" si="51">LET(team, SUBSTITUTE(AX$1, " Wins", ""), IF(COUNTIF(INDIRECT("'"&amp;$A8&amp;"'!$C:$C"), team)&gt;0, 1, "-"))</f>
        <v>-</v>
      </c>
      <c r="AY8" s="158">
        <f t="shared" ref="AY8:AY9" si="52">LET(team, SUBSTITUTE(AY$1, " Losses", ""), weekSheet, "'"&amp;$A8&amp;"'!", matchIdx, MATCH("*"&amp;team&amp;"*", INDIRECT(weekSheet&amp;"$B:$B"), 0), IF(ISNA(matchIdx), "-", LET(winner, INDEX(INDIRECT(weekSheet&amp;"$C:$C"), matchIdx), IF(winner="", "-", IF(winner=team, "-", 1)))))</f>
        <v>1</v>
      </c>
      <c r="AZ8" s="160"/>
      <c r="BA8" s="160"/>
      <c r="BB8" s="158">
        <f t="array" ref="BB8">LET(team, SUBSTITUTE(BB$1, " Wins", ""), IF(COUNTIF(INDIRECT("'"&amp;$A8&amp;"'!$C:$C"), team)&gt;0, 1, "-"))</f>
        <v>1</v>
      </c>
      <c r="BC8" s="158" t="str">
        <f t="array" ref="BC8">LET(team, SUBSTITUTE(BC$1, " Losses", ""), weekSheet, "'"&amp;$A8&amp;"'!", matchIdx, MATCH("*"&amp;team&amp;"*", INDIRECT(weekSheet&amp;"$B:$B"), 0), IF(ISNA(matchIdx), "-", LET(winner, INDEX(INDIRECT(weekSheet&amp;"$C:$C"), matchIdx), IF(winner="", "-", IF(winner=team, "-", 1)))))</f>
        <v>-</v>
      </c>
      <c r="BD8" s="45" t="str">
        <f t="array" ref="BD8">LET(team, SUBSTITUTE(BD$1, " Wins", ""), IF(COUNTIF(INDIRECT("'"&amp;$A8&amp;"'!$C:$C"), team)&gt;0, 1, "-"))</f>
        <v>-</v>
      </c>
      <c r="BE8" s="45">
        <f t="array" ref="BE8">LET(team, SUBSTITUTE(BE$1, " Losses", ""), weekSheet, "'"&amp;$A8&amp;"'!", matchIdx, MATCH("*"&amp;team&amp;"*", INDIRECT(weekSheet&amp;"$B:$B"), 0), IF(ISNA(matchIdx), "-", LET(winner, INDEX(INDIRECT(weekSheet&amp;"$C:$C"), matchIdx), IF(winner="", "-", IF(winner=team, "-", 1)))))</f>
        <v>1</v>
      </c>
      <c r="BF8" s="160"/>
      <c r="BG8" s="160"/>
      <c r="BH8" s="158">
        <f t="array" ref="BH8">LET(team, SUBSTITUTE(BH$1, " Wins", ""), IF(COUNTIF(INDIRECT("'"&amp;$A8&amp;"'!$C:$C"), team)&gt;0, 1, "-"))</f>
        <v>1</v>
      </c>
      <c r="BI8" s="158" t="str">
        <f t="array" ref="BI8">LET(team, SUBSTITUTE(BI$1, " Losses", ""), weekSheet, "'"&amp;$A8&amp;"'!", matchIdx, MATCH("*"&amp;team&amp;"*", INDIRECT(weekSheet&amp;"$B:$B"), 0), IF(ISNA(matchIdx), "-", LET(winner, INDEX(INDIRECT(weekSheet&amp;"$C:$C"), matchIdx), IF(winner="", "-", IF(winner=team, "-", 1)))))</f>
        <v>-</v>
      </c>
      <c r="BJ8" s="158" t="str">
        <f t="shared" si="41"/>
        <v>-</v>
      </c>
      <c r="BK8" s="158">
        <f t="shared" si="42"/>
        <v>1</v>
      </c>
      <c r="BL8" s="158">
        <f t="array" ref="BL8">LET(team, SUBSTITUTE(BL$1, " Wins", ""), IF(COUNTIF(INDIRECT("'"&amp;$A8&amp;"'!$C:$C"), team)&gt;0, 1, "-"))</f>
        <v>1</v>
      </c>
      <c r="BM8" s="158" t="str">
        <f t="array" ref="BM8">LET(team, SUBSTITUTE(BM$1, " Losses", ""), weekSheet, "'"&amp;$A8&amp;"'!", matchIdx, MATCH("*"&amp;team&amp;"*", INDIRECT(weekSheet&amp;"$B:$B"), 0), IF(ISNA(matchIdx), "-", LET(winner, INDEX(INDIRECT(weekSheet&amp;"$C:$C"), matchIdx), IF(winner="", "-", IF(winner=team, "-", 1)))))</f>
        <v>-</v>
      </c>
    </row>
    <row r="9">
      <c r="A9" s="157" t="s">
        <v>164</v>
      </c>
      <c r="B9" s="160"/>
      <c r="C9" s="160"/>
      <c r="D9" s="160"/>
      <c r="E9" s="160"/>
      <c r="F9" s="158">
        <f t="array" ref="F9">LET(team, SUBSTITUTE(F$1, " Wins", ""), IF(COUNTIF(INDIRECT("'"&amp;$A9&amp;"'!$C:$C"), team)&gt;0, 1, "-"))</f>
        <v>1</v>
      </c>
      <c r="G9" s="158" t="str">
        <f t="array" ref="G9">LET(team, SUBSTITUTE(G$1, " Losses", ""), weekSheet, "'"&amp;$A9&amp;"'!", matchIdx, MATCH("*"&amp;team&amp;"*", INDIRECT(weekSheet&amp;"$B:$B"), 0), IF(ISNA(matchIdx), "-", LET(winner, INDEX(INDIRECT(weekSheet&amp;"$C:$C"), matchIdx), IF(winner="", "-", IF(winner=team, "-", 1)))))</f>
        <v>-</v>
      </c>
      <c r="H9" s="160"/>
      <c r="I9" s="160"/>
      <c r="J9" s="158">
        <f t="array" ref="J9">LET(team, SUBSTITUTE(J$1, " Wins", ""), IF(COUNTIF(INDIRECT("'"&amp;$A9&amp;"'!$C:$C"), team)&gt;0, 1, "-"))</f>
        <v>1</v>
      </c>
      <c r="K9" s="158" t="str">
        <f t="array" ref="K9">LET(team, SUBSTITUTE(K$1, " Losses", ""), weekSheet, "'"&amp;$A9&amp;"'!", matchIdx, MATCH("*"&amp;team&amp;"*", INDIRECT(weekSheet&amp;"$B:$B"), 0), IF(ISNA(matchIdx), "-", LET(winner, INDEX(INDIRECT(weekSheet&amp;"$C:$C"), matchIdx), IF(winner="", "-", IF(winner=team, "-", 1)))))</f>
        <v>-</v>
      </c>
      <c r="L9" s="158" t="str">
        <f t="shared" ref="L9:L10" si="53">LET(team, SUBSTITUTE(L$1, " Wins", ""), IF(COUNTIF(INDIRECT("'"&amp;$A9&amp;"'!$C:$C"), team)&gt;0, 1, "-"))</f>
        <v>-</v>
      </c>
      <c r="M9" s="158">
        <f t="shared" ref="M9:M10" si="54">LET(team, SUBSTITUTE(M$1, " Losses", ""), weekSheet, "'"&amp;$A9&amp;"'!", matchIdx, MATCH("*"&amp;team&amp;"*", INDIRECT(weekSheet&amp;"$B:$B"), 0), IF(ISNA(matchIdx), "-", LET(winner, INDEX(INDIRECT(weekSheet&amp;"$C:$C"), matchIdx), IF(winner="", "-", IF(winner=team, "-", 1)))))</f>
        <v>1</v>
      </c>
      <c r="N9" s="158" t="str">
        <f t="shared" si="47"/>
        <v>-</v>
      </c>
      <c r="O9" s="158">
        <f t="shared" si="48"/>
        <v>1</v>
      </c>
      <c r="P9" s="160"/>
      <c r="Q9" s="160"/>
      <c r="R9" s="160"/>
      <c r="S9" s="160"/>
      <c r="T9" s="160"/>
      <c r="U9" s="160"/>
      <c r="V9" s="158">
        <f t="array" ref="V9">LET(team, SUBSTITUTE(V$1, " Wins", ""), IF(COUNTIF(INDIRECT("'"&amp;$A9&amp;"'!$C:$C"), team)&gt;0, 1, "-"))</f>
        <v>1</v>
      </c>
      <c r="W9" s="158" t="str">
        <f t="array" ref="W9">LET(team, SUBSTITUTE(W$1, " Losses", ""), weekSheet, "'"&amp;$A9&amp;"'!", matchIdx, MATCH("*"&amp;team&amp;"*", INDIRECT(weekSheet&amp;"$B:$B"), 0), IF(ISNA(matchIdx), "-", LET(winner, INDEX(INDIRECT(weekSheet&amp;"$C:$C"), matchIdx), IF(winner="", "-", IF(winner=team, "-", 1)))))</f>
        <v>-</v>
      </c>
      <c r="X9" s="158">
        <f t="array" ref="X9">LET(team, SUBSTITUTE(X$1, " Wins", ""), IF(COUNTIF(INDIRECT("'"&amp;$A9&amp;"'!$C:$C"), team)&gt;0, 1, "-"))</f>
        <v>1</v>
      </c>
      <c r="Y9" s="158" t="str">
        <f t="array" ref="Y9">LET(team, SUBSTITUTE(Y$1, " Losses", ""), weekSheet, "'"&amp;$A9&amp;"'!", matchIdx, MATCH("*"&amp;team&amp;"*", INDIRECT(weekSheet&amp;"$B:$B"), 0), IF(ISNA(matchIdx), "-", LET(winner, INDEX(INDIRECT(weekSheet&amp;"$C:$C"), matchIdx), IF(winner="", "-", IF(winner=team, "-", 1)))))</f>
        <v>-</v>
      </c>
      <c r="Z9" s="160"/>
      <c r="AA9" s="160"/>
      <c r="AB9" s="45">
        <f t="array" ref="AB9">LET(team, SUBSTITUTE(AB$1, " Wins", ""), IF(COUNTIF(INDIRECT("'"&amp;$A9&amp;"'!$C:$C"), team)&gt;0, 1, "-"))</f>
        <v>1</v>
      </c>
      <c r="AC9" s="45" t="str">
        <f t="array" ref="AC9">LET(team, SUBSTITUTE(AC$1, " Losses", ""), weekSheet, "'"&amp;$A9&amp;"'!", matchIdx, MATCH("*"&amp;team&amp;"*", INDIRECT(weekSheet&amp;"$B:$B"), 0), IF(ISNA(matchIdx), "-", LET(winner, INDEX(INDIRECT(weekSheet&amp;"$C:$C"), matchIdx), IF(winner="", "-", IF(winner=team, "-", 1)))))</f>
        <v>-</v>
      </c>
      <c r="AD9" s="160"/>
      <c r="AE9" s="160"/>
      <c r="AF9" s="160"/>
      <c r="AG9" s="160"/>
      <c r="AH9" s="160"/>
      <c r="AI9" s="160"/>
      <c r="AJ9" s="45">
        <f t="array" ref="AJ9">LET(team, SUBSTITUTE(AJ$1, " Wins", ""), IF(COUNTIF(INDIRECT("'"&amp;$A9&amp;"'!$C:$C"), team)&gt;0, 1, "-"))</f>
        <v>1</v>
      </c>
      <c r="AK9" s="45" t="str">
        <f t="array" ref="AK9">LET(team, SUBSTITUTE(AK$1, " Losses", ""), weekSheet, "'"&amp;$A9&amp;"'!", matchIdx, MATCH("*"&amp;team&amp;"*", INDIRECT(weekSheet&amp;"$B:$B"), 0), IF(ISNA(matchIdx), "-", LET(winner, INDEX(INDIRECT(weekSheet&amp;"$C:$C"), matchIdx), IF(winner="", "-", IF(winner=team, "-", 1)))))</f>
        <v>-</v>
      </c>
      <c r="AL9" s="45">
        <f t="shared" si="49"/>
        <v>1</v>
      </c>
      <c r="AM9" s="45" t="str">
        <f t="shared" si="50"/>
        <v>-</v>
      </c>
      <c r="AN9" s="160"/>
      <c r="AO9" s="160"/>
      <c r="AP9" s="158" t="str">
        <f t="array" ref="AP9">LET(team, SUBSTITUTE(AP$1, " Wins", ""), IF(COUNTIF(INDIRECT("'"&amp;$A9&amp;"'!$C:$C"), team)&gt;0, 1, "-"))</f>
        <v>-</v>
      </c>
      <c r="AQ9" s="158">
        <f t="array" ref="AQ9">LET(team, SUBSTITUTE(AQ$1, " Losses", ""), weekSheet, "'"&amp;$A9&amp;"'!", matchIdx, MATCH("*"&amp;team&amp;"*", INDIRECT(weekSheet&amp;"$B:$B"), 0), IF(ISNA(matchIdx), "-", LET(winner, INDEX(INDIRECT(weekSheet&amp;"$C:$C"), matchIdx), IF(winner="", "-", IF(winner=team, "-", 1)))))</f>
        <v>1</v>
      </c>
      <c r="AR9" s="160"/>
      <c r="AS9" s="160"/>
      <c r="AT9" s="160"/>
      <c r="AU9" s="160"/>
      <c r="AV9" s="158" t="str">
        <f t="shared" ref="AV9:AV10" si="55">LET(team, SUBSTITUTE(AV$1, " Wins", ""), IF(COUNTIF(INDIRECT("'"&amp;$A9&amp;"'!$C:$C"), team)&gt;0, 1, "-"))</f>
        <v>-</v>
      </c>
      <c r="AW9" s="158">
        <f t="shared" ref="AW9:AW10" si="56">LET(team, SUBSTITUTE(AW$1, " Losses", ""), weekSheet, "'"&amp;$A9&amp;"'!", matchIdx, MATCH("*"&amp;team&amp;"*", INDIRECT(weekSheet&amp;"$B:$B"), 0), IF(ISNA(matchIdx), "-", LET(winner, INDEX(INDIRECT(weekSheet&amp;"$C:$C"), matchIdx), IF(winner="", "-", IF(winner=team, "-", 1)))))</f>
        <v>1</v>
      </c>
      <c r="AX9" s="45">
        <f t="shared" si="51"/>
        <v>1</v>
      </c>
      <c r="AY9" s="45" t="str">
        <f t="shared" si="52"/>
        <v>-</v>
      </c>
      <c r="AZ9" s="158">
        <f t="array" ref="AZ9">LET(team, SUBSTITUTE(AZ$1, " Wins", ""), IF(COUNTIF(INDIRECT("'"&amp;$A9&amp;"'!$C:$C"), team)&gt;0, 1, "-"))</f>
        <v>1</v>
      </c>
      <c r="BA9" s="158" t="str">
        <f t="array" ref="BA9">LET(team, SUBSTITUTE(BA$1, " Losses", ""), weekSheet, "'"&amp;$A9&amp;"'!", matchIdx, MATCH("*"&amp;team&amp;"*", INDIRECT(weekSheet&amp;"$B:$B"), 0), IF(ISNA(matchIdx), "-", LET(winner, INDEX(INDIRECT(weekSheet&amp;"$C:$C"), matchIdx), IF(winner="", "-", IF(winner=team, "-", 1)))))</f>
        <v>-</v>
      </c>
      <c r="BB9" s="160"/>
      <c r="BC9" s="160"/>
      <c r="BD9" s="160"/>
      <c r="BE9" s="160"/>
      <c r="BF9" s="158">
        <f t="array" ref="BF9">LET(team, SUBSTITUTE(BF$1, " Wins", ""), IF(COUNTIF(INDIRECT("'"&amp;$A9&amp;"'!$C:$C"), team)&gt;0, 1, "-"))</f>
        <v>1</v>
      </c>
      <c r="BG9" s="158" t="str">
        <f t="array" ref="BG9">LET(team, SUBSTITUTE(BG$1, " Losses", ""), weekSheet, "'"&amp;$A9&amp;"'!", matchIdx, MATCH("*"&amp;team&amp;"*", INDIRECT(weekSheet&amp;"$B:$B"), 0), IF(ISNA(matchIdx), "-", LET(winner, INDEX(INDIRECT(weekSheet&amp;"$C:$C"), matchIdx), IF(winner="", "-", IF(winner=team, "-", 1)))))</f>
        <v>-</v>
      </c>
      <c r="BH9" s="160"/>
      <c r="BI9" s="160"/>
      <c r="BJ9" s="160"/>
      <c r="BK9" s="160"/>
      <c r="BL9" s="160"/>
      <c r="BM9" s="160"/>
    </row>
    <row r="10">
      <c r="A10" s="157" t="s">
        <v>170</v>
      </c>
      <c r="B10" s="158">
        <f t="array" ref="B10">LET(team, SUBSTITUTE(B$1, " Wins", ""), IF(COUNTIF(INDIRECT("'"&amp;$A10&amp;"'!$C:$C"), team)&gt;0, 1, "-"))</f>
        <v>1</v>
      </c>
      <c r="C10" s="158" t="str">
        <f t="array" ref="C10">LET(team, SUBSTITUTE(C$1, " Losses", ""), weekSheet, "'"&amp;$A10&amp;"'!", matchIdx, MATCH("*"&amp;team&amp;"*", INDIRECT(weekSheet&amp;"$B:$B"), 0), IF(ISNA(matchIdx), "-", LET(winner, INDEX(INDIRECT(weekSheet&amp;"$C:$C"), matchIdx), IF(winner="", "-", IF(winner=team, "-", 1)))))</f>
        <v>-</v>
      </c>
      <c r="D10" s="160"/>
      <c r="E10" s="160"/>
      <c r="F10" s="160"/>
      <c r="G10" s="160"/>
      <c r="H10" s="158">
        <f t="array" ref="H10">LET(team, SUBSTITUTE(H$1, " Wins", ""), IF(COUNTIF(INDIRECT("'"&amp;$A10&amp;"'!$C:$C"), team)&gt;0, 1, "-"))</f>
        <v>1</v>
      </c>
      <c r="I10" s="158" t="str">
        <f t="array" ref="I10">LET(team, SUBSTITUTE(I$1, " Losses", ""), weekSheet, "'"&amp;$A10&amp;"'!", matchIdx, MATCH("*"&amp;team&amp;"*", INDIRECT(weekSheet&amp;"$B:$B"), 0), IF(ISNA(matchIdx), "-", LET(winner, INDEX(INDIRECT(weekSheet&amp;"$C:$C"), matchIdx), IF(winner="", "-", IF(winner=team, "-", 1)))))</f>
        <v>-</v>
      </c>
      <c r="J10" s="160"/>
      <c r="K10" s="160"/>
      <c r="L10" s="158" t="str">
        <f t="shared" si="53"/>
        <v>-</v>
      </c>
      <c r="M10" s="158">
        <f t="shared" si="54"/>
        <v>1</v>
      </c>
      <c r="N10" s="160"/>
      <c r="O10" s="160"/>
      <c r="P10" s="158">
        <f t="array" ref="P10">LET(team, SUBSTITUTE(P$1, " Wins", ""), IF(COUNTIF(INDIRECT("'"&amp;$A10&amp;"'!$C:$C"), team)&gt;0, 1, "-"))</f>
        <v>1</v>
      </c>
      <c r="Q10" s="158" t="str">
        <f t="array" ref="Q10">LET(team, SUBSTITUTE(Q$1, " Losses", ""), weekSheet, "'"&amp;$A10&amp;"'!", matchIdx, MATCH("*"&amp;team&amp;"*", INDIRECT(weekSheet&amp;"$B:$B"), 0), IF(ISNA(matchIdx), "-", LET(winner, INDEX(INDIRECT(weekSheet&amp;"$C:$C"), matchIdx), IF(winner="", "-", IF(winner=team, "-", 1)))))</f>
        <v>-</v>
      </c>
      <c r="R10" s="158">
        <f t="shared" ref="R10:R11" si="57">LET(team, SUBSTITUTE(R$1, " Wins", ""), IF(COUNTIF(INDIRECT("'"&amp;$A10&amp;"'!$C:$C"), team)&gt;0, 1, "-"))</f>
        <v>1</v>
      </c>
      <c r="S10" s="158" t="str">
        <f t="shared" ref="S10:S11" si="58">LET(team, SUBSTITUTE(S$1, " Losses", ""), weekSheet, "'"&amp;$A10&amp;"'!", matchIdx, MATCH("*"&amp;team&amp;"*", INDIRECT(weekSheet&amp;"$B:$B"), 0), IF(ISNA(matchIdx), "-", LET(winner, INDEX(INDIRECT(weekSheet&amp;"$C:$C"), matchIdx), IF(winner="", "-", IF(winner=team, "-", 1)))))</f>
        <v>-</v>
      </c>
      <c r="T10" s="160"/>
      <c r="U10" s="160"/>
      <c r="V10" s="160"/>
      <c r="W10" s="160"/>
      <c r="X10" s="160"/>
      <c r="Y10" s="160"/>
      <c r="Z10" s="160"/>
      <c r="AA10" s="160"/>
      <c r="AB10" s="160"/>
      <c r="AC10" s="160"/>
      <c r="AD10" s="158">
        <f t="shared" ref="AD10:AD11" si="59">LET(team, SUBSTITUTE(AD$1, " Wins", ""), IF(COUNTIF(INDIRECT("'"&amp;$A10&amp;"'!$C:$C"), team)&gt;0, 1, "-"))</f>
        <v>1</v>
      </c>
      <c r="AE10" s="158" t="str">
        <f t="shared" ref="AE10:AE11" si="60">LET(team, SUBSTITUTE(AE$1, " Losses", ""), weekSheet, "'"&amp;$A10&amp;"'!", matchIdx, MATCH("*"&amp;team&amp;"*", INDIRECT(weekSheet&amp;"$B:$B"), 0), IF(ISNA(matchIdx), "-", LET(winner, INDEX(INDIRECT(weekSheet&amp;"$C:$C"), matchIdx), IF(winner="", "-", IF(winner=team, "-", 1)))))</f>
        <v>-</v>
      </c>
      <c r="AF10" s="160"/>
      <c r="AG10" s="160"/>
      <c r="AH10" s="45">
        <f t="array" ref="AH10">LET(team, SUBSTITUTE(AH$1, " Wins", ""), IF(COUNTIF(INDIRECT("'"&amp;$A10&amp;"'!$C:$C"), team)&gt;0, 1, "-"))</f>
        <v>1</v>
      </c>
      <c r="AI10" s="45" t="str">
        <f t="array" ref="AI10">LET(team, SUBSTITUTE(AI$1, " Losses", ""), weekSheet, "'"&amp;$A10&amp;"'!", matchIdx, MATCH("*"&amp;team&amp;"*", INDIRECT(weekSheet&amp;"$B:$B"), 0), IF(ISNA(matchIdx), "-", LET(winner, INDEX(INDIRECT(weekSheet&amp;"$C:$C"), matchIdx), IF(winner="", "-", IF(winner=team, "-", 1)))))</f>
        <v>-</v>
      </c>
      <c r="AJ10" s="160"/>
      <c r="AK10" s="160"/>
      <c r="AL10" s="158">
        <f t="shared" si="49"/>
        <v>1</v>
      </c>
      <c r="AM10" s="158" t="str">
        <f t="shared" si="50"/>
        <v>-</v>
      </c>
      <c r="AN10" s="160"/>
      <c r="AO10" s="160"/>
      <c r="AP10" s="160"/>
      <c r="AQ10" s="160"/>
      <c r="AR10" s="45">
        <f t="array" ref="AR10">LET(team, SUBSTITUTE(AR$1, " Wins", ""), IF(COUNTIF(INDIRECT("'"&amp;$A10&amp;"'!$C:$C"), team)&gt;0, 1, "-"))</f>
        <v>1</v>
      </c>
      <c r="AS10" s="45" t="str">
        <f t="array" ref="AS10">LET(team, SUBSTITUTE(AS$1, " Losses", ""), weekSheet, "'"&amp;$A10&amp;"'!", matchIdx, MATCH("*"&amp;team&amp;"*", INDIRECT(weekSheet&amp;"$B:$B"), 0), IF(ISNA(matchIdx), "-", LET(winner, INDEX(INDIRECT(weekSheet&amp;"$C:$C"), matchIdx), IF(winner="", "-", IF(winner=team, "-", 1)))))</f>
        <v>-</v>
      </c>
      <c r="AT10" s="160"/>
      <c r="AU10" s="160"/>
      <c r="AV10" s="158" t="str">
        <f t="shared" si="55"/>
        <v>-</v>
      </c>
      <c r="AW10" s="158">
        <f t="shared" si="56"/>
        <v>1</v>
      </c>
      <c r="AX10" s="160"/>
      <c r="AY10" s="160"/>
      <c r="AZ10" s="160"/>
      <c r="BA10" s="160"/>
      <c r="BB10" s="158" t="str">
        <f t="array" ref="BB10">LET(team, SUBSTITUTE(BB$1, " Wins", ""), IF(COUNTIF(INDIRECT("'"&amp;$A10&amp;"'!$C:$C"), team)&gt;0, 1, "-"))</f>
        <v>-</v>
      </c>
      <c r="BC10" s="158">
        <f t="array" ref="BC10">LET(team, SUBSTITUTE(BC$1, " Losses", ""), weekSheet, "'"&amp;$A10&amp;"'!", matchIdx, MATCH("*"&amp;team&amp;"*", INDIRECT(weekSheet&amp;"$B:$B"), 0), IF(ISNA(matchIdx), "-", LET(winner, INDEX(INDIRECT(weekSheet&amp;"$C:$C"), matchIdx), IF(winner="", "-", IF(winner=team, "-", 1)))))</f>
        <v>1</v>
      </c>
      <c r="BD10" s="158">
        <f t="array" ref="BD10">LET(team, SUBSTITUTE(BD$1, " Wins", ""), IF(COUNTIF(INDIRECT("'"&amp;$A10&amp;"'!$C:$C"), team)&gt;0, 1, "-"))</f>
        <v>1</v>
      </c>
      <c r="BE10" s="158" t="str">
        <f t="array" ref="BE10">LET(team, SUBSTITUTE(BE$1, " Losses", ""), weekSheet, "'"&amp;$A10&amp;"'!", matchIdx, MATCH("*"&amp;team&amp;"*", INDIRECT(weekSheet&amp;"$B:$B"), 0), IF(ISNA(matchIdx), "-", LET(winner, INDEX(INDIRECT(weekSheet&amp;"$C:$C"), matchIdx), IF(winner="", "-", IF(winner=team, "-", 1)))))</f>
        <v>-</v>
      </c>
      <c r="BF10" s="160"/>
      <c r="BG10" s="160"/>
      <c r="BH10" s="158">
        <f t="shared" ref="BH10:BH11" si="61">LET(team, SUBSTITUTE(BH$1, " Wins", ""), IF(COUNTIF(INDIRECT("'"&amp;$A10&amp;"'!$C:$C"), team)&gt;0, 1, "-"))</f>
        <v>1</v>
      </c>
      <c r="BI10" s="158" t="str">
        <f t="shared" ref="BI10:BI11" si="62">LET(team, SUBSTITUTE(BI$1, " Losses", ""), weekSheet, "'"&amp;$A10&amp;"'!", matchIdx, MATCH("*"&amp;team&amp;"*", INDIRECT(weekSheet&amp;"$B:$B"), 0), IF(ISNA(matchIdx), "-", LET(winner, INDEX(INDIRECT(weekSheet&amp;"$C:$C"), matchIdx), IF(winner="", "-", IF(winner=team, "-", 1)))))</f>
        <v>-</v>
      </c>
      <c r="BJ10" s="158">
        <f t="shared" ref="BJ10:BJ11" si="63">LET(team, SUBSTITUTE(BJ$1, " Wins", ""), IF(COUNTIF(INDIRECT("'"&amp;$A10&amp;"'!$C:$C"), team)&gt;0, 1, "-"))</f>
        <v>1</v>
      </c>
      <c r="BK10" s="158" t="str">
        <f t="shared" ref="BK10:BK11" si="64">LET(team, SUBSTITUTE(BK$1, " Losses", ""), weekSheet, "'"&amp;$A10&amp;"'!", matchIdx, MATCH("*"&amp;team&amp;"*", INDIRECT(weekSheet&amp;"$B:$B"), 0), IF(ISNA(matchIdx), "-", LET(winner, INDEX(INDIRECT(weekSheet&amp;"$C:$C"), matchIdx), IF(winner="", "-", IF(winner=team, "-", 1)))))</f>
        <v>-</v>
      </c>
      <c r="BL10" s="158" t="str">
        <f t="array" ref="BL10">LET(team, SUBSTITUTE(BL$1, " Wins", ""), IF(COUNTIF(INDIRECT("'"&amp;$A10&amp;"'!$C:$C"), team)&gt;0, 1, "-"))</f>
        <v>-</v>
      </c>
      <c r="BM10" s="158">
        <f t="array" ref="BM10">LET(team, SUBSTITUTE(BM$1, " Losses", ""), weekSheet, "'"&amp;$A10&amp;"'!", matchIdx, MATCH("*"&amp;team&amp;"*", INDIRECT(weekSheet&amp;"$B:$B"), 0), IF(ISNA(matchIdx), "-", LET(winner, INDEX(INDIRECT(weekSheet&amp;"$C:$C"), matchIdx), IF(winner="", "-", IF(winner=team, "-", 1)))))</f>
        <v>1</v>
      </c>
    </row>
    <row r="11">
      <c r="A11" s="157" t="s">
        <v>175</v>
      </c>
      <c r="B11" s="160"/>
      <c r="C11" s="160"/>
      <c r="D11" s="45">
        <f t="array" ref="D11">LET(team, SUBSTITUTE(D$1, " Wins", ""), IF(COUNTIF(INDIRECT("'"&amp;$A11&amp;"'!$C:$C"), team)&gt;0, 1, "-"))</f>
        <v>1</v>
      </c>
      <c r="E11" s="45" t="str">
        <f t="array" ref="E11">LET(team, SUBSTITUTE(E$1, " Losses", ""), weekSheet, "'"&amp;$A11&amp;"'!", matchIdx, MATCH("*"&amp;team&amp;"*", INDIRECT(weekSheet&amp;"$B:$B"), 0), IF(ISNA(matchIdx), "-", LET(winner, INDEX(INDIRECT(weekSheet&amp;"$C:$C"), matchIdx), IF(winner="", "-", IF(winner=team, "-", 1)))))</f>
        <v>-</v>
      </c>
      <c r="F11" s="160"/>
      <c r="G11" s="160"/>
      <c r="H11" s="160"/>
      <c r="I11" s="160"/>
      <c r="J11" s="160"/>
      <c r="K11" s="160"/>
      <c r="L11" s="160"/>
      <c r="M11" s="160"/>
      <c r="N11" s="158">
        <f t="array" ref="N11">LET(team, SUBSTITUTE(N$1, " Wins", ""), IF(COUNTIF(INDIRECT("'"&amp;$A11&amp;"'!$C:$C"), team)&gt;0, 1, "-"))</f>
        <v>1</v>
      </c>
      <c r="O11" s="158" t="str">
        <f t="array" ref="O11">LET(team, SUBSTITUTE(O$1, " Losses", ""), weekSheet, "'"&amp;$A11&amp;"'!", matchIdx, MATCH("*"&amp;team&amp;"*", INDIRECT(weekSheet&amp;"$B:$B"), 0), IF(ISNA(matchIdx), "-", LET(winner, INDEX(INDIRECT(weekSheet&amp;"$C:$C"), matchIdx), IF(winner="", "-", IF(winner=team, "-", 1)))))</f>
        <v>-</v>
      </c>
      <c r="P11" s="160"/>
      <c r="Q11" s="160"/>
      <c r="R11" s="158">
        <f t="shared" si="57"/>
        <v>1</v>
      </c>
      <c r="S11" s="158" t="str">
        <f t="shared" si="58"/>
        <v>-</v>
      </c>
      <c r="T11" s="45">
        <f t="array" ref="T11">LET(team, SUBSTITUTE(T$1, " Wins", ""), IF(COUNTIF(INDIRECT("'"&amp;$A11&amp;"'!$C:$C"), team)&gt;0, 1, "-"))</f>
        <v>1</v>
      </c>
      <c r="U11" s="45" t="str">
        <f t="array" ref="U11">LET(team, SUBSTITUTE(U$1, " Losses", ""), weekSheet, "'"&amp;$A11&amp;"'!", matchIdx, MATCH("*"&amp;team&amp;"*", INDIRECT(weekSheet&amp;"$B:$B"), 0), IF(ISNA(matchIdx), "-", LET(winner, INDEX(INDIRECT(weekSheet&amp;"$C:$C"), matchIdx), IF(winner="", "-", IF(winner=team, "-", 1)))))</f>
        <v>-</v>
      </c>
      <c r="V11" s="160"/>
      <c r="W11" s="160"/>
      <c r="X11" s="45">
        <f t="array" ref="X11">LET(team, SUBSTITUTE(X$1, " Wins", ""), IF(COUNTIF(INDIRECT("'"&amp;$A11&amp;"'!$C:$C"), team)&gt;0, 1, "-"))</f>
        <v>1</v>
      </c>
      <c r="Y11" s="45" t="str">
        <f t="array" ref="Y11">LET(team, SUBSTITUTE(Y$1, " Losses", ""), weekSheet, "'"&amp;$A11&amp;"'!", matchIdx, MATCH("*"&amp;team&amp;"*", INDIRECT(weekSheet&amp;"$B:$B"), 0), IF(ISNA(matchIdx), "-", LET(winner, INDEX(INDIRECT(weekSheet&amp;"$C:$C"), matchIdx), IF(winner="", "-", IF(winner=team, "-", 1)))))</f>
        <v>-</v>
      </c>
      <c r="Z11" s="160"/>
      <c r="AA11" s="160"/>
      <c r="AB11" s="160"/>
      <c r="AC11" s="160"/>
      <c r="AD11" s="158" t="str">
        <f t="shared" si="59"/>
        <v>-</v>
      </c>
      <c r="AE11" s="158">
        <f t="shared" si="60"/>
        <v>1</v>
      </c>
      <c r="AF11" s="45" t="str">
        <f t="array" ref="AF11">LET(team, SUBSTITUTE(AF$1, " Wins", ""), IF(COUNTIF(INDIRECT("'"&amp;$A11&amp;"'!$C:$C"), team)&gt;0, 1, "-"))</f>
        <v>-</v>
      </c>
      <c r="AG11" s="45">
        <f t="array" ref="AG11">LET(team, SUBSTITUTE(AG$1, " Losses", ""), weekSheet, "'"&amp;$A11&amp;"'!", matchIdx, MATCH("*"&amp;team&amp;"*", INDIRECT(weekSheet&amp;"$B:$B"), 0), IF(ISNA(matchIdx), "-", LET(winner, INDEX(INDIRECT(weekSheet&amp;"$C:$C"), matchIdx), IF(winner="", "-", IF(winner=team, "-", 1)))))</f>
        <v>1</v>
      </c>
      <c r="AH11" s="160"/>
      <c r="AI11" s="160"/>
      <c r="AJ11" s="160"/>
      <c r="AK11" s="160"/>
      <c r="AL11" s="160"/>
      <c r="AM11" s="160"/>
      <c r="AN11" s="158">
        <f t="array" ref="AN11">LET(team, SUBSTITUTE(AN$1, " Wins", ""), IF(COUNTIF(INDIRECT("'"&amp;$A11&amp;"'!$C:$C"), team)&gt;0, 1, "-"))</f>
        <v>1</v>
      </c>
      <c r="AO11" s="158" t="str">
        <f t="array" ref="AO11">LET(team, SUBSTITUTE(AO$1, " Losses", ""), weekSheet, "'"&amp;$A11&amp;"'!", matchIdx, MATCH("*"&amp;team&amp;"*", INDIRECT(weekSheet&amp;"$B:$B"), 0), IF(ISNA(matchIdx), "-", LET(winner, INDEX(INDIRECT(weekSheet&amp;"$C:$C"), matchIdx), IF(winner="", "-", IF(winner=team, "-", 1)))))</f>
        <v>-</v>
      </c>
      <c r="AP11" s="45">
        <f t="shared" ref="AP11:AP13" si="65">LET(team, SUBSTITUTE(AP$1, " Wins", ""), IF(COUNTIF(INDIRECT("'"&amp;$A11&amp;"'!$C:$C"), team)&gt;0, 1, "-"))</f>
        <v>1</v>
      </c>
      <c r="AQ11" s="45" t="str">
        <f t="shared" ref="AQ11:AQ13" si="66">LET(team, SUBSTITUTE(AQ$1, " Losses", ""), weekSheet, "'"&amp;$A11&amp;"'!", matchIdx, MATCH("*"&amp;team&amp;"*", INDIRECT(weekSheet&amp;"$B:$B"), 0), IF(ISNA(matchIdx), "-", LET(winner, INDEX(INDIRECT(weekSheet&amp;"$C:$C"), matchIdx), IF(winner="", "-", IF(winner=team, "-", 1)))))</f>
        <v>-</v>
      </c>
      <c r="AR11" s="160"/>
      <c r="AS11" s="160"/>
      <c r="AT11" s="158" t="str">
        <f t="shared" ref="AT11:AT12" si="67">LET(team, SUBSTITUTE(AT$1, " Wins", ""), IF(COUNTIF(INDIRECT("'"&amp;$A11&amp;"'!$C:$C"), team)&gt;0, 1, "-"))</f>
        <v>-</v>
      </c>
      <c r="AU11" s="158">
        <f t="shared" ref="AU11:AU12" si="68">LET(team, SUBSTITUTE(AU$1, " Losses", ""), weekSheet, "'"&amp;$A11&amp;"'!", matchIdx, MATCH("*"&amp;team&amp;"*", INDIRECT(weekSheet&amp;"$B:$B"), 0), IF(ISNA(matchIdx), "-", LET(winner, INDEX(INDIRECT(weekSheet&amp;"$C:$C"), matchIdx), IF(winner="", "-", IF(winner=team, "-", 1)))))</f>
        <v>1</v>
      </c>
      <c r="AV11" s="160"/>
      <c r="AW11" s="160"/>
      <c r="AX11" s="158" t="str">
        <f t="shared" ref="AX11:AX13" si="69">LET(team, SUBSTITUTE(AX$1, " Wins", ""), IF(COUNTIF(INDIRECT("'"&amp;$A11&amp;"'!$C:$C"), team)&gt;0, 1, "-"))</f>
        <v>-</v>
      </c>
      <c r="AY11" s="158">
        <f t="shared" ref="AY11:AY13" si="70">LET(team, SUBSTITUTE(AY$1, " Losses", ""), weekSheet, "'"&amp;$A11&amp;"'!", matchIdx, MATCH("*"&amp;team&amp;"*", INDIRECT(weekSheet&amp;"$B:$B"), 0), IF(ISNA(matchIdx), "-", LET(winner, INDEX(INDIRECT(weekSheet&amp;"$C:$C"), matchIdx), IF(winner="", "-", IF(winner=team, "-", 1)))))</f>
        <v>1</v>
      </c>
      <c r="AZ11" s="45">
        <f t="array" ref="AZ11">LET(team, SUBSTITUTE(AZ$1, " Wins", ""), IF(COUNTIF(INDIRECT("'"&amp;$A11&amp;"'!$C:$C"), team)&gt;0, 1, "-"))</f>
        <v>1</v>
      </c>
      <c r="BA11" s="45" t="str">
        <f t="array" ref="BA11">LET(team, SUBSTITUTE(BA$1, " Losses", ""), weekSheet, "'"&amp;$A11&amp;"'!", matchIdx, MATCH("*"&amp;team&amp;"*", INDIRECT(weekSheet&amp;"$B:$B"), 0), IF(ISNA(matchIdx), "-", LET(winner, INDEX(INDIRECT(weekSheet&amp;"$C:$C"), matchIdx), IF(winner="", "-", IF(winner=team, "-", 1)))))</f>
        <v>-</v>
      </c>
      <c r="BB11" s="160"/>
      <c r="BC11" s="160"/>
      <c r="BD11" s="160"/>
      <c r="BE11" s="160"/>
      <c r="BF11" s="160"/>
      <c r="BG11" s="160"/>
      <c r="BH11" s="158">
        <f t="shared" si="61"/>
        <v>1</v>
      </c>
      <c r="BI11" s="158" t="str">
        <f t="shared" si="62"/>
        <v>-</v>
      </c>
      <c r="BJ11" s="158" t="str">
        <f t="shared" si="63"/>
        <v>-</v>
      </c>
      <c r="BK11" s="158">
        <f t="shared" si="64"/>
        <v>1</v>
      </c>
      <c r="BL11" s="160"/>
      <c r="BM11" s="160"/>
    </row>
    <row r="12">
      <c r="A12" s="157" t="s">
        <v>179</v>
      </c>
      <c r="B12" s="158">
        <f t="array" ref="B12">LET(team, SUBSTITUTE(B$1, " Wins", ""), IF(COUNTIF(INDIRECT("'"&amp;$A12&amp;"'!$C:$C"), team)&gt;0, 1, "-"))</f>
        <v>1</v>
      </c>
      <c r="C12" s="158" t="str">
        <f t="array" ref="C12">LET(team, SUBSTITUTE(C$1, " Losses", ""), weekSheet, "'"&amp;$A12&amp;"'!", matchIdx, MATCH("*"&amp;team&amp;"*", INDIRECT(weekSheet&amp;"$B:$B"), 0), IF(ISNA(matchIdx), "-", LET(winner, INDEX(INDIRECT(weekSheet&amp;"$C:$C"), matchIdx), IF(winner="", "-", IF(winner=team, "-", 1)))))</f>
        <v>-</v>
      </c>
      <c r="D12" s="160"/>
      <c r="E12" s="160"/>
      <c r="F12" s="158">
        <f t="array" ref="F12">LET(team, SUBSTITUTE(F$1, " Wins", ""), IF(COUNTIF(INDIRECT("'"&amp;$A12&amp;"'!$C:$C"), team)&gt;0, 1, "-"))</f>
        <v>1</v>
      </c>
      <c r="G12" s="158" t="str">
        <f t="array" ref="G12">LET(team, SUBSTITUTE(G$1, " Losses", ""), weekSheet, "'"&amp;$A12&amp;"'!", matchIdx, MATCH("*"&amp;team&amp;"*", INDIRECT(weekSheet&amp;"$B:$B"), 0), IF(ISNA(matchIdx), "-", LET(winner, INDEX(INDIRECT(weekSheet&amp;"$C:$C"), matchIdx), IF(winner="", "-", IF(winner=team, "-", 1)))))</f>
        <v>-</v>
      </c>
      <c r="H12" s="158">
        <f t="shared" ref="H12:H13" si="71">LET(team, SUBSTITUTE(H$1, " Wins", ""), IF(COUNTIF(INDIRECT("'"&amp;$A12&amp;"'!$C:$C"), team)&gt;0, 1, "-"))</f>
        <v>1</v>
      </c>
      <c r="I12" s="158" t="str">
        <f t="shared" ref="I12:I13" si="72">LET(team, SUBSTITUTE(I$1, " Losses", ""), weekSheet, "'"&amp;$A12&amp;"'!", matchIdx, MATCH("*"&amp;team&amp;"*", INDIRECT(weekSheet&amp;"$B:$B"), 0), IF(ISNA(matchIdx), "-", LET(winner, INDEX(INDIRECT(weekSheet&amp;"$C:$C"), matchIdx), IF(winner="", "-", IF(winner=team, "-", 1)))))</f>
        <v>-</v>
      </c>
      <c r="J12" s="158">
        <f t="shared" ref="J12:J13" si="73">LET(team, SUBSTITUTE(J$1, " Wins", ""), IF(COUNTIF(INDIRECT("'"&amp;$A12&amp;"'!$C:$C"), team)&gt;0, 1, "-"))</f>
        <v>1</v>
      </c>
      <c r="K12" s="158" t="str">
        <f t="shared" ref="K12:K13" si="74">LET(team, SUBSTITUTE(K$1, " Losses", ""), weekSheet, "'"&amp;$A12&amp;"'!", matchIdx, MATCH("*"&amp;team&amp;"*", INDIRECT(weekSheet&amp;"$B:$B"), 0), IF(ISNA(matchIdx), "-", LET(winner, INDEX(INDIRECT(weekSheet&amp;"$C:$C"), matchIdx), IF(winner="", "-", IF(winner=team, "-", 1)))))</f>
        <v>-</v>
      </c>
      <c r="L12" s="160"/>
      <c r="M12" s="160"/>
      <c r="N12" s="160"/>
      <c r="O12" s="160"/>
      <c r="P12" s="160"/>
      <c r="Q12" s="160"/>
      <c r="R12" s="160"/>
      <c r="S12" s="160"/>
      <c r="T12" s="160"/>
      <c r="U12" s="160"/>
      <c r="V12" s="160"/>
      <c r="W12" s="160"/>
      <c r="X12" s="160"/>
      <c r="Y12" s="160"/>
      <c r="Z12" s="158">
        <f t="shared" ref="Z12:Z13" si="75">LET(team, SUBSTITUTE(Z$1, " Wins", ""), IF(COUNTIF(INDIRECT("'"&amp;$A12&amp;"'!$C:$C"), team)&gt;0, 1, "-"))</f>
        <v>1</v>
      </c>
      <c r="AA12" s="158" t="str">
        <f t="shared" ref="AA12:AA13" si="76">LET(team, SUBSTITUTE(AA$1, " Losses", ""), weekSheet, "'"&amp;$A12&amp;"'!", matchIdx, MATCH("*"&amp;team&amp;"*", INDIRECT(weekSheet&amp;"$B:$B"), 0), IF(ISNA(matchIdx), "-", LET(winner, INDEX(INDIRECT(weekSheet&amp;"$C:$C"), matchIdx), IF(winner="", "-", IF(winner=team, "-", 1)))))</f>
        <v>-</v>
      </c>
      <c r="AB12" s="160"/>
      <c r="AC12" s="160"/>
      <c r="AD12" s="160"/>
      <c r="AE12" s="160"/>
      <c r="AF12" s="160"/>
      <c r="AG12" s="160"/>
      <c r="AH12" s="158" t="str">
        <f t="shared" ref="AH12:AH13" si="77">LET(team, SUBSTITUTE(AH$1, " Wins", ""), IF(COUNTIF(INDIRECT("'"&amp;$A12&amp;"'!$C:$C"), team)&gt;0, 1, "-"))</f>
        <v>-</v>
      </c>
      <c r="AI12" s="158">
        <f t="shared" ref="AI12:AI13" si="78">LET(team, SUBSTITUTE(AI$1, " Losses", ""), weekSheet, "'"&amp;$A12&amp;"'!", matchIdx, MATCH("*"&amp;team&amp;"*", INDIRECT(weekSheet&amp;"$B:$B"), 0), IF(ISNA(matchIdx), "-", LET(winner, INDEX(INDIRECT(weekSheet&amp;"$C:$C"), matchIdx), IF(winner="", "-", IF(winner=team, "-", 1)))))</f>
        <v>1</v>
      </c>
      <c r="AJ12" s="160"/>
      <c r="AK12" s="160"/>
      <c r="AL12" s="160"/>
      <c r="AM12" s="160"/>
      <c r="AN12" s="160"/>
      <c r="AO12" s="160"/>
      <c r="AP12" s="158">
        <f t="shared" si="65"/>
        <v>1</v>
      </c>
      <c r="AQ12" s="158" t="str">
        <f t="shared" si="66"/>
        <v>-</v>
      </c>
      <c r="AR12" s="158">
        <f t="array" ref="AR12">LET(team, SUBSTITUTE(AR$1, " Wins", ""), IF(COUNTIF(INDIRECT("'"&amp;$A12&amp;"'!$C:$C"), team)&gt;0, 1, "-"))</f>
        <v>1</v>
      </c>
      <c r="AS12" s="158" t="str">
        <f t="array" ref="AS12">LET(team, SUBSTITUTE(AS$1, " Losses", ""), weekSheet, "'"&amp;$A12&amp;"'!", matchIdx, MATCH("*"&amp;team&amp;"*", INDIRECT(weekSheet&amp;"$B:$B"), 0), IF(ISNA(matchIdx), "-", LET(winner, INDEX(INDIRECT(weekSheet&amp;"$C:$C"), matchIdx), IF(winner="", "-", IF(winner=team, "-", 1)))))</f>
        <v>-</v>
      </c>
      <c r="AT12" s="45">
        <f t="shared" si="67"/>
        <v>1</v>
      </c>
      <c r="AU12" s="45" t="str">
        <f t="shared" si="68"/>
        <v>-</v>
      </c>
      <c r="AV12" s="158">
        <f t="array" ref="AV12">LET(team, SUBSTITUTE(AV$1, " Wins", ""), IF(COUNTIF(INDIRECT("'"&amp;$A12&amp;"'!$C:$C"), team)&gt;0, 1, "-"))</f>
        <v>1</v>
      </c>
      <c r="AW12" s="158" t="str">
        <f t="array" ref="AW12">LET(team, SUBSTITUTE(AW$1, " Losses", ""), weekSheet, "'"&amp;$A12&amp;"'!", matchIdx, MATCH("*"&amp;team&amp;"*", INDIRECT(weekSheet&amp;"$B:$B"), 0), IF(ISNA(matchIdx), "-", LET(winner, INDEX(INDIRECT(weekSheet&amp;"$C:$C"), matchIdx), IF(winner="", "-", IF(winner=team, "-", 1)))))</f>
        <v>-</v>
      </c>
      <c r="AX12" s="158" t="str">
        <f t="shared" si="69"/>
        <v>-</v>
      </c>
      <c r="AY12" s="158">
        <f t="shared" si="70"/>
        <v>1</v>
      </c>
      <c r="AZ12" s="160"/>
      <c r="BA12" s="160"/>
      <c r="BB12" s="160"/>
      <c r="BC12" s="160"/>
      <c r="BD12" s="158">
        <f t="array" ref="BD12">LET(team, SUBSTITUTE(BD$1, " Wins", ""), IF(COUNTIF(INDIRECT("'"&amp;$A12&amp;"'!$C:$C"), team)&gt;0, 1, "-"))</f>
        <v>1</v>
      </c>
      <c r="BE12" s="158" t="str">
        <f t="array" ref="BE12">LET(team, SUBSTITUTE(BE$1, " Losses", ""), weekSheet, "'"&amp;$A12&amp;"'!", matchIdx, MATCH("*"&amp;team&amp;"*", INDIRECT(weekSheet&amp;"$B:$B"), 0), IF(ISNA(matchIdx), "-", LET(winner, INDEX(INDIRECT(weekSheet&amp;"$C:$C"), matchIdx), IF(winner="", "-", IF(winner=team, "-", 1)))))</f>
        <v>-</v>
      </c>
      <c r="BF12" s="160"/>
      <c r="BG12" s="160"/>
      <c r="BH12" s="160"/>
      <c r="BI12" s="160"/>
      <c r="BJ12" s="160"/>
      <c r="BK12" s="160"/>
      <c r="BL12" s="45">
        <f t="array" ref="BL12">LET(team, SUBSTITUTE(BL$1, " Wins", ""), IF(COUNTIF(INDIRECT("'"&amp;$A12&amp;"'!$C:$C"), team)&gt;0, 1, "-"))</f>
        <v>1</v>
      </c>
      <c r="BM12" s="45" t="str">
        <f t="array" ref="BM12">LET(team, SUBSTITUTE(BM$1, " Losses", ""), weekSheet, "'"&amp;$A12&amp;"'!", matchIdx, MATCH("*"&amp;team&amp;"*", INDIRECT(weekSheet&amp;"$B:$B"), 0), IF(ISNA(matchIdx), "-", LET(winner, INDEX(INDIRECT(weekSheet&amp;"$C:$C"), matchIdx), IF(winner="", "-", IF(winner=team, "-", 1)))))</f>
        <v>-</v>
      </c>
    </row>
    <row r="13">
      <c r="A13" s="157" t="s">
        <v>185</v>
      </c>
      <c r="B13" s="160"/>
      <c r="C13" s="160"/>
      <c r="D13" s="160"/>
      <c r="E13" s="160"/>
      <c r="F13" s="160"/>
      <c r="G13" s="160"/>
      <c r="H13" s="45" t="str">
        <f t="shared" si="71"/>
        <v>-</v>
      </c>
      <c r="I13" s="45">
        <f t="shared" si="72"/>
        <v>1</v>
      </c>
      <c r="J13" s="45">
        <f t="shared" si="73"/>
        <v>1</v>
      </c>
      <c r="K13" s="45" t="str">
        <f t="shared" si="74"/>
        <v>-</v>
      </c>
      <c r="L13" s="45" t="str">
        <f t="array" ref="L13">LET(team, SUBSTITUTE(L$1, " Wins", ""), IF(COUNTIF(INDIRECT("'"&amp;$A13&amp;"'!$C:$C"), team)&gt;0, 1, "-"))</f>
        <v>-</v>
      </c>
      <c r="M13" s="45">
        <f t="array" ref="M13">LET(team, SUBSTITUTE(M$1, " Losses", ""), weekSheet, "'"&amp;$A13&amp;"'!", matchIdx, MATCH("*"&amp;team&amp;"*", INDIRECT(weekSheet&amp;"$B:$B"), 0), IF(ISNA(matchIdx), "-", LET(winner, INDEX(INDIRECT(weekSheet&amp;"$C:$C"), matchIdx), IF(winner="", "-", IF(winner=team, "-", 1)))))</f>
        <v>1</v>
      </c>
      <c r="N13" s="160"/>
      <c r="O13" s="160"/>
      <c r="P13" s="160"/>
      <c r="Q13" s="160"/>
      <c r="R13" s="160"/>
      <c r="S13" s="160"/>
      <c r="T13" s="158" t="str">
        <f t="shared" ref="T13:T15" si="79">LET(team, SUBSTITUTE(T$1, " Wins", ""), IF(COUNTIF(INDIRECT("'"&amp;$A13&amp;"'!$C:$C"), team)&gt;0, 1, "-"))</f>
        <v>-</v>
      </c>
      <c r="U13" s="158">
        <f t="shared" ref="U13:U15" si="80">LET(team, SUBSTITUTE(U$1, " Losses", ""), weekSheet, "'"&amp;$A13&amp;"'!", matchIdx, MATCH("*"&amp;team&amp;"*", INDIRECT(weekSheet&amp;"$B:$B"), 0), IF(ISNA(matchIdx), "-", LET(winner, INDEX(INDIRECT(weekSheet&amp;"$C:$C"), matchIdx), IF(winner="", "-", IF(winner=team, "-", 1)))))</f>
        <v>1</v>
      </c>
      <c r="V13" s="158" t="str">
        <f t="shared" ref="V13:V14" si="81">LET(team, SUBSTITUTE(V$1, " Wins", ""), IF(COUNTIF(INDIRECT("'"&amp;$A13&amp;"'!$C:$C"), team)&gt;0, 1, "-"))</f>
        <v>-</v>
      </c>
      <c r="W13" s="158">
        <f t="shared" ref="W13:W14" si="82">LET(team, SUBSTITUTE(W$1, " Losses", ""), weekSheet, "'"&amp;$A13&amp;"'!", matchIdx, MATCH("*"&amp;team&amp;"*", INDIRECT(weekSheet&amp;"$B:$B"), 0), IF(ISNA(matchIdx), "-", LET(winner, INDEX(INDIRECT(weekSheet&amp;"$C:$C"), matchIdx), IF(winner="", "-", IF(winner=team, "-", 1)))))</f>
        <v>1</v>
      </c>
      <c r="X13" s="45">
        <f t="array" ref="X13">LET(team, SUBSTITUTE(X$1, " Wins", ""), IF(COUNTIF(INDIRECT("'"&amp;$A13&amp;"'!$C:$C"), team)&gt;0, 1, "-"))</f>
        <v>1</v>
      </c>
      <c r="Y13" s="45" t="str">
        <f t="array" ref="Y13">LET(team, SUBSTITUTE(Y$1, " Losses", ""), weekSheet, "'"&amp;$A13&amp;"'!", matchIdx, MATCH("*"&amp;team&amp;"*", INDIRECT(weekSheet&amp;"$B:$B"), 0), IF(ISNA(matchIdx), "-", LET(winner, INDEX(INDIRECT(weekSheet&amp;"$C:$C"), matchIdx), IF(winner="", "-", IF(winner=team, "-", 1)))))</f>
        <v>-</v>
      </c>
      <c r="Z13" s="158" t="str">
        <f t="shared" si="75"/>
        <v>-</v>
      </c>
      <c r="AA13" s="158">
        <f t="shared" si="76"/>
        <v>1</v>
      </c>
      <c r="AB13" s="45">
        <f t="array" ref="AB13">LET(team, SUBSTITUTE(AB$1, " Wins", ""), IF(COUNTIF(INDIRECT("'"&amp;$A13&amp;"'!$C:$C"), team)&gt;0, 1, "-"))</f>
        <v>1</v>
      </c>
      <c r="AC13" s="45" t="str">
        <f t="array" ref="AC13">LET(team, SUBSTITUTE(AC$1, " Losses", ""), weekSheet, "'"&amp;$A13&amp;"'!", matchIdx, MATCH("*"&amp;team&amp;"*", INDIRECT(weekSheet&amp;"$B:$B"), 0), IF(ISNA(matchIdx), "-", LET(winner, INDEX(INDIRECT(weekSheet&amp;"$C:$C"), matchIdx), IF(winner="", "-", IF(winner=team, "-", 1)))))</f>
        <v>-</v>
      </c>
      <c r="AD13" s="158">
        <f t="array" ref="AD13">LET(team, SUBSTITUTE(AD$1, " Wins", ""), IF(COUNTIF(INDIRECT("'"&amp;$A13&amp;"'!$C:$C"), team)&gt;0, 1, "-"))</f>
        <v>1</v>
      </c>
      <c r="AE13" s="158" t="str">
        <f t="array" ref="AE13">LET(team, SUBSTITUTE(AE$1, " Losses", ""), weekSheet, "'"&amp;$A13&amp;"'!", matchIdx, MATCH("*"&amp;team&amp;"*", INDIRECT(weekSheet&amp;"$B:$B"), 0), IF(ISNA(matchIdx), "-", LET(winner, INDEX(INDIRECT(weekSheet&amp;"$C:$C"), matchIdx), IF(winner="", "-", IF(winner=team, "-", 1)))))</f>
        <v>-</v>
      </c>
      <c r="AF13" s="160"/>
      <c r="AG13" s="160"/>
      <c r="AH13" s="158">
        <f t="shared" si="77"/>
        <v>1</v>
      </c>
      <c r="AI13" s="158" t="str">
        <f t="shared" si="78"/>
        <v>-</v>
      </c>
      <c r="AJ13" s="158">
        <f t="shared" ref="AJ13:AJ14" si="83">LET(team, SUBSTITUTE(AJ$1, " Wins", ""), IF(COUNTIF(INDIRECT("'"&amp;$A13&amp;"'!$C:$C"), team)&gt;0, 1, "-"))</f>
        <v>1</v>
      </c>
      <c r="AK13" s="158" t="str">
        <f t="shared" ref="AK13:AK14" si="84">LET(team, SUBSTITUTE(AK$1, " Losses", ""), weekSheet, "'"&amp;$A13&amp;"'!", matchIdx, MATCH("*"&amp;team&amp;"*", INDIRECT(weekSheet&amp;"$B:$B"), 0), IF(ISNA(matchIdx), "-", LET(winner, INDEX(INDIRECT(weekSheet&amp;"$C:$C"), matchIdx), IF(winner="", "-", IF(winner=team, "-", 1)))))</f>
        <v>-</v>
      </c>
      <c r="AL13" s="160"/>
      <c r="AM13" s="160"/>
      <c r="AN13" s="158">
        <f t="shared" ref="AN13:AN14" si="85">LET(team, SUBSTITUTE(AN$1, " Wins", ""), IF(COUNTIF(INDIRECT("'"&amp;$A13&amp;"'!$C:$C"), team)&gt;0, 1, "-"))</f>
        <v>1</v>
      </c>
      <c r="AO13" s="158" t="str">
        <f t="shared" ref="AO13:AO14" si="86">LET(team, SUBSTITUTE(AO$1, " Losses", ""), weekSheet, "'"&amp;$A13&amp;"'!", matchIdx, MATCH("*"&amp;team&amp;"*", INDIRECT(weekSheet&amp;"$B:$B"), 0), IF(ISNA(matchIdx), "-", LET(winner, INDEX(INDIRECT(weekSheet&amp;"$C:$C"), matchIdx), IF(winner="", "-", IF(winner=team, "-", 1)))))</f>
        <v>-</v>
      </c>
      <c r="AP13" s="158" t="str">
        <f t="shared" si="65"/>
        <v>-</v>
      </c>
      <c r="AQ13" s="158">
        <f t="shared" si="66"/>
        <v>1</v>
      </c>
      <c r="AR13" s="160"/>
      <c r="AS13" s="160"/>
      <c r="AT13" s="160"/>
      <c r="AU13" s="160"/>
      <c r="AV13" s="160"/>
      <c r="AW13" s="160"/>
      <c r="AX13" s="158" t="str">
        <f t="shared" si="69"/>
        <v>-</v>
      </c>
      <c r="AY13" s="158">
        <f t="shared" si="70"/>
        <v>1</v>
      </c>
      <c r="AZ13" s="160"/>
      <c r="BA13" s="160"/>
      <c r="BB13" s="158" t="str">
        <f t="shared" ref="BB13:BB14" si="87">LET(team, SUBSTITUTE(BB$1, " Wins", ""), IF(COUNTIF(INDIRECT("'"&amp;$A13&amp;"'!$C:$C"), team)&gt;0, 1, "-"))</f>
        <v>-</v>
      </c>
      <c r="BC13" s="158">
        <f t="shared" ref="BC13:BC14" si="88">LET(team, SUBSTITUTE(BC$1, " Losses", ""), weekSheet, "'"&amp;$A13&amp;"'!", matchIdx, MATCH("*"&amp;team&amp;"*", INDIRECT(weekSheet&amp;"$B:$B"), 0), IF(ISNA(matchIdx), "-", LET(winner, INDEX(INDIRECT(weekSheet&amp;"$C:$C"), matchIdx), IF(winner="", "-", IF(winner=team, "-", 1)))))</f>
        <v>1</v>
      </c>
      <c r="BD13" s="160"/>
      <c r="BE13" s="160"/>
      <c r="BF13" s="158">
        <f t="shared" ref="BF13:BF14" si="89">LET(team, SUBSTITUTE(BF$1, " Wins", ""), IF(COUNTIF(INDIRECT("'"&amp;$A13&amp;"'!$C:$C"), team)&gt;0, 1, "-"))</f>
        <v>1</v>
      </c>
      <c r="BG13" s="158" t="str">
        <f t="shared" ref="BG13:BG14" si="90">LET(team, SUBSTITUTE(BG$1, " Losses", ""), weekSheet, "'"&amp;$A13&amp;"'!", matchIdx, MATCH("*"&amp;team&amp;"*", INDIRECT(weekSheet&amp;"$B:$B"), 0), IF(ISNA(matchIdx), "-", LET(winner, INDEX(INDIRECT(weekSheet&amp;"$C:$C"), matchIdx), IF(winner="", "-", IF(winner=team, "-", 1)))))</f>
        <v>-</v>
      </c>
      <c r="BH13" s="160"/>
      <c r="BI13" s="160"/>
      <c r="BJ13" s="160"/>
      <c r="BK13" s="160"/>
      <c r="BL13" s="160"/>
      <c r="BM13" s="160"/>
    </row>
    <row r="14">
      <c r="A14" s="157" t="s">
        <v>191</v>
      </c>
      <c r="B14" s="160"/>
      <c r="C14" s="160"/>
      <c r="D14" s="160"/>
      <c r="E14" s="160"/>
      <c r="F14" s="158">
        <f t="array" ref="F14">LET(team, SUBSTITUTE(F$1, " Wins", ""), IF(COUNTIF(INDIRECT("'"&amp;$A14&amp;"'!$C:$C"), team)&gt;0, 1, "-"))</f>
        <v>1</v>
      </c>
      <c r="G14" s="158" t="str">
        <f t="array" ref="G14">LET(team, SUBSTITUTE(G$1, " Losses", ""), weekSheet, "'"&amp;$A14&amp;"'!", matchIdx, MATCH("*"&amp;team&amp;"*", INDIRECT(weekSheet&amp;"$B:$B"), 0), IF(ISNA(matchIdx), "-", LET(winner, INDEX(INDIRECT(weekSheet&amp;"$C:$C"), matchIdx), IF(winner="", "-", IF(winner=team, "-", 1)))))</f>
        <v>-</v>
      </c>
      <c r="H14" s="160"/>
      <c r="I14" s="160"/>
      <c r="J14" s="160"/>
      <c r="K14" s="160"/>
      <c r="L14" s="160"/>
      <c r="M14" s="160"/>
      <c r="N14" s="160"/>
      <c r="O14" s="160"/>
      <c r="P14" s="158">
        <f t="shared" ref="P14:P15" si="91">LET(team, SUBSTITUTE(P$1, " Wins", ""), IF(COUNTIF(INDIRECT("'"&amp;$A14&amp;"'!$C:$C"), team)&gt;0, 1, "-"))</f>
        <v>1</v>
      </c>
      <c r="Q14" s="158" t="str">
        <f t="shared" ref="Q14:Q15" si="92">LET(team, SUBSTITUTE(Q$1, " Losses", ""), weekSheet, "'"&amp;$A14&amp;"'!", matchIdx, MATCH("*"&amp;team&amp;"*", INDIRECT(weekSheet&amp;"$B:$B"), 0), IF(ISNA(matchIdx), "-", LET(winner, INDEX(INDIRECT(weekSheet&amp;"$C:$C"), matchIdx), IF(winner="", "-", IF(winner=team, "-", 1)))))</f>
        <v>-</v>
      </c>
      <c r="R14" s="160"/>
      <c r="S14" s="160"/>
      <c r="T14" s="158" t="str">
        <f t="shared" si="79"/>
        <v>-</v>
      </c>
      <c r="U14" s="158">
        <f t="shared" si="80"/>
        <v>1</v>
      </c>
      <c r="V14" s="158" t="str">
        <f t="shared" si="81"/>
        <v>-</v>
      </c>
      <c r="W14" s="158">
        <f t="shared" si="82"/>
        <v>1</v>
      </c>
      <c r="X14" s="160"/>
      <c r="Y14" s="160"/>
      <c r="Z14" s="160"/>
      <c r="AA14" s="160"/>
      <c r="AB14" s="160"/>
      <c r="AC14" s="160"/>
      <c r="AD14" s="160"/>
      <c r="AE14" s="160"/>
      <c r="AF14" s="158">
        <f t="array" ref="AF14">LET(team, SUBSTITUTE(AF$1, " Wins", ""), IF(COUNTIF(INDIRECT("'"&amp;$A14&amp;"'!$C:$C"), team)&gt;0, 1, "-"))</f>
        <v>1</v>
      </c>
      <c r="AG14" s="158" t="str">
        <f t="array" ref="AG14">LET(team, SUBSTITUTE(AG$1, " Losses", ""), weekSheet, "'"&amp;$A14&amp;"'!", matchIdx, MATCH("*"&amp;team&amp;"*", INDIRECT(weekSheet&amp;"$B:$B"), 0), IF(ISNA(matchIdx), "-", LET(winner, INDEX(INDIRECT(weekSheet&amp;"$C:$C"), matchIdx), IF(winner="", "-", IF(winner=team, "-", 1)))))</f>
        <v>-</v>
      </c>
      <c r="AH14" s="160"/>
      <c r="AI14" s="160"/>
      <c r="AJ14" s="158">
        <f t="shared" si="83"/>
        <v>1</v>
      </c>
      <c r="AK14" s="158" t="str">
        <f t="shared" si="84"/>
        <v>-</v>
      </c>
      <c r="AL14" s="158">
        <f t="shared" ref="AL14:AL15" si="93">LET(team, SUBSTITUTE(AL$1, " Wins", ""), IF(COUNTIF(INDIRECT("'"&amp;$A14&amp;"'!$C:$C"), team)&gt;0, 1, "-"))</f>
        <v>1</v>
      </c>
      <c r="AM14" s="158" t="str">
        <f t="shared" ref="AM14:AM15" si="94">LET(team, SUBSTITUTE(AM$1, " Losses", ""), weekSheet, "'"&amp;$A14&amp;"'!", matchIdx, MATCH("*"&amp;team&amp;"*", INDIRECT(weekSheet&amp;"$B:$B"), 0), IF(ISNA(matchIdx), "-", LET(winner, INDEX(INDIRECT(weekSheet&amp;"$C:$C"), matchIdx), IF(winner="", "-", IF(winner=team, "-", 1)))))</f>
        <v>-</v>
      </c>
      <c r="AN14" s="158" t="str">
        <f t="shared" si="85"/>
        <v>-</v>
      </c>
      <c r="AO14" s="158">
        <f t="shared" si="86"/>
        <v>1</v>
      </c>
      <c r="AP14" s="160"/>
      <c r="AQ14" s="160"/>
      <c r="AR14" s="160"/>
      <c r="AS14" s="160"/>
      <c r="AT14" s="158" t="str">
        <f t="array" ref="AT14">LET(team, SUBSTITUTE(AT$1, " Wins", ""), IF(COUNTIF(INDIRECT("'"&amp;$A14&amp;"'!$C:$C"), team)&gt;0, 1, "-"))</f>
        <v>-</v>
      </c>
      <c r="AU14" s="158">
        <f t="array" ref="AU14">LET(team, SUBSTITUTE(AU$1, " Losses", ""), weekSheet, "'"&amp;$A14&amp;"'!", matchIdx, MATCH("*"&amp;team&amp;"*", INDIRECT(weekSheet&amp;"$B:$B"), 0), IF(ISNA(matchIdx), "-", LET(winner, INDEX(INDIRECT(weekSheet&amp;"$C:$C"), matchIdx), IF(winner="", "-", IF(winner=team, "-", 1)))))</f>
        <v>1</v>
      </c>
      <c r="AV14" s="160"/>
      <c r="AW14" s="160"/>
      <c r="AX14" s="160"/>
      <c r="AY14" s="160"/>
      <c r="AZ14" s="160"/>
      <c r="BA14" s="160"/>
      <c r="BB14" s="158">
        <f t="shared" si="87"/>
        <v>1</v>
      </c>
      <c r="BC14" s="158" t="str">
        <f t="shared" si="88"/>
        <v>-</v>
      </c>
      <c r="BD14" s="158" t="str">
        <f t="array" ref="BD14">LET(team, SUBSTITUTE(BD$1, " Wins", ""), IF(COUNTIF(INDIRECT("'"&amp;$A14&amp;"'!$C:$C"), team)&gt;0, 1, "-"))</f>
        <v>-</v>
      </c>
      <c r="BE14" s="158">
        <f t="array" ref="BE14">LET(team, SUBSTITUTE(BE$1, " Losses", ""), weekSheet, "'"&amp;$A14&amp;"'!", matchIdx, MATCH("*"&amp;team&amp;"*", INDIRECT(weekSheet&amp;"$B:$B"), 0), IF(ISNA(matchIdx), "-", LET(winner, INDEX(INDIRECT(weekSheet&amp;"$C:$C"), matchIdx), IF(winner="", "-", IF(winner=team, "-", 1)))))</f>
        <v>1</v>
      </c>
      <c r="BF14" s="158">
        <f t="shared" si="89"/>
        <v>1</v>
      </c>
      <c r="BG14" s="158" t="str">
        <f t="shared" si="90"/>
        <v>-</v>
      </c>
      <c r="BH14" s="158" t="str">
        <f t="array" ref="BH14">LET(team, SUBSTITUTE(BH$1, " Wins", ""), IF(COUNTIF(INDIRECT("'"&amp;$A14&amp;"'!$C:$C"), team)&gt;0, 1, "-"))</f>
        <v>-</v>
      </c>
      <c r="BI14" s="158">
        <f t="array" ref="BI14">LET(team, SUBSTITUTE(BI$1, " Losses", ""), weekSheet, "'"&amp;$A14&amp;"'!", matchIdx, MATCH("*"&amp;team&amp;"*", INDIRECT(weekSheet&amp;"$B:$B"), 0), IF(ISNA(matchIdx), "-", LET(winner, INDEX(INDIRECT(weekSheet&amp;"$C:$C"), matchIdx), IF(winner="", "-", IF(winner=team, "-", 1)))))</f>
        <v>1</v>
      </c>
      <c r="BJ14" s="158" t="str">
        <f t="array" ref="BJ14">LET(team, SUBSTITUTE(BJ$1, " Wins", ""), IF(COUNTIF(INDIRECT("'"&amp;$A14&amp;"'!$C:$C"), team)&gt;0, 1, "-"))</f>
        <v>-</v>
      </c>
      <c r="BK14" s="158">
        <f t="array" ref="BK14">LET(team, SUBSTITUTE(BK$1, " Losses", ""), weekSheet, "'"&amp;$A14&amp;"'!", matchIdx, MATCH("*"&amp;team&amp;"*", INDIRECT(weekSheet&amp;"$B:$B"), 0), IF(ISNA(matchIdx), "-", LET(winner, INDEX(INDIRECT(weekSheet&amp;"$C:$C"), matchIdx), IF(winner="", "-", IF(winner=team, "-", 1)))))</f>
        <v>1</v>
      </c>
      <c r="BL14" s="160"/>
      <c r="BM14" s="160"/>
    </row>
    <row r="15">
      <c r="A15" s="157" t="s">
        <v>194</v>
      </c>
      <c r="B15" s="160"/>
      <c r="C15" s="160"/>
      <c r="D15" s="158" t="str">
        <f t="shared" ref="D15:D17" si="95">LET(team, SUBSTITUTE(D$1, " Wins", ""), IF(COUNTIF(INDIRECT("'"&amp;$A15&amp;"'!$C:$C"), team)&gt;0, 1, "-"))</f>
        <v>-</v>
      </c>
      <c r="E15" s="158">
        <f t="shared" ref="E15:E17" si="96">LET(team, SUBSTITUTE(E$1, " Losses", ""), weekSheet, "'"&amp;$A15&amp;"'!", matchIdx, MATCH("*"&amp;team&amp;"*", INDIRECT(weekSheet&amp;"$B:$B"), 0), IF(ISNA(matchIdx), "-", LET(winner, INDEX(INDIRECT(weekSheet&amp;"$C:$C"), matchIdx), IF(winner="", "-", IF(winner=team, "-", 1)))))</f>
        <v>1</v>
      </c>
      <c r="F15" s="160"/>
      <c r="G15" s="160"/>
      <c r="H15" s="160"/>
      <c r="I15" s="160"/>
      <c r="J15" s="160"/>
      <c r="K15" s="160"/>
      <c r="L15" s="158">
        <f t="array" ref="L15">LET(team, SUBSTITUTE(L$1, " Wins", ""), IF(COUNTIF(INDIRECT("'"&amp;$A15&amp;"'!$C:$C"), team)&gt;0, 1, "-"))</f>
        <v>1</v>
      </c>
      <c r="M15" s="158" t="str">
        <f t="array" ref="M15">LET(team, SUBSTITUTE(M$1, " Losses", ""), weekSheet, "'"&amp;$A15&amp;"'!", matchIdx, MATCH("*"&amp;team&amp;"*", INDIRECT(weekSheet&amp;"$B:$B"), 0), IF(ISNA(matchIdx), "-", LET(winner, INDEX(INDIRECT(weekSheet&amp;"$C:$C"), matchIdx), IF(winner="", "-", IF(winner=team, "-", 1)))))</f>
        <v>-</v>
      </c>
      <c r="N15" s="158" t="str">
        <f t="array" ref="N15">LET(team, SUBSTITUTE(N$1, " Wins", ""), IF(COUNTIF(INDIRECT("'"&amp;$A15&amp;"'!$C:$C"), team)&gt;0, 1, "-"))</f>
        <v>-</v>
      </c>
      <c r="O15" s="158">
        <f t="array" ref="O15">LET(team, SUBSTITUTE(O$1, " Losses", ""), weekSheet, "'"&amp;$A15&amp;"'!", matchIdx, MATCH("*"&amp;team&amp;"*", INDIRECT(weekSheet&amp;"$B:$B"), 0), IF(ISNA(matchIdx), "-", LET(winner, INDEX(INDIRECT(weekSheet&amp;"$C:$C"), matchIdx), IF(winner="", "-", IF(winner=team, "-", 1)))))</f>
        <v>1</v>
      </c>
      <c r="P15" s="45">
        <f t="shared" si="91"/>
        <v>1</v>
      </c>
      <c r="Q15" s="45" t="str">
        <f t="shared" si="92"/>
        <v>-</v>
      </c>
      <c r="R15" s="45">
        <f t="array" ref="R15">LET(team, SUBSTITUTE(R$1, " Wins", ""), IF(COUNTIF(INDIRECT("'"&amp;$A15&amp;"'!$C:$C"), team)&gt;0, 1, "-"))</f>
        <v>1</v>
      </c>
      <c r="S15" s="45" t="str">
        <f t="array" ref="S15">LET(team, SUBSTITUTE(S$1, " Losses", ""), weekSheet, "'"&amp;$A15&amp;"'!", matchIdx, MATCH("*"&amp;team&amp;"*", INDIRECT(weekSheet&amp;"$B:$B"), 0), IF(ISNA(matchIdx), "-", LET(winner, INDEX(INDIRECT(weekSheet&amp;"$C:$C"), matchIdx), IF(winner="", "-", IF(winner=team, "-", 1)))))</f>
        <v>-</v>
      </c>
      <c r="T15" s="158">
        <f t="shared" si="79"/>
        <v>1</v>
      </c>
      <c r="U15" s="158" t="str">
        <f t="shared" si="80"/>
        <v>-</v>
      </c>
      <c r="V15" s="160"/>
      <c r="W15" s="160"/>
      <c r="X15" s="158" t="str">
        <f t="array" ref="X15">LET(team, SUBSTITUTE(X$1, " Wins", ""), IF(COUNTIF(INDIRECT("'"&amp;$A15&amp;"'!$C:$C"), team)&gt;0, 1, "-"))</f>
        <v>-</v>
      </c>
      <c r="Y15" s="158">
        <f t="array" ref="Y15">LET(team, SUBSTITUTE(Y$1, " Losses", ""), weekSheet, "'"&amp;$A15&amp;"'!", matchIdx, MATCH("*"&amp;team&amp;"*", INDIRECT(weekSheet&amp;"$B:$B"), 0), IF(ISNA(matchIdx), "-", LET(winner, INDEX(INDIRECT(weekSheet&amp;"$C:$C"), matchIdx), IF(winner="", "-", IF(winner=team, "-", 1)))))</f>
        <v>1</v>
      </c>
      <c r="Z15" s="160"/>
      <c r="AA15" s="160"/>
      <c r="AB15" s="158" t="str">
        <f t="array" ref="AB15">LET(team, SUBSTITUTE(AB$1, " Wins", ""), IF(COUNTIF(INDIRECT("'"&amp;$A15&amp;"'!$C:$C"), team)&gt;0, 1, "-"))</f>
        <v>-</v>
      </c>
      <c r="AC15" s="158">
        <f t="array" ref="AC15">LET(team, SUBSTITUTE(AC$1, " Losses", ""), weekSheet, "'"&amp;$A15&amp;"'!", matchIdx, MATCH("*"&amp;team&amp;"*", INDIRECT(weekSheet&amp;"$B:$B"), 0), IF(ISNA(matchIdx), "-", LET(winner, INDEX(INDIRECT(weekSheet&amp;"$C:$C"), matchIdx), IF(winner="", "-", IF(winner=team, "-", 1)))))</f>
        <v>1</v>
      </c>
      <c r="AD15" s="160"/>
      <c r="AE15" s="160"/>
      <c r="AF15" s="160"/>
      <c r="AG15" s="160"/>
      <c r="AH15" s="45">
        <f t="array" ref="AH15">LET(team, SUBSTITUTE(AH$1, " Wins", ""), IF(COUNTIF(INDIRECT("'"&amp;$A15&amp;"'!$C:$C"), team)&gt;0, 1, "-"))</f>
        <v>1</v>
      </c>
      <c r="AI15" s="45" t="str">
        <f t="array" ref="AI15">LET(team, SUBSTITUTE(AI$1, " Losses", ""), weekSheet, "'"&amp;$A15&amp;"'!", matchIdx, MATCH("*"&amp;team&amp;"*", INDIRECT(weekSheet&amp;"$B:$B"), 0), IF(ISNA(matchIdx), "-", LET(winner, INDEX(INDIRECT(weekSheet&amp;"$C:$C"), matchIdx), IF(winner="", "-", IF(winner=team, "-", 1)))))</f>
        <v>-</v>
      </c>
      <c r="AJ15" s="160"/>
      <c r="AK15" s="160"/>
      <c r="AL15" s="158">
        <f t="shared" si="93"/>
        <v>1</v>
      </c>
      <c r="AM15" s="158" t="str">
        <f t="shared" si="94"/>
        <v>-</v>
      </c>
      <c r="AN15" s="160"/>
      <c r="AO15" s="160"/>
      <c r="AP15" s="160"/>
      <c r="AQ15" s="160"/>
      <c r="AR15" s="158">
        <f t="shared" ref="AR15:AR17" si="97">LET(team, SUBSTITUTE(AR$1, " Wins", ""), IF(COUNTIF(INDIRECT("'"&amp;$A15&amp;"'!$C:$C"), team)&gt;0, 1, "-"))</f>
        <v>1</v>
      </c>
      <c r="AS15" s="158" t="str">
        <f t="shared" ref="AS15:AS17" si="98">LET(team, SUBSTITUTE(AS$1, " Losses", ""), weekSheet, "'"&amp;$A15&amp;"'!", matchIdx, MATCH("*"&amp;team&amp;"*", INDIRECT(weekSheet&amp;"$B:$B"), 0), IF(ISNA(matchIdx), "-", LET(winner, INDEX(INDIRECT(weekSheet&amp;"$C:$C"), matchIdx), IF(winner="", "-", IF(winner=team, "-", 1)))))</f>
        <v>-</v>
      </c>
      <c r="AT15" s="160"/>
      <c r="AU15" s="160"/>
      <c r="AV15" s="45">
        <f t="shared" ref="AV15:AV16" si="99">LET(team, SUBSTITUTE(AV$1, " Wins", ""), IF(COUNTIF(INDIRECT("'"&amp;$A15&amp;"'!$C:$C"), team)&gt;0, 1, "-"))</f>
        <v>1</v>
      </c>
      <c r="AW15" s="45" t="str">
        <f t="shared" ref="AW15:AW16" si="100">LET(team, SUBSTITUTE(AW$1, " Losses", ""), weekSheet, "'"&amp;$A15&amp;"'!", matchIdx, MATCH("*"&amp;team&amp;"*", INDIRECT(weekSheet&amp;"$B:$B"), 0), IF(ISNA(matchIdx), "-", LET(winner, INDEX(INDIRECT(weekSheet&amp;"$C:$C"), matchIdx), IF(winner="", "-", IF(winner=team, "-", 1)))))</f>
        <v>-</v>
      </c>
      <c r="AX15" s="158">
        <f t="array" ref="AX15">LET(team, SUBSTITUTE(AX$1, " Wins", ""), IF(COUNTIF(INDIRECT("'"&amp;$A15&amp;"'!$C:$C"), team)&gt;0, 1, "-"))</f>
        <v>1</v>
      </c>
      <c r="AY15" s="158" t="str">
        <f t="array" ref="AY15">LET(team, SUBSTITUTE(AY$1, " Losses", ""), weekSheet, "'"&amp;$A15&amp;"'!", matchIdx, MATCH("*"&amp;team&amp;"*", INDIRECT(weekSheet&amp;"$B:$B"), 0), IF(ISNA(matchIdx), "-", LET(winner, INDEX(INDIRECT(weekSheet&amp;"$C:$C"), matchIdx), IF(winner="", "-", IF(winner=team, "-", 1)))))</f>
        <v>-</v>
      </c>
      <c r="AZ15" s="158">
        <f t="shared" ref="AZ15:AZ16" si="101">LET(team, SUBSTITUTE(AZ$1, " Wins", ""), IF(COUNTIF(INDIRECT("'"&amp;$A15&amp;"'!$C:$C"), team)&gt;0, 1, "-"))</f>
        <v>1</v>
      </c>
      <c r="BA15" s="158" t="str">
        <f t="shared" ref="BA15:BA16" si="102">LET(team, SUBSTITUTE(BA$1, " Losses", ""), weekSheet, "'"&amp;$A15&amp;"'!", matchIdx, MATCH("*"&amp;team&amp;"*", INDIRECT(weekSheet&amp;"$B:$B"), 0), IF(ISNA(matchIdx), "-", LET(winner, INDEX(INDIRECT(weekSheet&amp;"$C:$C"), matchIdx), IF(winner="", "-", IF(winner=team, "-", 1)))))</f>
        <v>-</v>
      </c>
      <c r="BB15" s="160"/>
      <c r="BC15" s="160"/>
      <c r="BD15" s="160"/>
      <c r="BE15" s="160"/>
      <c r="BF15" s="160"/>
      <c r="BG15" s="160"/>
      <c r="BH15" s="160"/>
      <c r="BI15" s="160"/>
      <c r="BJ15" s="160"/>
      <c r="BK15" s="160"/>
      <c r="BL15" s="45" t="str">
        <f t="shared" ref="BL15:BL16" si="103">LET(team, SUBSTITUTE(BL$1, " Wins", ""), IF(COUNTIF(INDIRECT("'"&amp;$A15&amp;"'!$C:$C"), team)&gt;0, 1, "-"))</f>
        <v>-</v>
      </c>
      <c r="BM15" s="45">
        <f t="shared" ref="BM15:BM16" si="104">LET(team, SUBSTITUTE(BM$1, " Losses", ""), weekSheet, "'"&amp;$A15&amp;"'!", matchIdx, MATCH("*"&amp;team&amp;"*", INDIRECT(weekSheet&amp;"$B:$B"), 0), IF(ISNA(matchIdx), "-", LET(winner, INDEX(INDIRECT(weekSheet&amp;"$C:$C"), matchIdx), IF(winner="", "-", IF(winner=team, "-", 1)))))</f>
        <v>1</v>
      </c>
    </row>
    <row r="16">
      <c r="A16" s="157" t="s">
        <v>198</v>
      </c>
      <c r="B16" s="158">
        <f t="shared" ref="B16:B17" si="105">LET(team, SUBSTITUTE(B$1, " Wins", ""), IF(COUNTIF(INDIRECT("'"&amp;$A16&amp;"'!$C:$C"), team)&gt;0, 1, "-"))</f>
        <v>1</v>
      </c>
      <c r="C16" s="158" t="str">
        <f t="shared" ref="C16:C17" si="106">LET(team, SUBSTITUTE(C$1, " Losses", ""), weekSheet, "'"&amp;$A16&amp;"'!", matchIdx, MATCH("*"&amp;team&amp;"*", INDIRECT(weekSheet&amp;"$B:$B"), 0), IF(ISNA(matchIdx), "-", LET(winner, INDEX(INDIRECT(weekSheet&amp;"$C:$C"), matchIdx), IF(winner="", "-", IF(winner=team, "-", 1)))))</f>
        <v>-</v>
      </c>
      <c r="D16" s="158">
        <f t="shared" si="95"/>
        <v>1</v>
      </c>
      <c r="E16" s="158" t="str">
        <f t="shared" si="96"/>
        <v>-</v>
      </c>
      <c r="F16" s="160"/>
      <c r="G16" s="160"/>
      <c r="H16" s="158">
        <f t="array" ref="H16">LET(team, SUBSTITUTE(H$1, " Wins", ""), IF(COUNTIF(INDIRECT("'"&amp;$A16&amp;"'!$C:$C"), team)&gt;0, 1, "-"))</f>
        <v>1</v>
      </c>
      <c r="I16" s="158" t="str">
        <f t="array" ref="I16">LET(team, SUBSTITUTE(I$1, " Losses", ""), weekSheet, "'"&amp;$A16&amp;"'!", matchIdx, MATCH("*"&amp;team&amp;"*", INDIRECT(weekSheet&amp;"$B:$B"), 0), IF(ISNA(matchIdx), "-", LET(winner, INDEX(INDIRECT(weekSheet&amp;"$C:$C"), matchIdx), IF(winner="", "-", IF(winner=team, "-", 1)))))</f>
        <v>-</v>
      </c>
      <c r="J16" s="158">
        <f t="array" ref="J16">LET(team, SUBSTITUTE(J$1, " Wins", ""), IF(COUNTIF(INDIRECT("'"&amp;$A16&amp;"'!$C:$C"), team)&gt;0, 1, "-"))</f>
        <v>1</v>
      </c>
      <c r="K16" s="158" t="str">
        <f t="array" ref="K16">LET(team, SUBSTITUTE(K$1, " Losses", ""), weekSheet, "'"&amp;$A16&amp;"'!", matchIdx, MATCH("*"&amp;team&amp;"*", INDIRECT(weekSheet&amp;"$B:$B"), 0), IF(ISNA(matchIdx), "-", LET(winner, INDEX(INDIRECT(weekSheet&amp;"$C:$C"), matchIdx), IF(winner="", "-", IF(winner=team, "-", 1)))))</f>
        <v>-</v>
      </c>
      <c r="L16" s="160"/>
      <c r="M16" s="160"/>
      <c r="N16" s="160"/>
      <c r="O16" s="160"/>
      <c r="P16" s="160"/>
      <c r="Q16" s="160"/>
      <c r="R16" s="160"/>
      <c r="S16" s="160"/>
      <c r="T16" s="160"/>
      <c r="U16" s="160"/>
      <c r="V16" s="158">
        <f t="shared" ref="V16:V17" si="107">LET(team, SUBSTITUTE(V$1, " Wins", ""), IF(COUNTIF(INDIRECT("'"&amp;$A16&amp;"'!$C:$C"), team)&gt;0, 1, "-"))</f>
        <v>1</v>
      </c>
      <c r="W16" s="158" t="str">
        <f t="shared" ref="W16:W17" si="108">LET(team, SUBSTITUTE(W$1, " Losses", ""), weekSheet, "'"&amp;$A16&amp;"'!", matchIdx, MATCH("*"&amp;team&amp;"*", INDIRECT(weekSheet&amp;"$B:$B"), 0), IF(ISNA(matchIdx), "-", LET(winner, INDEX(INDIRECT(weekSheet&amp;"$C:$C"), matchIdx), IF(winner="", "-", IF(winner=team, "-", 1)))))</f>
        <v>-</v>
      </c>
      <c r="X16" s="160"/>
      <c r="Y16" s="160"/>
      <c r="Z16" s="158" t="str">
        <f t="array" ref="Z16">LET(team, SUBSTITUTE(Z$1, " Wins", ""), IF(COUNTIF(INDIRECT("'"&amp;$A16&amp;"'!$C:$C"), team)&gt;0, 1, "-"))</f>
        <v>-</v>
      </c>
      <c r="AA16" s="158">
        <f t="array" ref="AA16">LET(team, SUBSTITUTE(AA$1, " Losses", ""), weekSheet, "'"&amp;$A16&amp;"'!", matchIdx, MATCH("*"&amp;team&amp;"*", INDIRECT(weekSheet&amp;"$B:$B"), 0), IF(ISNA(matchIdx), "-", LET(winner, INDEX(INDIRECT(weekSheet&amp;"$C:$C"), matchIdx), IF(winner="", "-", IF(winner=team, "-", 1)))))</f>
        <v>1</v>
      </c>
      <c r="AB16" s="160"/>
      <c r="AC16" s="160"/>
      <c r="AD16" s="160"/>
      <c r="AE16" s="160"/>
      <c r="AF16" s="158" t="str">
        <f t="array" ref="AF16">LET(team, SUBSTITUTE(AF$1, " Wins", ""), IF(COUNTIF(INDIRECT("'"&amp;$A16&amp;"'!$C:$C"), team)&gt;0, 1, "-"))</f>
        <v>-</v>
      </c>
      <c r="AG16" s="158">
        <f t="array" ref="AG16">LET(team, SUBSTITUTE(AG$1, " Losses", ""), weekSheet, "'"&amp;$A16&amp;"'!", matchIdx, MATCH("*"&amp;team&amp;"*", INDIRECT(weekSheet&amp;"$B:$B"), 0), IF(ISNA(matchIdx), "-", LET(winner, INDEX(INDIRECT(weekSheet&amp;"$C:$C"), matchIdx), IF(winner="", "-", IF(winner=team, "-", 1)))))</f>
        <v>1</v>
      </c>
      <c r="AH16" s="160"/>
      <c r="AI16" s="160"/>
      <c r="AJ16" s="158">
        <f t="array" ref="AJ16">LET(team, SUBSTITUTE(AJ$1, " Wins", ""), IF(COUNTIF(INDIRECT("'"&amp;$A16&amp;"'!$C:$C"), team)&gt;0, 1, "-"))</f>
        <v>1</v>
      </c>
      <c r="AK16" s="158" t="str">
        <f t="array" ref="AK16">LET(team, SUBSTITUTE(AK$1, " Losses", ""), weekSheet, "'"&amp;$A16&amp;"'!", matchIdx, MATCH("*"&amp;team&amp;"*", INDIRECT(weekSheet&amp;"$B:$B"), 0), IF(ISNA(matchIdx), "-", LET(winner, INDEX(INDIRECT(weekSheet&amp;"$C:$C"), matchIdx), IF(winner="", "-", IF(winner=team, "-", 1)))))</f>
        <v>-</v>
      </c>
      <c r="AL16" s="160"/>
      <c r="AM16" s="160"/>
      <c r="AN16" s="158">
        <f t="array" ref="AN16">LET(team, SUBSTITUTE(AN$1, " Wins", ""), IF(COUNTIF(INDIRECT("'"&amp;$A16&amp;"'!$C:$C"), team)&gt;0, 1, "-"))</f>
        <v>1</v>
      </c>
      <c r="AO16" s="158" t="str">
        <f t="array" ref="AO16">LET(team, SUBSTITUTE(AO$1, " Losses", ""), weekSheet, "'"&amp;$A16&amp;"'!", matchIdx, MATCH("*"&amp;team&amp;"*", INDIRECT(weekSheet&amp;"$B:$B"), 0), IF(ISNA(matchIdx), "-", LET(winner, INDEX(INDIRECT(weekSheet&amp;"$C:$C"), matchIdx), IF(winner="", "-", IF(winner=team, "-", 1)))))</f>
        <v>-</v>
      </c>
      <c r="AP16" s="160"/>
      <c r="AQ16" s="160"/>
      <c r="AR16" s="158">
        <f t="shared" si="97"/>
        <v>1</v>
      </c>
      <c r="AS16" s="158" t="str">
        <f t="shared" si="98"/>
        <v>-</v>
      </c>
      <c r="AT16" s="158">
        <f t="array" ref="AT16">LET(team, SUBSTITUTE(AT$1, " Wins", ""), IF(COUNTIF(INDIRECT("'"&amp;$A16&amp;"'!$C:$C"), team)&gt;0, 1, "-"))</f>
        <v>1</v>
      </c>
      <c r="AU16" s="158" t="str">
        <f t="array" ref="AU16">LET(team, SUBSTITUTE(AU$1, " Losses", ""), weekSheet, "'"&amp;$A16&amp;"'!", matchIdx, MATCH("*"&amp;team&amp;"*", INDIRECT(weekSheet&amp;"$B:$B"), 0), IF(ISNA(matchIdx), "-", LET(winner, INDEX(INDIRECT(weekSheet&amp;"$C:$C"), matchIdx), IF(winner="", "-", IF(winner=team, "-", 1)))))</f>
        <v>-</v>
      </c>
      <c r="AV16" s="158" t="str">
        <f t="shared" si="99"/>
        <v>-</v>
      </c>
      <c r="AW16" s="158">
        <f t="shared" si="100"/>
        <v>1</v>
      </c>
      <c r="AX16" s="160"/>
      <c r="AY16" s="160"/>
      <c r="AZ16" s="158">
        <f t="shared" si="101"/>
        <v>1</v>
      </c>
      <c r="BA16" s="158" t="str">
        <f t="shared" si="102"/>
        <v>-</v>
      </c>
      <c r="BB16" s="158" t="str">
        <f t="shared" ref="BB16:BB17" si="109">LET(team, SUBSTITUTE(BB$1, " Wins", ""), IF(COUNTIF(INDIRECT("'"&amp;$A16&amp;"'!$C:$C"), team)&gt;0, 1, "-"))</f>
        <v>-</v>
      </c>
      <c r="BC16" s="158">
        <f t="shared" ref="BC16:BC17" si="110">LET(team, SUBSTITUTE(BC$1, " Losses", ""), weekSheet, "'"&amp;$A16&amp;"'!", matchIdx, MATCH("*"&amp;team&amp;"*", INDIRECT(weekSheet&amp;"$B:$B"), 0), IF(ISNA(matchIdx), "-", LET(winner, INDEX(INDIRECT(weekSheet&amp;"$C:$C"), matchIdx), IF(winner="", "-", IF(winner=team, "-", 1)))))</f>
        <v>1</v>
      </c>
      <c r="BD16" s="160"/>
      <c r="BE16" s="160"/>
      <c r="BF16" s="158">
        <f t="array" ref="BF16">LET(team, SUBSTITUTE(BF$1, " Wins", ""), IF(COUNTIF(INDIRECT("'"&amp;$A16&amp;"'!$C:$C"), team)&gt;0, 1, "-"))</f>
        <v>1</v>
      </c>
      <c r="BG16" s="158" t="str">
        <f t="array" ref="BG16">LET(team, SUBSTITUTE(BG$1, " Losses", ""), weekSheet, "'"&amp;$A16&amp;"'!", matchIdx, MATCH("*"&amp;team&amp;"*", INDIRECT(weekSheet&amp;"$B:$B"), 0), IF(ISNA(matchIdx), "-", LET(winner, INDEX(INDIRECT(weekSheet&amp;"$C:$C"), matchIdx), IF(winner="", "-", IF(winner=team, "-", 1)))))</f>
        <v>-</v>
      </c>
      <c r="BH16" s="160"/>
      <c r="BI16" s="160"/>
      <c r="BJ16" s="160"/>
      <c r="BK16" s="160"/>
      <c r="BL16" s="158">
        <f t="shared" si="103"/>
        <v>1</v>
      </c>
      <c r="BM16" s="158" t="str">
        <f t="shared" si="104"/>
        <v>-</v>
      </c>
    </row>
    <row r="17">
      <c r="A17" s="157" t="s">
        <v>202</v>
      </c>
      <c r="B17" s="158">
        <f t="shared" si="105"/>
        <v>1</v>
      </c>
      <c r="C17" s="158" t="str">
        <f t="shared" si="106"/>
        <v>-</v>
      </c>
      <c r="D17" s="158">
        <f t="shared" si="95"/>
        <v>1</v>
      </c>
      <c r="E17" s="158" t="str">
        <f t="shared" si="96"/>
        <v>-</v>
      </c>
      <c r="F17" s="158" t="str">
        <f t="array" ref="F17">LET(team, SUBSTITUTE(F$1, " Wins", ""), IF(COUNTIF(INDIRECT("'"&amp;$A17&amp;"'!$C:$C"), team)&gt;0, 1, "-"))</f>
        <v>-</v>
      </c>
      <c r="G17" s="158">
        <f t="array" ref="G17">LET(team, SUBSTITUTE(G$1, " Losses", ""), weekSheet, "'"&amp;$A17&amp;"'!", matchIdx, MATCH("*"&amp;team&amp;"*", INDIRECT(weekSheet&amp;"$B:$B"), 0), IF(ISNA(matchIdx), "-", LET(winner, INDEX(INDIRECT(weekSheet&amp;"$C:$C"), matchIdx), IF(winner="", "-", IF(winner=team, "-", 1)))))</f>
        <v>1</v>
      </c>
      <c r="H17" s="160"/>
      <c r="I17" s="160"/>
      <c r="J17" s="160"/>
      <c r="K17" s="160"/>
      <c r="L17" s="158" t="str">
        <f t="shared" ref="L17:L18" si="111">LET(team, SUBSTITUTE(L$1, " Wins", ""), IF(COUNTIF(INDIRECT("'"&amp;$A17&amp;"'!$C:$C"), team)&gt;0, 1, "-"))</f>
        <v>-</v>
      </c>
      <c r="M17" s="158">
        <f t="shared" ref="M17:M18" si="112">LET(team, SUBSTITUTE(M$1, " Losses", ""), weekSheet, "'"&amp;$A17&amp;"'!", matchIdx, MATCH("*"&amp;team&amp;"*", INDIRECT(weekSheet&amp;"$B:$B"), 0), IF(ISNA(matchIdx), "-", LET(winner, INDEX(INDIRECT(weekSheet&amp;"$C:$C"), matchIdx), IF(winner="", "-", IF(winner=team, "-", 1)))))</f>
        <v>1</v>
      </c>
      <c r="N17" s="158" t="str">
        <f t="shared" ref="N17:N18" si="113">LET(team, SUBSTITUTE(N$1, " Wins", ""), IF(COUNTIF(INDIRECT("'"&amp;$A17&amp;"'!$C:$C"), team)&gt;0, 1, "-"))</f>
        <v>-</v>
      </c>
      <c r="O17" s="158">
        <f t="shared" ref="O17:O18" si="114">LET(team, SUBSTITUTE(O$1, " Losses", ""), weekSheet, "'"&amp;$A17&amp;"'!", matchIdx, MATCH("*"&amp;team&amp;"*", INDIRECT(weekSheet&amp;"$B:$B"), 0), IF(ISNA(matchIdx), "-", LET(winner, INDEX(INDIRECT(weekSheet&amp;"$C:$C"), matchIdx), IF(winner="", "-", IF(winner=team, "-", 1)))))</f>
        <v>1</v>
      </c>
      <c r="P17" s="160"/>
      <c r="Q17" s="160"/>
      <c r="R17" s="158">
        <f t="array" ref="R17">LET(team, SUBSTITUTE(R$1, " Wins", ""), IF(COUNTIF(INDIRECT("'"&amp;$A17&amp;"'!$C:$C"), team)&gt;0, 1, "-"))</f>
        <v>1</v>
      </c>
      <c r="S17" s="158" t="str">
        <f t="array" ref="S17">LET(team, SUBSTITUTE(S$1, " Losses", ""), weekSheet, "'"&amp;$A17&amp;"'!", matchIdx, MATCH("*"&amp;team&amp;"*", INDIRECT(weekSheet&amp;"$B:$B"), 0), IF(ISNA(matchIdx), "-", LET(winner, INDEX(INDIRECT(weekSheet&amp;"$C:$C"), matchIdx), IF(winner="", "-", IF(winner=team, "-", 1)))))</f>
        <v>-</v>
      </c>
      <c r="T17" s="160"/>
      <c r="U17" s="160"/>
      <c r="V17" s="158">
        <f t="shared" si="107"/>
        <v>1</v>
      </c>
      <c r="W17" s="158" t="str">
        <f t="shared" si="108"/>
        <v>-</v>
      </c>
      <c r="X17" s="160"/>
      <c r="Y17" s="160"/>
      <c r="Z17" s="160"/>
      <c r="AA17" s="160"/>
      <c r="AB17" s="160"/>
      <c r="AC17" s="160"/>
      <c r="AD17" s="158" t="str">
        <f t="array" ref="AD17">LET(team, SUBSTITUTE(AD$1, " Wins", ""), IF(COUNTIF(INDIRECT("'"&amp;$A17&amp;"'!$C:$C"), team)&gt;0, 1, "-"))</f>
        <v>-</v>
      </c>
      <c r="AE17" s="158">
        <f t="array" ref="AE17">LET(team, SUBSTITUTE(AE$1, " Losses", ""), weekSheet, "'"&amp;$A17&amp;"'!", matchIdx, MATCH("*"&amp;team&amp;"*", INDIRECT(weekSheet&amp;"$B:$B"), 0), IF(ISNA(matchIdx), "-", LET(winner, INDEX(INDIRECT(weekSheet&amp;"$C:$C"), matchIdx), IF(winner="", "-", IF(winner=team, "-", 1)))))</f>
        <v>1</v>
      </c>
      <c r="AF17" s="160"/>
      <c r="AG17" s="160"/>
      <c r="AH17" s="160"/>
      <c r="AI17" s="160"/>
      <c r="AJ17" s="160"/>
      <c r="AK17" s="160"/>
      <c r="AL17" s="158" t="str">
        <f t="array" ref="AL17">LET(team, SUBSTITUTE(AL$1, " Wins", ""), IF(COUNTIF(INDIRECT("'"&amp;$A17&amp;"'!$C:$C"), team)&gt;0, 1, "-"))</f>
        <v>-</v>
      </c>
      <c r="AM17" s="158">
        <f t="array" ref="AM17">LET(team, SUBSTITUTE(AM$1, " Losses", ""), weekSheet, "'"&amp;$A17&amp;"'!", matchIdx, MATCH("*"&amp;team&amp;"*", INDIRECT(weekSheet&amp;"$B:$B"), 0), IF(ISNA(matchIdx), "-", LET(winner, INDEX(INDIRECT(weekSheet&amp;"$C:$C"), matchIdx), IF(winner="", "-", IF(winner=team, "-", 1)))))</f>
        <v>1</v>
      </c>
      <c r="AN17" s="160"/>
      <c r="AO17" s="160"/>
      <c r="AP17" s="158">
        <f t="shared" ref="AP17:AP18" si="115">LET(team, SUBSTITUTE(AP$1, " Wins", ""), IF(COUNTIF(INDIRECT("'"&amp;$A17&amp;"'!$C:$C"), team)&gt;0, 1, "-"))</f>
        <v>1</v>
      </c>
      <c r="AQ17" s="158" t="str">
        <f t="shared" ref="AQ17:AQ18" si="116">LET(team, SUBSTITUTE(AQ$1, " Losses", ""), weekSheet, "'"&amp;$A17&amp;"'!", matchIdx, MATCH("*"&amp;team&amp;"*", INDIRECT(weekSheet&amp;"$B:$B"), 0), IF(ISNA(matchIdx), "-", LET(winner, INDEX(INDIRECT(weekSheet&amp;"$C:$C"), matchIdx), IF(winner="", "-", IF(winner=team, "-", 1)))))</f>
        <v>-</v>
      </c>
      <c r="AR17" s="158">
        <f t="shared" si="97"/>
        <v>1</v>
      </c>
      <c r="AS17" s="158" t="str">
        <f t="shared" si="98"/>
        <v>-</v>
      </c>
      <c r="AT17" s="160"/>
      <c r="AU17" s="160"/>
      <c r="AV17" s="160"/>
      <c r="AW17" s="160"/>
      <c r="AX17" s="158">
        <f t="array" ref="AX17">LET(team, SUBSTITUTE(AX$1, " Wins", ""), IF(COUNTIF(INDIRECT("'"&amp;$A17&amp;"'!$C:$C"), team)&gt;0, 1, "-"))</f>
        <v>1</v>
      </c>
      <c r="AY17" s="158" t="str">
        <f t="array" ref="AY17">LET(team, SUBSTITUTE(AY$1, " Losses", ""), weekSheet, "'"&amp;$A17&amp;"'!", matchIdx, MATCH("*"&amp;team&amp;"*", INDIRECT(weekSheet&amp;"$B:$B"), 0), IF(ISNA(matchIdx), "-", LET(winner, INDEX(INDIRECT(weekSheet&amp;"$C:$C"), matchIdx), IF(winner="", "-", IF(winner=team, "-", 1)))))</f>
        <v>-</v>
      </c>
      <c r="AZ17" s="160"/>
      <c r="BA17" s="160"/>
      <c r="BB17" s="158">
        <f t="shared" si="109"/>
        <v>1</v>
      </c>
      <c r="BC17" s="158" t="str">
        <f t="shared" si="110"/>
        <v>-</v>
      </c>
      <c r="BD17" s="158">
        <f t="shared" ref="BD17:BD18" si="117">LET(team, SUBSTITUTE(BD$1, " Wins", ""), IF(COUNTIF(INDIRECT("'"&amp;$A17&amp;"'!$C:$C"), team)&gt;0, 1, "-"))</f>
        <v>1</v>
      </c>
      <c r="BE17" s="158" t="str">
        <f t="shared" ref="BE17:BE18" si="118">LET(team, SUBSTITUTE(BE$1, " Losses", ""), weekSheet, "'"&amp;$A17&amp;"'!", matchIdx, MATCH("*"&amp;team&amp;"*", INDIRECT(weekSheet&amp;"$B:$B"), 0), IF(ISNA(matchIdx), "-", LET(winner, INDEX(INDIRECT(weekSheet&amp;"$C:$C"), matchIdx), IF(winner="", "-", IF(winner=team, "-", 1)))))</f>
        <v>-</v>
      </c>
      <c r="BF17" s="160"/>
      <c r="BG17" s="160"/>
      <c r="BH17" s="158">
        <f t="array" ref="BH17">LET(team, SUBSTITUTE(BH$1, " Wins", ""), IF(COUNTIF(INDIRECT("'"&amp;$A17&amp;"'!$C:$C"), team)&gt;0, 1, "-"))</f>
        <v>1</v>
      </c>
      <c r="BI17" s="158" t="str">
        <f t="array" ref="BI17">LET(team, SUBSTITUTE(BI$1, " Losses", ""), weekSheet, "'"&amp;$A17&amp;"'!", matchIdx, MATCH("*"&amp;team&amp;"*", INDIRECT(weekSheet&amp;"$B:$B"), 0), IF(ISNA(matchIdx), "-", LET(winner, INDEX(INDIRECT(weekSheet&amp;"$C:$C"), matchIdx), IF(winner="", "-", IF(winner=team, "-", 1)))))</f>
        <v>-</v>
      </c>
      <c r="BJ17" s="158">
        <f t="shared" ref="BJ17:BJ18" si="119">LET(team, SUBSTITUTE(BJ$1, " Wins", ""), IF(COUNTIF(INDIRECT("'"&amp;$A17&amp;"'!$C:$C"), team)&gt;0, 1, "-"))</f>
        <v>1</v>
      </c>
      <c r="BK17" s="158" t="str">
        <f t="shared" ref="BK17:BK18" si="120">LET(team, SUBSTITUTE(BK$1, " Losses", ""), weekSheet, "'"&amp;$A17&amp;"'!", matchIdx, MATCH("*"&amp;team&amp;"*", INDIRECT(weekSheet&amp;"$B:$B"), 0), IF(ISNA(matchIdx), "-", LET(winner, INDEX(INDIRECT(weekSheet&amp;"$C:$C"), matchIdx), IF(winner="", "-", IF(winner=team, "-", 1)))))</f>
        <v>-</v>
      </c>
      <c r="BL17" s="160"/>
      <c r="BM17" s="160"/>
    </row>
    <row r="18">
      <c r="A18" s="157" t="s">
        <v>206</v>
      </c>
      <c r="B18" s="160"/>
      <c r="C18" s="160"/>
      <c r="D18" s="160"/>
      <c r="E18" s="160"/>
      <c r="F18" s="160"/>
      <c r="G18" s="160"/>
      <c r="H18" s="158" t="str">
        <f t="array" ref="H18">LET(team, SUBSTITUTE(H$1, " Wins", ""), IF(COUNTIF(INDIRECT("'"&amp;$A18&amp;"'!$C:$C"), team)&gt;0, 1, "-"))</f>
        <v>-</v>
      </c>
      <c r="I18" s="158">
        <f t="array" ref="I18">LET(team, SUBSTITUTE(I$1, " Losses", ""), weekSheet, "'"&amp;$A18&amp;"'!", matchIdx, MATCH("*"&amp;team&amp;"*", INDIRECT(weekSheet&amp;"$B:$B"), 0), IF(ISNA(matchIdx), "-", LET(winner, INDEX(INDIRECT(weekSheet&amp;"$C:$C"), matchIdx), IF(winner="", "-", IF(winner=team, "-", 1)))))</f>
        <v>1</v>
      </c>
      <c r="J18" s="160"/>
      <c r="K18" s="160"/>
      <c r="L18" s="158" t="str">
        <f t="shared" si="111"/>
        <v>-</v>
      </c>
      <c r="M18" s="158">
        <f t="shared" si="112"/>
        <v>1</v>
      </c>
      <c r="N18" s="158">
        <f t="shared" si="113"/>
        <v>1</v>
      </c>
      <c r="O18" s="158" t="str">
        <f t="shared" si="114"/>
        <v>-</v>
      </c>
      <c r="P18" s="158">
        <f t="shared" ref="P18:P19" si="121">LET(team, SUBSTITUTE(P$1, " Wins", ""), IF(COUNTIF(INDIRECT("'"&amp;$A18&amp;"'!$C:$C"), team)&gt;0, 1, "-"))</f>
        <v>1</v>
      </c>
      <c r="Q18" s="158" t="str">
        <f t="shared" ref="Q18:Q19" si="122">LET(team, SUBSTITUTE(Q$1, " Losses", ""), weekSheet, "'"&amp;$A18&amp;"'!", matchIdx, MATCH("*"&amp;team&amp;"*", INDIRECT(weekSheet&amp;"$B:$B"), 0), IF(ISNA(matchIdx), "-", LET(winner, INDEX(INDIRECT(weekSheet&amp;"$C:$C"), matchIdx), IF(winner="", "-", IF(winner=team, "-", 1)))))</f>
        <v>-</v>
      </c>
      <c r="R18" s="160"/>
      <c r="S18" s="160"/>
      <c r="T18" s="158" t="str">
        <f t="array" ref="T18">LET(team, SUBSTITUTE(T$1, " Wins", ""), IF(COUNTIF(INDIRECT("'"&amp;$A18&amp;"'!$C:$C"), team)&gt;0, 1, "-"))</f>
        <v>-</v>
      </c>
      <c r="U18" s="158">
        <f t="array" ref="U18">LET(team, SUBSTITUTE(U$1, " Losses", ""), weekSheet, "'"&amp;$A18&amp;"'!", matchIdx, MATCH("*"&amp;team&amp;"*", INDIRECT(weekSheet&amp;"$B:$B"), 0), IF(ISNA(matchIdx), "-", LET(winner, INDEX(INDIRECT(weekSheet&amp;"$C:$C"), matchIdx), IF(winner="", "-", IF(winner=team, "-", 1)))))</f>
        <v>1</v>
      </c>
      <c r="V18" s="160"/>
      <c r="W18" s="160"/>
      <c r="X18" s="158" t="str">
        <f t="shared" ref="X18:X19" si="123">LET(team, SUBSTITUTE(X$1, " Wins", ""), IF(COUNTIF(INDIRECT("'"&amp;$A18&amp;"'!$C:$C"), team)&gt;0, 1, "-"))</f>
        <v>-</v>
      </c>
      <c r="Y18" s="158">
        <f t="shared" ref="Y18:Y19" si="124">LET(team, SUBSTITUTE(Y$1, " Losses", ""), weekSheet, "'"&amp;$A18&amp;"'!", matchIdx, MATCH("*"&amp;team&amp;"*", INDIRECT(weekSheet&amp;"$B:$B"), 0), IF(ISNA(matchIdx), "-", LET(winner, INDEX(INDIRECT(weekSheet&amp;"$C:$C"), matchIdx), IF(winner="", "-", IF(winner=team, "-", 1)))))</f>
        <v>1</v>
      </c>
      <c r="Z18" s="160"/>
      <c r="AA18" s="160"/>
      <c r="AB18" s="158">
        <f t="array" ref="AB18">LET(team, SUBSTITUTE(AB$1, " Wins", ""), IF(COUNTIF(INDIRECT("'"&amp;$A18&amp;"'!$C:$C"), team)&gt;0, 1, "-"))</f>
        <v>1</v>
      </c>
      <c r="AC18" s="158" t="str">
        <f t="array" ref="AC18">LET(team, SUBSTITUTE(AC$1, " Losses", ""), weekSheet, "'"&amp;$A18&amp;"'!", matchIdx, MATCH("*"&amp;team&amp;"*", INDIRECT(weekSheet&amp;"$B:$B"), 0), IF(ISNA(matchIdx), "-", LET(winner, INDEX(INDIRECT(weekSheet&amp;"$C:$C"), matchIdx), IF(winner="", "-", IF(winner=team, "-", 1)))))</f>
        <v>-</v>
      </c>
      <c r="AD18" s="160"/>
      <c r="AE18" s="160"/>
      <c r="AF18" s="158">
        <f t="array" ref="AF18">LET(team, SUBSTITUTE(AF$1, " Wins", ""), IF(COUNTIF(INDIRECT("'"&amp;$A18&amp;"'!$C:$C"), team)&gt;0, 1, "-"))</f>
        <v>1</v>
      </c>
      <c r="AG18" s="158" t="str">
        <f t="array" ref="AG18">LET(team, SUBSTITUTE(AG$1, " Losses", ""), weekSheet, "'"&amp;$A18&amp;"'!", matchIdx, MATCH("*"&amp;team&amp;"*", INDIRECT(weekSheet&amp;"$B:$B"), 0), IF(ISNA(matchIdx), "-", LET(winner, INDEX(INDIRECT(weekSheet&amp;"$C:$C"), matchIdx), IF(winner="", "-", IF(winner=team, "-", 1)))))</f>
        <v>-</v>
      </c>
      <c r="AH18" s="158">
        <f t="array" ref="AH18">LET(team, SUBSTITUTE(AH$1, " Wins", ""), IF(COUNTIF(INDIRECT("'"&amp;$A18&amp;"'!$C:$C"), team)&gt;0, 1, "-"))</f>
        <v>1</v>
      </c>
      <c r="AI18" s="158" t="str">
        <f t="array" ref="AI18">LET(team, SUBSTITUTE(AI$1, " Losses", ""), weekSheet, "'"&amp;$A18&amp;"'!", matchIdx, MATCH("*"&amp;team&amp;"*", INDIRECT(weekSheet&amp;"$B:$B"), 0), IF(ISNA(matchIdx), "-", LET(winner, INDEX(INDIRECT(weekSheet&amp;"$C:$C"), matchIdx), IF(winner="", "-", IF(winner=team, "-", 1)))))</f>
        <v>-</v>
      </c>
      <c r="AJ18" s="160"/>
      <c r="AK18" s="160"/>
      <c r="AL18" s="160"/>
      <c r="AM18" s="160"/>
      <c r="AN18" s="158">
        <f t="shared" ref="AN18:AN19" si="125">LET(team, SUBSTITUTE(AN$1, " Wins", ""), IF(COUNTIF(INDIRECT("'"&amp;$A18&amp;"'!$C:$C"), team)&gt;0, 1, "-"))</f>
        <v>1</v>
      </c>
      <c r="AO18" s="158" t="str">
        <f t="shared" ref="AO18:AO19" si="126">LET(team, SUBSTITUTE(AO$1, " Losses", ""), weekSheet, "'"&amp;$A18&amp;"'!", matchIdx, MATCH("*"&amp;team&amp;"*", INDIRECT(weekSheet&amp;"$B:$B"), 0), IF(ISNA(matchIdx), "-", LET(winner, INDEX(INDIRECT(weekSheet&amp;"$C:$C"), matchIdx), IF(winner="", "-", IF(winner=team, "-", 1)))))</f>
        <v>-</v>
      </c>
      <c r="AP18" s="158">
        <f t="shared" si="115"/>
        <v>1</v>
      </c>
      <c r="AQ18" s="158" t="str">
        <f t="shared" si="116"/>
        <v>-</v>
      </c>
      <c r="AR18" s="160"/>
      <c r="AS18" s="160"/>
      <c r="AT18" s="160"/>
      <c r="AU18" s="160"/>
      <c r="AV18" s="160"/>
      <c r="AW18" s="160"/>
      <c r="AX18" s="160"/>
      <c r="AY18" s="160"/>
      <c r="AZ18" s="158" t="str">
        <f t="shared" ref="AZ18:AZ19" si="127">LET(team, SUBSTITUTE(AZ$1, " Wins", ""), IF(COUNTIF(INDIRECT("'"&amp;$A18&amp;"'!$C:$C"), team)&gt;0, 1, "-"))</f>
        <v>-</v>
      </c>
      <c r="BA18" s="158">
        <f t="shared" ref="BA18:BA19" si="128">LET(team, SUBSTITUTE(BA$1, " Losses", ""), weekSheet, "'"&amp;$A18&amp;"'!", matchIdx, MATCH("*"&amp;team&amp;"*", INDIRECT(weekSheet&amp;"$B:$B"), 0), IF(ISNA(matchIdx), "-", LET(winner, INDEX(INDIRECT(weekSheet&amp;"$C:$C"), matchIdx), IF(winner="", "-", IF(winner=team, "-", 1)))))</f>
        <v>1</v>
      </c>
      <c r="BB18" s="160"/>
      <c r="BC18" s="160"/>
      <c r="BD18" s="158">
        <f t="shared" si="117"/>
        <v>1</v>
      </c>
      <c r="BE18" s="158" t="str">
        <f t="shared" si="118"/>
        <v>-</v>
      </c>
      <c r="BF18" s="158" t="str">
        <f t="array" ref="BF18">LET(team, SUBSTITUTE(BF$1, " Wins", ""), IF(COUNTIF(INDIRECT("'"&amp;$A18&amp;"'!$C:$C"), team)&gt;0, 1, "-"))</f>
        <v>-</v>
      </c>
      <c r="BG18" s="158">
        <f t="array" ref="BG18">LET(team, SUBSTITUTE(BG$1, " Losses", ""), weekSheet, "'"&amp;$A18&amp;"'!", matchIdx, MATCH("*"&amp;team&amp;"*", INDIRECT(weekSheet&amp;"$B:$B"), 0), IF(ISNA(matchIdx), "-", LET(winner, INDEX(INDIRECT(weekSheet&amp;"$C:$C"), matchIdx), IF(winner="", "-", IF(winner=team, "-", 1)))))</f>
        <v>1</v>
      </c>
      <c r="BH18" s="160"/>
      <c r="BI18" s="160"/>
      <c r="BJ18" s="158" t="str">
        <f t="shared" si="119"/>
        <v>-</v>
      </c>
      <c r="BK18" s="158">
        <f t="shared" si="120"/>
        <v>1</v>
      </c>
      <c r="BL18" s="158" t="str">
        <f t="shared" ref="BL18:BL19" si="129">LET(team, SUBSTITUTE(BL$1, " Wins", ""), IF(COUNTIF(INDIRECT("'"&amp;$A18&amp;"'!$C:$C"), team)&gt;0, 1, "-"))</f>
        <v>-</v>
      </c>
      <c r="BM18" s="158">
        <f t="shared" ref="BM18:BM19" si="130">LET(team, SUBSTITUTE(BM$1, " Losses", ""), weekSheet, "'"&amp;$A18&amp;"'!", matchIdx, MATCH("*"&amp;team&amp;"*", INDIRECT(weekSheet&amp;"$B:$B"), 0), IF(ISNA(matchIdx), "-", LET(winner, INDEX(INDIRECT(weekSheet&amp;"$C:$C"), matchIdx), IF(winner="", "-", IF(winner=team, "-", 1)))))</f>
        <v>1</v>
      </c>
    </row>
    <row r="19">
      <c r="A19" s="157" t="s">
        <v>207</v>
      </c>
      <c r="B19" s="158">
        <f t="array" ref="B19">LET(team, SUBSTITUTE(B$1, " Wins", ""), IF(COUNTIF(INDIRECT("'"&amp;$A19&amp;"'!$C:$C"), team)&gt;0, 1, "-"))</f>
        <v>1</v>
      </c>
      <c r="C19" s="158" t="str">
        <f t="array" ref="C19">LET(team, SUBSTITUTE(C$1, " Losses", ""), weekSheet, "'"&amp;$A19&amp;"'!", matchIdx, MATCH("*"&amp;team&amp;"*", INDIRECT(weekSheet&amp;"$B:$B"), 0), IF(ISNA(matchIdx), "-", LET(winner, INDEX(INDIRECT(weekSheet&amp;"$C:$C"), matchIdx), IF(winner="", "-", IF(winner=team, "-", 1)))))</f>
        <v>-</v>
      </c>
      <c r="D19" s="160"/>
      <c r="E19" s="160"/>
      <c r="F19" s="158" t="str">
        <f t="array" ref="F19">LET(team, SUBSTITUTE(F$1, " Wins", ""), IF(COUNTIF(INDIRECT("'"&amp;$A19&amp;"'!$C:$C"), team)&gt;0, 1, "-"))</f>
        <v>-</v>
      </c>
      <c r="G19" s="158">
        <f t="array" ref="G19">LET(team, SUBSTITUTE(G$1, " Losses", ""), weekSheet, "'"&amp;$A19&amp;"'!", matchIdx, MATCH("*"&amp;team&amp;"*", INDIRECT(weekSheet&amp;"$B:$B"), 0), IF(ISNA(matchIdx), "-", LET(winner, INDEX(INDIRECT(weekSheet&amp;"$C:$C"), matchIdx), IF(winner="", "-", IF(winner=team, "-", 1)))))</f>
        <v>1</v>
      </c>
      <c r="H19" s="160"/>
      <c r="I19" s="160"/>
      <c r="J19" s="158">
        <f t="array" ref="J19">LET(team, SUBSTITUTE(J$1, " Wins", ""), IF(COUNTIF(INDIRECT("'"&amp;$A19&amp;"'!$C:$C"), team)&gt;0, 1, "-"))</f>
        <v>1</v>
      </c>
      <c r="K19" s="158" t="str">
        <f t="array" ref="K19">LET(team, SUBSTITUTE(K$1, " Losses", ""), weekSheet, "'"&amp;$A19&amp;"'!", matchIdx, MATCH("*"&amp;team&amp;"*", INDIRECT(weekSheet&amp;"$B:$B"), 0), IF(ISNA(matchIdx), "-", LET(winner, INDEX(INDIRECT(weekSheet&amp;"$C:$C"), matchIdx), IF(winner="", "-", IF(winner=team, "-", 1)))))</f>
        <v>-</v>
      </c>
      <c r="L19" s="160"/>
      <c r="M19" s="160"/>
      <c r="N19" s="160"/>
      <c r="O19" s="160"/>
      <c r="P19" s="158">
        <f t="shared" si="121"/>
        <v>1</v>
      </c>
      <c r="Q19" s="158" t="str">
        <f t="shared" si="122"/>
        <v>-</v>
      </c>
      <c r="R19" s="158">
        <f t="array" ref="R19">LET(team, SUBSTITUTE(R$1, " Wins", ""), IF(COUNTIF(INDIRECT("'"&amp;$A19&amp;"'!$C:$C"), team)&gt;0, 1, "-"))</f>
        <v>1</v>
      </c>
      <c r="S19" s="158" t="str">
        <f t="array" ref="S19">LET(team, SUBSTITUTE(S$1, " Losses", ""), weekSheet, "'"&amp;$A19&amp;"'!", matchIdx, MATCH("*"&amp;team&amp;"*", INDIRECT(weekSheet&amp;"$B:$B"), 0), IF(ISNA(matchIdx), "-", LET(winner, INDEX(INDIRECT(weekSheet&amp;"$C:$C"), matchIdx), IF(winner="", "-", IF(winner=team, "-", 1)))))</f>
        <v>-</v>
      </c>
      <c r="T19" s="160"/>
      <c r="U19" s="160"/>
      <c r="V19" s="160"/>
      <c r="W19" s="160"/>
      <c r="X19" s="158">
        <f t="shared" si="123"/>
        <v>1</v>
      </c>
      <c r="Y19" s="158" t="str">
        <f t="shared" si="124"/>
        <v>-</v>
      </c>
      <c r="Z19" s="158">
        <f t="array" ref="Z19">LET(team, SUBSTITUTE(Z$1, " Wins", ""), IF(COUNTIF(INDIRECT("'"&amp;$A19&amp;"'!$C:$C"), team)&gt;0, 1, "-"))</f>
        <v>1</v>
      </c>
      <c r="AA19" s="158" t="str">
        <f t="array" ref="AA19">LET(team, SUBSTITUTE(AA$1, " Losses", ""), weekSheet, "'"&amp;$A19&amp;"'!", matchIdx, MATCH("*"&amp;team&amp;"*", INDIRECT(weekSheet&amp;"$B:$B"), 0), IF(ISNA(matchIdx), "-", LET(winner, INDEX(INDIRECT(weekSheet&amp;"$C:$C"), matchIdx), IF(winner="", "-", IF(winner=team, "-", 1)))))</f>
        <v>-</v>
      </c>
      <c r="AB19" s="160"/>
      <c r="AC19" s="160"/>
      <c r="AD19" s="158" t="str">
        <f t="array" ref="AD19">LET(team, SUBSTITUTE(AD$1, " Wins", ""), IF(COUNTIF(INDIRECT("'"&amp;$A19&amp;"'!$C:$C"), team)&gt;0, 1, "-"))</f>
        <v>-</v>
      </c>
      <c r="AE19" s="158">
        <f t="array" ref="AE19">LET(team, SUBSTITUTE(AE$1, " Losses", ""), weekSheet, "'"&amp;$A19&amp;"'!", matchIdx, MATCH("*"&amp;team&amp;"*", INDIRECT(weekSheet&amp;"$B:$B"), 0), IF(ISNA(matchIdx), "-", LET(winner, INDEX(INDIRECT(weekSheet&amp;"$C:$C"), matchIdx), IF(winner="", "-", IF(winner=team, "-", 1)))))</f>
        <v>1</v>
      </c>
      <c r="AF19" s="160"/>
      <c r="AG19" s="160"/>
      <c r="AH19" s="160"/>
      <c r="AI19" s="160"/>
      <c r="AJ19" s="158" t="str">
        <f t="array" ref="AJ19">LET(team, SUBSTITUTE(AJ$1, " Wins", ""), IF(COUNTIF(INDIRECT("'"&amp;$A19&amp;"'!$C:$C"), team)&gt;0, 1, "-"))</f>
        <v>-</v>
      </c>
      <c r="AK19" s="158">
        <f t="array" ref="AK19">LET(team, SUBSTITUTE(AK$1, " Losses", ""), weekSheet, "'"&amp;$A19&amp;"'!", matchIdx, MATCH("*"&amp;team&amp;"*", INDIRECT(weekSheet&amp;"$B:$B"), 0), IF(ISNA(matchIdx), "-", LET(winner, INDEX(INDIRECT(weekSheet&amp;"$C:$C"), matchIdx), IF(winner="", "-", IF(winner=team, "-", 1)))))</f>
        <v>1</v>
      </c>
      <c r="AL19" s="160"/>
      <c r="AM19" s="160"/>
      <c r="AN19" s="158" t="str">
        <f t="shared" si="125"/>
        <v>-</v>
      </c>
      <c r="AO19" s="158">
        <f t="shared" si="126"/>
        <v>1</v>
      </c>
      <c r="AP19" s="160"/>
      <c r="AQ19" s="160"/>
      <c r="AR19" s="160"/>
      <c r="AS19" s="160"/>
      <c r="AT19" s="158" t="str">
        <f t="array" ref="AT19">LET(team, SUBSTITUTE(AT$1, " Wins", ""), IF(COUNTIF(INDIRECT("'"&amp;$A19&amp;"'!$C:$C"), team)&gt;0, 1, "-"))</f>
        <v>-</v>
      </c>
      <c r="AU19" s="158">
        <f t="array" ref="AU19">LET(team, SUBSTITUTE(AU$1, " Losses", ""), weekSheet, "'"&amp;$A19&amp;"'!", matchIdx, MATCH("*"&amp;team&amp;"*", INDIRECT(weekSheet&amp;"$B:$B"), 0), IF(ISNA(matchIdx), "-", LET(winner, INDEX(INDIRECT(weekSheet&amp;"$C:$C"), matchIdx), IF(winner="", "-", IF(winner=team, "-", 1)))))</f>
        <v>1</v>
      </c>
      <c r="AV19" s="158" t="str">
        <f t="array" ref="AV19">LET(team, SUBSTITUTE(AV$1, " Wins", ""), IF(COUNTIF(INDIRECT("'"&amp;$A19&amp;"'!$C:$C"), team)&gt;0, 1, "-"))</f>
        <v>-</v>
      </c>
      <c r="AW19" s="158">
        <f t="array" ref="AW19">LET(team, SUBSTITUTE(AW$1, " Losses", ""), weekSheet, "'"&amp;$A19&amp;"'!", matchIdx, MATCH("*"&amp;team&amp;"*", INDIRECT(weekSheet&amp;"$B:$B"), 0), IF(ISNA(matchIdx), "-", LET(winner, INDEX(INDIRECT(weekSheet&amp;"$C:$C"), matchIdx), IF(winner="", "-", IF(winner=team, "-", 1)))))</f>
        <v>1</v>
      </c>
      <c r="AX19" s="160"/>
      <c r="AY19" s="160"/>
      <c r="AZ19" s="158" t="str">
        <f t="shared" si="127"/>
        <v>-</v>
      </c>
      <c r="BA19" s="158">
        <f t="shared" si="128"/>
        <v>1</v>
      </c>
      <c r="BB19" s="158" t="str">
        <f t="array" ref="BB19">LET(team, SUBSTITUTE(BB$1, " Wins", ""), IF(COUNTIF(INDIRECT("'"&amp;$A19&amp;"'!$C:$C"), team)&gt;0, 1, "-"))</f>
        <v>-</v>
      </c>
      <c r="BC19" s="158">
        <f t="array" ref="BC19">LET(team, SUBSTITUTE(BC$1, " Losses", ""), weekSheet, "'"&amp;$A19&amp;"'!", matchIdx, MATCH("*"&amp;team&amp;"*", INDIRECT(weekSheet&amp;"$B:$B"), 0), IF(ISNA(matchIdx), "-", LET(winner, INDEX(INDIRECT(weekSheet&amp;"$C:$C"), matchIdx), IF(winner="", "-", IF(winner=team, "-", 1)))))</f>
        <v>1</v>
      </c>
      <c r="BD19" s="160"/>
      <c r="BE19" s="160"/>
      <c r="BF19" s="160"/>
      <c r="BG19" s="160"/>
      <c r="BH19" s="158">
        <f t="array" ref="BH19">LET(team, SUBSTITUTE(BH$1, " Wins", ""), IF(COUNTIF(INDIRECT("'"&amp;$A19&amp;"'!$C:$C"), team)&gt;0, 1, "-"))</f>
        <v>1</v>
      </c>
      <c r="BI19" s="158" t="str">
        <f t="array" ref="BI19">LET(team, SUBSTITUTE(BI$1, " Losses", ""), weekSheet, "'"&amp;$A19&amp;"'!", matchIdx, MATCH("*"&amp;team&amp;"*", INDIRECT(weekSheet&amp;"$B:$B"), 0), IF(ISNA(matchIdx), "-", LET(winner, INDEX(INDIRECT(weekSheet&amp;"$C:$C"), matchIdx), IF(winner="", "-", IF(winner=team, "-", 1)))))</f>
        <v>-</v>
      </c>
      <c r="BJ19" s="160"/>
      <c r="BK19" s="160"/>
      <c r="BL19" s="158" t="str">
        <f t="shared" si="129"/>
        <v>-</v>
      </c>
      <c r="BM19" s="158">
        <f t="shared" si="130"/>
        <v>1</v>
      </c>
    </row>
    <row r="20">
      <c r="A20" s="227" t="s">
        <v>705</v>
      </c>
      <c r="B20" s="229">
        <f t="shared" ref="B20:BM20" si="131">SUM(B2:B19)</f>
        <v>6</v>
      </c>
      <c r="C20" s="229">
        <f t="shared" si="131"/>
        <v>2</v>
      </c>
      <c r="D20" s="230">
        <f t="shared" si="131"/>
        <v>5</v>
      </c>
      <c r="E20" s="230">
        <f t="shared" si="131"/>
        <v>3</v>
      </c>
      <c r="F20" s="231">
        <f t="shared" si="131"/>
        <v>6</v>
      </c>
      <c r="G20" s="231">
        <f t="shared" si="131"/>
        <v>2</v>
      </c>
      <c r="H20" s="232">
        <f t="shared" si="131"/>
        <v>5</v>
      </c>
      <c r="I20" s="232">
        <f t="shared" si="131"/>
        <v>3</v>
      </c>
      <c r="J20" s="233">
        <f t="shared" si="131"/>
        <v>7</v>
      </c>
      <c r="K20" s="233">
        <f t="shared" si="131"/>
        <v>1</v>
      </c>
      <c r="L20" s="234">
        <f t="shared" si="131"/>
        <v>1</v>
      </c>
      <c r="M20" s="234">
        <f t="shared" si="131"/>
        <v>7</v>
      </c>
      <c r="N20" s="235">
        <f t="shared" si="131"/>
        <v>2</v>
      </c>
      <c r="O20" s="235">
        <f t="shared" si="131"/>
        <v>6</v>
      </c>
      <c r="P20" s="236">
        <f t="shared" si="131"/>
        <v>6</v>
      </c>
      <c r="Q20" s="236">
        <f t="shared" si="131"/>
        <v>2</v>
      </c>
      <c r="R20" s="237">
        <f t="shared" si="131"/>
        <v>7</v>
      </c>
      <c r="S20" s="237">
        <f t="shared" si="131"/>
        <v>1</v>
      </c>
      <c r="T20" s="238">
        <f t="shared" si="131"/>
        <v>2</v>
      </c>
      <c r="U20" s="238">
        <f t="shared" si="131"/>
        <v>6</v>
      </c>
      <c r="V20" s="239">
        <f t="shared" si="131"/>
        <v>4</v>
      </c>
      <c r="W20" s="239">
        <f t="shared" si="131"/>
        <v>4</v>
      </c>
      <c r="X20" s="240">
        <f t="shared" si="131"/>
        <v>5</v>
      </c>
      <c r="Y20" s="240">
        <f t="shared" si="131"/>
        <v>3</v>
      </c>
      <c r="Z20" s="241">
        <f t="shared" si="131"/>
        <v>5</v>
      </c>
      <c r="AA20" s="241">
        <f t="shared" si="131"/>
        <v>3</v>
      </c>
      <c r="AB20" s="242">
        <f t="shared" si="131"/>
        <v>5</v>
      </c>
      <c r="AC20" s="242">
        <f t="shared" si="131"/>
        <v>3</v>
      </c>
      <c r="AD20" s="243">
        <f t="shared" si="131"/>
        <v>3</v>
      </c>
      <c r="AE20" s="243">
        <f t="shared" si="131"/>
        <v>5</v>
      </c>
      <c r="AF20" s="244">
        <f t="shared" si="131"/>
        <v>3</v>
      </c>
      <c r="AG20" s="244">
        <f t="shared" si="131"/>
        <v>5</v>
      </c>
      <c r="AH20" s="245">
        <f t="shared" si="131"/>
        <v>7</v>
      </c>
      <c r="AI20" s="245">
        <f t="shared" si="131"/>
        <v>2</v>
      </c>
      <c r="AJ20" s="246">
        <f t="shared" si="131"/>
        <v>8</v>
      </c>
      <c r="AK20" s="246">
        <f t="shared" si="131"/>
        <v>1</v>
      </c>
      <c r="AL20" s="247">
        <f t="shared" si="131"/>
        <v>8</v>
      </c>
      <c r="AM20" s="247">
        <f t="shared" si="131"/>
        <v>1</v>
      </c>
      <c r="AN20" s="248">
        <f t="shared" si="131"/>
        <v>4</v>
      </c>
      <c r="AO20" s="248">
        <f t="shared" si="131"/>
        <v>5</v>
      </c>
      <c r="AP20" s="249">
        <f t="shared" si="131"/>
        <v>7</v>
      </c>
      <c r="AQ20" s="249">
        <f t="shared" si="131"/>
        <v>2</v>
      </c>
      <c r="AR20" s="250">
        <f t="shared" si="131"/>
        <v>7</v>
      </c>
      <c r="AS20" s="250">
        <f t="shared" si="131"/>
        <v>2</v>
      </c>
      <c r="AT20" s="251">
        <f t="shared" si="131"/>
        <v>4</v>
      </c>
      <c r="AU20" s="251">
        <f t="shared" si="131"/>
        <v>5</v>
      </c>
      <c r="AV20" s="252">
        <f t="shared" si="131"/>
        <v>4</v>
      </c>
      <c r="AW20" s="252">
        <f t="shared" si="131"/>
        <v>5</v>
      </c>
      <c r="AX20" s="253">
        <f t="shared" si="131"/>
        <v>5</v>
      </c>
      <c r="AY20" s="253">
        <f t="shared" si="131"/>
        <v>4</v>
      </c>
      <c r="AZ20" s="254">
        <f t="shared" si="131"/>
        <v>6</v>
      </c>
      <c r="BA20" s="254">
        <f t="shared" si="131"/>
        <v>3</v>
      </c>
      <c r="BB20" s="255">
        <f t="shared" si="131"/>
        <v>5</v>
      </c>
      <c r="BC20" s="255">
        <f t="shared" si="131"/>
        <v>4</v>
      </c>
      <c r="BD20" s="256">
        <f t="shared" si="131"/>
        <v>6</v>
      </c>
      <c r="BE20" s="256">
        <f t="shared" si="131"/>
        <v>3</v>
      </c>
      <c r="BF20" s="257">
        <f t="shared" si="131"/>
        <v>7</v>
      </c>
      <c r="BG20" s="257">
        <f t="shared" si="131"/>
        <v>2</v>
      </c>
      <c r="BH20" s="258">
        <f t="shared" si="131"/>
        <v>6</v>
      </c>
      <c r="BI20" s="258">
        <f t="shared" si="131"/>
        <v>3</v>
      </c>
      <c r="BJ20" s="259">
        <f t="shared" si="131"/>
        <v>4</v>
      </c>
      <c r="BK20" s="259">
        <f t="shared" si="131"/>
        <v>5</v>
      </c>
      <c r="BL20" s="260">
        <f t="shared" si="131"/>
        <v>3</v>
      </c>
      <c r="BM20" s="260">
        <f t="shared" si="131"/>
        <v>6</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t="s">
        <v>706</v>
      </c>
      <c r="C2" s="160" t="s">
        <v>706</v>
      </c>
      <c r="D2" s="160" t="s">
        <v>706</v>
      </c>
      <c r="E2" s="160" t="s">
        <v>706</v>
      </c>
      <c r="F2" s="158">
        <f t="array" ref="F2">LET(team, SUBSTITUTE(F$1, " Wins", ""), IF(COUNTIF(INDIRECT("'"&amp;$A2&amp;"'!$C:$C"), team)&gt;0, 1, "-"))</f>
        <v>1</v>
      </c>
      <c r="G2" s="158" t="str">
        <f t="array" ref="G2">LET(team, SUBSTITUTE(G$1, " Losses", ""), weekSheet, "'"&amp;$A2&amp;"'!", matchIdx, MATCH("*"&amp;team&amp;"*", INDIRECT(weekSheet&amp;"$B:$B"), 0), IF(ISNA(matchIdx), "-", LET(winner, INDEX(INDIRECT(weekSheet&amp;"$C:$C"), matchIdx), IF(winner="", "-", IF(winner=team, "-", 1)))))</f>
        <v>-</v>
      </c>
      <c r="H2" s="160" t="s">
        <v>706</v>
      </c>
      <c r="I2" s="160" t="s">
        <v>706</v>
      </c>
      <c r="J2" s="158">
        <f t="array" ref="J2">LET(team, SUBSTITUTE(J$1, " Wins", ""), IF(COUNTIF(INDIRECT("'"&amp;$A2&amp;"'!$C:$C"), team)&gt;0, 1, "-"))</f>
        <v>1</v>
      </c>
      <c r="K2" s="158" t="str">
        <f t="array" ref="K2">LET(team, SUBSTITUTE(K$1, " Losses", ""), weekSheet, "'"&amp;$A2&amp;"'!", matchIdx, MATCH("*"&amp;team&amp;"*", INDIRECT(weekSheet&amp;"$B:$B"), 0), IF(ISNA(matchIdx), "-", LET(winner, INDEX(INDIRECT(weekSheet&amp;"$C:$C"), matchIdx), IF(winner="", "-", IF(winner=team, "-", 1)))))</f>
        <v>-</v>
      </c>
      <c r="L2" s="158" t="str">
        <f t="shared" ref="L2:L3" si="1">LET(team, SUBSTITUTE(L$1, " Wins", ""), IF(COUNTIF(INDIRECT("'"&amp;$A2&amp;"'!$C:$C"), team)&gt;0, 1, "-"))</f>
        <v>-</v>
      </c>
      <c r="M2" s="158">
        <f t="shared" ref="M2:M3" si="2">LET(team, SUBSTITUTE(M$1, " Losses", ""), weekSheet, "'"&amp;$A2&amp;"'!", matchIdx, MATCH("*"&amp;team&amp;"*", INDIRECT(weekSheet&amp;"$B:$B"), 0), IF(ISNA(matchIdx), "-", LET(winner, INDEX(INDIRECT(weekSheet&amp;"$C:$C"), matchIdx), IF(winner="", "-", IF(winner=team, "-", 1)))))</f>
        <v>1</v>
      </c>
      <c r="N2" s="158" t="str">
        <f t="array" ref="N2">LET(team, SUBSTITUTE(N$1, " Wins", ""), IF(COUNTIF(INDIRECT("'"&amp;$A2&amp;"'!$C:$C"), team)&gt;0, 1, "-"))</f>
        <v>-</v>
      </c>
      <c r="O2" s="158">
        <f t="array" ref="O2">LET(team, SUBSTITUTE(O$1, " Losses", ""), weekSheet, "'"&amp;$A2&amp;"'!", matchIdx, MATCH("*"&amp;team&amp;"*", INDIRECT(weekSheet&amp;"$B:$B"), 0), IF(ISNA(matchIdx), "-", LET(winner, INDEX(INDIRECT(weekSheet&amp;"$C:$C"), matchIdx), IF(winner="", "-", IF(winner=team, "-", 1)))))</f>
        <v>1</v>
      </c>
      <c r="P2" s="158" t="str">
        <f t="array" ref="P2">LET(team, SUBSTITUTE(P$1, " Wins", ""), IF(COUNTIF(INDIRECT("'"&amp;$A2&amp;"'!$C:$C"), team)&gt;0, 1, "-"))</f>
        <v>-</v>
      </c>
      <c r="Q2" s="158">
        <f t="array" ref="Q2">LET(team, SUBSTITUTE(Q$1, " Losses", ""), weekSheet, "'"&amp;$A2&amp;"'!", matchIdx, MATCH("*"&amp;team&amp;"*", INDIRECT(weekSheet&amp;"$B:$B"), 0), IF(ISNA(matchIdx), "-", LET(winner, INDEX(INDIRECT(weekSheet&amp;"$C:$C"), matchIdx), IF(winner="", "-", IF(winner=team, "-", 1)))))</f>
        <v>1</v>
      </c>
      <c r="R2" s="158">
        <f t="array" ref="R2">LET(team, SUBSTITUTE(R$1, " Wins", ""), IF(COUNTIF(INDIRECT("'"&amp;$A2&amp;"'!$C:$C"), team)&gt;0, 1, "-"))</f>
        <v>1</v>
      </c>
      <c r="S2" s="158" t="str">
        <f t="array" ref="S2">LET(team, SUBSTITUTE(S$1, " Losses", ""), weekSheet, "'"&amp;$A2&amp;"'!", matchIdx, MATCH("*"&amp;team&amp;"*", INDIRECT(weekSheet&amp;"$B:$B"), 0), IF(ISNA(matchIdx), "-", LET(winner, INDEX(INDIRECT(weekSheet&amp;"$C:$C"), matchIdx), IF(winner="", "-", IF(winner=team, "-", 1)))))</f>
        <v>-</v>
      </c>
      <c r="T2" s="158" t="str">
        <f t="shared" ref="T2:T3" si="3">LET(team, SUBSTITUTE(T$1, " Wins", ""), IF(COUNTIF(INDIRECT("'"&amp;$A2&amp;"'!$C:$C"), team)&gt;0, 1, "-"))</f>
        <v>-</v>
      </c>
      <c r="U2" s="158">
        <f t="shared" ref="U2:U3" si="4">LET(team, SUBSTITUTE(U$1, " Losses", ""), weekSheet, "'"&amp;$A2&amp;"'!", matchIdx, MATCH("*"&amp;team&amp;"*", INDIRECT(weekSheet&amp;"$B:$B"), 0), IF(ISNA(matchIdx), "-", LET(winner, INDEX(INDIRECT(weekSheet&amp;"$C:$C"), matchIdx), IF(winner="", "-", IF(winner=team, "-", 1)))))</f>
        <v>1</v>
      </c>
      <c r="V2" s="160" t="s">
        <v>706</v>
      </c>
      <c r="W2" s="160" t="s">
        <v>706</v>
      </c>
      <c r="X2" s="160" t="s">
        <v>706</v>
      </c>
      <c r="Y2" s="160" t="s">
        <v>706</v>
      </c>
      <c r="Z2" s="160" t="s">
        <v>706</v>
      </c>
      <c r="AA2" s="160" t="s">
        <v>706</v>
      </c>
      <c r="AB2" s="160" t="s">
        <v>706</v>
      </c>
      <c r="AC2" s="160" t="s">
        <v>706</v>
      </c>
      <c r="AD2" s="160" t="s">
        <v>706</v>
      </c>
      <c r="AE2" s="160" t="s">
        <v>706</v>
      </c>
      <c r="AF2" s="160" t="s">
        <v>706</v>
      </c>
      <c r="AG2" s="160" t="s">
        <v>706</v>
      </c>
      <c r="AH2" s="158" t="str">
        <f t="array" ref="AH2">LET(team, SUBSTITUTE(AH$1, " Wins", ""), IF(COUNTIF(INDIRECT("'"&amp;$A2&amp;"'!$C:$C"), team)&gt;0, 1, "-"))</f>
        <v>-</v>
      </c>
      <c r="AI2" s="158">
        <f t="array" ref="AI2">LET(team, SUBSTITUTE(AI$1, " Losses", ""), weekSheet, "'"&amp;$A2&amp;"'!", matchIdx, MATCH("*"&amp;team&amp;"*", INDIRECT(weekSheet&amp;"$B:$B"), 0), IF(ISNA(matchIdx), "-", LET(winner, INDEX(INDIRECT(weekSheet&amp;"$C:$C"), matchIdx), IF(winner="", "-", IF(winner=team, "-", 1)))))</f>
        <v>1</v>
      </c>
      <c r="AJ2" s="160" t="s">
        <v>706</v>
      </c>
      <c r="AK2" s="160" t="s">
        <v>706</v>
      </c>
      <c r="AL2" s="160" t="s">
        <v>706</v>
      </c>
      <c r="AM2" s="160" t="s">
        <v>706</v>
      </c>
      <c r="AN2" s="158" t="str">
        <f t="array" ref="AN2">LET(team, SUBSTITUTE(AN$1, " Wins", ""), IF(COUNTIF(INDIRECT("'"&amp;$A2&amp;"'!$C:$C"), team)&gt;0, 1, "-"))</f>
        <v>-</v>
      </c>
      <c r="AO2" s="158">
        <f t="array" ref="AO2">LET(team, SUBSTITUTE(AO$1, " Losses", ""), weekSheet, "'"&amp;$A2&amp;"'!", matchIdx, MATCH("*"&amp;team&amp;"*", INDIRECT(weekSheet&amp;"$B:$B"), 0), IF(ISNA(matchIdx), "-", LET(winner, INDEX(INDIRECT(weekSheet&amp;"$C:$C"), matchIdx), IF(winner="", "-", IF(winner=team, "-", 1)))))</f>
        <v>1</v>
      </c>
      <c r="AP2" s="158">
        <f t="array" ref="AP2">LET(team, SUBSTITUTE(AP$1, " Wins", ""), IF(COUNTIF(INDIRECT("'"&amp;$A2&amp;"'!$C:$C"), team)&gt;0, 1, "-"))</f>
        <v>1</v>
      </c>
      <c r="AQ2" s="158" t="str">
        <f t="array" ref="AQ2">LET(team, SUBSTITUTE(AQ$1, " Losses", ""), weekSheet, "'"&amp;$A2&amp;"'!", matchIdx, MATCH("*"&amp;team&amp;"*", INDIRECT(weekSheet&amp;"$B:$B"), 0), IF(ISNA(matchIdx), "-", LET(winner, INDEX(INDIRECT(weekSheet&amp;"$C:$C"), matchIdx), IF(winner="", "-", IF(winner=team, "-", 1)))))</f>
        <v>-</v>
      </c>
      <c r="AR2" s="160" t="s">
        <v>706</v>
      </c>
      <c r="AS2" s="160" t="s">
        <v>706</v>
      </c>
      <c r="AT2" s="160" t="s">
        <v>706</v>
      </c>
      <c r="AU2" s="160" t="s">
        <v>706</v>
      </c>
      <c r="AV2" s="158" t="str">
        <f t="shared" ref="AV2:AV3" si="5">LET(team, SUBSTITUTE(AV$1, " Wins", ""), IF(COUNTIF(INDIRECT("'"&amp;$A2&amp;"'!$C:$C"), team)&gt;0, 1, "-"))</f>
        <v>-</v>
      </c>
      <c r="AW2" s="158">
        <f t="shared" ref="AW2:AW3" si="6">LET(team, SUBSTITUTE(AW$1, " Losses", ""), weekSheet, "'"&amp;$A2&amp;"'!", matchIdx, MATCH("*"&amp;team&amp;"*", INDIRECT(weekSheet&amp;"$B:$B"), 0), IF(ISNA(matchIdx), "-", LET(winner, INDEX(INDIRECT(weekSheet&amp;"$C:$C"), matchIdx), IF(winner="", "-", IF(winner=team, "-", 1)))))</f>
        <v>1</v>
      </c>
      <c r="AX2" s="160" t="s">
        <v>706</v>
      </c>
      <c r="AY2" s="160" t="s">
        <v>706</v>
      </c>
      <c r="AZ2" s="158" t="str">
        <f t="shared" ref="AZ2:AZ3" si="7">LET(team, SUBSTITUTE(AZ$1, " Wins", ""), IF(COUNTIF(INDIRECT("'"&amp;$A2&amp;"'!$C:$C"), team)&gt;0, 1, "-"))</f>
        <v>-</v>
      </c>
      <c r="BA2" s="158">
        <f t="shared" ref="BA2:BA3" si="8">LET(team, SUBSTITUTE(BA$1, " Losses", ""), weekSheet, "'"&amp;$A2&amp;"'!", matchIdx, MATCH("*"&amp;team&amp;"*", INDIRECT(weekSheet&amp;"$B:$B"), 0), IF(ISNA(matchIdx), "-", LET(winner, INDEX(INDIRECT(weekSheet&amp;"$C:$C"), matchIdx), IF(winner="", "-", IF(winner=team, "-", 1)))))</f>
        <v>1</v>
      </c>
      <c r="BB2" s="160" t="s">
        <v>706</v>
      </c>
      <c r="BC2" s="160" t="s">
        <v>706</v>
      </c>
      <c r="BD2" s="158">
        <f t="array" ref="BD2">LET(team, SUBSTITUTE(BD$1, " Wins", ""), IF(COUNTIF(INDIRECT("'"&amp;$A2&amp;"'!$C:$C"), team)&gt;0, 1, "-"))</f>
        <v>1</v>
      </c>
      <c r="BE2" s="158" t="str">
        <f t="array" ref="BE2">LET(team, SUBSTITUTE(BE$1, " Losses", ""), weekSheet, "'"&amp;$A2&amp;"'!", matchIdx, MATCH("*"&amp;team&amp;"*", INDIRECT(weekSheet&amp;"$B:$B"), 0), IF(ISNA(matchIdx), "-", LET(winner, INDEX(INDIRECT(weekSheet&amp;"$C:$C"), matchIdx), IF(winner="", "-", IF(winner=team, "-", 1)))))</f>
        <v>-</v>
      </c>
      <c r="BF2" s="158" t="str">
        <f t="array" ref="BF2">LET(team, SUBSTITUTE(BF$1, " Wins", ""), IF(COUNTIF(INDIRECT("'"&amp;$A2&amp;"'!$C:$C"), team)&gt;0, 1, "-"))</f>
        <v>-</v>
      </c>
      <c r="BG2" s="158">
        <f t="array" ref="BG2">LET(team, SUBSTITUTE(BG$1, " Losses", ""), weekSheet, "'"&amp;$A2&amp;"'!", matchIdx, MATCH("*"&amp;team&amp;"*", INDIRECT(weekSheet&amp;"$B:$B"), 0), IF(ISNA(matchIdx), "-", LET(winner, INDEX(INDIRECT(weekSheet&amp;"$C:$C"), matchIdx), IF(winner="", "-", IF(winner=team, "-", 1)))))</f>
        <v>1</v>
      </c>
      <c r="BH2" s="158" t="str">
        <f t="shared" ref="BH2:BH3" si="9">LET(team, SUBSTITUTE(BH$1, " Wins", ""), IF(COUNTIF(INDIRECT("'"&amp;$A2&amp;"'!$C:$C"), team)&gt;0, 1, "-"))</f>
        <v>-</v>
      </c>
      <c r="BI2" s="158">
        <f t="shared" ref="BI2:BI3" si="10">LET(team, SUBSTITUTE(BI$1, " Losses", ""), weekSheet, "'"&amp;$A2&amp;"'!", matchIdx, MATCH("*"&amp;team&amp;"*", INDIRECT(weekSheet&amp;"$B:$B"), 0), IF(ISNA(matchIdx), "-", LET(winner, INDEX(INDIRECT(weekSheet&amp;"$C:$C"), matchIdx), IF(winner="", "-", IF(winner=team, "-", 1)))))</f>
        <v>1</v>
      </c>
      <c r="BJ2" s="158" t="str">
        <f t="array" ref="BJ2">LET(team, SUBSTITUTE(BJ$1, " Wins", ""), IF(COUNTIF(INDIRECT("'"&amp;$A2&amp;"'!$C:$C"), team)&gt;0, 1, "-"))</f>
        <v>-</v>
      </c>
      <c r="BK2" s="158">
        <f t="array" ref="BK2">LET(team, SUBSTITUTE(BK$1, " Losses", ""), weekSheet, "'"&amp;$A2&amp;"'!", matchIdx, MATCH("*"&amp;team&amp;"*", INDIRECT(weekSheet&amp;"$B:$B"), 0), IF(ISNA(matchIdx), "-", LET(winner, INDEX(INDIRECT(weekSheet&amp;"$C:$C"), matchIdx), IF(winner="", "-", IF(winner=team, "-", 1)))))</f>
        <v>1</v>
      </c>
      <c r="BL2" s="160" t="s">
        <v>706</v>
      </c>
      <c r="BM2" s="160" t="s">
        <v>706</v>
      </c>
    </row>
    <row r="3">
      <c r="A3" s="157" t="s">
        <v>119</v>
      </c>
      <c r="B3" s="160" t="s">
        <v>706</v>
      </c>
      <c r="C3" s="160" t="s">
        <v>706</v>
      </c>
      <c r="D3" s="158" t="str">
        <f t="shared" ref="D3:D4" si="11">LET(team, SUBSTITUTE(D$1, " Wins", ""), IF(COUNTIF(INDIRECT("'"&amp;$A3&amp;"'!$C:$C"), team)&gt;0, 1, "-"))</f>
        <v>-</v>
      </c>
      <c r="E3" s="158">
        <f t="shared" ref="E3:E4" si="12">LET(team, SUBSTITUTE(E$1, " Losses", ""), weekSheet, "'"&amp;$A3&amp;"'!", matchIdx, MATCH("*"&amp;team&amp;"*", INDIRECT(weekSheet&amp;"$B:$B"), 0), IF(ISNA(matchIdx), "-", LET(winner, INDEX(INDIRECT(weekSheet&amp;"$C:$C"), matchIdx), IF(winner="", "-", IF(winner=team, "-", 1)))))</f>
        <v>1</v>
      </c>
      <c r="F3" s="160" t="s">
        <v>706</v>
      </c>
      <c r="G3" s="160" t="s">
        <v>706</v>
      </c>
      <c r="H3" s="160" t="s">
        <v>706</v>
      </c>
      <c r="I3" s="160" t="s">
        <v>706</v>
      </c>
      <c r="J3" s="160" t="s">
        <v>706</v>
      </c>
      <c r="K3" s="160" t="s">
        <v>706</v>
      </c>
      <c r="L3" s="158" t="str">
        <f t="shared" si="1"/>
        <v>-</v>
      </c>
      <c r="M3" s="158">
        <f t="shared" si="2"/>
        <v>1</v>
      </c>
      <c r="N3" s="160" t="s">
        <v>706</v>
      </c>
      <c r="O3" s="160" t="s">
        <v>706</v>
      </c>
      <c r="P3" s="160" t="s">
        <v>706</v>
      </c>
      <c r="Q3" s="160" t="s">
        <v>706</v>
      </c>
      <c r="R3" s="160" t="s">
        <v>706</v>
      </c>
      <c r="S3" s="160" t="s">
        <v>706</v>
      </c>
      <c r="T3" s="158" t="str">
        <f t="shared" si="3"/>
        <v>-</v>
      </c>
      <c r="U3" s="158">
        <f t="shared" si="4"/>
        <v>1</v>
      </c>
      <c r="V3" s="158">
        <f t="array" ref="V3">LET(team, SUBSTITUTE(V$1, " Wins", ""), IF(COUNTIF(INDIRECT("'"&amp;$A3&amp;"'!$C:$C"), team)&gt;0, 1, "-"))</f>
        <v>1</v>
      </c>
      <c r="W3" s="158" t="str">
        <f t="array" ref="W3">LET(team, SUBSTITUTE(W$1, " Losses", ""), weekSheet, "'"&amp;$A3&amp;"'!", matchIdx, MATCH("*"&amp;team&amp;"*", INDIRECT(weekSheet&amp;"$B:$B"), 0), IF(ISNA(matchIdx), "-", LET(winner, INDEX(INDIRECT(weekSheet&amp;"$C:$C"), matchIdx), IF(winner="", "-", IF(winner=team, "-", 1)))))</f>
        <v>-</v>
      </c>
      <c r="X3" s="158" t="str">
        <f t="shared" ref="X3:X4" si="13">LET(team, SUBSTITUTE(X$1, " Wins", ""), IF(COUNTIF(INDIRECT("'"&amp;$A3&amp;"'!$C:$C"), team)&gt;0, 1, "-"))</f>
        <v>-</v>
      </c>
      <c r="Y3" s="158">
        <f t="shared" ref="Y3:Y4" si="14">LET(team, SUBSTITUTE(Y$1, " Losses", ""), weekSheet, "'"&amp;$A3&amp;"'!", matchIdx, MATCH("*"&amp;team&amp;"*", INDIRECT(weekSheet&amp;"$B:$B"), 0), IF(ISNA(matchIdx), "-", LET(winner, INDEX(INDIRECT(weekSheet&amp;"$C:$C"), matchIdx), IF(winner="", "-", IF(winner=team, "-", 1)))))</f>
        <v>1</v>
      </c>
      <c r="Z3" s="160" t="s">
        <v>706</v>
      </c>
      <c r="AA3" s="160" t="s">
        <v>706</v>
      </c>
      <c r="AB3" s="158" t="str">
        <f t="array" ref="AB3">LET(team, SUBSTITUTE(AB$1, " Wins", ""), IF(COUNTIF(INDIRECT("'"&amp;$A3&amp;"'!$C:$C"), team)&gt;0, 1, "-"))</f>
        <v>-</v>
      </c>
      <c r="AC3" s="158">
        <f t="array" ref="AC3">LET(team, SUBSTITUTE(AC$1, " Losses", ""), weekSheet, "'"&amp;$A3&amp;"'!", matchIdx, MATCH("*"&amp;team&amp;"*", INDIRECT(weekSheet&amp;"$B:$B"), 0), IF(ISNA(matchIdx), "-", LET(winner, INDEX(INDIRECT(weekSheet&amp;"$C:$C"), matchIdx), IF(winner="", "-", IF(winner=team, "-", 1)))))</f>
        <v>1</v>
      </c>
      <c r="AD3" s="158">
        <f t="array" ref="AD3">LET(team, SUBSTITUTE(AD$1, " Wins", ""), IF(COUNTIF(INDIRECT("'"&amp;$A3&amp;"'!$C:$C"), team)&gt;0, 1, "-"))</f>
        <v>1</v>
      </c>
      <c r="AE3" s="158" t="str">
        <f t="array" ref="AE3">LET(team, SUBSTITUTE(AE$1, " Losses", ""), weekSheet, "'"&amp;$A3&amp;"'!", matchIdx, MATCH("*"&amp;team&amp;"*", INDIRECT(weekSheet&amp;"$B:$B"), 0), IF(ISNA(matchIdx), "-", LET(winner, INDEX(INDIRECT(weekSheet&amp;"$C:$C"), matchIdx), IF(winner="", "-", IF(winner=team, "-", 1)))))</f>
        <v>-</v>
      </c>
      <c r="AF3" s="160" t="s">
        <v>706</v>
      </c>
      <c r="AG3" s="160" t="s">
        <v>706</v>
      </c>
      <c r="AH3" s="160" t="s">
        <v>706</v>
      </c>
      <c r="AI3" s="160" t="s">
        <v>706</v>
      </c>
      <c r="AJ3" s="160" t="s">
        <v>706</v>
      </c>
      <c r="AK3" s="160" t="s">
        <v>706</v>
      </c>
      <c r="AL3" s="158">
        <f t="shared" ref="AL3:AL4" si="15">LET(team, SUBSTITUTE(AL$1, " Wins", ""), IF(COUNTIF(INDIRECT("'"&amp;$A3&amp;"'!$C:$C"), team)&gt;0, 1, "-"))</f>
        <v>1</v>
      </c>
      <c r="AM3" s="158" t="str">
        <f t="shared" ref="AM3:AM4" si="16">LET(team, SUBSTITUTE(AM$1, " Losses", ""), weekSheet, "'"&amp;$A3&amp;"'!", matchIdx, MATCH("*"&amp;team&amp;"*", INDIRECT(weekSheet&amp;"$B:$B"), 0), IF(ISNA(matchIdx), "-", LET(winner, INDEX(INDIRECT(weekSheet&amp;"$C:$C"), matchIdx), IF(winner="", "-", IF(winner=team, "-", 1)))))</f>
        <v>-</v>
      </c>
      <c r="AN3" s="160" t="s">
        <v>706</v>
      </c>
      <c r="AO3" s="160" t="s">
        <v>706</v>
      </c>
      <c r="AP3" s="160" t="s">
        <v>706</v>
      </c>
      <c r="AQ3" s="160" t="s">
        <v>706</v>
      </c>
      <c r="AR3" s="158">
        <f t="shared" ref="AR3:AR4" si="17">LET(team, SUBSTITUTE(AR$1, " Wins", ""), IF(COUNTIF(INDIRECT("'"&amp;$A3&amp;"'!$C:$C"), team)&gt;0, 1, "-"))</f>
        <v>1</v>
      </c>
      <c r="AS3" s="158" t="str">
        <f t="shared" ref="AS3:AS4" si="18">LET(team, SUBSTITUTE(AS$1, " Losses", ""), weekSheet, "'"&amp;$A3&amp;"'!", matchIdx, MATCH("*"&amp;team&amp;"*", INDIRECT(weekSheet&amp;"$B:$B"), 0), IF(ISNA(matchIdx), "-", LET(winner, INDEX(INDIRECT(weekSheet&amp;"$C:$C"), matchIdx), IF(winner="", "-", IF(winner=team, "-", 1)))))</f>
        <v>-</v>
      </c>
      <c r="AT3" s="158" t="str">
        <f t="array" ref="AT3">LET(team, SUBSTITUTE(AT$1, " Wins", ""), IF(COUNTIF(INDIRECT("'"&amp;$A3&amp;"'!$C:$C"), team)&gt;0, 1, "-"))</f>
        <v>-</v>
      </c>
      <c r="AU3" s="158">
        <f t="array" ref="AU3">LET(team, SUBSTITUTE(AU$1, " Losses", ""), weekSheet, "'"&amp;$A3&amp;"'!", matchIdx, MATCH("*"&amp;team&amp;"*", INDIRECT(weekSheet&amp;"$B:$B"), 0), IF(ISNA(matchIdx), "-", LET(winner, INDEX(INDIRECT(weekSheet&amp;"$C:$C"), matchIdx), IF(winner="", "-", IF(winner=team, "-", 1)))))</f>
        <v>1</v>
      </c>
      <c r="AV3" s="158" t="str">
        <f t="shared" si="5"/>
        <v>-</v>
      </c>
      <c r="AW3" s="158">
        <f t="shared" si="6"/>
        <v>1</v>
      </c>
      <c r="AX3" s="158" t="str">
        <f t="array" ref="AX3">LET(team, SUBSTITUTE(AX$1, " Wins", ""), IF(COUNTIF(INDIRECT("'"&amp;$A3&amp;"'!$C:$C"), team)&gt;0, 1, "-"))</f>
        <v>-</v>
      </c>
      <c r="AY3" s="158">
        <f t="array" ref="AY3">LET(team, SUBSTITUTE(AY$1, " Losses", ""), weekSheet, "'"&amp;$A3&amp;"'!", matchIdx, MATCH("*"&amp;team&amp;"*", INDIRECT(weekSheet&amp;"$B:$B"), 0), IF(ISNA(matchIdx), "-", LET(winner, INDEX(INDIRECT(weekSheet&amp;"$C:$C"), matchIdx), IF(winner="", "-", IF(winner=team, "-", 1)))))</f>
        <v>1</v>
      </c>
      <c r="AZ3" s="158">
        <f t="shared" si="7"/>
        <v>1</v>
      </c>
      <c r="BA3" s="158" t="str">
        <f t="shared" si="8"/>
        <v>-</v>
      </c>
      <c r="BB3" s="158" t="str">
        <f t="shared" ref="BB3:BB4" si="19">LET(team, SUBSTITUTE(BB$1, " Wins", ""), IF(COUNTIF(INDIRECT("'"&amp;$A3&amp;"'!$C:$C"), team)&gt;0, 1, "-"))</f>
        <v>-</v>
      </c>
      <c r="BC3" s="158">
        <f t="shared" ref="BC3:BC4" si="20">LET(team, SUBSTITUTE(BC$1, " Losses", ""), weekSheet, "'"&amp;$A3&amp;"'!", matchIdx, MATCH("*"&amp;team&amp;"*", INDIRECT(weekSheet&amp;"$B:$B"), 0), IF(ISNA(matchIdx), "-", LET(winner, INDEX(INDIRECT(weekSheet&amp;"$C:$C"), matchIdx), IF(winner="", "-", IF(winner=team, "-", 1)))))</f>
        <v>1</v>
      </c>
      <c r="BD3" s="160" t="s">
        <v>706</v>
      </c>
      <c r="BE3" s="160" t="s">
        <v>706</v>
      </c>
      <c r="BF3" s="160" t="s">
        <v>706</v>
      </c>
      <c r="BG3" s="160" t="s">
        <v>706</v>
      </c>
      <c r="BH3" s="158" t="str">
        <f t="shared" si="9"/>
        <v>-</v>
      </c>
      <c r="BI3" s="158">
        <f t="shared" si="10"/>
        <v>1</v>
      </c>
      <c r="BJ3" s="160" t="s">
        <v>706</v>
      </c>
      <c r="BK3" s="160" t="s">
        <v>706</v>
      </c>
      <c r="BL3" s="158" t="str">
        <f t="shared" ref="BL3:BL4" si="21">LET(team, SUBSTITUTE(BL$1, " Wins", ""), IF(COUNTIF(INDIRECT("'"&amp;$A3&amp;"'!$C:$C"), team)&gt;0, 1, "-"))</f>
        <v>-</v>
      </c>
      <c r="BM3" s="158">
        <f t="shared" ref="BM3:BM4" si="22">LET(team, SUBSTITUTE(BM$1, " Losses", ""), weekSheet, "'"&amp;$A3&amp;"'!", matchIdx, MATCH("*"&amp;team&amp;"*", INDIRECT(weekSheet&amp;"$B:$B"), 0), IF(ISNA(matchIdx), "-", LET(winner, INDEX(INDIRECT(weekSheet&amp;"$C:$C"), matchIdx), IF(winner="", "-", IF(winner=team, "-", 1)))))</f>
        <v>1</v>
      </c>
    </row>
    <row r="4">
      <c r="A4" s="157" t="s">
        <v>130</v>
      </c>
      <c r="B4" s="158">
        <f t="shared" ref="B4:B5" si="23">LET(team, SUBSTITUTE(B$1, " Wins", ""), IF(COUNTIF(INDIRECT("'"&amp;$A4&amp;"'!$C:$C"), team)&gt;0, 1, "-"))</f>
        <v>1</v>
      </c>
      <c r="C4" s="158" t="str">
        <f t="shared" ref="C4:C5" si="24">LET(team, SUBSTITUTE(C$1, " Losses", ""), weekSheet, "'"&amp;$A4&amp;"'!", matchIdx, MATCH("*"&amp;team&amp;"*", INDIRECT(weekSheet&amp;"$B:$B"), 0), IF(ISNA(matchIdx), "-", LET(winner, INDEX(INDIRECT(weekSheet&amp;"$C:$C"), matchIdx), IF(winner="", "-", IF(winner=team, "-", 1)))))</f>
        <v>-</v>
      </c>
      <c r="D4" s="158" t="str">
        <f t="shared" si="11"/>
        <v>-</v>
      </c>
      <c r="E4" s="158">
        <f t="shared" si="12"/>
        <v>1</v>
      </c>
      <c r="F4" s="160" t="s">
        <v>706</v>
      </c>
      <c r="G4" s="160" t="s">
        <v>706</v>
      </c>
      <c r="H4" s="158" t="str">
        <f t="shared" ref="H4:H5" si="25">LET(team, SUBSTITUTE(H$1, " Wins", ""), IF(COUNTIF(INDIRECT("'"&amp;$A4&amp;"'!$C:$C"), team)&gt;0, 1, "-"))</f>
        <v>-</v>
      </c>
      <c r="I4" s="158">
        <f t="shared" ref="I4:I5" si="26">LET(team, SUBSTITUTE(I$1, " Losses", ""), weekSheet, "'"&amp;$A4&amp;"'!", matchIdx, MATCH("*"&amp;team&amp;"*", INDIRECT(weekSheet&amp;"$B:$B"), 0), IF(ISNA(matchIdx), "-", LET(winner, INDEX(INDIRECT(weekSheet&amp;"$C:$C"), matchIdx), IF(winner="", "-", IF(winner=team, "-", 1)))))</f>
        <v>1</v>
      </c>
      <c r="J4" s="160" t="s">
        <v>706</v>
      </c>
      <c r="K4" s="160" t="s">
        <v>706</v>
      </c>
      <c r="L4" s="160" t="s">
        <v>706</v>
      </c>
      <c r="M4" s="160" t="s">
        <v>706</v>
      </c>
      <c r="N4" s="158" t="str">
        <f t="shared" ref="N4:N5" si="27">LET(team, SUBSTITUTE(N$1, " Wins", ""), IF(COUNTIF(INDIRECT("'"&amp;$A4&amp;"'!$C:$C"), team)&gt;0, 1, "-"))</f>
        <v>-</v>
      </c>
      <c r="O4" s="158">
        <f t="shared" ref="O4:O5" si="28">LET(team, SUBSTITUTE(O$1, " Losses", ""), weekSheet, "'"&amp;$A4&amp;"'!", matchIdx, MATCH("*"&amp;team&amp;"*", INDIRECT(weekSheet&amp;"$B:$B"), 0), IF(ISNA(matchIdx), "-", LET(winner, INDEX(INDIRECT(weekSheet&amp;"$C:$C"), matchIdx), IF(winner="", "-", IF(winner=team, "-", 1)))))</f>
        <v>1</v>
      </c>
      <c r="P4" s="158">
        <f t="shared" ref="P4:P5" si="29">LET(team, SUBSTITUTE(P$1, " Wins", ""), IF(COUNTIF(INDIRECT("'"&amp;$A4&amp;"'!$C:$C"), team)&gt;0, 1, "-"))</f>
        <v>1</v>
      </c>
      <c r="Q4" s="158" t="str">
        <f t="shared" ref="Q4:Q5" si="30">LET(team, SUBSTITUTE(Q$1, " Losses", ""), weekSheet, "'"&amp;$A4&amp;"'!", matchIdx, MATCH("*"&amp;team&amp;"*", INDIRECT(weekSheet&amp;"$B:$B"), 0), IF(ISNA(matchIdx), "-", LET(winner, INDEX(INDIRECT(weekSheet&amp;"$C:$C"), matchIdx), IF(winner="", "-", IF(winner=team, "-", 1)))))</f>
        <v>-</v>
      </c>
      <c r="R4" s="158" t="str">
        <f t="array" ref="R4">LET(team, SUBSTITUTE(R$1, " Wins", ""), IF(COUNTIF(INDIRECT("'"&amp;$A4&amp;"'!$C:$C"), team)&gt;0, 1, "-"))</f>
        <v>-</v>
      </c>
      <c r="S4" s="158">
        <f t="array" ref="S4">LET(team, SUBSTITUTE(S$1, " Losses", ""), weekSheet, "'"&amp;$A4&amp;"'!", matchIdx, MATCH("*"&amp;team&amp;"*", INDIRECT(weekSheet&amp;"$B:$B"), 0), IF(ISNA(matchIdx), "-", LET(winner, INDEX(INDIRECT(weekSheet&amp;"$C:$C"), matchIdx), IF(winner="", "-", IF(winner=team, "-", 1)))))</f>
        <v>1</v>
      </c>
      <c r="T4" s="160" t="s">
        <v>706</v>
      </c>
      <c r="U4" s="160" t="s">
        <v>706</v>
      </c>
      <c r="V4" s="160" t="s">
        <v>706</v>
      </c>
      <c r="W4" s="160" t="s">
        <v>706</v>
      </c>
      <c r="X4" s="158">
        <f t="shared" si="13"/>
        <v>1</v>
      </c>
      <c r="Y4" s="158" t="str">
        <f t="shared" si="14"/>
        <v>-</v>
      </c>
      <c r="Z4" s="158">
        <f t="array" ref="Z4">LET(team, SUBSTITUTE(Z$1, " Wins", ""), IF(COUNTIF(INDIRECT("'"&amp;$A4&amp;"'!$C:$C"), team)&gt;0, 1, "-"))</f>
        <v>1</v>
      </c>
      <c r="AA4" s="158" t="str">
        <f t="array" ref="AA4">LET(team, SUBSTITUTE(AA$1, " Losses", ""), weekSheet, "'"&amp;$A4&amp;"'!", matchIdx, MATCH("*"&amp;team&amp;"*", INDIRECT(weekSheet&amp;"$B:$B"), 0), IF(ISNA(matchIdx), "-", LET(winner, INDEX(INDIRECT(weekSheet&amp;"$C:$C"), matchIdx), IF(winner="", "-", IF(winner=team, "-", 1)))))</f>
        <v>-</v>
      </c>
      <c r="AB4" s="160" t="s">
        <v>706</v>
      </c>
      <c r="AC4" s="160" t="s">
        <v>706</v>
      </c>
      <c r="AD4" s="160" t="s">
        <v>706</v>
      </c>
      <c r="AE4" s="160" t="s">
        <v>706</v>
      </c>
      <c r="AF4" s="158" t="str">
        <f t="shared" ref="AF4:AF5" si="31">LET(team, SUBSTITUTE(AF$1, " Wins", ""), IF(COUNTIF(INDIRECT("'"&amp;$A4&amp;"'!$C:$C"), team)&gt;0, 1, "-"))</f>
        <v>-</v>
      </c>
      <c r="AG4" s="158">
        <f t="shared" ref="AG4:AG5" si="32">LET(team, SUBSTITUTE(AG$1, " Losses", ""), weekSheet, "'"&amp;$A4&amp;"'!", matchIdx, MATCH("*"&amp;team&amp;"*", INDIRECT(weekSheet&amp;"$B:$B"), 0), IF(ISNA(matchIdx), "-", LET(winner, INDEX(INDIRECT(weekSheet&amp;"$C:$C"), matchIdx), IF(winner="", "-", IF(winner=team, "-", 1)))))</f>
        <v>1</v>
      </c>
      <c r="AH4" s="160" t="s">
        <v>706</v>
      </c>
      <c r="AI4" s="160" t="s">
        <v>706</v>
      </c>
      <c r="AJ4" s="158" t="str">
        <f t="shared" ref="AJ4:AJ5" si="33">LET(team, SUBSTITUTE(AJ$1, " Wins", ""), IF(COUNTIF(INDIRECT("'"&amp;$A4&amp;"'!$C:$C"), team)&gt;0, 1, "-"))</f>
        <v>-</v>
      </c>
      <c r="AK4" s="158">
        <f t="shared" ref="AK4:AK5" si="34">LET(team, SUBSTITUTE(AK$1, " Losses", ""), weekSheet, "'"&amp;$A4&amp;"'!", matchIdx, MATCH("*"&amp;team&amp;"*", INDIRECT(weekSheet&amp;"$B:$B"), 0), IF(ISNA(matchIdx), "-", LET(winner, INDEX(INDIRECT(weekSheet&amp;"$C:$C"), matchIdx), IF(winner="", "-", IF(winner=team, "-", 1)))))</f>
        <v>1</v>
      </c>
      <c r="AL4" s="158">
        <f t="shared" si="15"/>
        <v>1</v>
      </c>
      <c r="AM4" s="158" t="str">
        <f t="shared" si="16"/>
        <v>-</v>
      </c>
      <c r="AN4" s="158" t="str">
        <f t="shared" ref="AN4:AN5" si="35">LET(team, SUBSTITUTE(AN$1, " Wins", ""), IF(COUNTIF(INDIRECT("'"&amp;$A4&amp;"'!$C:$C"), team)&gt;0, 1, "-"))</f>
        <v>-</v>
      </c>
      <c r="AO4" s="158">
        <f t="shared" ref="AO4:AO5" si="36">LET(team, SUBSTITUTE(AO$1, " Losses", ""), weekSheet, "'"&amp;$A4&amp;"'!", matchIdx, MATCH("*"&amp;team&amp;"*", INDIRECT(weekSheet&amp;"$B:$B"), 0), IF(ISNA(matchIdx), "-", LET(winner, INDEX(INDIRECT(weekSheet&amp;"$C:$C"), matchIdx), IF(winner="", "-", IF(winner=team, "-", 1)))))</f>
        <v>1</v>
      </c>
      <c r="AP4" s="160" t="s">
        <v>706</v>
      </c>
      <c r="AQ4" s="160" t="s">
        <v>706</v>
      </c>
      <c r="AR4" s="158">
        <f t="shared" si="17"/>
        <v>1</v>
      </c>
      <c r="AS4" s="158" t="str">
        <f t="shared" si="18"/>
        <v>-</v>
      </c>
      <c r="AT4" s="160" t="s">
        <v>706</v>
      </c>
      <c r="AU4" s="160" t="s">
        <v>706</v>
      </c>
      <c r="AV4" s="160" t="s">
        <v>706</v>
      </c>
      <c r="AW4" s="160" t="s">
        <v>706</v>
      </c>
      <c r="AX4" s="160" t="s">
        <v>706</v>
      </c>
      <c r="AY4" s="160" t="s">
        <v>706</v>
      </c>
      <c r="AZ4" s="160" t="s">
        <v>706</v>
      </c>
      <c r="BA4" s="160" t="s">
        <v>706</v>
      </c>
      <c r="BB4" s="158">
        <f t="shared" si="19"/>
        <v>1</v>
      </c>
      <c r="BC4" s="158" t="str">
        <f t="shared" si="20"/>
        <v>-</v>
      </c>
      <c r="BD4" s="160" t="s">
        <v>706</v>
      </c>
      <c r="BE4" s="160" t="s">
        <v>706</v>
      </c>
      <c r="BF4" s="160" t="s">
        <v>706</v>
      </c>
      <c r="BG4" s="160" t="s">
        <v>706</v>
      </c>
      <c r="BH4" s="160" t="s">
        <v>706</v>
      </c>
      <c r="BI4" s="160" t="s">
        <v>706</v>
      </c>
      <c r="BJ4" s="158" t="str">
        <f t="shared" ref="BJ4:BJ5" si="37">LET(team, SUBSTITUTE(BJ$1, " Wins", ""), IF(COUNTIF(INDIRECT("'"&amp;$A4&amp;"'!$C:$C"), team)&gt;0, 1, "-"))</f>
        <v>-</v>
      </c>
      <c r="BK4" s="158">
        <f t="shared" ref="BK4:BK5" si="38">LET(team, SUBSTITUTE(BK$1, " Losses", ""), weekSheet, "'"&amp;$A4&amp;"'!", matchIdx, MATCH("*"&amp;team&amp;"*", INDIRECT(weekSheet&amp;"$B:$B"), 0), IF(ISNA(matchIdx), "-", LET(winner, INDEX(INDIRECT(weekSheet&amp;"$C:$C"), matchIdx), IF(winner="", "-", IF(winner=team, "-", 1)))))</f>
        <v>1</v>
      </c>
      <c r="BL4" s="158">
        <f t="shared" si="21"/>
        <v>1</v>
      </c>
      <c r="BM4" s="158" t="str">
        <f t="shared" si="22"/>
        <v>-</v>
      </c>
    </row>
    <row r="5">
      <c r="A5" s="157" t="s">
        <v>141</v>
      </c>
      <c r="B5" s="158" t="str">
        <f t="shared" si="23"/>
        <v>-</v>
      </c>
      <c r="C5" s="158">
        <f t="shared" si="24"/>
        <v>1</v>
      </c>
      <c r="D5" s="160" t="s">
        <v>706</v>
      </c>
      <c r="E5" s="160" t="s">
        <v>706</v>
      </c>
      <c r="F5" s="158" t="str">
        <f t="shared" ref="F5:F6" si="39">LET(team, SUBSTITUTE(F$1, " Wins", ""), IF(COUNTIF(INDIRECT("'"&amp;$A5&amp;"'!$C:$C"), team)&gt;0, 1, "-"))</f>
        <v>-</v>
      </c>
      <c r="G5" s="158">
        <f t="shared" ref="G5:G6" si="40">LET(team, SUBSTITUTE(G$1, " Losses", ""), weekSheet, "'"&amp;$A5&amp;"'!", matchIdx, MATCH("*"&amp;team&amp;"*", INDIRECT(weekSheet&amp;"$B:$B"), 0), IF(ISNA(matchIdx), "-", LET(winner, INDEX(INDIRECT(weekSheet&amp;"$C:$C"), matchIdx), IF(winner="", "-", IF(winner=team, "-", 1)))))</f>
        <v>1</v>
      </c>
      <c r="H5" s="158" t="str">
        <f t="shared" si="25"/>
        <v>-</v>
      </c>
      <c r="I5" s="158">
        <f t="shared" si="26"/>
        <v>1</v>
      </c>
      <c r="J5" s="160" t="s">
        <v>706</v>
      </c>
      <c r="K5" s="160" t="s">
        <v>706</v>
      </c>
      <c r="L5" s="158" t="str">
        <f t="array" ref="L5">LET(team, SUBSTITUTE(L$1, " Wins", ""), IF(COUNTIF(INDIRECT("'"&amp;$A5&amp;"'!$C:$C"), team)&gt;0, 1, "-"))</f>
        <v>-</v>
      </c>
      <c r="M5" s="158">
        <f t="array" ref="M5">LET(team, SUBSTITUTE(M$1, " Losses", ""), weekSheet, "'"&amp;$A5&amp;"'!", matchIdx, MATCH("*"&amp;team&amp;"*", INDIRECT(weekSheet&amp;"$B:$B"), 0), IF(ISNA(matchIdx), "-", LET(winner, INDEX(INDIRECT(weekSheet&amp;"$C:$C"), matchIdx), IF(winner="", "-", IF(winner=team, "-", 1)))))</f>
        <v>1</v>
      </c>
      <c r="N5" s="158" t="str">
        <f t="shared" si="27"/>
        <v>-</v>
      </c>
      <c r="O5" s="158">
        <f t="shared" si="28"/>
        <v>1</v>
      </c>
      <c r="P5" s="158">
        <f t="shared" si="29"/>
        <v>1</v>
      </c>
      <c r="Q5" s="158" t="str">
        <f t="shared" si="30"/>
        <v>-</v>
      </c>
      <c r="R5" s="160" t="s">
        <v>706</v>
      </c>
      <c r="S5" s="160" t="s">
        <v>706</v>
      </c>
      <c r="T5" s="160" t="s">
        <v>706</v>
      </c>
      <c r="U5" s="160" t="s">
        <v>706</v>
      </c>
      <c r="V5" s="158">
        <f t="array" ref="V5">LET(team, SUBSTITUTE(V$1, " Wins", ""), IF(COUNTIF(INDIRECT("'"&amp;$A5&amp;"'!$C:$C"), team)&gt;0, 1, "-"))</f>
        <v>1</v>
      </c>
      <c r="W5" s="158" t="str">
        <f t="array" ref="W5">LET(team, SUBSTITUTE(W$1, " Losses", ""), weekSheet, "'"&amp;$A5&amp;"'!", matchIdx, MATCH("*"&amp;team&amp;"*", INDIRECT(weekSheet&amp;"$B:$B"), 0), IF(ISNA(matchIdx), "-", LET(winner, INDEX(INDIRECT(weekSheet&amp;"$C:$C"), matchIdx), IF(winner="", "-", IF(winner=team, "-", 1)))))</f>
        <v>-</v>
      </c>
      <c r="X5" s="160" t="s">
        <v>706</v>
      </c>
      <c r="Y5" s="160" t="s">
        <v>706</v>
      </c>
      <c r="Z5" s="160" t="s">
        <v>706</v>
      </c>
      <c r="AA5" s="160" t="s">
        <v>706</v>
      </c>
      <c r="AB5" s="158">
        <f t="array" ref="AB5">LET(team, SUBSTITUTE(AB$1, " Wins", ""), IF(COUNTIF(INDIRECT("'"&amp;$A5&amp;"'!$C:$C"), team)&gt;0, 1, "-"))</f>
        <v>1</v>
      </c>
      <c r="AC5" s="158" t="str">
        <f t="array" ref="AC5">LET(team, SUBSTITUTE(AC$1, " Losses", ""), weekSheet, "'"&amp;$A5&amp;"'!", matchIdx, MATCH("*"&amp;team&amp;"*", INDIRECT(weekSheet&amp;"$B:$B"), 0), IF(ISNA(matchIdx), "-", LET(winner, INDEX(INDIRECT(weekSheet&amp;"$C:$C"), matchIdx), IF(winner="", "-", IF(winner=team, "-", 1)))))</f>
        <v>-</v>
      </c>
      <c r="AD5" s="158" t="str">
        <f t="shared" ref="AD5:AD6" si="41">LET(team, SUBSTITUTE(AD$1, " Wins", ""), IF(COUNTIF(INDIRECT("'"&amp;$A5&amp;"'!$C:$C"), team)&gt;0, 1, "-"))</f>
        <v>-</v>
      </c>
      <c r="AE5" s="158">
        <f t="shared" ref="AE5:AE6" si="42">LET(team, SUBSTITUTE(AE$1, " Losses", ""), weekSheet, "'"&amp;$A5&amp;"'!", matchIdx, MATCH("*"&amp;team&amp;"*", INDIRECT(weekSheet&amp;"$B:$B"), 0), IF(ISNA(matchIdx), "-", LET(winner, INDEX(INDIRECT(weekSheet&amp;"$C:$C"), matchIdx), IF(winner="", "-", IF(winner=team, "-", 1)))))</f>
        <v>1</v>
      </c>
      <c r="AF5" s="158" t="str">
        <f t="shared" si="31"/>
        <v>-</v>
      </c>
      <c r="AG5" s="158">
        <f t="shared" si="32"/>
        <v>1</v>
      </c>
      <c r="AH5" s="160" t="s">
        <v>706</v>
      </c>
      <c r="AI5" s="160" t="s">
        <v>706</v>
      </c>
      <c r="AJ5" s="158">
        <f t="shared" si="33"/>
        <v>1</v>
      </c>
      <c r="AK5" s="158" t="str">
        <f t="shared" si="34"/>
        <v>-</v>
      </c>
      <c r="AL5" s="160" t="s">
        <v>706</v>
      </c>
      <c r="AM5" s="160" t="s">
        <v>706</v>
      </c>
      <c r="AN5" s="158" t="str">
        <f t="shared" si="35"/>
        <v>-</v>
      </c>
      <c r="AO5" s="158">
        <f t="shared" si="36"/>
        <v>1</v>
      </c>
      <c r="AP5" s="158" t="str">
        <f t="array" ref="AP5">LET(team, SUBSTITUTE(AP$1, " Wins", ""), IF(COUNTIF(INDIRECT("'"&amp;$A5&amp;"'!$C:$C"), team)&gt;0, 1, "-"))</f>
        <v>-</v>
      </c>
      <c r="AQ5" s="158">
        <f t="array" ref="AQ5">LET(team, SUBSTITUTE(AQ$1, " Losses", ""), weekSheet, "'"&amp;$A5&amp;"'!", matchIdx, MATCH("*"&amp;team&amp;"*", INDIRECT(weekSheet&amp;"$B:$B"), 0), IF(ISNA(matchIdx), "-", LET(winner, INDEX(INDIRECT(weekSheet&amp;"$C:$C"), matchIdx), IF(winner="", "-", IF(winner=team, "-", 1)))))</f>
        <v>1</v>
      </c>
      <c r="AR5" s="160" t="s">
        <v>706</v>
      </c>
      <c r="AS5" s="160" t="s">
        <v>706</v>
      </c>
      <c r="AT5" s="160" t="s">
        <v>706</v>
      </c>
      <c r="AU5" s="160" t="s">
        <v>706</v>
      </c>
      <c r="AV5" s="160" t="s">
        <v>706</v>
      </c>
      <c r="AW5" s="160" t="s">
        <v>706</v>
      </c>
      <c r="AX5" s="158">
        <f t="shared" ref="AX5:AX6" si="43">LET(team, SUBSTITUTE(AX$1, " Wins", ""), IF(COUNTIF(INDIRECT("'"&amp;$A5&amp;"'!$C:$C"), team)&gt;0, 1, "-"))</f>
        <v>1</v>
      </c>
      <c r="AY5" s="158" t="str">
        <f t="shared" ref="AY5:AY6" si="44">LET(team, SUBSTITUTE(AY$1, " Losses", ""), weekSheet, "'"&amp;$A5&amp;"'!", matchIdx, MATCH("*"&amp;team&amp;"*", INDIRECT(weekSheet&amp;"$B:$B"), 0), IF(ISNA(matchIdx), "-", LET(winner, INDEX(INDIRECT(weekSheet&amp;"$C:$C"), matchIdx), IF(winner="", "-", IF(winner=team, "-", 1)))))</f>
        <v>-</v>
      </c>
      <c r="AZ5" s="158" t="str">
        <f t="array" ref="AZ5">LET(team, SUBSTITUTE(AZ$1, " Wins", ""), IF(COUNTIF(INDIRECT("'"&amp;$A5&amp;"'!$C:$C"), team)&gt;0, 1, "-"))</f>
        <v>-</v>
      </c>
      <c r="BA5" s="158">
        <f t="array" ref="BA5">LET(team, SUBSTITUTE(BA$1, " Losses", ""), weekSheet, "'"&amp;$A5&amp;"'!", matchIdx, MATCH("*"&amp;team&amp;"*", INDIRECT(weekSheet&amp;"$B:$B"), 0), IF(ISNA(matchIdx), "-", LET(winner, INDEX(INDIRECT(weekSheet&amp;"$C:$C"), matchIdx), IF(winner="", "-", IF(winner=team, "-", 1)))))</f>
        <v>1</v>
      </c>
      <c r="BB5" s="160" t="s">
        <v>706</v>
      </c>
      <c r="BC5" s="160" t="s">
        <v>706</v>
      </c>
      <c r="BD5" s="160" t="s">
        <v>706</v>
      </c>
      <c r="BE5" s="160" t="s">
        <v>706</v>
      </c>
      <c r="BF5" s="160" t="s">
        <v>706</v>
      </c>
      <c r="BG5" s="160" t="s">
        <v>706</v>
      </c>
      <c r="BH5" s="160" t="s">
        <v>706</v>
      </c>
      <c r="BI5" s="160" t="s">
        <v>706</v>
      </c>
      <c r="BJ5" s="158">
        <f t="shared" si="37"/>
        <v>1</v>
      </c>
      <c r="BK5" s="158" t="str">
        <f t="shared" si="38"/>
        <v>-</v>
      </c>
      <c r="BL5" s="160" t="s">
        <v>706</v>
      </c>
      <c r="BM5" s="160" t="s">
        <v>706</v>
      </c>
    </row>
    <row r="6">
      <c r="A6" s="157" t="s">
        <v>145</v>
      </c>
      <c r="B6" s="160" t="s">
        <v>706</v>
      </c>
      <c r="C6" s="160" t="s">
        <v>706</v>
      </c>
      <c r="D6" s="158" t="str">
        <f t="array" ref="D6">LET(team, SUBSTITUTE(D$1, " Wins", ""), IF(COUNTIF(INDIRECT("'"&amp;$A6&amp;"'!$C:$C"), team)&gt;0, 1, "-"))</f>
        <v>-</v>
      </c>
      <c r="E6" s="158">
        <f t="array" ref="E6">LET(team, SUBSTITUTE(E$1, " Losses", ""), weekSheet, "'"&amp;$A6&amp;"'!", matchIdx, MATCH("*"&amp;team&amp;"*", INDIRECT(weekSheet&amp;"$B:$B"), 0), IF(ISNA(matchIdx), "-", LET(winner, INDEX(INDIRECT(weekSheet&amp;"$C:$C"), matchIdx), IF(winner="", "-", IF(winner=team, "-", 1)))))</f>
        <v>1</v>
      </c>
      <c r="F6" s="158">
        <f t="shared" si="39"/>
        <v>1</v>
      </c>
      <c r="G6" s="158" t="str">
        <f t="shared" si="40"/>
        <v>-</v>
      </c>
      <c r="H6" s="160" t="s">
        <v>706</v>
      </c>
      <c r="I6" s="160" t="s">
        <v>706</v>
      </c>
      <c r="J6" s="158" t="str">
        <f t="shared" ref="J6:J7" si="45">LET(team, SUBSTITUTE(J$1, " Wins", ""), IF(COUNTIF(INDIRECT("'"&amp;$A6&amp;"'!$C:$C"), team)&gt;0, 1, "-"))</f>
        <v>-</v>
      </c>
      <c r="K6" s="158">
        <f t="shared" ref="K6:K7" si="46">LET(team, SUBSTITUTE(K$1, " Losses", ""), weekSheet, "'"&amp;$A6&amp;"'!", matchIdx, MATCH("*"&amp;team&amp;"*", INDIRECT(weekSheet&amp;"$B:$B"), 0), IF(ISNA(matchIdx), "-", LET(winner, INDEX(INDIRECT(weekSheet&amp;"$C:$C"), matchIdx), IF(winner="", "-", IF(winner=team, "-", 1)))))</f>
        <v>1</v>
      </c>
      <c r="L6" s="160" t="s">
        <v>706</v>
      </c>
      <c r="M6" s="160" t="s">
        <v>706</v>
      </c>
      <c r="N6" s="160" t="s">
        <v>706</v>
      </c>
      <c r="O6" s="160" t="s">
        <v>706</v>
      </c>
      <c r="P6" s="160" t="s">
        <v>706</v>
      </c>
      <c r="Q6" s="160" t="s">
        <v>706</v>
      </c>
      <c r="R6" s="158" t="str">
        <f t="shared" ref="R6:R7" si="47">LET(team, SUBSTITUTE(R$1, " Wins", ""), IF(COUNTIF(INDIRECT("'"&amp;$A6&amp;"'!$C:$C"), team)&gt;0, 1, "-"))</f>
        <v>-</v>
      </c>
      <c r="S6" s="158">
        <f t="shared" ref="S6:S7" si="48">LET(team, SUBSTITUTE(S$1, " Losses", ""), weekSheet, "'"&amp;$A6&amp;"'!", matchIdx, MATCH("*"&amp;team&amp;"*", INDIRECT(weekSheet&amp;"$B:$B"), 0), IF(ISNA(matchIdx), "-", LET(winner, INDEX(INDIRECT(weekSheet&amp;"$C:$C"), matchIdx), IF(winner="", "-", IF(winner=team, "-", 1)))))</f>
        <v>1</v>
      </c>
      <c r="T6" s="158">
        <f t="array" ref="T6">LET(team, SUBSTITUTE(T$1, " Wins", ""), IF(COUNTIF(INDIRECT("'"&amp;$A6&amp;"'!$C:$C"), team)&gt;0, 1, "-"))</f>
        <v>1</v>
      </c>
      <c r="U6" s="158" t="str">
        <f t="array" ref="U6">LET(team, SUBSTITUTE(U$1, " Losses", ""), weekSheet, "'"&amp;$A6&amp;"'!", matchIdx, MATCH("*"&amp;team&amp;"*", INDIRECT(weekSheet&amp;"$B:$B"), 0), IF(ISNA(matchIdx), "-", LET(winner, INDEX(INDIRECT(weekSheet&amp;"$C:$C"), matchIdx), IF(winner="", "-", IF(winner=team, "-", 1)))))</f>
        <v>-</v>
      </c>
      <c r="V6" s="160" t="s">
        <v>706</v>
      </c>
      <c r="W6" s="160" t="s">
        <v>706</v>
      </c>
      <c r="X6" s="158">
        <f t="array" ref="X6">LET(team, SUBSTITUTE(X$1, " Wins", ""), IF(COUNTIF(INDIRECT("'"&amp;$A6&amp;"'!$C:$C"), team)&gt;0, 1, "-"))</f>
        <v>1</v>
      </c>
      <c r="Y6" s="158" t="str">
        <f t="array" ref="Y6">LET(team, SUBSTITUTE(Y$1, " Losses", ""), weekSheet, "'"&amp;$A6&amp;"'!", matchIdx, MATCH("*"&amp;team&amp;"*", INDIRECT(weekSheet&amp;"$B:$B"), 0), IF(ISNA(matchIdx), "-", LET(winner, INDEX(INDIRECT(weekSheet&amp;"$C:$C"), matchIdx), IF(winner="", "-", IF(winner=team, "-", 1)))))</f>
        <v>-</v>
      </c>
      <c r="Z6" s="158">
        <f t="shared" ref="Z6:Z7" si="49">LET(team, SUBSTITUTE(Z$1, " Wins", ""), IF(COUNTIF(INDIRECT("'"&amp;$A6&amp;"'!$C:$C"), team)&gt;0, 1, "-"))</f>
        <v>1</v>
      </c>
      <c r="AA6" s="158" t="str">
        <f t="shared" ref="AA6:AA7" si="50">LET(team, SUBSTITUTE(AA$1, " Losses", ""), weekSheet, "'"&amp;$A6&amp;"'!", matchIdx, MATCH("*"&amp;team&amp;"*", INDIRECT(weekSheet&amp;"$B:$B"), 0), IF(ISNA(matchIdx), "-", LET(winner, INDEX(INDIRECT(weekSheet&amp;"$C:$C"), matchIdx), IF(winner="", "-", IF(winner=team, "-", 1)))))</f>
        <v>-</v>
      </c>
      <c r="AB6" s="160" t="s">
        <v>706</v>
      </c>
      <c r="AC6" s="160" t="s">
        <v>706</v>
      </c>
      <c r="AD6" s="158">
        <f t="shared" si="41"/>
        <v>1</v>
      </c>
      <c r="AE6" s="158" t="str">
        <f t="shared" si="42"/>
        <v>-</v>
      </c>
      <c r="AF6" s="160" t="s">
        <v>706</v>
      </c>
      <c r="AG6" s="160" t="s">
        <v>706</v>
      </c>
      <c r="AH6" s="158" t="str">
        <f t="array" ref="AH6">LET(team, SUBSTITUTE(AH$1, " Wins", ""), IF(COUNTIF(INDIRECT("'"&amp;$A6&amp;"'!$C:$C"), team)&gt;0, 1, "-"))</f>
        <v>-</v>
      </c>
      <c r="AI6" s="158">
        <f t="array" ref="AI6">LET(team, SUBSTITUTE(AI$1, " Losses", ""), weekSheet, "'"&amp;$A6&amp;"'!", matchIdx, MATCH("*"&amp;team&amp;"*", INDIRECT(weekSheet&amp;"$B:$B"), 0), IF(ISNA(matchIdx), "-", LET(winner, INDEX(INDIRECT(weekSheet&amp;"$C:$C"), matchIdx), IF(winner="", "-", IF(winner=team, "-", 1)))))</f>
        <v>1</v>
      </c>
      <c r="AJ6" s="160" t="s">
        <v>706</v>
      </c>
      <c r="AK6" s="160" t="s">
        <v>706</v>
      </c>
      <c r="AL6" s="160" t="s">
        <v>706</v>
      </c>
      <c r="AM6" s="160" t="s">
        <v>706</v>
      </c>
      <c r="AN6" s="160" t="s">
        <v>706</v>
      </c>
      <c r="AO6" s="160" t="s">
        <v>706</v>
      </c>
      <c r="AP6" s="160" t="s">
        <v>706</v>
      </c>
      <c r="AQ6" s="160" t="s">
        <v>706</v>
      </c>
      <c r="AR6" s="45" t="str">
        <f t="array" ref="AR6">LET(team, SUBSTITUTE(AR$1, " Wins", ""), IF(COUNTIF(INDIRECT("'"&amp;$A6&amp;"'!$C:$C"), team)&gt;0, 1, "-"))</f>
        <v>-</v>
      </c>
      <c r="AS6" s="45">
        <f t="array" ref="AS6">LET(team, SUBSTITUTE(AS$1, " Losses", ""), weekSheet, "'"&amp;$A6&amp;"'!", matchIdx, MATCH("*"&amp;team&amp;"*", INDIRECT(weekSheet&amp;"$B:$B"), 0), IF(ISNA(matchIdx), "-", LET(winner, INDEX(INDIRECT(weekSheet&amp;"$C:$C"), matchIdx), IF(winner="", "-", IF(winner=team, "-", 1)))))</f>
        <v>1</v>
      </c>
      <c r="AT6" s="158" t="str">
        <f t="array" ref="AT6">LET(team, SUBSTITUTE(AT$1, " Wins", ""), IF(COUNTIF(INDIRECT("'"&amp;$A6&amp;"'!$C:$C"), team)&gt;0, 1, "-"))</f>
        <v>-</v>
      </c>
      <c r="AU6" s="158">
        <f t="array" ref="AU6">LET(team, SUBSTITUTE(AU$1, " Losses", ""), weekSheet, "'"&amp;$A6&amp;"'!", matchIdx, MATCH("*"&amp;team&amp;"*", INDIRECT(weekSheet&amp;"$B:$B"), 0), IF(ISNA(matchIdx), "-", LET(winner, INDEX(INDIRECT(weekSheet&amp;"$C:$C"), matchIdx), IF(winner="", "-", IF(winner=team, "-", 1)))))</f>
        <v>1</v>
      </c>
      <c r="AV6" s="160" t="s">
        <v>706</v>
      </c>
      <c r="AW6" s="160" t="s">
        <v>706</v>
      </c>
      <c r="AX6" s="45">
        <f t="shared" si="43"/>
        <v>1</v>
      </c>
      <c r="AY6" s="45" t="str">
        <f t="shared" si="44"/>
        <v>-</v>
      </c>
      <c r="AZ6" s="160" t="s">
        <v>706</v>
      </c>
      <c r="BA6" s="160" t="s">
        <v>706</v>
      </c>
      <c r="BB6" s="158">
        <f t="array" ref="BB6">LET(team, SUBSTITUTE(BB$1, " Wins", ""), IF(COUNTIF(INDIRECT("'"&amp;$A6&amp;"'!$C:$C"), team)&gt;0, 1, "-"))</f>
        <v>1</v>
      </c>
      <c r="BC6" s="158" t="str">
        <f t="array" ref="BC6">LET(team, SUBSTITUTE(BC$1, " Losses", ""), weekSheet, "'"&amp;$A6&amp;"'!", matchIdx, MATCH("*"&amp;team&amp;"*", INDIRECT(weekSheet&amp;"$B:$B"), 0), IF(ISNA(matchIdx), "-", LET(winner, INDEX(INDIRECT(weekSheet&amp;"$C:$C"), matchIdx), IF(winner="", "-", IF(winner=team, "-", 1)))))</f>
        <v>-</v>
      </c>
      <c r="BD6" s="45" t="str">
        <f t="shared" ref="BD6:BD7" si="51">LET(team, SUBSTITUTE(BD$1, " Wins", ""), IF(COUNTIF(INDIRECT("'"&amp;$A6&amp;"'!$C:$C"), team)&gt;0, 1, "-"))</f>
        <v>-</v>
      </c>
      <c r="BE6" s="45">
        <f t="shared" ref="BE6:BE7" si="52">LET(team, SUBSTITUTE(BE$1, " Losses", ""), weekSheet, "'"&amp;$A6&amp;"'!", matchIdx, MATCH("*"&amp;team&amp;"*", INDIRECT(weekSheet&amp;"$B:$B"), 0), IF(ISNA(matchIdx), "-", LET(winner, INDEX(INDIRECT(weekSheet&amp;"$C:$C"), matchIdx), IF(winner="", "-", IF(winner=team, "-", 1)))))</f>
        <v>1</v>
      </c>
      <c r="BF6" s="158" t="str">
        <f t="array" ref="BF6">LET(team, SUBSTITUTE(BF$1, " Wins", ""), IF(COUNTIF(INDIRECT("'"&amp;$A6&amp;"'!$C:$C"), team)&gt;0, 1, "-"))</f>
        <v>-</v>
      </c>
      <c r="BG6" s="158">
        <f t="array" ref="BG6">LET(team, SUBSTITUTE(BG$1, " Losses", ""), weekSheet, "'"&amp;$A6&amp;"'!", matchIdx, MATCH("*"&amp;team&amp;"*", INDIRECT(weekSheet&amp;"$B:$B"), 0), IF(ISNA(matchIdx), "-", LET(winner, INDEX(INDIRECT(weekSheet&amp;"$C:$C"), matchIdx), IF(winner="", "-", IF(winner=team, "-", 1)))))</f>
        <v>1</v>
      </c>
      <c r="BH6" s="160" t="s">
        <v>706</v>
      </c>
      <c r="BI6" s="160" t="s">
        <v>706</v>
      </c>
      <c r="BJ6" s="160" t="s">
        <v>706</v>
      </c>
      <c r="BK6" s="160" t="s">
        <v>706</v>
      </c>
      <c r="BL6" s="160" t="s">
        <v>706</v>
      </c>
      <c r="BM6" s="160" t="s">
        <v>706</v>
      </c>
    </row>
    <row r="7">
      <c r="A7" s="157" t="s">
        <v>156</v>
      </c>
      <c r="B7" s="160" t="s">
        <v>706</v>
      </c>
      <c r="C7" s="160" t="s">
        <v>706</v>
      </c>
      <c r="D7" s="160" t="s">
        <v>706</v>
      </c>
      <c r="E7" s="160" t="s">
        <v>706</v>
      </c>
      <c r="F7" s="160" t="s">
        <v>706</v>
      </c>
      <c r="G7" s="160" t="s">
        <v>706</v>
      </c>
      <c r="H7" s="158" t="str">
        <f t="array" ref="H7">LET(team, SUBSTITUTE(H$1, " Wins", ""), IF(COUNTIF(INDIRECT("'"&amp;$A7&amp;"'!$C:$C"), team)&gt;0, 1, "-"))</f>
        <v>-</v>
      </c>
      <c r="I7" s="158">
        <f t="array" ref="I7">LET(team, SUBSTITUTE(I$1, " Losses", ""), weekSheet, "'"&amp;$A7&amp;"'!", matchIdx, MATCH("*"&amp;team&amp;"*", INDIRECT(weekSheet&amp;"$B:$B"), 0), IF(ISNA(matchIdx), "-", LET(winner, INDEX(INDIRECT(weekSheet&amp;"$C:$C"), matchIdx), IF(winner="", "-", IF(winner=team, "-", 1)))))</f>
        <v>1</v>
      </c>
      <c r="J7" s="158">
        <f t="shared" si="45"/>
        <v>1</v>
      </c>
      <c r="K7" s="158" t="str">
        <f t="shared" si="46"/>
        <v>-</v>
      </c>
      <c r="L7" s="160" t="s">
        <v>706</v>
      </c>
      <c r="M7" s="160" t="s">
        <v>706</v>
      </c>
      <c r="N7" s="158">
        <f t="array" ref="N7">LET(team, SUBSTITUTE(N$1, " Wins", ""), IF(COUNTIF(INDIRECT("'"&amp;$A7&amp;"'!$C:$C"), team)&gt;0, 1, "-"))</f>
        <v>1</v>
      </c>
      <c r="O7" s="158" t="str">
        <f t="array" ref="O7">LET(team, SUBSTITUTE(O$1, " Losses", ""), weekSheet, "'"&amp;$A7&amp;"'!", matchIdx, MATCH("*"&amp;team&amp;"*", INDIRECT(weekSheet&amp;"$B:$B"), 0), IF(ISNA(matchIdx), "-", LET(winner, INDEX(INDIRECT(weekSheet&amp;"$C:$C"), matchIdx), IF(winner="", "-", IF(winner=team, "-", 1)))))</f>
        <v>-</v>
      </c>
      <c r="P7" s="160" t="s">
        <v>706</v>
      </c>
      <c r="Q7" s="160" t="s">
        <v>706</v>
      </c>
      <c r="R7" s="158">
        <f t="shared" si="47"/>
        <v>1</v>
      </c>
      <c r="S7" s="158" t="str">
        <f t="shared" si="48"/>
        <v>-</v>
      </c>
      <c r="T7" s="160" t="s">
        <v>706</v>
      </c>
      <c r="U7" s="160" t="s">
        <v>706</v>
      </c>
      <c r="V7" s="158" t="str">
        <f t="shared" ref="V7:V8" si="53">LET(team, SUBSTITUTE(V$1, " Wins", ""), IF(COUNTIF(INDIRECT("'"&amp;$A7&amp;"'!$C:$C"), team)&gt;0, 1, "-"))</f>
        <v>-</v>
      </c>
      <c r="W7" s="158">
        <f t="shared" ref="W7:W8" si="54">LET(team, SUBSTITUTE(W$1, " Losses", ""), weekSheet, "'"&amp;$A7&amp;"'!", matchIdx, MATCH("*"&amp;team&amp;"*", INDIRECT(weekSheet&amp;"$B:$B"), 0), IF(ISNA(matchIdx), "-", LET(winner, INDEX(INDIRECT(weekSheet&amp;"$C:$C"), matchIdx), IF(winner="", "-", IF(winner=team, "-", 1)))))</f>
        <v>1</v>
      </c>
      <c r="X7" s="160" t="s">
        <v>706</v>
      </c>
      <c r="Y7" s="160" t="s">
        <v>706</v>
      </c>
      <c r="Z7" s="45">
        <f t="shared" si="49"/>
        <v>1</v>
      </c>
      <c r="AA7" s="45" t="str">
        <f t="shared" si="50"/>
        <v>-</v>
      </c>
      <c r="AB7" s="160" t="s">
        <v>706</v>
      </c>
      <c r="AC7" s="160" t="s">
        <v>706</v>
      </c>
      <c r="AD7" s="160" t="s">
        <v>706</v>
      </c>
      <c r="AE7" s="160" t="s">
        <v>706</v>
      </c>
      <c r="AF7" s="158" t="str">
        <f t="array" ref="AF7">LET(team, SUBSTITUTE(AF$1, " Wins", ""), IF(COUNTIF(INDIRECT("'"&amp;$A7&amp;"'!$C:$C"), team)&gt;0, 1, "-"))</f>
        <v>-</v>
      </c>
      <c r="AG7" s="158">
        <f t="array" ref="AG7">LET(team, SUBSTITUTE(AG$1, " Losses", ""), weekSheet, "'"&amp;$A7&amp;"'!", matchIdx, MATCH("*"&amp;team&amp;"*", INDIRECT(weekSheet&amp;"$B:$B"), 0), IF(ISNA(matchIdx), "-", LET(winner, INDEX(INDIRECT(weekSheet&amp;"$C:$C"), matchIdx), IF(winner="", "-", IF(winner=team, "-", 1)))))</f>
        <v>1</v>
      </c>
      <c r="AH7" s="160" t="s">
        <v>706</v>
      </c>
      <c r="AI7" s="160" t="s">
        <v>706</v>
      </c>
      <c r="AJ7" s="160" t="s">
        <v>706</v>
      </c>
      <c r="AK7" s="160" t="s">
        <v>706</v>
      </c>
      <c r="AL7" s="158" t="str">
        <f t="array" ref="AL7">LET(team, SUBSTITUTE(AL$1, " Wins", ""), IF(COUNTIF(INDIRECT("'"&amp;$A7&amp;"'!$C:$C"), team)&gt;0, 1, "-"))</f>
        <v>-</v>
      </c>
      <c r="AM7" s="158">
        <f t="array" ref="AM7">LET(team, SUBSTITUTE(AM$1, " Losses", ""), weekSheet, "'"&amp;$A7&amp;"'!", matchIdx, MATCH("*"&amp;team&amp;"*", INDIRECT(weekSheet&amp;"$B:$B"), 0), IF(ISNA(matchIdx), "-", LET(winner, INDEX(INDIRECT(weekSheet&amp;"$C:$C"), matchIdx), IF(winner="", "-", IF(winner=team, "-", 1)))))</f>
        <v>1</v>
      </c>
      <c r="AN7" s="158" t="str">
        <f t="array" ref="AN7">LET(team, SUBSTITUTE(AN$1, " Wins", ""), IF(COUNTIF(INDIRECT("'"&amp;$A7&amp;"'!$C:$C"), team)&gt;0, 1, "-"))</f>
        <v>-</v>
      </c>
      <c r="AO7" s="158">
        <f t="array" ref="AO7">LET(team, SUBSTITUTE(AO$1, " Losses", ""), weekSheet, "'"&amp;$A7&amp;"'!", matchIdx, MATCH("*"&amp;team&amp;"*", INDIRECT(weekSheet&amp;"$B:$B"), 0), IF(ISNA(matchIdx), "-", LET(winner, INDEX(INDIRECT(weekSheet&amp;"$C:$C"), matchIdx), IF(winner="", "-", IF(winner=team, "-", 1)))))</f>
        <v>1</v>
      </c>
      <c r="AP7" s="158">
        <f t="shared" ref="AP7:AP8" si="55">LET(team, SUBSTITUTE(AP$1, " Wins", ""), IF(COUNTIF(INDIRECT("'"&amp;$A7&amp;"'!$C:$C"), team)&gt;0, 1, "-"))</f>
        <v>1</v>
      </c>
      <c r="AQ7" s="158" t="str">
        <f t="shared" ref="AQ7:AQ8" si="56">LET(team, SUBSTITUTE(AQ$1, " Losses", ""), weekSheet, "'"&amp;$A7&amp;"'!", matchIdx, MATCH("*"&amp;team&amp;"*", INDIRECT(weekSheet&amp;"$B:$B"), 0), IF(ISNA(matchIdx), "-", LET(winner, INDEX(INDIRECT(weekSheet&amp;"$C:$C"), matchIdx), IF(winner="", "-", IF(winner=team, "-", 1)))))</f>
        <v>-</v>
      </c>
      <c r="AR7" s="160" t="s">
        <v>706</v>
      </c>
      <c r="AS7" s="160" t="s">
        <v>706</v>
      </c>
      <c r="AT7" s="160" t="s">
        <v>706</v>
      </c>
      <c r="AU7" s="160" t="s">
        <v>706</v>
      </c>
      <c r="AV7" s="158">
        <f t="array" ref="AV7">LET(team, SUBSTITUTE(AV$1, " Wins", ""), IF(COUNTIF(INDIRECT("'"&amp;$A7&amp;"'!$C:$C"), team)&gt;0, 1, "-"))</f>
        <v>1</v>
      </c>
      <c r="AW7" s="158" t="str">
        <f t="array" ref="AW7">LET(team, SUBSTITUTE(AW$1, " Losses", ""), weekSheet, "'"&amp;$A7&amp;"'!", matchIdx, MATCH("*"&amp;team&amp;"*", INDIRECT(weekSheet&amp;"$B:$B"), 0), IF(ISNA(matchIdx), "-", LET(winner, INDEX(INDIRECT(weekSheet&amp;"$C:$C"), matchIdx), IF(winner="", "-", IF(winner=team, "-", 1)))))</f>
        <v>-</v>
      </c>
      <c r="AX7" s="160" t="s">
        <v>706</v>
      </c>
      <c r="AY7" s="160" t="s">
        <v>706</v>
      </c>
      <c r="AZ7" s="160" t="s">
        <v>706</v>
      </c>
      <c r="BA7" s="160" t="s">
        <v>706</v>
      </c>
      <c r="BB7" s="160" t="s">
        <v>706</v>
      </c>
      <c r="BC7" s="160" t="s">
        <v>706</v>
      </c>
      <c r="BD7" s="158">
        <f t="shared" si="51"/>
        <v>1</v>
      </c>
      <c r="BE7" s="158" t="str">
        <f t="shared" si="52"/>
        <v>-</v>
      </c>
      <c r="BF7" s="160" t="s">
        <v>706</v>
      </c>
      <c r="BG7" s="160" t="s">
        <v>706</v>
      </c>
      <c r="BH7" s="158">
        <f t="array" ref="BH7">LET(team, SUBSTITUTE(BH$1, " Wins", ""), IF(COUNTIF(INDIRECT("'"&amp;$A7&amp;"'!$C:$C"), team)&gt;0, 1, "-"))</f>
        <v>1</v>
      </c>
      <c r="BI7" s="158" t="str">
        <f t="array" ref="BI7">LET(team, SUBSTITUTE(BI$1, " Losses", ""), weekSheet, "'"&amp;$A7&amp;"'!", matchIdx, MATCH("*"&amp;team&amp;"*", INDIRECT(weekSheet&amp;"$B:$B"), 0), IF(ISNA(matchIdx), "-", LET(winner, INDEX(INDIRECT(weekSheet&amp;"$C:$C"), matchIdx), IF(winner="", "-", IF(winner=team, "-", 1)))))</f>
        <v>-</v>
      </c>
      <c r="BJ7" s="160" t="s">
        <v>706</v>
      </c>
      <c r="BK7" s="160" t="s">
        <v>706</v>
      </c>
      <c r="BL7" s="158" t="str">
        <f t="array" ref="BL7">LET(team, SUBSTITUTE(BL$1, " Wins", ""), IF(COUNTIF(INDIRECT("'"&amp;$A7&amp;"'!$C:$C"), team)&gt;0, 1, "-"))</f>
        <v>-</v>
      </c>
      <c r="BM7" s="158">
        <f t="array" ref="BM7">LET(team, SUBSTITUTE(BM$1, " Losses", ""), weekSheet, "'"&amp;$A7&amp;"'!", matchIdx, MATCH("*"&amp;team&amp;"*", INDIRECT(weekSheet&amp;"$B:$B"), 0), IF(ISNA(matchIdx), "-", LET(winner, INDEX(INDIRECT(weekSheet&amp;"$C:$C"), matchIdx), IF(winner="", "-", IF(winner=team, "-", 1)))))</f>
        <v>1</v>
      </c>
    </row>
    <row r="8">
      <c r="A8" s="157" t="s">
        <v>159</v>
      </c>
      <c r="B8" s="158" t="str">
        <f t="shared" ref="B8:B9" si="57">LET(team, SUBSTITUTE(B$1, " Wins", ""), IF(COUNTIF(INDIRECT("'"&amp;$A8&amp;"'!$C:$C"), team)&gt;0, 1, "-"))</f>
        <v>-</v>
      </c>
      <c r="C8" s="158">
        <f t="shared" ref="C8:C9" si="58">LET(team, SUBSTITUTE(C$1, " Losses", ""), weekSheet, "'"&amp;$A8&amp;"'!", matchIdx, MATCH("*"&amp;team&amp;"*", INDIRECT(weekSheet&amp;"$B:$B"), 0), IF(ISNA(matchIdx), "-", LET(winner, INDEX(INDIRECT(weekSheet&amp;"$C:$C"), matchIdx), IF(winner="", "-", IF(winner=team, "-", 1)))))</f>
        <v>1</v>
      </c>
      <c r="D8" s="160" t="s">
        <v>706</v>
      </c>
      <c r="E8" s="160" t="s">
        <v>706</v>
      </c>
      <c r="F8" s="158">
        <f t="array" ref="F8">LET(team, SUBSTITUTE(F$1, " Wins", ""), IF(COUNTIF(INDIRECT("'"&amp;$A8&amp;"'!$C:$C"), team)&gt;0, 1, "-"))</f>
        <v>1</v>
      </c>
      <c r="G8" s="158" t="str">
        <f t="array" ref="G8">LET(team, SUBSTITUTE(G$1, " Losses", ""), weekSheet, "'"&amp;$A8&amp;"'!", matchIdx, MATCH("*"&amp;team&amp;"*", INDIRECT(weekSheet&amp;"$B:$B"), 0), IF(ISNA(matchIdx), "-", LET(winner, INDEX(INDIRECT(weekSheet&amp;"$C:$C"), matchIdx), IF(winner="", "-", IF(winner=team, "-", 1)))))</f>
        <v>-</v>
      </c>
      <c r="H8" s="160" t="s">
        <v>706</v>
      </c>
      <c r="I8" s="160" t="s">
        <v>706</v>
      </c>
      <c r="J8" s="160" t="s">
        <v>706</v>
      </c>
      <c r="K8" s="160" t="s">
        <v>706</v>
      </c>
      <c r="L8" s="158">
        <f t="array" ref="L8">LET(team, SUBSTITUTE(L$1, " Wins", ""), IF(COUNTIF(INDIRECT("'"&amp;$A8&amp;"'!$C:$C"), team)&gt;0, 1, "-"))</f>
        <v>1</v>
      </c>
      <c r="M8" s="158" t="str">
        <f t="array" ref="M8">LET(team, SUBSTITUTE(M$1, " Losses", ""), weekSheet, "'"&amp;$A8&amp;"'!", matchIdx, MATCH("*"&amp;team&amp;"*", INDIRECT(weekSheet&amp;"$B:$B"), 0), IF(ISNA(matchIdx), "-", LET(winner, INDEX(INDIRECT(weekSheet&amp;"$C:$C"), matchIdx), IF(winner="", "-", IF(winner=team, "-", 1)))))</f>
        <v>-</v>
      </c>
      <c r="N8" s="160" t="s">
        <v>706</v>
      </c>
      <c r="O8" s="160" t="s">
        <v>706</v>
      </c>
      <c r="P8" s="158">
        <f t="shared" ref="P8:P9" si="59">LET(team, SUBSTITUTE(P$1, " Wins", ""), IF(COUNTIF(INDIRECT("'"&amp;$A8&amp;"'!$C:$C"), team)&gt;0, 1, "-"))</f>
        <v>1</v>
      </c>
      <c r="Q8" s="158" t="str">
        <f t="shared" ref="Q8:Q9" si="60">LET(team, SUBSTITUTE(Q$1, " Losses", ""), weekSheet, "'"&amp;$A8&amp;"'!", matchIdx, MATCH("*"&amp;team&amp;"*", INDIRECT(weekSheet&amp;"$B:$B"), 0), IF(ISNA(matchIdx), "-", LET(winner, INDEX(INDIRECT(weekSheet&amp;"$C:$C"), matchIdx), IF(winner="", "-", IF(winner=team, "-", 1)))))</f>
        <v>-</v>
      </c>
      <c r="R8" s="160" t="s">
        <v>706</v>
      </c>
      <c r="S8" s="160" t="s">
        <v>706</v>
      </c>
      <c r="T8" s="158">
        <f t="shared" ref="T8:T10" si="61">LET(team, SUBSTITUTE(T$1, " Wins", ""), IF(COUNTIF(INDIRECT("'"&amp;$A8&amp;"'!$C:$C"), team)&gt;0, 1, "-"))</f>
        <v>1</v>
      </c>
      <c r="U8" s="158" t="str">
        <f t="shared" ref="U8:U10" si="62">LET(team, SUBSTITUTE(U$1, " Losses", ""), weekSheet, "'"&amp;$A8&amp;"'!", matchIdx, MATCH("*"&amp;team&amp;"*", INDIRECT(weekSheet&amp;"$B:$B"), 0), IF(ISNA(matchIdx), "-", LET(winner, INDEX(INDIRECT(weekSheet&amp;"$C:$C"), matchIdx), IF(winner="", "-", IF(winner=team, "-", 1)))))</f>
        <v>-</v>
      </c>
      <c r="V8" s="158" t="str">
        <f t="shared" si="53"/>
        <v>-</v>
      </c>
      <c r="W8" s="158">
        <f t="shared" si="54"/>
        <v>1</v>
      </c>
      <c r="X8" s="158">
        <f t="array" ref="X8">LET(team, SUBSTITUTE(X$1, " Wins", ""), IF(COUNTIF(INDIRECT("'"&amp;$A8&amp;"'!$C:$C"), team)&gt;0, 1, "-"))</f>
        <v>1</v>
      </c>
      <c r="Y8" s="158" t="str">
        <f t="array" ref="Y8">LET(team, SUBSTITUTE(Y$1, " Losses", ""), weekSheet, "'"&amp;$A8&amp;"'!", matchIdx, MATCH("*"&amp;team&amp;"*", INDIRECT(weekSheet&amp;"$B:$B"), 0), IF(ISNA(matchIdx), "-", LET(winner, INDEX(INDIRECT(weekSheet&amp;"$C:$C"), matchIdx), IF(winner="", "-", IF(winner=team, "-", 1)))))</f>
        <v>-</v>
      </c>
      <c r="Z8" s="160" t="s">
        <v>706</v>
      </c>
      <c r="AA8" s="160" t="s">
        <v>706</v>
      </c>
      <c r="AB8" s="160" t="s">
        <v>706</v>
      </c>
      <c r="AC8" s="160" t="s">
        <v>706</v>
      </c>
      <c r="AD8" s="158" t="str">
        <f t="shared" ref="AD8:AD9" si="63">LET(team, SUBSTITUTE(AD$1, " Wins", ""), IF(COUNTIF(INDIRECT("'"&amp;$A8&amp;"'!$C:$C"), team)&gt;0, 1, "-"))</f>
        <v>-</v>
      </c>
      <c r="AE8" s="158">
        <f t="shared" ref="AE8:AE9" si="64">LET(team, SUBSTITUTE(AE$1, " Losses", ""), weekSheet, "'"&amp;$A8&amp;"'!", matchIdx, MATCH("*"&amp;team&amp;"*", INDIRECT(weekSheet&amp;"$B:$B"), 0), IF(ISNA(matchIdx), "-", LET(winner, INDEX(INDIRECT(weekSheet&amp;"$C:$C"), matchIdx), IF(winner="", "-", IF(winner=team, "-", 1)))))</f>
        <v>1</v>
      </c>
      <c r="AF8" s="160" t="s">
        <v>706</v>
      </c>
      <c r="AG8" s="160" t="s">
        <v>706</v>
      </c>
      <c r="AH8" s="158">
        <f t="array" ref="AH8">LET(team, SUBSTITUTE(AH$1, " Wins", ""), IF(COUNTIF(INDIRECT("'"&amp;$A8&amp;"'!$C:$C"), team)&gt;0, 1, "-"))</f>
        <v>1</v>
      </c>
      <c r="AI8" s="158" t="str">
        <f t="array" ref="AI8">LET(team, SUBSTITUTE(AI$1, " Losses", ""), weekSheet, "'"&amp;$A8&amp;"'!", matchIdx, MATCH("*"&amp;team&amp;"*", INDIRECT(weekSheet&amp;"$B:$B"), 0), IF(ISNA(matchIdx), "-", LET(winner, INDEX(INDIRECT(weekSheet&amp;"$C:$C"), matchIdx), IF(winner="", "-", IF(winner=team, "-", 1)))))</f>
        <v>-</v>
      </c>
      <c r="AJ8" s="158">
        <f t="array" ref="AJ8">LET(team, SUBSTITUTE(AJ$1, " Wins", ""), IF(COUNTIF(INDIRECT("'"&amp;$A8&amp;"'!$C:$C"), team)&gt;0, 1, "-"))</f>
        <v>1</v>
      </c>
      <c r="AK8" s="158" t="str">
        <f t="array" ref="AK8">LET(team, SUBSTITUTE(AK$1, " Losses", ""), weekSheet, "'"&amp;$A8&amp;"'!", matchIdx, MATCH("*"&amp;team&amp;"*", INDIRECT(weekSheet&amp;"$B:$B"), 0), IF(ISNA(matchIdx), "-", LET(winner, INDEX(INDIRECT(weekSheet&amp;"$C:$C"), matchIdx), IF(winner="", "-", IF(winner=team, "-", 1)))))</f>
        <v>-</v>
      </c>
      <c r="AL8" s="160" t="s">
        <v>706</v>
      </c>
      <c r="AM8" s="160" t="s">
        <v>706</v>
      </c>
      <c r="AN8" s="160" t="s">
        <v>706</v>
      </c>
      <c r="AO8" s="160" t="s">
        <v>706</v>
      </c>
      <c r="AP8" s="45">
        <f t="shared" si="55"/>
        <v>1</v>
      </c>
      <c r="AQ8" s="45" t="str">
        <f t="shared" si="56"/>
        <v>-</v>
      </c>
      <c r="AR8" s="160" t="s">
        <v>706</v>
      </c>
      <c r="AS8" s="160" t="s">
        <v>706</v>
      </c>
      <c r="AT8" s="158" t="str">
        <f t="array" ref="AT8">LET(team, SUBSTITUTE(AT$1, " Wins", ""), IF(COUNTIF(INDIRECT("'"&amp;$A8&amp;"'!$C:$C"), team)&gt;0, 1, "-"))</f>
        <v>-</v>
      </c>
      <c r="AU8" s="158">
        <f t="array" ref="AU8">LET(team, SUBSTITUTE(AU$1, " Losses", ""), weekSheet, "'"&amp;$A8&amp;"'!", matchIdx, MATCH("*"&amp;team&amp;"*", INDIRECT(weekSheet&amp;"$B:$B"), 0), IF(ISNA(matchIdx), "-", LET(winner, INDEX(INDIRECT(weekSheet&amp;"$C:$C"), matchIdx), IF(winner="", "-", IF(winner=team, "-", 1)))))</f>
        <v>1</v>
      </c>
      <c r="AV8" s="160" t="s">
        <v>706</v>
      </c>
      <c r="AW8" s="160" t="s">
        <v>706</v>
      </c>
      <c r="AX8" s="160" t="s">
        <v>706</v>
      </c>
      <c r="AY8" s="160" t="s">
        <v>706</v>
      </c>
      <c r="AZ8" s="158">
        <f t="array" ref="AZ8">LET(team, SUBSTITUTE(AZ$1, " Wins", ""), IF(COUNTIF(INDIRECT("'"&amp;$A8&amp;"'!$C:$C"), team)&gt;0, 1, "-"))</f>
        <v>1</v>
      </c>
      <c r="BA8" s="158" t="str">
        <f t="array" ref="BA8">LET(team, SUBSTITUTE(BA$1, " Losses", ""), weekSheet, "'"&amp;$A8&amp;"'!", matchIdx, MATCH("*"&amp;team&amp;"*", INDIRECT(weekSheet&amp;"$B:$B"), 0), IF(ISNA(matchIdx), "-", LET(winner, INDEX(INDIRECT(weekSheet&amp;"$C:$C"), matchIdx), IF(winner="", "-", IF(winner=team, "-", 1)))))</f>
        <v>-</v>
      </c>
      <c r="BB8" s="160" t="s">
        <v>706</v>
      </c>
      <c r="BC8" s="160" t="s">
        <v>706</v>
      </c>
      <c r="BD8" s="160" t="s">
        <v>706</v>
      </c>
      <c r="BE8" s="160" t="s">
        <v>706</v>
      </c>
      <c r="BF8" s="158" t="str">
        <f t="array" ref="BF8">LET(team, SUBSTITUTE(BF$1, " Wins", ""), IF(COUNTIF(INDIRECT("'"&amp;$A8&amp;"'!$C:$C"), team)&gt;0, 1, "-"))</f>
        <v>-</v>
      </c>
      <c r="BG8" s="158">
        <f t="array" ref="BG8">LET(team, SUBSTITUTE(BG$1, " Losses", ""), weekSheet, "'"&amp;$A8&amp;"'!", matchIdx, MATCH("*"&amp;team&amp;"*", INDIRECT(weekSheet&amp;"$B:$B"), 0), IF(ISNA(matchIdx), "-", LET(winner, INDEX(INDIRECT(weekSheet&amp;"$C:$C"), matchIdx), IF(winner="", "-", IF(winner=team, "-", 1)))))</f>
        <v>1</v>
      </c>
      <c r="BH8" s="160" t="s">
        <v>706</v>
      </c>
      <c r="BI8" s="160" t="s">
        <v>706</v>
      </c>
      <c r="BJ8" s="160" t="s">
        <v>706</v>
      </c>
      <c r="BK8" s="160" t="s">
        <v>706</v>
      </c>
      <c r="BL8" s="160" t="s">
        <v>706</v>
      </c>
      <c r="BM8" s="160" t="s">
        <v>706</v>
      </c>
    </row>
    <row r="9">
      <c r="A9" s="157" t="s">
        <v>164</v>
      </c>
      <c r="B9" s="158" t="str">
        <f t="shared" si="57"/>
        <v>-</v>
      </c>
      <c r="C9" s="158">
        <f t="shared" si="58"/>
        <v>1</v>
      </c>
      <c r="D9" s="45">
        <f t="shared" ref="D9:D10" si="65">LET(team, SUBSTITUTE(D$1, " Wins", ""), IF(COUNTIF(INDIRECT("'"&amp;$A9&amp;"'!$C:$C"), team)&gt;0, 1, "-"))</f>
        <v>1</v>
      </c>
      <c r="E9" s="45" t="str">
        <f t="shared" ref="E9:E10" si="66">LET(team, SUBSTITUTE(E$1, " Losses", ""), weekSheet, "'"&amp;$A9&amp;"'!", matchIdx, MATCH("*"&amp;team&amp;"*", INDIRECT(weekSheet&amp;"$B:$B"), 0), IF(ISNA(matchIdx), "-", LET(winner, INDEX(INDIRECT(weekSheet&amp;"$C:$C"), matchIdx), IF(winner="", "-", IF(winner=team, "-", 1)))))</f>
        <v>-</v>
      </c>
      <c r="F9" s="160" t="s">
        <v>706</v>
      </c>
      <c r="G9" s="160" t="s">
        <v>706</v>
      </c>
      <c r="H9" s="158" t="str">
        <f t="array" ref="H9">LET(team, SUBSTITUTE(H$1, " Wins", ""), IF(COUNTIF(INDIRECT("'"&amp;$A9&amp;"'!$C:$C"), team)&gt;0, 1, "-"))</f>
        <v>-</v>
      </c>
      <c r="I9" s="158">
        <f t="array" ref="I9">LET(team, SUBSTITUTE(I$1, " Losses", ""), weekSheet, "'"&amp;$A9&amp;"'!", matchIdx, MATCH("*"&amp;team&amp;"*", INDIRECT(weekSheet&amp;"$B:$B"), 0), IF(ISNA(matchIdx), "-", LET(winner, INDEX(INDIRECT(weekSheet&amp;"$C:$C"), matchIdx), IF(winner="", "-", IF(winner=team, "-", 1)))))</f>
        <v>1</v>
      </c>
      <c r="J9" s="160" t="s">
        <v>706</v>
      </c>
      <c r="K9" s="160" t="s">
        <v>706</v>
      </c>
      <c r="L9" s="160" t="s">
        <v>706</v>
      </c>
      <c r="M9" s="160" t="s">
        <v>706</v>
      </c>
      <c r="N9" s="160" t="s">
        <v>706</v>
      </c>
      <c r="O9" s="160" t="s">
        <v>706</v>
      </c>
      <c r="P9" s="158">
        <f t="shared" si="59"/>
        <v>1</v>
      </c>
      <c r="Q9" s="158" t="str">
        <f t="shared" si="60"/>
        <v>-</v>
      </c>
      <c r="R9" s="158" t="str">
        <f t="array" ref="R9">LET(team, SUBSTITUTE(R$1, " Wins", ""), IF(COUNTIF(INDIRECT("'"&amp;$A9&amp;"'!$C:$C"), team)&gt;0, 1, "-"))</f>
        <v>-</v>
      </c>
      <c r="S9" s="158">
        <f t="array" ref="S9">LET(team, SUBSTITUTE(S$1, " Losses", ""), weekSheet, "'"&amp;$A9&amp;"'!", matchIdx, MATCH("*"&amp;team&amp;"*", INDIRECT(weekSheet&amp;"$B:$B"), 0), IF(ISNA(matchIdx), "-", LET(winner, INDEX(INDIRECT(weekSheet&amp;"$C:$C"), matchIdx), IF(winner="", "-", IF(winner=team, "-", 1)))))</f>
        <v>1</v>
      </c>
      <c r="T9" s="158" t="str">
        <f t="shared" si="61"/>
        <v>-</v>
      </c>
      <c r="U9" s="158">
        <f t="shared" si="62"/>
        <v>1</v>
      </c>
      <c r="V9" s="160" t="s">
        <v>706</v>
      </c>
      <c r="W9" s="160" t="s">
        <v>706</v>
      </c>
      <c r="X9" s="160" t="s">
        <v>706</v>
      </c>
      <c r="Y9" s="160" t="s">
        <v>706</v>
      </c>
      <c r="Z9" s="160" t="s">
        <v>706</v>
      </c>
      <c r="AA9" s="160" t="s">
        <v>706</v>
      </c>
      <c r="AB9" s="160" t="s">
        <v>706</v>
      </c>
      <c r="AC9" s="160" t="s">
        <v>706</v>
      </c>
      <c r="AD9" s="158" t="str">
        <f t="shared" si="63"/>
        <v>-</v>
      </c>
      <c r="AE9" s="158">
        <f t="shared" si="64"/>
        <v>1</v>
      </c>
      <c r="AF9" s="158" t="str">
        <f t="array" ref="AF9">LET(team, SUBSTITUTE(AF$1, " Wins", ""), IF(COUNTIF(INDIRECT("'"&amp;$A9&amp;"'!$C:$C"), team)&gt;0, 1, "-"))</f>
        <v>-</v>
      </c>
      <c r="AG9" s="158">
        <f t="array" ref="AG9">LET(team, SUBSTITUTE(AG$1, " Losses", ""), weekSheet, "'"&amp;$A9&amp;"'!", matchIdx, MATCH("*"&amp;team&amp;"*", INDIRECT(weekSheet&amp;"$B:$B"), 0), IF(ISNA(matchIdx), "-", LET(winner, INDEX(INDIRECT(weekSheet&amp;"$C:$C"), matchIdx), IF(winner="", "-", IF(winner=team, "-", 1)))))</f>
        <v>1</v>
      </c>
      <c r="AH9" s="160" t="s">
        <v>706</v>
      </c>
      <c r="AI9" s="160" t="s">
        <v>706</v>
      </c>
      <c r="AJ9" s="160" t="s">
        <v>706</v>
      </c>
      <c r="AK9" s="160" t="s">
        <v>706</v>
      </c>
      <c r="AL9" s="160" t="s">
        <v>706</v>
      </c>
      <c r="AM9" s="160" t="s">
        <v>706</v>
      </c>
      <c r="AN9" s="45">
        <f t="shared" ref="AN9:AN10" si="67">LET(team, SUBSTITUTE(AN$1, " Wins", ""), IF(COUNTIF(INDIRECT("'"&amp;$A9&amp;"'!$C:$C"), team)&gt;0, 1, "-"))</f>
        <v>1</v>
      </c>
      <c r="AO9" s="45" t="str">
        <f t="shared" ref="AO9:AO10" si="68">LET(team, SUBSTITUTE(AO$1, " Losses", ""), weekSheet, "'"&amp;$A9&amp;"'!", matchIdx, MATCH("*"&amp;team&amp;"*", INDIRECT(weekSheet&amp;"$B:$B"), 0), IF(ISNA(matchIdx), "-", LET(winner, INDEX(INDIRECT(weekSheet&amp;"$C:$C"), matchIdx), IF(winner="", "-", IF(winner=team, "-", 1)))))</f>
        <v>-</v>
      </c>
      <c r="AP9" s="160" t="s">
        <v>706</v>
      </c>
      <c r="AQ9" s="160" t="s">
        <v>706</v>
      </c>
      <c r="AR9" s="158">
        <f t="array" ref="AR9">LET(team, SUBSTITUTE(AR$1, " Wins", ""), IF(COUNTIF(INDIRECT("'"&amp;$A9&amp;"'!$C:$C"), team)&gt;0, 1, "-"))</f>
        <v>1</v>
      </c>
      <c r="AS9" s="158" t="str">
        <f t="array" ref="AS9">LET(team, SUBSTITUTE(AS$1, " Losses", ""), weekSheet, "'"&amp;$A9&amp;"'!", matchIdx, MATCH("*"&amp;team&amp;"*", INDIRECT(weekSheet&amp;"$B:$B"), 0), IF(ISNA(matchIdx), "-", LET(winner, INDEX(INDIRECT(weekSheet&amp;"$C:$C"), matchIdx), IF(winner="", "-", IF(winner=team, "-", 1)))))</f>
        <v>-</v>
      </c>
      <c r="AT9" s="160" t="s">
        <v>706</v>
      </c>
      <c r="AU9" s="160" t="s">
        <v>706</v>
      </c>
      <c r="AV9" s="160" t="s">
        <v>706</v>
      </c>
      <c r="AW9" s="160" t="s">
        <v>706</v>
      </c>
      <c r="AX9" s="160" t="s">
        <v>706</v>
      </c>
      <c r="AY9" s="160" t="s">
        <v>706</v>
      </c>
      <c r="AZ9" s="160" t="s">
        <v>706</v>
      </c>
      <c r="BA9" s="160" t="s">
        <v>706</v>
      </c>
      <c r="BB9" s="158" t="str">
        <f t="array" ref="BB9">LET(team, SUBSTITUTE(BB$1, " Wins", ""), IF(COUNTIF(INDIRECT("'"&amp;$A9&amp;"'!$C:$C"), team)&gt;0, 1, "-"))</f>
        <v>-</v>
      </c>
      <c r="BC9" s="158">
        <f t="array" ref="BC9">LET(team, SUBSTITUTE(BC$1, " Losses", ""), weekSheet, "'"&amp;$A9&amp;"'!", matchIdx, MATCH("*"&amp;team&amp;"*", INDIRECT(weekSheet&amp;"$B:$B"), 0), IF(ISNA(matchIdx), "-", LET(winner, INDEX(INDIRECT(weekSheet&amp;"$C:$C"), matchIdx), IF(winner="", "-", IF(winner=team, "-", 1)))))</f>
        <v>1</v>
      </c>
      <c r="BD9" s="158" t="str">
        <f t="array" ref="BD9">LET(team, SUBSTITUTE(BD$1, " Wins", ""), IF(COUNTIF(INDIRECT("'"&amp;$A9&amp;"'!$C:$C"), team)&gt;0, 1, "-"))</f>
        <v>-</v>
      </c>
      <c r="BE9" s="158">
        <f t="array" ref="BE9">LET(team, SUBSTITUTE(BE$1, " Losses", ""), weekSheet, "'"&amp;$A9&amp;"'!", matchIdx, MATCH("*"&amp;team&amp;"*", INDIRECT(weekSheet&amp;"$B:$B"), 0), IF(ISNA(matchIdx), "-", LET(winner, INDEX(INDIRECT(weekSheet&amp;"$C:$C"), matchIdx), IF(winner="", "-", IF(winner=team, "-", 1)))))</f>
        <v>1</v>
      </c>
      <c r="BF9" s="160" t="s">
        <v>706</v>
      </c>
      <c r="BG9" s="160" t="s">
        <v>706</v>
      </c>
      <c r="BH9" s="160" t="s">
        <v>706</v>
      </c>
      <c r="BI9" s="160" t="s">
        <v>706</v>
      </c>
      <c r="BJ9" s="158" t="str">
        <f t="array" ref="BJ9">LET(team, SUBSTITUTE(BJ$1, " Wins", ""), IF(COUNTIF(INDIRECT("'"&amp;$A9&amp;"'!$C:$C"), team)&gt;0, 1, "-"))</f>
        <v>-</v>
      </c>
      <c r="BK9" s="158">
        <f t="array" ref="BK9">LET(team, SUBSTITUTE(BK$1, " Losses", ""), weekSheet, "'"&amp;$A9&amp;"'!", matchIdx, MATCH("*"&amp;team&amp;"*", INDIRECT(weekSheet&amp;"$B:$B"), 0), IF(ISNA(matchIdx), "-", LET(winner, INDEX(INDIRECT(weekSheet&amp;"$C:$C"), matchIdx), IF(winner="", "-", IF(winner=team, "-", 1)))))</f>
        <v>1</v>
      </c>
      <c r="BL9" s="158" t="str">
        <f t="array" ref="BL9">LET(team, SUBSTITUTE(BL$1, " Wins", ""), IF(COUNTIF(INDIRECT("'"&amp;$A9&amp;"'!$C:$C"), team)&gt;0, 1, "-"))</f>
        <v>-</v>
      </c>
      <c r="BM9" s="158">
        <f t="array" ref="BM9">LET(team, SUBSTITUTE(BM$1, " Losses", ""), weekSheet, "'"&amp;$A9&amp;"'!", matchIdx, MATCH("*"&amp;team&amp;"*", INDIRECT(weekSheet&amp;"$B:$B"), 0), IF(ISNA(matchIdx), "-", LET(winner, INDEX(INDIRECT(weekSheet&amp;"$C:$C"), matchIdx), IF(winner="", "-", IF(winner=team, "-", 1)))))</f>
        <v>1</v>
      </c>
    </row>
    <row r="10">
      <c r="A10" s="157" t="s">
        <v>170</v>
      </c>
      <c r="B10" s="160" t="s">
        <v>706</v>
      </c>
      <c r="C10" s="160" t="s">
        <v>706</v>
      </c>
      <c r="D10" s="158" t="str">
        <f t="shared" si="65"/>
        <v>-</v>
      </c>
      <c r="E10" s="158">
        <f t="shared" si="66"/>
        <v>1</v>
      </c>
      <c r="F10" s="158">
        <f t="array" ref="F10">LET(team, SUBSTITUTE(F$1, " Wins", ""), IF(COUNTIF(INDIRECT("'"&amp;$A10&amp;"'!$C:$C"), team)&gt;0, 1, "-"))</f>
        <v>1</v>
      </c>
      <c r="G10" s="158" t="str">
        <f t="array" ref="G10">LET(team, SUBSTITUTE(G$1, " Losses", ""), weekSheet, "'"&amp;$A10&amp;"'!", matchIdx, MATCH("*"&amp;team&amp;"*", INDIRECT(weekSheet&amp;"$B:$B"), 0), IF(ISNA(matchIdx), "-", LET(winner, INDEX(INDIRECT(weekSheet&amp;"$C:$C"), matchIdx), IF(winner="", "-", IF(winner=team, "-", 1)))))</f>
        <v>-</v>
      </c>
      <c r="H10" s="160" t="s">
        <v>706</v>
      </c>
      <c r="I10" s="160" t="s">
        <v>706</v>
      </c>
      <c r="J10" s="158">
        <f t="shared" ref="J10:J11" si="69">LET(team, SUBSTITUTE(J$1, " Wins", ""), IF(COUNTIF(INDIRECT("'"&amp;$A10&amp;"'!$C:$C"), team)&gt;0, 1, "-"))</f>
        <v>1</v>
      </c>
      <c r="K10" s="158" t="str">
        <f t="shared" ref="K10:K11" si="70">LET(team, SUBSTITUTE(K$1, " Losses", ""), weekSheet, "'"&amp;$A10&amp;"'!", matchIdx, MATCH("*"&amp;team&amp;"*", INDIRECT(weekSheet&amp;"$B:$B"), 0), IF(ISNA(matchIdx), "-", LET(winner, INDEX(INDIRECT(weekSheet&amp;"$C:$C"), matchIdx), IF(winner="", "-", IF(winner=team, "-", 1)))))</f>
        <v>-</v>
      </c>
      <c r="L10" s="160" t="s">
        <v>706</v>
      </c>
      <c r="M10" s="160" t="s">
        <v>706</v>
      </c>
      <c r="N10" s="45" t="str">
        <f t="array" ref="N10">LET(team, SUBSTITUTE(N$1, " Wins", ""), IF(COUNTIF(INDIRECT("'"&amp;$A10&amp;"'!$C:$C"), team)&gt;0, 1, "-"))</f>
        <v>-</v>
      </c>
      <c r="O10" s="45">
        <f t="array" ref="O10">LET(team, SUBSTITUTE(O$1, " Losses", ""), weekSheet, "'"&amp;$A10&amp;"'!", matchIdx, MATCH("*"&amp;team&amp;"*", INDIRECT(weekSheet&amp;"$B:$B"), 0), IF(ISNA(matchIdx), "-", LET(winner, INDEX(INDIRECT(weekSheet&amp;"$C:$C"), matchIdx), IF(winner="", "-", IF(winner=team, "-", 1)))))</f>
        <v>1</v>
      </c>
      <c r="P10" s="160" t="s">
        <v>706</v>
      </c>
      <c r="Q10" s="160" t="s">
        <v>706</v>
      </c>
      <c r="R10" s="160" t="s">
        <v>706</v>
      </c>
      <c r="S10" s="160" t="s">
        <v>706</v>
      </c>
      <c r="T10" s="45" t="str">
        <f t="shared" si="61"/>
        <v>-</v>
      </c>
      <c r="U10" s="45">
        <f t="shared" si="62"/>
        <v>1</v>
      </c>
      <c r="V10" s="160" t="s">
        <v>706</v>
      </c>
      <c r="W10" s="160" t="s">
        <v>706</v>
      </c>
      <c r="X10" s="158" t="str">
        <f t="array" ref="X10">LET(team, SUBSTITUTE(X$1, " Wins", ""), IF(COUNTIF(INDIRECT("'"&amp;$A10&amp;"'!$C:$C"), team)&gt;0, 1, "-"))</f>
        <v>-</v>
      </c>
      <c r="Y10" s="158">
        <f t="array" ref="Y10">LET(team, SUBSTITUTE(Y$1, " Losses", ""), weekSheet, "'"&amp;$A10&amp;"'!", matchIdx, MATCH("*"&amp;team&amp;"*", INDIRECT(weekSheet&amp;"$B:$B"), 0), IF(ISNA(matchIdx), "-", LET(winner, INDEX(INDIRECT(weekSheet&amp;"$C:$C"), matchIdx), IF(winner="", "-", IF(winner=team, "-", 1)))))</f>
        <v>1</v>
      </c>
      <c r="Z10" s="158" t="str">
        <f t="shared" ref="Z10:Z11" si="71">LET(team, SUBSTITUTE(Z$1, " Wins", ""), IF(COUNTIF(INDIRECT("'"&amp;$A10&amp;"'!$C:$C"), team)&gt;0, 1, "-"))</f>
        <v>-</v>
      </c>
      <c r="AA10" s="158">
        <f t="shared" ref="AA10:AA11" si="72">LET(team, SUBSTITUTE(AA$1, " Losses", ""), weekSheet, "'"&amp;$A10&amp;"'!", matchIdx, MATCH("*"&amp;team&amp;"*", INDIRECT(weekSheet&amp;"$B:$B"), 0), IF(ISNA(matchIdx), "-", LET(winner, INDEX(INDIRECT(weekSheet&amp;"$C:$C"), matchIdx), IF(winner="", "-", IF(winner=team, "-", 1)))))</f>
        <v>1</v>
      </c>
      <c r="AB10" s="158" t="str">
        <f t="shared" ref="AB10:AB12" si="73">LET(team, SUBSTITUTE(AB$1, " Wins", ""), IF(COUNTIF(INDIRECT("'"&amp;$A10&amp;"'!$C:$C"), team)&gt;0, 1, "-"))</f>
        <v>-</v>
      </c>
      <c r="AC10" s="158">
        <f t="shared" ref="AC10:AC12" si="74">LET(team, SUBSTITUTE(AC$1, " Losses", ""), weekSheet, "'"&amp;$A10&amp;"'!", matchIdx, MATCH("*"&amp;team&amp;"*", INDIRECT(weekSheet&amp;"$B:$B"), 0), IF(ISNA(matchIdx), "-", LET(winner, INDEX(INDIRECT(weekSheet&amp;"$C:$C"), matchIdx), IF(winner="", "-", IF(winner=team, "-", 1)))))</f>
        <v>1</v>
      </c>
      <c r="AD10" s="160" t="s">
        <v>706</v>
      </c>
      <c r="AE10" s="160" t="s">
        <v>706</v>
      </c>
      <c r="AF10" s="160" t="s">
        <v>706</v>
      </c>
      <c r="AG10" s="160" t="s">
        <v>706</v>
      </c>
      <c r="AH10" s="160" t="s">
        <v>706</v>
      </c>
      <c r="AI10" s="160" t="s">
        <v>706</v>
      </c>
      <c r="AJ10" s="158">
        <f t="shared" ref="AJ10:AJ11" si="75">LET(team, SUBSTITUTE(AJ$1, " Wins", ""), IF(COUNTIF(INDIRECT("'"&amp;$A10&amp;"'!$C:$C"), team)&gt;0, 1, "-"))</f>
        <v>1</v>
      </c>
      <c r="AK10" s="158" t="str">
        <f t="shared" ref="AK10:AK11" si="76">LET(team, SUBSTITUTE(AK$1, " Losses", ""), weekSheet, "'"&amp;$A10&amp;"'!", matchIdx, MATCH("*"&amp;team&amp;"*", INDIRECT(weekSheet&amp;"$B:$B"), 0), IF(ISNA(matchIdx), "-", LET(winner, INDEX(INDIRECT(weekSheet&amp;"$C:$C"), matchIdx), IF(winner="", "-", IF(winner=team, "-", 1)))))</f>
        <v>-</v>
      </c>
      <c r="AL10" s="160" t="s">
        <v>706</v>
      </c>
      <c r="AM10" s="160" t="s">
        <v>706</v>
      </c>
      <c r="AN10" s="158" t="str">
        <f t="shared" si="67"/>
        <v>-</v>
      </c>
      <c r="AO10" s="158">
        <f t="shared" si="68"/>
        <v>1</v>
      </c>
      <c r="AP10" s="158" t="str">
        <f t="array" ref="AP10">LET(team, SUBSTITUTE(AP$1, " Wins", ""), IF(COUNTIF(INDIRECT("'"&amp;$A10&amp;"'!$C:$C"), team)&gt;0, 1, "-"))</f>
        <v>-</v>
      </c>
      <c r="AQ10" s="158">
        <f t="array" ref="AQ10">LET(team, SUBSTITUTE(AQ$1, " Losses", ""), weekSheet, "'"&amp;$A10&amp;"'!", matchIdx, MATCH("*"&amp;team&amp;"*", INDIRECT(weekSheet&amp;"$B:$B"), 0), IF(ISNA(matchIdx), "-", LET(winner, INDEX(INDIRECT(weekSheet&amp;"$C:$C"), matchIdx), IF(winner="", "-", IF(winner=team, "-", 1)))))</f>
        <v>1</v>
      </c>
      <c r="AR10" s="160" t="s">
        <v>706</v>
      </c>
      <c r="AS10" s="160" t="s">
        <v>706</v>
      </c>
      <c r="AT10" s="158" t="str">
        <f t="array" ref="AT10">LET(team, SUBSTITUTE(AT$1, " Wins", ""), IF(COUNTIF(INDIRECT("'"&amp;$A10&amp;"'!$C:$C"), team)&gt;0, 1, "-"))</f>
        <v>-</v>
      </c>
      <c r="AU10" s="158">
        <f t="array" ref="AU10">LET(team, SUBSTITUTE(AU$1, " Losses", ""), weekSheet, "'"&amp;$A10&amp;"'!", matchIdx, MATCH("*"&amp;team&amp;"*", INDIRECT(weekSheet&amp;"$B:$B"), 0), IF(ISNA(matchIdx), "-", LET(winner, INDEX(INDIRECT(weekSheet&amp;"$C:$C"), matchIdx), IF(winner="", "-", IF(winner=team, "-", 1)))))</f>
        <v>1</v>
      </c>
      <c r="AV10" s="160" t="s">
        <v>706</v>
      </c>
      <c r="AW10" s="160" t="s">
        <v>706</v>
      </c>
      <c r="AX10" s="158">
        <f t="array" ref="AX10">LET(team, SUBSTITUTE(AX$1, " Wins", ""), IF(COUNTIF(INDIRECT("'"&amp;$A10&amp;"'!$C:$C"), team)&gt;0, 1, "-"))</f>
        <v>1</v>
      </c>
      <c r="AY10" s="158" t="str">
        <f t="array" ref="AY10">LET(team, SUBSTITUTE(AY$1, " Losses", ""), weekSheet, "'"&amp;$A10&amp;"'!", matchIdx, MATCH("*"&amp;team&amp;"*", INDIRECT(weekSheet&amp;"$B:$B"), 0), IF(ISNA(matchIdx), "-", LET(winner, INDEX(INDIRECT(weekSheet&amp;"$C:$C"), matchIdx), IF(winner="", "-", IF(winner=team, "-", 1)))))</f>
        <v>-</v>
      </c>
      <c r="AZ10" s="158" t="str">
        <f t="array" ref="AZ10">LET(team, SUBSTITUTE(AZ$1, " Wins", ""), IF(COUNTIF(INDIRECT("'"&amp;$A10&amp;"'!$C:$C"), team)&gt;0, 1, "-"))</f>
        <v>-</v>
      </c>
      <c r="BA10" s="158">
        <f t="array" ref="BA10">LET(team, SUBSTITUTE(BA$1, " Losses", ""), weekSheet, "'"&amp;$A10&amp;"'!", matchIdx, MATCH("*"&amp;team&amp;"*", INDIRECT(weekSheet&amp;"$B:$B"), 0), IF(ISNA(matchIdx), "-", LET(winner, INDEX(INDIRECT(weekSheet&amp;"$C:$C"), matchIdx), IF(winner="", "-", IF(winner=team, "-", 1)))))</f>
        <v>1</v>
      </c>
      <c r="BB10" s="160" t="s">
        <v>706</v>
      </c>
      <c r="BC10" s="160" t="s">
        <v>706</v>
      </c>
      <c r="BD10" s="160" t="s">
        <v>706</v>
      </c>
      <c r="BE10" s="160" t="s">
        <v>706</v>
      </c>
      <c r="BF10" s="45" t="str">
        <f t="array" ref="BF10">LET(team, SUBSTITUTE(BF$1, " Wins", ""), IF(COUNTIF(INDIRECT("'"&amp;$A10&amp;"'!$C:$C"), team)&gt;0, 1, "-"))</f>
        <v>-</v>
      </c>
      <c r="BG10" s="45">
        <f t="array" ref="BG10">LET(team, SUBSTITUTE(BG$1, " Losses", ""), weekSheet, "'"&amp;$A10&amp;"'!", matchIdx, MATCH("*"&amp;team&amp;"*", INDIRECT(weekSheet&amp;"$B:$B"), 0), IF(ISNA(matchIdx), "-", LET(winner, INDEX(INDIRECT(weekSheet&amp;"$C:$C"), matchIdx), IF(winner="", "-", IF(winner=team, "-", 1)))))</f>
        <v>1</v>
      </c>
      <c r="BH10" s="160" t="s">
        <v>706</v>
      </c>
      <c r="BI10" s="160" t="s">
        <v>706</v>
      </c>
      <c r="BJ10" s="160" t="s">
        <v>706</v>
      </c>
      <c r="BK10" s="160" t="s">
        <v>706</v>
      </c>
      <c r="BL10" s="160" t="s">
        <v>706</v>
      </c>
      <c r="BM10" s="160" t="s">
        <v>706</v>
      </c>
    </row>
    <row r="11">
      <c r="A11" s="157" t="s">
        <v>175</v>
      </c>
      <c r="B11" s="45">
        <f t="array" ref="B11">LET(team, SUBSTITUTE(B$1, " Wins", ""), IF(COUNTIF(INDIRECT("'"&amp;$A11&amp;"'!$C:$C"), team)&gt;0, 1, "-"))</f>
        <v>1</v>
      </c>
      <c r="C11" s="45" t="str">
        <f t="array" ref="C11">LET(team, SUBSTITUTE(C$1, " Losses", ""), weekSheet, "'"&amp;$A11&amp;"'!", matchIdx, MATCH("*"&amp;team&amp;"*", INDIRECT(weekSheet&amp;"$B:$B"), 0), IF(ISNA(matchIdx), "-", LET(winner, INDEX(INDIRECT(weekSheet&amp;"$C:$C"), matchIdx), IF(winner="", "-", IF(winner=team, "-", 1)))))</f>
        <v>-</v>
      </c>
      <c r="D11" s="160" t="s">
        <v>706</v>
      </c>
      <c r="E11" s="160" t="s">
        <v>706</v>
      </c>
      <c r="F11" s="160" t="s">
        <v>706</v>
      </c>
      <c r="G11" s="160" t="s">
        <v>706</v>
      </c>
      <c r="H11" s="158" t="str">
        <f t="array" ref="H11">LET(team, SUBSTITUTE(H$1, " Wins", ""), IF(COUNTIF(INDIRECT("'"&amp;$A11&amp;"'!$C:$C"), team)&gt;0, 1, "-"))</f>
        <v>-</v>
      </c>
      <c r="I11" s="158">
        <f t="array" ref="I11">LET(team, SUBSTITUTE(I$1, " Losses", ""), weekSheet, "'"&amp;$A11&amp;"'!", matchIdx, MATCH("*"&amp;team&amp;"*", INDIRECT(weekSheet&amp;"$B:$B"), 0), IF(ISNA(matchIdx), "-", LET(winner, INDEX(INDIRECT(weekSheet&amp;"$C:$C"), matchIdx), IF(winner="", "-", IF(winner=team, "-", 1)))))</f>
        <v>1</v>
      </c>
      <c r="J11" s="158" t="str">
        <f t="shared" si="69"/>
        <v>-</v>
      </c>
      <c r="K11" s="158">
        <f t="shared" si="70"/>
        <v>1</v>
      </c>
      <c r="L11" s="158">
        <f t="shared" ref="L11:L12" si="77">LET(team, SUBSTITUTE(L$1, " Wins", ""), IF(COUNTIF(INDIRECT("'"&amp;$A11&amp;"'!$C:$C"), team)&gt;0, 1, "-"))</f>
        <v>1</v>
      </c>
      <c r="M11" s="158" t="str">
        <f t="shared" ref="M11:M12" si="78">LET(team, SUBSTITUTE(M$1, " Losses", ""), weekSheet, "'"&amp;$A11&amp;"'!", matchIdx, MATCH("*"&amp;team&amp;"*", INDIRECT(weekSheet&amp;"$B:$B"), 0), IF(ISNA(matchIdx), "-", LET(winner, INDEX(INDIRECT(weekSheet&amp;"$C:$C"), matchIdx), IF(winner="", "-", IF(winner=team, "-", 1)))))</f>
        <v>-</v>
      </c>
      <c r="N11" s="160" t="s">
        <v>706</v>
      </c>
      <c r="O11" s="160" t="s">
        <v>706</v>
      </c>
      <c r="P11" s="158">
        <f t="array" ref="P11">LET(team, SUBSTITUTE(P$1, " Wins", ""), IF(COUNTIF(INDIRECT("'"&amp;$A11&amp;"'!$C:$C"), team)&gt;0, 1, "-"))</f>
        <v>1</v>
      </c>
      <c r="Q11" s="158" t="str">
        <f t="array" ref="Q11">LET(team, SUBSTITUTE(Q$1, " Losses", ""), weekSheet, "'"&amp;$A11&amp;"'!", matchIdx, MATCH("*"&amp;team&amp;"*", INDIRECT(weekSheet&amp;"$B:$B"), 0), IF(ISNA(matchIdx), "-", LET(winner, INDEX(INDIRECT(weekSheet&amp;"$C:$C"), matchIdx), IF(winner="", "-", IF(winner=team, "-", 1)))))</f>
        <v>-</v>
      </c>
      <c r="R11" s="160" t="s">
        <v>706</v>
      </c>
      <c r="S11" s="160" t="s">
        <v>706</v>
      </c>
      <c r="T11" s="160" t="s">
        <v>706</v>
      </c>
      <c r="U11" s="160" t="s">
        <v>706</v>
      </c>
      <c r="V11" s="158" t="str">
        <f t="shared" ref="V11:V12" si="79">LET(team, SUBSTITUTE(V$1, " Wins", ""), IF(COUNTIF(INDIRECT("'"&amp;$A11&amp;"'!$C:$C"), team)&gt;0, 1, "-"))</f>
        <v>-</v>
      </c>
      <c r="W11" s="158">
        <f t="shared" ref="W11:W12" si="80">LET(team, SUBSTITUTE(W$1, " Losses", ""), weekSheet, "'"&amp;$A11&amp;"'!", matchIdx, MATCH("*"&amp;team&amp;"*", INDIRECT(weekSheet&amp;"$B:$B"), 0), IF(ISNA(matchIdx), "-", LET(winner, INDEX(INDIRECT(weekSheet&amp;"$C:$C"), matchIdx), IF(winner="", "-", IF(winner=team, "-", 1)))))</f>
        <v>1</v>
      </c>
      <c r="X11" s="160" t="s">
        <v>706</v>
      </c>
      <c r="Y11" s="160" t="s">
        <v>706</v>
      </c>
      <c r="Z11" s="158" t="str">
        <f t="shared" si="71"/>
        <v>-</v>
      </c>
      <c r="AA11" s="158">
        <f t="shared" si="72"/>
        <v>1</v>
      </c>
      <c r="AB11" s="158">
        <f t="shared" si="73"/>
        <v>1</v>
      </c>
      <c r="AC11" s="158" t="str">
        <f t="shared" si="74"/>
        <v>-</v>
      </c>
      <c r="AD11" s="160" t="s">
        <v>706</v>
      </c>
      <c r="AE11" s="160" t="s">
        <v>706</v>
      </c>
      <c r="AF11" s="160" t="s">
        <v>706</v>
      </c>
      <c r="AG11" s="160" t="s">
        <v>706</v>
      </c>
      <c r="AH11" s="158" t="str">
        <f t="array" ref="AH11">LET(team, SUBSTITUTE(AH$1, " Wins", ""), IF(COUNTIF(INDIRECT("'"&amp;$A11&amp;"'!$C:$C"), team)&gt;0, 1, "-"))</f>
        <v>-</v>
      </c>
      <c r="AI11" s="158">
        <f t="array" ref="AI11">LET(team, SUBSTITUTE(AI$1, " Losses", ""), weekSheet, "'"&amp;$A11&amp;"'!", matchIdx, MATCH("*"&amp;team&amp;"*", INDIRECT(weekSheet&amp;"$B:$B"), 0), IF(ISNA(matchIdx), "-", LET(winner, INDEX(INDIRECT(weekSheet&amp;"$C:$C"), matchIdx), IF(winner="", "-", IF(winner=team, "-", 1)))))</f>
        <v>1</v>
      </c>
      <c r="AJ11" s="158" t="str">
        <f t="shared" si="75"/>
        <v>-</v>
      </c>
      <c r="AK11" s="158">
        <f t="shared" si="76"/>
        <v>1</v>
      </c>
      <c r="AL11" s="45" t="str">
        <f t="array" ref="AL11">LET(team, SUBSTITUTE(AL$1, " Wins", ""), IF(COUNTIF(INDIRECT("'"&amp;$A11&amp;"'!$C:$C"), team)&gt;0, 1, "-"))</f>
        <v>-</v>
      </c>
      <c r="AM11" s="45">
        <f t="array" ref="AM11">LET(team, SUBSTITUTE(AM$1, " Losses", ""), weekSheet, "'"&amp;$A11&amp;"'!", matchIdx, MATCH("*"&amp;team&amp;"*", INDIRECT(weekSheet&amp;"$B:$B"), 0), IF(ISNA(matchIdx), "-", LET(winner, INDEX(INDIRECT(weekSheet&amp;"$C:$C"), matchIdx), IF(winner="", "-", IF(winner=team, "-", 1)))))</f>
        <v>1</v>
      </c>
      <c r="AN11" s="160" t="s">
        <v>706</v>
      </c>
      <c r="AO11" s="160" t="s">
        <v>706</v>
      </c>
      <c r="AP11" s="160" t="s">
        <v>706</v>
      </c>
      <c r="AQ11" s="160" t="s">
        <v>706</v>
      </c>
      <c r="AR11" s="160" t="s">
        <v>706</v>
      </c>
      <c r="AS11" s="160" t="s">
        <v>706</v>
      </c>
      <c r="AT11" s="160" t="s">
        <v>706</v>
      </c>
      <c r="AU11" s="160" t="s">
        <v>706</v>
      </c>
      <c r="AV11" s="158">
        <f t="array" ref="AV11">LET(team, SUBSTITUTE(AV$1, " Wins", ""), IF(COUNTIF(INDIRECT("'"&amp;$A11&amp;"'!$C:$C"), team)&gt;0, 1, "-"))</f>
        <v>1</v>
      </c>
      <c r="AW11" s="158" t="str">
        <f t="array" ref="AW11">LET(team, SUBSTITUTE(AW$1, " Losses", ""), weekSheet, "'"&amp;$A11&amp;"'!", matchIdx, MATCH("*"&amp;team&amp;"*", INDIRECT(weekSheet&amp;"$B:$B"), 0), IF(ISNA(matchIdx), "-", LET(winner, INDEX(INDIRECT(weekSheet&amp;"$C:$C"), matchIdx), IF(winner="", "-", IF(winner=team, "-", 1)))))</f>
        <v>-</v>
      </c>
      <c r="AX11" s="160" t="s">
        <v>706</v>
      </c>
      <c r="AY11" s="160" t="s">
        <v>706</v>
      </c>
      <c r="AZ11" s="160" t="s">
        <v>706</v>
      </c>
      <c r="BA11" s="160" t="s">
        <v>706</v>
      </c>
      <c r="BB11" s="158" t="str">
        <f t="shared" ref="BB11:BB12" si="81">LET(team, SUBSTITUTE(BB$1, " Wins", ""), IF(COUNTIF(INDIRECT("'"&amp;$A11&amp;"'!$C:$C"), team)&gt;0, 1, "-"))</f>
        <v>-</v>
      </c>
      <c r="BC11" s="158">
        <f t="shared" ref="BC11:BC12" si="82">LET(team, SUBSTITUTE(BC$1, " Losses", ""), weekSheet, "'"&amp;$A11&amp;"'!", matchIdx, MATCH("*"&amp;team&amp;"*", INDIRECT(weekSheet&amp;"$B:$B"), 0), IF(ISNA(matchIdx), "-", LET(winner, INDEX(INDIRECT(weekSheet&amp;"$C:$C"), matchIdx), IF(winner="", "-", IF(winner=team, "-", 1)))))</f>
        <v>1</v>
      </c>
      <c r="BD11" s="160" t="s">
        <v>706</v>
      </c>
      <c r="BE11" s="160" t="s">
        <v>706</v>
      </c>
      <c r="BF11" s="160" t="s">
        <v>706</v>
      </c>
      <c r="BG11" s="160" t="s">
        <v>706</v>
      </c>
      <c r="BH11" s="160" t="s">
        <v>706</v>
      </c>
      <c r="BI11" s="160" t="s">
        <v>706</v>
      </c>
      <c r="BJ11" s="160" t="s">
        <v>706</v>
      </c>
      <c r="BK11" s="160" t="s">
        <v>706</v>
      </c>
      <c r="BL11" s="158" t="str">
        <f t="array" ref="BL11">LET(team, SUBSTITUTE(BL$1, " Wins", ""), IF(COUNTIF(INDIRECT("'"&amp;$A11&amp;"'!$C:$C"), team)&gt;0, 1, "-"))</f>
        <v>-</v>
      </c>
      <c r="BM11" s="158">
        <f t="array" ref="BM11">LET(team, SUBSTITUTE(BM$1, " Losses", ""), weekSheet, "'"&amp;$A11&amp;"'!", matchIdx, MATCH("*"&amp;team&amp;"*", INDIRECT(weekSheet&amp;"$B:$B"), 0), IF(ISNA(matchIdx), "-", LET(winner, INDEX(INDIRECT(weekSheet&amp;"$C:$C"), matchIdx), IF(winner="", "-", IF(winner=team, "-", 1)))))</f>
        <v>1</v>
      </c>
    </row>
    <row r="12">
      <c r="A12" s="157" t="s">
        <v>179</v>
      </c>
      <c r="B12" s="160" t="s">
        <v>706</v>
      </c>
      <c r="C12" s="160" t="s">
        <v>706</v>
      </c>
      <c r="D12" s="158" t="str">
        <f t="shared" ref="D12:D13" si="83">LET(team, SUBSTITUTE(D$1, " Wins", ""), IF(COUNTIF(INDIRECT("'"&amp;$A12&amp;"'!$C:$C"), team)&gt;0, 1, "-"))</f>
        <v>-</v>
      </c>
      <c r="E12" s="158">
        <f t="shared" ref="E12:E13" si="84">LET(team, SUBSTITUTE(E$1, " Losses", ""), weekSheet, "'"&amp;$A12&amp;"'!", matchIdx, MATCH("*"&amp;team&amp;"*", INDIRECT(weekSheet&amp;"$B:$B"), 0), IF(ISNA(matchIdx), "-", LET(winner, INDEX(INDIRECT(weekSheet&amp;"$C:$C"), matchIdx), IF(winner="", "-", IF(winner=team, "-", 1)))))</f>
        <v>1</v>
      </c>
      <c r="F12" s="160" t="s">
        <v>706</v>
      </c>
      <c r="G12" s="160" t="s">
        <v>706</v>
      </c>
      <c r="H12" s="160" t="s">
        <v>706</v>
      </c>
      <c r="I12" s="160" t="s">
        <v>706</v>
      </c>
      <c r="J12" s="160" t="s">
        <v>706</v>
      </c>
      <c r="K12" s="160" t="s">
        <v>706</v>
      </c>
      <c r="L12" s="158" t="str">
        <f t="shared" si="77"/>
        <v>-</v>
      </c>
      <c r="M12" s="158">
        <f t="shared" si="78"/>
        <v>1</v>
      </c>
      <c r="N12" s="158" t="str">
        <f t="shared" ref="N12:N13" si="85">LET(team, SUBSTITUTE(N$1, " Wins", ""), IF(COUNTIF(INDIRECT("'"&amp;$A12&amp;"'!$C:$C"), team)&gt;0, 1, "-"))</f>
        <v>-</v>
      </c>
      <c r="O12" s="158">
        <f t="shared" ref="O12:O13" si="86">LET(team, SUBSTITUTE(O$1, " Losses", ""), weekSheet, "'"&amp;$A12&amp;"'!", matchIdx, MATCH("*"&amp;team&amp;"*", INDIRECT(weekSheet&amp;"$B:$B"), 0), IF(ISNA(matchIdx), "-", LET(winner, INDEX(INDIRECT(weekSheet&amp;"$C:$C"), matchIdx), IF(winner="", "-", IF(winner=team, "-", 1)))))</f>
        <v>1</v>
      </c>
      <c r="P12" s="160" t="s">
        <v>706</v>
      </c>
      <c r="Q12" s="160" t="s">
        <v>706</v>
      </c>
      <c r="R12" s="158" t="str">
        <f t="shared" ref="R12:R13" si="87">LET(team, SUBSTITUTE(R$1, " Wins", ""), IF(COUNTIF(INDIRECT("'"&amp;$A12&amp;"'!$C:$C"), team)&gt;0, 1, "-"))</f>
        <v>-</v>
      </c>
      <c r="S12" s="158">
        <f t="shared" ref="S12:S13" si="88">LET(team, SUBSTITUTE(S$1, " Losses", ""), weekSheet, "'"&amp;$A12&amp;"'!", matchIdx, MATCH("*"&amp;team&amp;"*", INDIRECT(weekSheet&amp;"$B:$B"), 0), IF(ISNA(matchIdx), "-", LET(winner, INDEX(INDIRECT(weekSheet&amp;"$C:$C"), matchIdx), IF(winner="", "-", IF(winner=team, "-", 1)))))</f>
        <v>1</v>
      </c>
      <c r="T12" s="160" t="s">
        <v>706</v>
      </c>
      <c r="U12" s="160" t="s">
        <v>706</v>
      </c>
      <c r="V12" s="158" t="str">
        <f t="shared" si="79"/>
        <v>-</v>
      </c>
      <c r="W12" s="158">
        <f t="shared" si="80"/>
        <v>1</v>
      </c>
      <c r="X12" s="158" t="str">
        <f t="array" ref="X12">LET(team, SUBSTITUTE(X$1, " Wins", ""), IF(COUNTIF(INDIRECT("'"&amp;$A12&amp;"'!$C:$C"), team)&gt;0, 1, "-"))</f>
        <v>-</v>
      </c>
      <c r="Y12" s="158">
        <f t="array" ref="Y12">LET(team, SUBSTITUTE(Y$1, " Losses", ""), weekSheet, "'"&amp;$A12&amp;"'!", matchIdx, MATCH("*"&amp;team&amp;"*", INDIRECT(weekSheet&amp;"$B:$B"), 0), IF(ISNA(matchIdx), "-", LET(winner, INDEX(INDIRECT(weekSheet&amp;"$C:$C"), matchIdx), IF(winner="", "-", IF(winner=team, "-", 1)))))</f>
        <v>1</v>
      </c>
      <c r="Z12" s="160" t="s">
        <v>706</v>
      </c>
      <c r="AA12" s="160" t="s">
        <v>706</v>
      </c>
      <c r="AB12" s="158" t="str">
        <f t="shared" si="73"/>
        <v>-</v>
      </c>
      <c r="AC12" s="158">
        <f t="shared" si="74"/>
        <v>1</v>
      </c>
      <c r="AD12" s="45" t="str">
        <f t="array" ref="AD12">LET(team, SUBSTITUTE(AD$1, " Wins", ""), IF(COUNTIF(INDIRECT("'"&amp;$A12&amp;"'!$C:$C"), team)&gt;0, 1, "-"))</f>
        <v>-</v>
      </c>
      <c r="AE12" s="45">
        <f t="array" ref="AE12">LET(team, SUBSTITUTE(AE$1, " Losses", ""), weekSheet, "'"&amp;$A12&amp;"'!", matchIdx, MATCH("*"&amp;team&amp;"*", INDIRECT(weekSheet&amp;"$B:$B"), 0), IF(ISNA(matchIdx), "-", LET(winner, INDEX(INDIRECT(weekSheet&amp;"$C:$C"), matchIdx), IF(winner="", "-", IF(winner=team, "-", 1)))))</f>
        <v>1</v>
      </c>
      <c r="AF12" s="158" t="str">
        <f t="shared" ref="AF12:AF13" si="89">LET(team, SUBSTITUTE(AF$1, " Wins", ""), IF(COUNTIF(INDIRECT("'"&amp;$A12&amp;"'!$C:$C"), team)&gt;0, 1, "-"))</f>
        <v>-</v>
      </c>
      <c r="AG12" s="158">
        <f t="shared" ref="AG12:AG13" si="90">LET(team, SUBSTITUTE(AG$1, " Losses", ""), weekSheet, "'"&amp;$A12&amp;"'!", matchIdx, MATCH("*"&amp;team&amp;"*", INDIRECT(weekSheet&amp;"$B:$B"), 0), IF(ISNA(matchIdx), "-", LET(winner, INDEX(INDIRECT(weekSheet&amp;"$C:$C"), matchIdx), IF(winner="", "-", IF(winner=team, "-", 1)))))</f>
        <v>1</v>
      </c>
      <c r="AH12" s="160" t="s">
        <v>706</v>
      </c>
      <c r="AI12" s="160" t="s">
        <v>706</v>
      </c>
      <c r="AJ12" s="160" t="s">
        <v>706</v>
      </c>
      <c r="AK12" s="160" t="s">
        <v>706</v>
      </c>
      <c r="AL12" s="160" t="s">
        <v>706</v>
      </c>
      <c r="AM12" s="160" t="s">
        <v>706</v>
      </c>
      <c r="AN12" s="45" t="str">
        <f t="array" ref="AN12">LET(team, SUBSTITUTE(AN$1, " Wins", ""), IF(COUNTIF(INDIRECT("'"&amp;$A12&amp;"'!$C:$C"), team)&gt;0, 1, "-"))</f>
        <v>-</v>
      </c>
      <c r="AO12" s="45">
        <f t="array" ref="AO12">LET(team, SUBSTITUTE(AO$1, " Losses", ""), weekSheet, "'"&amp;$A12&amp;"'!", matchIdx, MATCH("*"&amp;team&amp;"*", INDIRECT(weekSheet&amp;"$B:$B"), 0), IF(ISNA(matchIdx), "-", LET(winner, INDEX(INDIRECT(weekSheet&amp;"$C:$C"), matchIdx), IF(winner="", "-", IF(winner=team, "-", 1)))))</f>
        <v>1</v>
      </c>
      <c r="AP12" s="160" t="s">
        <v>706</v>
      </c>
      <c r="AQ12" s="160" t="s">
        <v>706</v>
      </c>
      <c r="AR12" s="160" t="s">
        <v>706</v>
      </c>
      <c r="AS12" s="160" t="s">
        <v>706</v>
      </c>
      <c r="AT12" s="160" t="s">
        <v>706</v>
      </c>
      <c r="AU12" s="160" t="s">
        <v>706</v>
      </c>
      <c r="AV12" s="160" t="s">
        <v>706</v>
      </c>
      <c r="AW12" s="160" t="s">
        <v>706</v>
      </c>
      <c r="AX12" s="160" t="s">
        <v>706</v>
      </c>
      <c r="AY12" s="160" t="s">
        <v>706</v>
      </c>
      <c r="AZ12" s="160" t="s">
        <v>706</v>
      </c>
      <c r="BA12" s="160" t="s">
        <v>706</v>
      </c>
      <c r="BB12" s="158">
        <f t="shared" si="81"/>
        <v>1</v>
      </c>
      <c r="BC12" s="158" t="str">
        <f t="shared" si="82"/>
        <v>-</v>
      </c>
      <c r="BD12" s="160" t="s">
        <v>706</v>
      </c>
      <c r="BE12" s="160" t="s">
        <v>706</v>
      </c>
      <c r="BF12" s="45">
        <f t="array" ref="BF12">LET(team, SUBSTITUTE(BF$1, " Wins", ""), IF(COUNTIF(INDIRECT("'"&amp;$A12&amp;"'!$C:$C"), team)&gt;0, 1, "-"))</f>
        <v>1</v>
      </c>
      <c r="BG12" s="45" t="str">
        <f t="array" ref="BG12">LET(team, SUBSTITUTE(BG$1, " Losses", ""), weekSheet, "'"&amp;$A12&amp;"'!", matchIdx, MATCH("*"&amp;team&amp;"*", INDIRECT(weekSheet&amp;"$B:$B"), 0), IF(ISNA(matchIdx), "-", LET(winner, INDEX(INDIRECT(weekSheet&amp;"$C:$C"), matchIdx), IF(winner="", "-", IF(winner=team, "-", 1)))))</f>
        <v>-</v>
      </c>
      <c r="BH12" s="45" t="str">
        <f t="shared" ref="BH12:BH13" si="91">LET(team, SUBSTITUTE(BH$1, " Wins", ""), IF(COUNTIF(INDIRECT("'"&amp;$A12&amp;"'!$C:$C"), team)&gt;0, 1, "-"))</f>
        <v>-</v>
      </c>
      <c r="BI12" s="45">
        <f t="shared" ref="BI12:BI13" si="92">LET(team, SUBSTITUTE(BI$1, " Losses", ""), weekSheet, "'"&amp;$A12&amp;"'!", matchIdx, MATCH("*"&amp;team&amp;"*", INDIRECT(weekSheet&amp;"$B:$B"), 0), IF(ISNA(matchIdx), "-", LET(winner, INDEX(INDIRECT(weekSheet&amp;"$C:$C"), matchIdx), IF(winner="", "-", IF(winner=team, "-", 1)))))</f>
        <v>1</v>
      </c>
      <c r="BJ12" s="160" t="s">
        <v>706</v>
      </c>
      <c r="BK12" s="160" t="s">
        <v>706</v>
      </c>
      <c r="BL12" s="160" t="s">
        <v>706</v>
      </c>
      <c r="BM12" s="160" t="s">
        <v>706</v>
      </c>
    </row>
    <row r="13">
      <c r="A13" s="157" t="s">
        <v>185</v>
      </c>
      <c r="B13" s="158" t="str">
        <f t="shared" ref="B13:B15" si="93">LET(team, SUBSTITUTE(B$1, " Wins", ""), IF(COUNTIF(INDIRECT("'"&amp;$A13&amp;"'!$C:$C"), team)&gt;0, 1, "-"))</f>
        <v>-</v>
      </c>
      <c r="C13" s="158">
        <f t="shared" ref="C13:C15" si="94">LET(team, SUBSTITUTE(C$1, " Losses", ""), weekSheet, "'"&amp;$A13&amp;"'!", matchIdx, MATCH("*"&amp;team&amp;"*", INDIRECT(weekSheet&amp;"$B:$B"), 0), IF(ISNA(matchIdx), "-", LET(winner, INDEX(INDIRECT(weekSheet&amp;"$C:$C"), matchIdx), IF(winner="", "-", IF(winner=team, "-", 1)))))</f>
        <v>1</v>
      </c>
      <c r="D13" s="158">
        <f t="shared" si="83"/>
        <v>1</v>
      </c>
      <c r="E13" s="158" t="str">
        <f t="shared" si="84"/>
        <v>-</v>
      </c>
      <c r="F13" s="45">
        <f t="array" ref="F13">LET(team, SUBSTITUTE(F$1, " Wins", ""), IF(COUNTIF(INDIRECT("'"&amp;$A13&amp;"'!$C:$C"), team)&gt;0, 1, "-"))</f>
        <v>1</v>
      </c>
      <c r="G13" s="45" t="str">
        <f t="array" ref="G13">LET(team, SUBSTITUTE(G$1, " Losses", ""), weekSheet, "'"&amp;$A13&amp;"'!", matchIdx, MATCH("*"&amp;team&amp;"*", INDIRECT(weekSheet&amp;"$B:$B"), 0), IF(ISNA(matchIdx), "-", LET(winner, INDEX(INDIRECT(weekSheet&amp;"$C:$C"), matchIdx), IF(winner="", "-", IF(winner=team, "-", 1)))))</f>
        <v>-</v>
      </c>
      <c r="H13" s="160" t="s">
        <v>706</v>
      </c>
      <c r="I13" s="160" t="s">
        <v>706</v>
      </c>
      <c r="J13" s="160" t="s">
        <v>706</v>
      </c>
      <c r="K13" s="160" t="s">
        <v>706</v>
      </c>
      <c r="L13" s="160" t="s">
        <v>706</v>
      </c>
      <c r="M13" s="160" t="s">
        <v>706</v>
      </c>
      <c r="N13" s="45">
        <f t="shared" si="85"/>
        <v>1</v>
      </c>
      <c r="O13" s="45" t="str">
        <f t="shared" si="86"/>
        <v>-</v>
      </c>
      <c r="P13" s="158">
        <f t="array" ref="P13">LET(team, SUBSTITUTE(P$1, " Wins", ""), IF(COUNTIF(INDIRECT("'"&amp;$A13&amp;"'!$C:$C"), team)&gt;0, 1, "-"))</f>
        <v>1</v>
      </c>
      <c r="Q13" s="158" t="str">
        <f t="array" ref="Q13">LET(team, SUBSTITUTE(Q$1, " Losses", ""), weekSheet, "'"&amp;$A13&amp;"'!", matchIdx, MATCH("*"&amp;team&amp;"*", INDIRECT(weekSheet&amp;"$B:$B"), 0), IF(ISNA(matchIdx), "-", LET(winner, INDEX(INDIRECT(weekSheet&amp;"$C:$C"), matchIdx), IF(winner="", "-", IF(winner=team, "-", 1)))))</f>
        <v>-</v>
      </c>
      <c r="R13" s="158">
        <f t="shared" si="87"/>
        <v>1</v>
      </c>
      <c r="S13" s="158" t="str">
        <f t="shared" si="88"/>
        <v>-</v>
      </c>
      <c r="T13" s="160" t="s">
        <v>706</v>
      </c>
      <c r="U13" s="160" t="s">
        <v>706</v>
      </c>
      <c r="V13" s="160" t="s">
        <v>706</v>
      </c>
      <c r="W13" s="160" t="s">
        <v>706</v>
      </c>
      <c r="X13" s="160" t="s">
        <v>706</v>
      </c>
      <c r="Y13" s="160" t="s">
        <v>706</v>
      </c>
      <c r="Z13" s="160" t="s">
        <v>706</v>
      </c>
      <c r="AA13" s="160" t="s">
        <v>706</v>
      </c>
      <c r="AB13" s="160" t="s">
        <v>706</v>
      </c>
      <c r="AC13" s="160" t="s">
        <v>706</v>
      </c>
      <c r="AD13" s="160" t="s">
        <v>706</v>
      </c>
      <c r="AE13" s="160" t="s">
        <v>706</v>
      </c>
      <c r="AF13" s="158" t="str">
        <f t="shared" si="89"/>
        <v>-</v>
      </c>
      <c r="AG13" s="158">
        <f t="shared" si="90"/>
        <v>1</v>
      </c>
      <c r="AH13" s="160" t="s">
        <v>706</v>
      </c>
      <c r="AI13" s="160" t="s">
        <v>706</v>
      </c>
      <c r="AJ13" s="160" t="s">
        <v>706</v>
      </c>
      <c r="AK13" s="160" t="s">
        <v>706</v>
      </c>
      <c r="AL13" s="158" t="str">
        <f t="array" ref="AL13">LET(team, SUBSTITUTE(AL$1, " Wins", ""), IF(COUNTIF(INDIRECT("'"&amp;$A13&amp;"'!$C:$C"), team)&gt;0, 1, "-"))</f>
        <v>-</v>
      </c>
      <c r="AM13" s="158">
        <f t="array" ref="AM13">LET(team, SUBSTITUTE(AM$1, " Losses", ""), weekSheet, "'"&amp;$A13&amp;"'!", matchIdx, MATCH("*"&amp;team&amp;"*", INDIRECT(weekSheet&amp;"$B:$B"), 0), IF(ISNA(matchIdx), "-", LET(winner, INDEX(INDIRECT(weekSheet&amp;"$C:$C"), matchIdx), IF(winner="", "-", IF(winner=team, "-", 1)))))</f>
        <v>1</v>
      </c>
      <c r="AN13" s="160" t="s">
        <v>706</v>
      </c>
      <c r="AO13" s="160" t="s">
        <v>706</v>
      </c>
      <c r="AP13" s="160" t="s">
        <v>706</v>
      </c>
      <c r="AQ13" s="160" t="s">
        <v>706</v>
      </c>
      <c r="AR13" s="158">
        <f t="shared" ref="AR13:AR14" si="95">LET(team, SUBSTITUTE(AR$1, " Wins", ""), IF(COUNTIF(INDIRECT("'"&amp;$A13&amp;"'!$C:$C"), team)&gt;0, 1, "-"))</f>
        <v>1</v>
      </c>
      <c r="AS13" s="158" t="str">
        <f t="shared" ref="AS13:AS14" si="96">LET(team, SUBSTITUTE(AS$1, " Losses", ""), weekSheet, "'"&amp;$A13&amp;"'!", matchIdx, MATCH("*"&amp;team&amp;"*", INDIRECT(weekSheet&amp;"$B:$B"), 0), IF(ISNA(matchIdx), "-", LET(winner, INDEX(INDIRECT(weekSheet&amp;"$C:$C"), matchIdx), IF(winner="", "-", IF(winner=team, "-", 1)))))</f>
        <v>-</v>
      </c>
      <c r="AT13" s="158" t="str">
        <f t="array" ref="AT13">LET(team, SUBSTITUTE(AT$1, " Wins", ""), IF(COUNTIF(INDIRECT("'"&amp;$A13&amp;"'!$C:$C"), team)&gt;0, 1, "-"))</f>
        <v>-</v>
      </c>
      <c r="AU13" s="158">
        <f t="array" ref="AU13">LET(team, SUBSTITUTE(AU$1, " Losses", ""), weekSheet, "'"&amp;$A13&amp;"'!", matchIdx, MATCH("*"&amp;team&amp;"*", INDIRECT(weekSheet&amp;"$B:$B"), 0), IF(ISNA(matchIdx), "-", LET(winner, INDEX(INDIRECT(weekSheet&amp;"$C:$C"), matchIdx), IF(winner="", "-", IF(winner=team, "-", 1)))))</f>
        <v>1</v>
      </c>
      <c r="AV13" s="45" t="str">
        <f t="shared" ref="AV13:AV14" si="97">LET(team, SUBSTITUTE(AV$1, " Wins", ""), IF(COUNTIF(INDIRECT("'"&amp;$A13&amp;"'!$C:$C"), team)&gt;0, 1, "-"))</f>
        <v>-</v>
      </c>
      <c r="AW13" s="45">
        <f t="shared" ref="AW13:AW14" si="98">LET(team, SUBSTITUTE(AW$1, " Losses", ""), weekSheet, "'"&amp;$A13&amp;"'!", matchIdx, MATCH("*"&amp;team&amp;"*", INDIRECT(weekSheet&amp;"$B:$B"), 0), IF(ISNA(matchIdx), "-", LET(winner, INDEX(INDIRECT(weekSheet&amp;"$C:$C"), matchIdx), IF(winner="", "-", IF(winner=team, "-", 1)))))</f>
        <v>1</v>
      </c>
      <c r="AX13" s="160" t="s">
        <v>706</v>
      </c>
      <c r="AY13" s="160" t="s">
        <v>706</v>
      </c>
      <c r="AZ13" s="158" t="str">
        <f t="shared" ref="AZ13:AZ14" si="99">LET(team, SUBSTITUTE(AZ$1, " Wins", ""), IF(COUNTIF(INDIRECT("'"&amp;$A13&amp;"'!$C:$C"), team)&gt;0, 1, "-"))</f>
        <v>-</v>
      </c>
      <c r="BA13" s="158">
        <f t="shared" ref="BA13:BA14" si="100">LET(team, SUBSTITUTE(BA$1, " Losses", ""), weekSheet, "'"&amp;$A13&amp;"'!", matchIdx, MATCH("*"&amp;team&amp;"*", INDIRECT(weekSheet&amp;"$B:$B"), 0), IF(ISNA(matchIdx), "-", LET(winner, INDEX(INDIRECT(weekSheet&amp;"$C:$C"), matchIdx), IF(winner="", "-", IF(winner=team, "-", 1)))))</f>
        <v>1</v>
      </c>
      <c r="BB13" s="160" t="s">
        <v>706</v>
      </c>
      <c r="BC13" s="160" t="s">
        <v>706</v>
      </c>
      <c r="BD13" s="158">
        <f t="array" ref="BD13">LET(team, SUBSTITUTE(BD$1, " Wins", ""), IF(COUNTIF(INDIRECT("'"&amp;$A13&amp;"'!$C:$C"), team)&gt;0, 1, "-"))</f>
        <v>1</v>
      </c>
      <c r="BE13" s="158" t="str">
        <f t="array" ref="BE13">LET(team, SUBSTITUTE(BE$1, " Losses", ""), weekSheet, "'"&amp;$A13&amp;"'!", matchIdx, MATCH("*"&amp;team&amp;"*", INDIRECT(weekSheet&amp;"$B:$B"), 0), IF(ISNA(matchIdx), "-", LET(winner, INDEX(INDIRECT(weekSheet&amp;"$C:$C"), matchIdx), IF(winner="", "-", IF(winner=team, "-", 1)))))</f>
        <v>-</v>
      </c>
      <c r="BF13" s="160" t="s">
        <v>706</v>
      </c>
      <c r="BG13" s="160" t="s">
        <v>706</v>
      </c>
      <c r="BH13" s="45" t="str">
        <f t="shared" si="91"/>
        <v>-</v>
      </c>
      <c r="BI13" s="45">
        <f t="shared" si="92"/>
        <v>1</v>
      </c>
      <c r="BJ13" s="45">
        <f t="array" ref="BJ13">LET(team, SUBSTITUTE(BJ$1, " Wins", ""), IF(COUNTIF(INDIRECT("'"&amp;$A13&amp;"'!$C:$C"), team)&gt;0, 1, "-"))</f>
        <v>1</v>
      </c>
      <c r="BK13" s="45" t="str">
        <f t="array" ref="BK13">LET(team, SUBSTITUTE(BK$1, " Losses", ""), weekSheet, "'"&amp;$A13&amp;"'!", matchIdx, MATCH("*"&amp;team&amp;"*", INDIRECT(weekSheet&amp;"$B:$B"), 0), IF(ISNA(matchIdx), "-", LET(winner, INDEX(INDIRECT(weekSheet&amp;"$C:$C"), matchIdx), IF(winner="", "-", IF(winner=team, "-", 1)))))</f>
        <v>-</v>
      </c>
      <c r="BL13" s="158" t="str">
        <f t="shared" ref="BL13:BL14" si="101">LET(team, SUBSTITUTE(BL$1, " Wins", ""), IF(COUNTIF(INDIRECT("'"&amp;$A13&amp;"'!$C:$C"), team)&gt;0, 1, "-"))</f>
        <v>-</v>
      </c>
      <c r="BM13" s="158">
        <f t="shared" ref="BM13:BM14" si="102">LET(team, SUBSTITUTE(BM$1, " Losses", ""), weekSheet, "'"&amp;$A13&amp;"'!", matchIdx, MATCH("*"&amp;team&amp;"*", INDIRECT(weekSheet&amp;"$B:$B"), 0), IF(ISNA(matchIdx), "-", LET(winner, INDEX(INDIRECT(weekSheet&amp;"$C:$C"), matchIdx), IF(winner="", "-", IF(winner=team, "-", 1)))))</f>
        <v>1</v>
      </c>
    </row>
    <row r="14">
      <c r="A14" s="157" t="s">
        <v>191</v>
      </c>
      <c r="B14" s="158" t="str">
        <f t="shared" si="93"/>
        <v>-</v>
      </c>
      <c r="C14" s="158">
        <f t="shared" si="94"/>
        <v>1</v>
      </c>
      <c r="D14" s="160" t="s">
        <v>706</v>
      </c>
      <c r="E14" s="160" t="s">
        <v>706</v>
      </c>
      <c r="F14" s="160" t="s">
        <v>706</v>
      </c>
      <c r="G14" s="160" t="s">
        <v>706</v>
      </c>
      <c r="H14" s="158" t="str">
        <f t="shared" ref="H14:H15" si="103">LET(team, SUBSTITUTE(H$1, " Wins", ""), IF(COUNTIF(INDIRECT("'"&amp;$A14&amp;"'!$C:$C"), team)&gt;0, 1, "-"))</f>
        <v>-</v>
      </c>
      <c r="I14" s="158">
        <f t="shared" ref="I14:I15" si="104">LET(team, SUBSTITUTE(I$1, " Losses", ""), weekSheet, "'"&amp;$A14&amp;"'!", matchIdx, MATCH("*"&amp;team&amp;"*", INDIRECT(weekSheet&amp;"$B:$B"), 0), IF(ISNA(matchIdx), "-", LET(winner, INDEX(INDIRECT(weekSheet&amp;"$C:$C"), matchIdx), IF(winner="", "-", IF(winner=team, "-", 1)))))</f>
        <v>1</v>
      </c>
      <c r="J14" s="158" t="str">
        <f t="shared" ref="J14:J15" si="105">LET(team, SUBSTITUTE(J$1, " Wins", ""), IF(COUNTIF(INDIRECT("'"&amp;$A14&amp;"'!$C:$C"), team)&gt;0, 1, "-"))</f>
        <v>-</v>
      </c>
      <c r="K14" s="158">
        <f t="shared" ref="K14:K15" si="106">LET(team, SUBSTITUTE(K$1, " Losses", ""), weekSheet, "'"&amp;$A14&amp;"'!", matchIdx, MATCH("*"&amp;team&amp;"*", INDIRECT(weekSheet&amp;"$B:$B"), 0), IF(ISNA(matchIdx), "-", LET(winner, INDEX(INDIRECT(weekSheet&amp;"$C:$C"), matchIdx), IF(winner="", "-", IF(winner=team, "-", 1)))))</f>
        <v>1</v>
      </c>
      <c r="L14" s="158" t="str">
        <f t="array" ref="L14">LET(team, SUBSTITUTE(L$1, " Wins", ""), IF(COUNTIF(INDIRECT("'"&amp;$A14&amp;"'!$C:$C"), team)&gt;0, 1, "-"))</f>
        <v>-</v>
      </c>
      <c r="M14" s="158">
        <f t="array" ref="M14">LET(team, SUBSTITUTE(M$1, " Losses", ""), weekSheet, "'"&amp;$A14&amp;"'!", matchIdx, MATCH("*"&amp;team&amp;"*", INDIRECT(weekSheet&amp;"$B:$B"), 0), IF(ISNA(matchIdx), "-", LET(winner, INDEX(INDIRECT(weekSheet&amp;"$C:$C"), matchIdx), IF(winner="", "-", IF(winner=team, "-", 1)))))</f>
        <v>1</v>
      </c>
      <c r="N14" s="160" t="s">
        <v>706</v>
      </c>
      <c r="O14" s="160" t="s">
        <v>706</v>
      </c>
      <c r="P14" s="160" t="s">
        <v>706</v>
      </c>
      <c r="Q14" s="160" t="s">
        <v>706</v>
      </c>
      <c r="R14" s="160" t="s">
        <v>706</v>
      </c>
      <c r="S14" s="160" t="s">
        <v>706</v>
      </c>
      <c r="T14" s="160" t="s">
        <v>706</v>
      </c>
      <c r="U14" s="160" t="s">
        <v>706</v>
      </c>
      <c r="V14" s="160" t="s">
        <v>706</v>
      </c>
      <c r="W14" s="160" t="s">
        <v>706</v>
      </c>
      <c r="X14" s="158">
        <f t="array" ref="X14">LET(team, SUBSTITUTE(X$1, " Wins", ""), IF(COUNTIF(INDIRECT("'"&amp;$A14&amp;"'!$C:$C"), team)&gt;0, 1, "-"))</f>
        <v>1</v>
      </c>
      <c r="Y14" s="158" t="str">
        <f t="array" ref="Y14">LET(team, SUBSTITUTE(Y$1, " Losses", ""), weekSheet, "'"&amp;$A14&amp;"'!", matchIdx, MATCH("*"&amp;team&amp;"*", INDIRECT(weekSheet&amp;"$B:$B"), 0), IF(ISNA(matchIdx), "-", LET(winner, INDEX(INDIRECT(weekSheet&amp;"$C:$C"), matchIdx), IF(winner="", "-", IF(winner=team, "-", 1)))))</f>
        <v>-</v>
      </c>
      <c r="Z14" s="158">
        <f t="shared" ref="Z14:Z15" si="107">LET(team, SUBSTITUTE(Z$1, " Wins", ""), IF(COUNTIF(INDIRECT("'"&amp;$A14&amp;"'!$C:$C"), team)&gt;0, 1, "-"))</f>
        <v>1</v>
      </c>
      <c r="AA14" s="158" t="str">
        <f t="shared" ref="AA14:AA15" si="108">LET(team, SUBSTITUTE(AA$1, " Losses", ""), weekSheet, "'"&amp;$A14&amp;"'!", matchIdx, MATCH("*"&amp;team&amp;"*", INDIRECT(weekSheet&amp;"$B:$B"), 0), IF(ISNA(matchIdx), "-", LET(winner, INDEX(INDIRECT(weekSheet&amp;"$C:$C"), matchIdx), IF(winner="", "-", IF(winner=team, "-", 1)))))</f>
        <v>-</v>
      </c>
      <c r="AB14" s="158">
        <f t="array" ref="AB14">LET(team, SUBSTITUTE(AB$1, " Wins", ""), IF(COUNTIF(INDIRECT("'"&amp;$A14&amp;"'!$C:$C"), team)&gt;0, 1, "-"))</f>
        <v>1</v>
      </c>
      <c r="AC14" s="158" t="str">
        <f t="array" ref="AC14">LET(team, SUBSTITUTE(AC$1, " Losses", ""), weekSheet, "'"&amp;$A14&amp;"'!", matchIdx, MATCH("*"&amp;team&amp;"*", INDIRECT(weekSheet&amp;"$B:$B"), 0), IF(ISNA(matchIdx), "-", LET(winner, INDEX(INDIRECT(weekSheet&amp;"$C:$C"), matchIdx), IF(winner="", "-", IF(winner=team, "-", 1)))))</f>
        <v>-</v>
      </c>
      <c r="AD14" s="160" t="s">
        <v>706</v>
      </c>
      <c r="AE14" s="160" t="s">
        <v>706</v>
      </c>
      <c r="AF14" s="160" t="s">
        <v>706</v>
      </c>
      <c r="AG14" s="160" t="s">
        <v>706</v>
      </c>
      <c r="AH14" s="158">
        <f t="array" ref="AH14">LET(team, SUBSTITUTE(AH$1, " Wins", ""), IF(COUNTIF(INDIRECT("'"&amp;$A14&amp;"'!$C:$C"), team)&gt;0, 1, "-"))</f>
        <v>1</v>
      </c>
      <c r="AI14" s="158" t="str">
        <f t="array" ref="AI14">LET(team, SUBSTITUTE(AI$1, " Losses", ""), weekSheet, "'"&amp;$A14&amp;"'!", matchIdx, MATCH("*"&amp;team&amp;"*", INDIRECT(weekSheet&amp;"$B:$B"), 0), IF(ISNA(matchIdx), "-", LET(winner, INDEX(INDIRECT(weekSheet&amp;"$C:$C"), matchIdx), IF(winner="", "-", IF(winner=team, "-", 1)))))</f>
        <v>-</v>
      </c>
      <c r="AJ14" s="160" t="s">
        <v>706</v>
      </c>
      <c r="AK14" s="160" t="s">
        <v>706</v>
      </c>
      <c r="AL14" s="160" t="s">
        <v>706</v>
      </c>
      <c r="AM14" s="160" t="s">
        <v>706</v>
      </c>
      <c r="AN14" s="160" t="s">
        <v>706</v>
      </c>
      <c r="AO14" s="160" t="s">
        <v>706</v>
      </c>
      <c r="AP14" s="158" t="str">
        <f t="array" ref="AP14">LET(team, SUBSTITUTE(AP$1, " Wins", ""), IF(COUNTIF(INDIRECT("'"&amp;$A14&amp;"'!$C:$C"), team)&gt;0, 1, "-"))</f>
        <v>-</v>
      </c>
      <c r="AQ14" s="158">
        <f t="array" ref="AQ14">LET(team, SUBSTITUTE(AQ$1, " Losses", ""), weekSheet, "'"&amp;$A14&amp;"'!", matchIdx, MATCH("*"&amp;team&amp;"*", INDIRECT(weekSheet&amp;"$B:$B"), 0), IF(ISNA(matchIdx), "-", LET(winner, INDEX(INDIRECT(weekSheet&amp;"$C:$C"), matchIdx), IF(winner="", "-", IF(winner=team, "-", 1)))))</f>
        <v>1</v>
      </c>
      <c r="AR14" s="158">
        <f t="shared" si="95"/>
        <v>1</v>
      </c>
      <c r="AS14" s="158" t="str">
        <f t="shared" si="96"/>
        <v>-</v>
      </c>
      <c r="AT14" s="160" t="s">
        <v>706</v>
      </c>
      <c r="AU14" s="160" t="s">
        <v>706</v>
      </c>
      <c r="AV14" s="158" t="str">
        <f t="shared" si="97"/>
        <v>-</v>
      </c>
      <c r="AW14" s="158">
        <f t="shared" si="98"/>
        <v>1</v>
      </c>
      <c r="AX14" s="158">
        <f t="array" ref="AX14">LET(team, SUBSTITUTE(AX$1, " Wins", ""), IF(COUNTIF(INDIRECT("'"&amp;$A14&amp;"'!$C:$C"), team)&gt;0, 1, "-"))</f>
        <v>1</v>
      </c>
      <c r="AY14" s="158" t="str">
        <f t="array" ref="AY14">LET(team, SUBSTITUTE(AY$1, " Losses", ""), weekSheet, "'"&amp;$A14&amp;"'!", matchIdx, MATCH("*"&amp;team&amp;"*", INDIRECT(weekSheet&amp;"$B:$B"), 0), IF(ISNA(matchIdx), "-", LET(winner, INDEX(INDIRECT(weekSheet&amp;"$C:$C"), matchIdx), IF(winner="", "-", IF(winner=team, "-", 1)))))</f>
        <v>-</v>
      </c>
      <c r="AZ14" s="158">
        <f t="shared" si="99"/>
        <v>1</v>
      </c>
      <c r="BA14" s="158" t="str">
        <f t="shared" si="100"/>
        <v>-</v>
      </c>
      <c r="BB14" s="160" t="s">
        <v>706</v>
      </c>
      <c r="BC14" s="160" t="s">
        <v>706</v>
      </c>
      <c r="BD14" s="160" t="s">
        <v>706</v>
      </c>
      <c r="BE14" s="160" t="s">
        <v>706</v>
      </c>
      <c r="BF14" s="160" t="s">
        <v>706</v>
      </c>
      <c r="BG14" s="160" t="s">
        <v>706</v>
      </c>
      <c r="BH14" s="160" t="s">
        <v>706</v>
      </c>
      <c r="BI14" s="160" t="s">
        <v>706</v>
      </c>
      <c r="BJ14" s="160" t="s">
        <v>706</v>
      </c>
      <c r="BK14" s="160" t="s">
        <v>706</v>
      </c>
      <c r="BL14" s="158" t="str">
        <f t="shared" si="101"/>
        <v>-</v>
      </c>
      <c r="BM14" s="158">
        <f t="shared" si="102"/>
        <v>1</v>
      </c>
    </row>
    <row r="15">
      <c r="A15" s="157" t="s">
        <v>194</v>
      </c>
      <c r="B15" s="158">
        <f t="shared" si="93"/>
        <v>1</v>
      </c>
      <c r="C15" s="158" t="str">
        <f t="shared" si="94"/>
        <v>-</v>
      </c>
      <c r="D15" s="160" t="s">
        <v>706</v>
      </c>
      <c r="E15" s="160" t="s">
        <v>706</v>
      </c>
      <c r="F15" s="45">
        <f t="shared" ref="F15:F16" si="109">LET(team, SUBSTITUTE(F$1, " Wins", ""), IF(COUNTIF(INDIRECT("'"&amp;$A15&amp;"'!$C:$C"), team)&gt;0, 1, "-"))</f>
        <v>1</v>
      </c>
      <c r="G15" s="45" t="str">
        <f t="shared" ref="G15:G16" si="110">LET(team, SUBSTITUTE(G$1, " Losses", ""), weekSheet, "'"&amp;$A15&amp;"'!", matchIdx, MATCH("*"&amp;team&amp;"*", INDIRECT(weekSheet&amp;"$B:$B"), 0), IF(ISNA(matchIdx), "-", LET(winner, INDEX(INDIRECT(weekSheet&amp;"$C:$C"), matchIdx), IF(winner="", "-", IF(winner=team, "-", 1)))))</f>
        <v>-</v>
      </c>
      <c r="H15" s="158">
        <f t="shared" si="103"/>
        <v>1</v>
      </c>
      <c r="I15" s="158" t="str">
        <f t="shared" si="104"/>
        <v>-</v>
      </c>
      <c r="J15" s="158" t="str">
        <f t="shared" si="105"/>
        <v>-</v>
      </c>
      <c r="K15" s="158">
        <f t="shared" si="106"/>
        <v>1</v>
      </c>
      <c r="L15" s="160" t="s">
        <v>706</v>
      </c>
      <c r="M15" s="160" t="s">
        <v>706</v>
      </c>
      <c r="N15" s="160" t="s">
        <v>706</v>
      </c>
      <c r="O15" s="160" t="s">
        <v>706</v>
      </c>
      <c r="P15" s="160" t="s">
        <v>706</v>
      </c>
      <c r="Q15" s="160" t="s">
        <v>706</v>
      </c>
      <c r="R15" s="160" t="s">
        <v>706</v>
      </c>
      <c r="S15" s="160" t="s">
        <v>706</v>
      </c>
      <c r="T15" s="160" t="s">
        <v>706</v>
      </c>
      <c r="U15" s="160" t="s">
        <v>706</v>
      </c>
      <c r="V15" s="158">
        <f t="array" ref="V15">LET(team, SUBSTITUTE(V$1, " Wins", ""), IF(COUNTIF(INDIRECT("'"&amp;$A15&amp;"'!$C:$C"), team)&gt;0, 1, "-"))</f>
        <v>1</v>
      </c>
      <c r="W15" s="158" t="str">
        <f t="array" ref="W15">LET(team, SUBSTITUTE(W$1, " Losses", ""), weekSheet, "'"&amp;$A15&amp;"'!", matchIdx, MATCH("*"&amp;team&amp;"*", INDIRECT(weekSheet&amp;"$B:$B"), 0), IF(ISNA(matchIdx), "-", LET(winner, INDEX(INDIRECT(weekSheet&amp;"$C:$C"), matchIdx), IF(winner="", "-", IF(winner=team, "-", 1)))))</f>
        <v>-</v>
      </c>
      <c r="X15" s="160" t="s">
        <v>706</v>
      </c>
      <c r="Y15" s="160" t="s">
        <v>706</v>
      </c>
      <c r="Z15" s="45" t="str">
        <f t="shared" si="107"/>
        <v>-</v>
      </c>
      <c r="AA15" s="45">
        <f t="shared" si="108"/>
        <v>1</v>
      </c>
      <c r="AB15" s="160" t="s">
        <v>706</v>
      </c>
      <c r="AC15" s="160" t="s">
        <v>706</v>
      </c>
      <c r="AD15" s="45" t="str">
        <f t="shared" ref="AD15:AD16" si="111">LET(team, SUBSTITUTE(AD$1, " Wins", ""), IF(COUNTIF(INDIRECT("'"&amp;$A15&amp;"'!$C:$C"), team)&gt;0, 1, "-"))</f>
        <v>-</v>
      </c>
      <c r="AE15" s="45">
        <f t="shared" ref="AE15:AE16" si="112">LET(team, SUBSTITUTE(AE$1, " Losses", ""), weekSheet, "'"&amp;$A15&amp;"'!", matchIdx, MATCH("*"&amp;team&amp;"*", INDIRECT(weekSheet&amp;"$B:$B"), 0), IF(ISNA(matchIdx), "-", LET(winner, INDEX(INDIRECT(weekSheet&amp;"$C:$C"), matchIdx), IF(winner="", "-", IF(winner=team, "-", 1)))))</f>
        <v>1</v>
      </c>
      <c r="AF15" s="158" t="str">
        <f t="array" ref="AF15">LET(team, SUBSTITUTE(AF$1, " Wins", ""), IF(COUNTIF(INDIRECT("'"&amp;$A15&amp;"'!$C:$C"), team)&gt;0, 1, "-"))</f>
        <v>-</v>
      </c>
      <c r="AG15" s="158">
        <f t="array" ref="AG15">LET(team, SUBSTITUTE(AG$1, " Losses", ""), weekSheet, "'"&amp;$A15&amp;"'!", matchIdx, MATCH("*"&amp;team&amp;"*", INDIRECT(weekSheet&amp;"$B:$B"), 0), IF(ISNA(matchIdx), "-", LET(winner, INDEX(INDIRECT(weekSheet&amp;"$C:$C"), matchIdx), IF(winner="", "-", IF(winner=team, "-", 1)))))</f>
        <v>1</v>
      </c>
      <c r="AH15" s="160" t="s">
        <v>706</v>
      </c>
      <c r="AI15" s="160" t="s">
        <v>706</v>
      </c>
      <c r="AJ15" s="158" t="str">
        <f t="array" ref="AJ15">LET(team, SUBSTITUTE(AJ$1, " Wins", ""), IF(COUNTIF(INDIRECT("'"&amp;$A15&amp;"'!$C:$C"), team)&gt;0, 1, "-"))</f>
        <v>-</v>
      </c>
      <c r="AK15" s="158">
        <f t="array" ref="AK15">LET(team, SUBSTITUTE(AK$1, " Losses", ""), weekSheet, "'"&amp;$A15&amp;"'!", matchIdx, MATCH("*"&amp;team&amp;"*", INDIRECT(weekSheet&amp;"$B:$B"), 0), IF(ISNA(matchIdx), "-", LET(winner, INDEX(INDIRECT(weekSheet&amp;"$C:$C"), matchIdx), IF(winner="", "-", IF(winner=team, "-", 1)))))</f>
        <v>1</v>
      </c>
      <c r="AL15" s="160" t="s">
        <v>706</v>
      </c>
      <c r="AM15" s="160" t="s">
        <v>706</v>
      </c>
      <c r="AN15" s="160" t="s">
        <v>706</v>
      </c>
      <c r="AO15" s="160" t="s">
        <v>706</v>
      </c>
      <c r="AP15" s="160" t="s">
        <v>706</v>
      </c>
      <c r="AQ15" s="160" t="s">
        <v>706</v>
      </c>
      <c r="AR15" s="160" t="s">
        <v>706</v>
      </c>
      <c r="AS15" s="160" t="s">
        <v>706</v>
      </c>
      <c r="AT15" s="45" t="str">
        <f t="array" ref="AT15">LET(team, SUBSTITUTE(AT$1, " Wins", ""), IF(COUNTIF(INDIRECT("'"&amp;$A15&amp;"'!$C:$C"), team)&gt;0, 1, "-"))</f>
        <v>-</v>
      </c>
      <c r="AU15" s="45">
        <f t="array" ref="AU15">LET(team, SUBSTITUTE(AU$1, " Losses", ""), weekSheet, "'"&amp;$A15&amp;"'!", matchIdx, MATCH("*"&amp;team&amp;"*", INDIRECT(weekSheet&amp;"$B:$B"), 0), IF(ISNA(matchIdx), "-", LET(winner, INDEX(INDIRECT(weekSheet&amp;"$C:$C"), matchIdx), IF(winner="", "-", IF(winner=team, "-", 1)))))</f>
        <v>1</v>
      </c>
      <c r="AV15" s="160" t="s">
        <v>706</v>
      </c>
      <c r="AW15" s="160" t="s">
        <v>706</v>
      </c>
      <c r="AX15" s="160" t="s">
        <v>706</v>
      </c>
      <c r="AY15" s="160" t="s">
        <v>706</v>
      </c>
      <c r="AZ15" s="160" t="s">
        <v>706</v>
      </c>
      <c r="BA15" s="160" t="s">
        <v>706</v>
      </c>
      <c r="BB15" s="158" t="str">
        <f t="array" ref="BB15">LET(team, SUBSTITUTE(BB$1, " Wins", ""), IF(COUNTIF(INDIRECT("'"&amp;$A15&amp;"'!$C:$C"), team)&gt;0, 1, "-"))</f>
        <v>-</v>
      </c>
      <c r="BC15" s="158">
        <f t="array" ref="BC15">LET(team, SUBSTITUTE(BC$1, " Losses", ""), weekSheet, "'"&amp;$A15&amp;"'!", matchIdx, MATCH("*"&amp;team&amp;"*", INDIRECT(weekSheet&amp;"$B:$B"), 0), IF(ISNA(matchIdx), "-", LET(winner, INDEX(INDIRECT(weekSheet&amp;"$C:$C"), matchIdx), IF(winner="", "-", IF(winner=team, "-", 1)))))</f>
        <v>1</v>
      </c>
      <c r="BD15" s="158" t="str">
        <f t="shared" ref="BD15:BD16" si="113">LET(team, SUBSTITUTE(BD$1, " Wins", ""), IF(COUNTIF(INDIRECT("'"&amp;$A15&amp;"'!$C:$C"), team)&gt;0, 1, "-"))</f>
        <v>-</v>
      </c>
      <c r="BE15" s="158">
        <f t="shared" ref="BE15:BE16" si="114">LET(team, SUBSTITUTE(BE$1, " Losses", ""), weekSheet, "'"&amp;$A15&amp;"'!", matchIdx, MATCH("*"&amp;team&amp;"*", INDIRECT(weekSheet&amp;"$B:$B"), 0), IF(ISNA(matchIdx), "-", LET(winner, INDEX(INDIRECT(weekSheet&amp;"$C:$C"), matchIdx), IF(winner="", "-", IF(winner=team, "-", 1)))))</f>
        <v>1</v>
      </c>
      <c r="BF15" s="158" t="str">
        <f t="array" ref="BF15">LET(team, SUBSTITUTE(BF$1, " Wins", ""), IF(COUNTIF(INDIRECT("'"&amp;$A15&amp;"'!$C:$C"), team)&gt;0, 1, "-"))</f>
        <v>-</v>
      </c>
      <c r="BG15" s="158">
        <f t="array" ref="BG15">LET(team, SUBSTITUTE(BG$1, " Losses", ""), weekSheet, "'"&amp;$A15&amp;"'!", matchIdx, MATCH("*"&amp;team&amp;"*", INDIRECT(weekSheet&amp;"$B:$B"), 0), IF(ISNA(matchIdx), "-", LET(winner, INDEX(INDIRECT(weekSheet&amp;"$C:$C"), matchIdx), IF(winner="", "-", IF(winner=team, "-", 1)))))</f>
        <v>1</v>
      </c>
      <c r="BH15" s="158">
        <f t="shared" ref="BH15:BH16" si="115">LET(team, SUBSTITUTE(BH$1, " Wins", ""), IF(COUNTIF(INDIRECT("'"&amp;$A15&amp;"'!$C:$C"), team)&gt;0, 1, "-"))</f>
        <v>1</v>
      </c>
      <c r="BI15" s="158" t="str">
        <f t="shared" ref="BI15:BI16" si="116">LET(team, SUBSTITUTE(BI$1, " Losses", ""), weekSheet, "'"&amp;$A15&amp;"'!", matchIdx, MATCH("*"&amp;team&amp;"*", INDIRECT(weekSheet&amp;"$B:$B"), 0), IF(ISNA(matchIdx), "-", LET(winner, INDEX(INDIRECT(weekSheet&amp;"$C:$C"), matchIdx), IF(winner="", "-", IF(winner=team, "-", 1)))))</f>
        <v>-</v>
      </c>
      <c r="BJ15" s="158" t="str">
        <f t="shared" ref="BJ15:BJ16" si="117">LET(team, SUBSTITUTE(BJ$1, " Wins", ""), IF(COUNTIF(INDIRECT("'"&amp;$A15&amp;"'!$C:$C"), team)&gt;0, 1, "-"))</f>
        <v>-</v>
      </c>
      <c r="BK15" s="158">
        <f t="shared" ref="BK15:BK16" si="118">LET(team, SUBSTITUTE(BK$1, " Losses", ""), weekSheet, "'"&amp;$A15&amp;"'!", matchIdx, MATCH("*"&amp;team&amp;"*", INDIRECT(weekSheet&amp;"$B:$B"), 0), IF(ISNA(matchIdx), "-", LET(winner, INDEX(INDIRECT(weekSheet&amp;"$C:$C"), matchIdx), IF(winner="", "-", IF(winner=team, "-", 1)))))</f>
        <v>1</v>
      </c>
      <c r="BL15" s="160" t="s">
        <v>706</v>
      </c>
      <c r="BM15" s="160" t="s">
        <v>706</v>
      </c>
    </row>
    <row r="16">
      <c r="A16" s="157" t="s">
        <v>198</v>
      </c>
      <c r="B16" s="160" t="s">
        <v>706</v>
      </c>
      <c r="C16" s="160" t="s">
        <v>706</v>
      </c>
      <c r="D16" s="160" t="s">
        <v>706</v>
      </c>
      <c r="E16" s="160" t="s">
        <v>706</v>
      </c>
      <c r="F16" s="158" t="str">
        <f t="shared" si="109"/>
        <v>-</v>
      </c>
      <c r="G16" s="158">
        <f t="shared" si="110"/>
        <v>1</v>
      </c>
      <c r="H16" s="160" t="s">
        <v>706</v>
      </c>
      <c r="I16" s="160" t="s">
        <v>706</v>
      </c>
      <c r="J16" s="160" t="s">
        <v>706</v>
      </c>
      <c r="K16" s="160" t="s">
        <v>706</v>
      </c>
      <c r="L16" s="158" t="str">
        <f t="array" ref="L16">LET(team, SUBSTITUTE(L$1, " Wins", ""), IF(COUNTIF(INDIRECT("'"&amp;$A16&amp;"'!$C:$C"), team)&gt;0, 1, "-"))</f>
        <v>-</v>
      </c>
      <c r="M16" s="158">
        <f t="array" ref="M16">LET(team, SUBSTITUTE(M$1, " Losses", ""), weekSheet, "'"&amp;$A16&amp;"'!", matchIdx, MATCH("*"&amp;team&amp;"*", INDIRECT(weekSheet&amp;"$B:$B"), 0), IF(ISNA(matchIdx), "-", LET(winner, INDEX(INDIRECT(weekSheet&amp;"$C:$C"), matchIdx), IF(winner="", "-", IF(winner=team, "-", 1)))))</f>
        <v>1</v>
      </c>
      <c r="N16" s="158" t="str">
        <f t="array" ref="N16">LET(team, SUBSTITUTE(N$1, " Wins", ""), IF(COUNTIF(INDIRECT("'"&amp;$A16&amp;"'!$C:$C"), team)&gt;0, 1, "-"))</f>
        <v>-</v>
      </c>
      <c r="O16" s="158">
        <f t="array" ref="O16">LET(team, SUBSTITUTE(O$1, " Losses", ""), weekSheet, "'"&amp;$A16&amp;"'!", matchIdx, MATCH("*"&amp;team&amp;"*", INDIRECT(weekSheet&amp;"$B:$B"), 0), IF(ISNA(matchIdx), "-", LET(winner, INDEX(INDIRECT(weekSheet&amp;"$C:$C"), matchIdx), IF(winner="", "-", IF(winner=team, "-", 1)))))</f>
        <v>1</v>
      </c>
      <c r="P16" s="158" t="str">
        <f t="shared" ref="P16:P17" si="119">LET(team, SUBSTITUTE(P$1, " Wins", ""), IF(COUNTIF(INDIRECT("'"&amp;$A16&amp;"'!$C:$C"), team)&gt;0, 1, "-"))</f>
        <v>-</v>
      </c>
      <c r="Q16" s="158">
        <f t="shared" ref="Q16:Q17" si="120">LET(team, SUBSTITUTE(Q$1, " Losses", ""), weekSheet, "'"&amp;$A16&amp;"'!", matchIdx, MATCH("*"&amp;team&amp;"*", INDIRECT(weekSheet&amp;"$B:$B"), 0), IF(ISNA(matchIdx), "-", LET(winner, INDEX(INDIRECT(weekSheet&amp;"$C:$C"), matchIdx), IF(winner="", "-", IF(winner=team, "-", 1)))))</f>
        <v>1</v>
      </c>
      <c r="R16" s="158" t="str">
        <f t="array" ref="R16">LET(team, SUBSTITUTE(R$1, " Wins", ""), IF(COUNTIF(INDIRECT("'"&amp;$A16&amp;"'!$C:$C"), team)&gt;0, 1, "-"))</f>
        <v>-</v>
      </c>
      <c r="S16" s="158">
        <f t="array" ref="S16">LET(team, SUBSTITUTE(S$1, " Losses", ""), weekSheet, "'"&amp;$A16&amp;"'!", matchIdx, MATCH("*"&amp;team&amp;"*", INDIRECT(weekSheet&amp;"$B:$B"), 0), IF(ISNA(matchIdx), "-", LET(winner, INDEX(INDIRECT(weekSheet&amp;"$C:$C"), matchIdx), IF(winner="", "-", IF(winner=team, "-", 1)))))</f>
        <v>1</v>
      </c>
      <c r="T16" s="158" t="str">
        <f t="shared" ref="T16:T17" si="121">LET(team, SUBSTITUTE(T$1, " Wins", ""), IF(COUNTIF(INDIRECT("'"&amp;$A16&amp;"'!$C:$C"), team)&gt;0, 1, "-"))</f>
        <v>-</v>
      </c>
      <c r="U16" s="158">
        <f t="shared" ref="U16:U17" si="122">LET(team, SUBSTITUTE(U$1, " Losses", ""), weekSheet, "'"&amp;$A16&amp;"'!", matchIdx, MATCH("*"&amp;team&amp;"*", INDIRECT(weekSheet&amp;"$B:$B"), 0), IF(ISNA(matchIdx), "-", LET(winner, INDEX(INDIRECT(weekSheet&amp;"$C:$C"), matchIdx), IF(winner="", "-", IF(winner=team, "-", 1)))))</f>
        <v>1</v>
      </c>
      <c r="V16" s="160" t="s">
        <v>706</v>
      </c>
      <c r="W16" s="160" t="s">
        <v>706</v>
      </c>
      <c r="X16" s="158" t="str">
        <f t="shared" ref="X16:X17" si="123">LET(team, SUBSTITUTE(X$1, " Wins", ""), IF(COUNTIF(INDIRECT("'"&amp;$A16&amp;"'!$C:$C"), team)&gt;0, 1, "-"))</f>
        <v>-</v>
      </c>
      <c r="Y16" s="158">
        <f t="shared" ref="Y16:Y17" si="124">LET(team, SUBSTITUTE(Y$1, " Losses", ""), weekSheet, "'"&amp;$A16&amp;"'!", matchIdx, MATCH("*"&amp;team&amp;"*", INDIRECT(weekSheet&amp;"$B:$B"), 0), IF(ISNA(matchIdx), "-", LET(winner, INDEX(INDIRECT(weekSheet&amp;"$C:$C"), matchIdx), IF(winner="", "-", IF(winner=team, "-", 1)))))</f>
        <v>1</v>
      </c>
      <c r="Z16" s="160" t="s">
        <v>706</v>
      </c>
      <c r="AA16" s="160" t="s">
        <v>706</v>
      </c>
      <c r="AB16" s="158">
        <f t="shared" ref="AB16:AB17" si="125">LET(team, SUBSTITUTE(AB$1, " Wins", ""), IF(COUNTIF(INDIRECT("'"&amp;$A16&amp;"'!$C:$C"), team)&gt;0, 1, "-"))</f>
        <v>1</v>
      </c>
      <c r="AC16" s="158" t="str">
        <f t="shared" ref="AC16:AC17" si="126">LET(team, SUBSTITUTE(AC$1, " Losses", ""), weekSheet, "'"&amp;$A16&amp;"'!", matchIdx, MATCH("*"&amp;team&amp;"*", INDIRECT(weekSheet&amp;"$B:$B"), 0), IF(ISNA(matchIdx), "-", LET(winner, INDEX(INDIRECT(weekSheet&amp;"$C:$C"), matchIdx), IF(winner="", "-", IF(winner=team, "-", 1)))))</f>
        <v>-</v>
      </c>
      <c r="AD16" s="158">
        <f t="shared" si="111"/>
        <v>1</v>
      </c>
      <c r="AE16" s="158" t="str">
        <f t="shared" si="112"/>
        <v>-</v>
      </c>
      <c r="AF16" s="160" t="s">
        <v>706</v>
      </c>
      <c r="AG16" s="160" t="s">
        <v>706</v>
      </c>
      <c r="AH16" s="158" t="str">
        <f t="shared" ref="AH16:AH17" si="127">LET(team, SUBSTITUTE(AH$1, " Wins", ""), IF(COUNTIF(INDIRECT("'"&amp;$A16&amp;"'!$C:$C"), team)&gt;0, 1, "-"))</f>
        <v>-</v>
      </c>
      <c r="AI16" s="158">
        <f t="shared" ref="AI16:AI17" si="128">LET(team, SUBSTITUTE(AI$1, " Losses", ""), weekSheet, "'"&amp;$A16&amp;"'!", matchIdx, MATCH("*"&amp;team&amp;"*", INDIRECT(weekSheet&amp;"$B:$B"), 0), IF(ISNA(matchIdx), "-", LET(winner, INDEX(INDIRECT(weekSheet&amp;"$C:$C"), matchIdx), IF(winner="", "-", IF(winner=team, "-", 1)))))</f>
        <v>1</v>
      </c>
      <c r="AJ16" s="160" t="s">
        <v>706</v>
      </c>
      <c r="AK16" s="160" t="s">
        <v>706</v>
      </c>
      <c r="AL16" s="158" t="str">
        <f t="array" ref="AL16">LET(team, SUBSTITUTE(AL$1, " Wins", ""), IF(COUNTIF(INDIRECT("'"&amp;$A16&amp;"'!$C:$C"), team)&gt;0, 1, "-"))</f>
        <v>-</v>
      </c>
      <c r="AM16" s="158">
        <f t="array" ref="AM16">LET(team, SUBSTITUTE(AM$1, " Losses", ""), weekSheet, "'"&amp;$A16&amp;"'!", matchIdx, MATCH("*"&amp;team&amp;"*", INDIRECT(weekSheet&amp;"$B:$B"), 0), IF(ISNA(matchIdx), "-", LET(winner, INDEX(INDIRECT(weekSheet&amp;"$C:$C"), matchIdx), IF(winner="", "-", IF(winner=team, "-", 1)))))</f>
        <v>1</v>
      </c>
      <c r="AN16" s="160" t="s">
        <v>706</v>
      </c>
      <c r="AO16" s="160" t="s">
        <v>706</v>
      </c>
      <c r="AP16" s="158" t="str">
        <f t="array" ref="AP16">LET(team, SUBSTITUTE(AP$1, " Wins", ""), IF(COUNTIF(INDIRECT("'"&amp;$A16&amp;"'!$C:$C"), team)&gt;0, 1, "-"))</f>
        <v>-</v>
      </c>
      <c r="AQ16" s="158">
        <f t="array" ref="AQ16">LET(team, SUBSTITUTE(AQ$1, " Losses", ""), weekSheet, "'"&amp;$A16&amp;"'!", matchIdx, MATCH("*"&amp;team&amp;"*", INDIRECT(weekSheet&amp;"$B:$B"), 0), IF(ISNA(matchIdx), "-", LET(winner, INDEX(INDIRECT(weekSheet&amp;"$C:$C"), matchIdx), IF(winner="", "-", IF(winner=team, "-", 1)))))</f>
        <v>1</v>
      </c>
      <c r="AR16" s="160" t="s">
        <v>706</v>
      </c>
      <c r="AS16" s="160" t="s">
        <v>706</v>
      </c>
      <c r="AT16" s="160" t="s">
        <v>706</v>
      </c>
      <c r="AU16" s="160" t="s">
        <v>706</v>
      </c>
      <c r="AV16" s="160" t="s">
        <v>706</v>
      </c>
      <c r="AW16" s="160" t="s">
        <v>706</v>
      </c>
      <c r="AX16" s="158">
        <f t="array" ref="AX16">LET(team, SUBSTITUTE(AX$1, " Wins", ""), IF(COUNTIF(INDIRECT("'"&amp;$A16&amp;"'!$C:$C"), team)&gt;0, 1, "-"))</f>
        <v>1</v>
      </c>
      <c r="AY16" s="158" t="str">
        <f t="array" ref="AY16">LET(team, SUBSTITUTE(AY$1, " Losses", ""), weekSheet, "'"&amp;$A16&amp;"'!", matchIdx, MATCH("*"&amp;team&amp;"*", INDIRECT(weekSheet&amp;"$B:$B"), 0), IF(ISNA(matchIdx), "-", LET(winner, INDEX(INDIRECT(weekSheet&amp;"$C:$C"), matchIdx), IF(winner="", "-", IF(winner=team, "-", 1)))))</f>
        <v>-</v>
      </c>
      <c r="AZ16" s="160" t="s">
        <v>706</v>
      </c>
      <c r="BA16" s="160" t="s">
        <v>706</v>
      </c>
      <c r="BB16" s="160" t="s">
        <v>706</v>
      </c>
      <c r="BC16" s="160" t="s">
        <v>706</v>
      </c>
      <c r="BD16" s="158" t="str">
        <f t="shared" si="113"/>
        <v>-</v>
      </c>
      <c r="BE16" s="158">
        <f t="shared" si="114"/>
        <v>1</v>
      </c>
      <c r="BF16" s="160" t="s">
        <v>706</v>
      </c>
      <c r="BG16" s="160" t="s">
        <v>706</v>
      </c>
      <c r="BH16" s="158" t="str">
        <f t="shared" si="115"/>
        <v>-</v>
      </c>
      <c r="BI16" s="158">
        <f t="shared" si="116"/>
        <v>1</v>
      </c>
      <c r="BJ16" s="158">
        <f t="shared" si="117"/>
        <v>1</v>
      </c>
      <c r="BK16" s="158" t="str">
        <f t="shared" si="118"/>
        <v>-</v>
      </c>
      <c r="BL16" s="160" t="s">
        <v>706</v>
      </c>
      <c r="BM16" s="160" t="s">
        <v>706</v>
      </c>
    </row>
    <row r="17">
      <c r="A17" s="157" t="s">
        <v>202</v>
      </c>
      <c r="B17" s="160" t="s">
        <v>706</v>
      </c>
      <c r="C17" s="160" t="s">
        <v>706</v>
      </c>
      <c r="D17" s="160" t="s">
        <v>706</v>
      </c>
      <c r="E17" s="160" t="s">
        <v>706</v>
      </c>
      <c r="F17" s="160" t="s">
        <v>706</v>
      </c>
      <c r="G17" s="160" t="s">
        <v>706</v>
      </c>
      <c r="H17" s="158">
        <f t="array" ref="H17">LET(team, SUBSTITUTE(H$1, " Wins", ""), IF(COUNTIF(INDIRECT("'"&amp;$A17&amp;"'!$C:$C"), team)&gt;0, 1, "-"))</f>
        <v>1</v>
      </c>
      <c r="I17" s="158" t="str">
        <f t="array" ref="I17">LET(team, SUBSTITUTE(I$1, " Losses", ""), weekSheet, "'"&amp;$A17&amp;"'!", matchIdx, MATCH("*"&amp;team&amp;"*", INDIRECT(weekSheet&amp;"$B:$B"), 0), IF(ISNA(matchIdx), "-", LET(winner, INDEX(INDIRECT(weekSheet&amp;"$C:$C"), matchIdx), IF(winner="", "-", IF(winner=team, "-", 1)))))</f>
        <v>-</v>
      </c>
      <c r="J17" s="158">
        <f t="shared" ref="J17:J18" si="129">LET(team, SUBSTITUTE(J$1, " Wins", ""), IF(COUNTIF(INDIRECT("'"&amp;$A17&amp;"'!$C:$C"), team)&gt;0, 1, "-"))</f>
        <v>1</v>
      </c>
      <c r="K17" s="158" t="str">
        <f t="shared" ref="K17:K18" si="130">LET(team, SUBSTITUTE(K$1, " Losses", ""), weekSheet, "'"&amp;$A17&amp;"'!", matchIdx, MATCH("*"&amp;team&amp;"*", INDIRECT(weekSheet&amp;"$B:$B"), 0), IF(ISNA(matchIdx), "-", LET(winner, INDEX(INDIRECT(weekSheet&amp;"$C:$C"), matchIdx), IF(winner="", "-", IF(winner=team, "-", 1)))))</f>
        <v>-</v>
      </c>
      <c r="L17" s="160" t="s">
        <v>706</v>
      </c>
      <c r="M17" s="160" t="s">
        <v>706</v>
      </c>
      <c r="N17" s="160" t="s">
        <v>706</v>
      </c>
      <c r="O17" s="160" t="s">
        <v>706</v>
      </c>
      <c r="P17" s="158">
        <f t="shared" si="119"/>
        <v>1</v>
      </c>
      <c r="Q17" s="158" t="str">
        <f t="shared" si="120"/>
        <v>-</v>
      </c>
      <c r="R17" s="160" t="s">
        <v>706</v>
      </c>
      <c r="S17" s="160" t="s">
        <v>706</v>
      </c>
      <c r="T17" s="158" t="str">
        <f t="shared" si="121"/>
        <v>-</v>
      </c>
      <c r="U17" s="158">
        <f t="shared" si="122"/>
        <v>1</v>
      </c>
      <c r="V17" s="160" t="s">
        <v>706</v>
      </c>
      <c r="W17" s="160" t="s">
        <v>706</v>
      </c>
      <c r="X17" s="158">
        <f t="shared" si="123"/>
        <v>1</v>
      </c>
      <c r="Y17" s="158" t="str">
        <f t="shared" si="124"/>
        <v>-</v>
      </c>
      <c r="Z17" s="158" t="str">
        <f t="shared" ref="Z17:Z18" si="131">LET(team, SUBSTITUTE(Z$1, " Wins", ""), IF(COUNTIF(INDIRECT("'"&amp;$A17&amp;"'!$C:$C"), team)&gt;0, 1, "-"))</f>
        <v>-</v>
      </c>
      <c r="AA17" s="158">
        <f t="shared" ref="AA17:AA18" si="132">LET(team, SUBSTITUTE(AA$1, " Losses", ""), weekSheet, "'"&amp;$A17&amp;"'!", matchIdx, MATCH("*"&amp;team&amp;"*", INDIRECT(weekSheet&amp;"$B:$B"), 0), IF(ISNA(matchIdx), "-", LET(winner, INDEX(INDIRECT(weekSheet&amp;"$C:$C"), matchIdx), IF(winner="", "-", IF(winner=team, "-", 1)))))</f>
        <v>1</v>
      </c>
      <c r="AB17" s="158" t="str">
        <f t="shared" si="125"/>
        <v>-</v>
      </c>
      <c r="AC17" s="158">
        <f t="shared" si="126"/>
        <v>1</v>
      </c>
      <c r="AD17" s="160" t="s">
        <v>706</v>
      </c>
      <c r="AE17" s="160" t="s">
        <v>706</v>
      </c>
      <c r="AF17" s="158" t="str">
        <f t="array" ref="AF17">LET(team, SUBSTITUTE(AF$1, " Wins", ""), IF(COUNTIF(INDIRECT("'"&amp;$A17&amp;"'!$C:$C"), team)&gt;0, 1, "-"))</f>
        <v>-</v>
      </c>
      <c r="AG17" s="158">
        <f t="array" ref="AG17">LET(team, SUBSTITUTE(AG$1, " Losses", ""), weekSheet, "'"&amp;$A17&amp;"'!", matchIdx, MATCH("*"&amp;team&amp;"*", INDIRECT(weekSheet&amp;"$B:$B"), 0), IF(ISNA(matchIdx), "-", LET(winner, INDEX(INDIRECT(weekSheet&amp;"$C:$C"), matchIdx), IF(winner="", "-", IF(winner=team, "-", 1)))))</f>
        <v>1</v>
      </c>
      <c r="AH17" s="158" t="str">
        <f t="shared" si="127"/>
        <v>-</v>
      </c>
      <c r="AI17" s="158">
        <f t="shared" si="128"/>
        <v>1</v>
      </c>
      <c r="AJ17" s="158">
        <f t="shared" ref="AJ17:AJ18" si="133">LET(team, SUBSTITUTE(AJ$1, " Wins", ""), IF(COUNTIF(INDIRECT("'"&amp;$A17&amp;"'!$C:$C"), team)&gt;0, 1, "-"))</f>
        <v>1</v>
      </c>
      <c r="AK17" s="158" t="str">
        <f t="shared" ref="AK17:AK18" si="134">LET(team, SUBSTITUTE(AK$1, " Losses", ""), weekSheet, "'"&amp;$A17&amp;"'!", matchIdx, MATCH("*"&amp;team&amp;"*", INDIRECT(weekSheet&amp;"$B:$B"), 0), IF(ISNA(matchIdx), "-", LET(winner, INDEX(INDIRECT(weekSheet&amp;"$C:$C"), matchIdx), IF(winner="", "-", IF(winner=team, "-", 1)))))</f>
        <v>-</v>
      </c>
      <c r="AL17" s="160" t="s">
        <v>706</v>
      </c>
      <c r="AM17" s="160" t="s">
        <v>706</v>
      </c>
      <c r="AN17" s="158" t="str">
        <f t="array" ref="AN17">LET(team, SUBSTITUTE(AN$1, " Wins", ""), IF(COUNTIF(INDIRECT("'"&amp;$A17&amp;"'!$C:$C"), team)&gt;0, 1, "-"))</f>
        <v>-</v>
      </c>
      <c r="AO17" s="158">
        <f t="array" ref="AO17">LET(team, SUBSTITUTE(AO$1, " Losses", ""), weekSheet, "'"&amp;$A17&amp;"'!", matchIdx, MATCH("*"&amp;team&amp;"*", INDIRECT(weekSheet&amp;"$B:$B"), 0), IF(ISNA(matchIdx), "-", LET(winner, INDEX(INDIRECT(weekSheet&amp;"$C:$C"), matchIdx), IF(winner="", "-", IF(winner=team, "-", 1)))))</f>
        <v>1</v>
      </c>
      <c r="AP17" s="160" t="s">
        <v>706</v>
      </c>
      <c r="AQ17" s="160" t="s">
        <v>706</v>
      </c>
      <c r="AR17" s="160" t="s">
        <v>706</v>
      </c>
      <c r="AS17" s="160" t="s">
        <v>706</v>
      </c>
      <c r="AT17" s="158" t="str">
        <f t="shared" ref="AT17:AT18" si="135">LET(team, SUBSTITUTE(AT$1, " Wins", ""), IF(COUNTIF(INDIRECT("'"&amp;$A17&amp;"'!$C:$C"), team)&gt;0, 1, "-"))</f>
        <v>-</v>
      </c>
      <c r="AU17" s="158">
        <f t="shared" ref="AU17:AU18" si="136">LET(team, SUBSTITUTE(AU$1, " Losses", ""), weekSheet, "'"&amp;$A17&amp;"'!", matchIdx, MATCH("*"&amp;team&amp;"*", INDIRECT(weekSheet&amp;"$B:$B"), 0), IF(ISNA(matchIdx), "-", LET(winner, INDEX(INDIRECT(weekSheet&amp;"$C:$C"), matchIdx), IF(winner="", "-", IF(winner=team, "-", 1)))))</f>
        <v>1</v>
      </c>
      <c r="AV17" s="158" t="str">
        <f t="shared" ref="AV17:AV18" si="137">LET(team, SUBSTITUTE(AV$1, " Wins", ""), IF(COUNTIF(INDIRECT("'"&amp;$A17&amp;"'!$C:$C"), team)&gt;0, 1, "-"))</f>
        <v>-</v>
      </c>
      <c r="AW17" s="158">
        <f t="shared" ref="AW17:AW18" si="138">LET(team, SUBSTITUTE(AW$1, " Losses", ""), weekSheet, "'"&amp;$A17&amp;"'!", matchIdx, MATCH("*"&amp;team&amp;"*", INDIRECT(weekSheet&amp;"$B:$B"), 0), IF(ISNA(matchIdx), "-", LET(winner, INDEX(INDIRECT(weekSheet&amp;"$C:$C"), matchIdx), IF(winner="", "-", IF(winner=team, "-", 1)))))</f>
        <v>1</v>
      </c>
      <c r="AX17" s="160" t="s">
        <v>706</v>
      </c>
      <c r="AY17" s="160" t="s">
        <v>706</v>
      </c>
      <c r="AZ17" s="158" t="str">
        <f t="array" ref="AZ17">LET(team, SUBSTITUTE(AZ$1, " Wins", ""), IF(COUNTIF(INDIRECT("'"&amp;$A17&amp;"'!$C:$C"), team)&gt;0, 1, "-"))</f>
        <v>-</v>
      </c>
      <c r="BA17" s="158">
        <f t="array" ref="BA17">LET(team, SUBSTITUTE(BA$1, " Losses", ""), weekSheet, "'"&amp;$A17&amp;"'!", matchIdx, MATCH("*"&amp;team&amp;"*", INDIRECT(weekSheet&amp;"$B:$B"), 0), IF(ISNA(matchIdx), "-", LET(winner, INDEX(INDIRECT(weekSheet&amp;"$C:$C"), matchIdx), IF(winner="", "-", IF(winner=team, "-", 1)))))</f>
        <v>1</v>
      </c>
      <c r="BB17" s="160" t="s">
        <v>706</v>
      </c>
      <c r="BC17" s="160" t="s">
        <v>706</v>
      </c>
      <c r="BD17" s="160" t="s">
        <v>706</v>
      </c>
      <c r="BE17" s="160" t="s">
        <v>706</v>
      </c>
      <c r="BF17" s="158" t="str">
        <f t="array" ref="BF17">LET(team, SUBSTITUTE(BF$1, " Wins", ""), IF(COUNTIF(INDIRECT("'"&amp;$A17&amp;"'!$C:$C"), team)&gt;0, 1, "-"))</f>
        <v>-</v>
      </c>
      <c r="BG17" s="158">
        <f t="array" ref="BG17">LET(team, SUBSTITUTE(BG$1, " Losses", ""), weekSheet, "'"&amp;$A17&amp;"'!", matchIdx, MATCH("*"&amp;team&amp;"*", INDIRECT(weekSheet&amp;"$B:$B"), 0), IF(ISNA(matchIdx), "-", LET(winner, INDEX(INDIRECT(weekSheet&amp;"$C:$C"), matchIdx), IF(winner="", "-", IF(winner=team, "-", 1)))))</f>
        <v>1</v>
      </c>
      <c r="BH17" s="160" t="s">
        <v>706</v>
      </c>
      <c r="BI17" s="160" t="s">
        <v>706</v>
      </c>
      <c r="BJ17" s="160" t="s">
        <v>706</v>
      </c>
      <c r="BK17" s="160" t="s">
        <v>706</v>
      </c>
      <c r="BL17" s="158" t="str">
        <f t="array" ref="BL17">LET(team, SUBSTITUTE(BL$1, " Wins", ""), IF(COUNTIF(INDIRECT("'"&amp;$A17&amp;"'!$C:$C"), team)&gt;0, 1, "-"))</f>
        <v>-</v>
      </c>
      <c r="BM17" s="158">
        <f t="array" ref="BM17">LET(team, SUBSTITUTE(BM$1, " Losses", ""), weekSheet, "'"&amp;$A17&amp;"'!", matchIdx, MATCH("*"&amp;team&amp;"*", INDIRECT(weekSheet&amp;"$B:$B"), 0), IF(ISNA(matchIdx), "-", LET(winner, INDEX(INDIRECT(weekSheet&amp;"$C:$C"), matchIdx), IF(winner="", "-", IF(winner=team, "-", 1)))))</f>
        <v>1</v>
      </c>
    </row>
    <row r="18">
      <c r="A18" s="157" t="s">
        <v>206</v>
      </c>
      <c r="B18" s="158">
        <f t="array" ref="B18">LET(team, SUBSTITUTE(B$1, " Wins", ""), IF(COUNTIF(INDIRECT("'"&amp;$A18&amp;"'!$C:$C"), team)&gt;0, 1, "-"))</f>
        <v>1</v>
      </c>
      <c r="C18" s="158" t="str">
        <f t="array" ref="C18">LET(team, SUBSTITUTE(C$1, " Losses", ""), weekSheet, "'"&amp;$A18&amp;"'!", matchIdx, MATCH("*"&amp;team&amp;"*", INDIRECT(weekSheet&amp;"$B:$B"), 0), IF(ISNA(matchIdx), "-", LET(winner, INDEX(INDIRECT(weekSheet&amp;"$C:$C"), matchIdx), IF(winner="", "-", IF(winner=team, "-", 1)))))</f>
        <v>-</v>
      </c>
      <c r="D18" s="158" t="str">
        <f t="shared" ref="D18:D19" si="139">LET(team, SUBSTITUTE(D$1, " Wins", ""), IF(COUNTIF(INDIRECT("'"&amp;$A18&amp;"'!$C:$C"), team)&gt;0, 1, "-"))</f>
        <v>-</v>
      </c>
      <c r="E18" s="158">
        <f t="shared" ref="E18:E19" si="140">LET(team, SUBSTITUTE(E$1, " Losses", ""), weekSheet, "'"&amp;$A18&amp;"'!", matchIdx, MATCH("*"&amp;team&amp;"*", INDIRECT(weekSheet&amp;"$B:$B"), 0), IF(ISNA(matchIdx), "-", LET(winner, INDEX(INDIRECT(weekSheet&amp;"$C:$C"), matchIdx), IF(winner="", "-", IF(winner=team, "-", 1)))))</f>
        <v>1</v>
      </c>
      <c r="F18" s="158" t="str">
        <f t="array" ref="F18">LET(team, SUBSTITUTE(F$1, " Wins", ""), IF(COUNTIF(INDIRECT("'"&amp;$A18&amp;"'!$C:$C"), team)&gt;0, 1, "-"))</f>
        <v>-</v>
      </c>
      <c r="G18" s="158">
        <f t="array" ref="G18">LET(team, SUBSTITUTE(G$1, " Losses", ""), weekSheet, "'"&amp;$A18&amp;"'!", matchIdx, MATCH("*"&amp;team&amp;"*", INDIRECT(weekSheet&amp;"$B:$B"), 0), IF(ISNA(matchIdx), "-", LET(winner, INDEX(INDIRECT(weekSheet&amp;"$C:$C"), matchIdx), IF(winner="", "-", IF(winner=team, "-", 1)))))</f>
        <v>1</v>
      </c>
      <c r="H18" s="160" t="s">
        <v>706</v>
      </c>
      <c r="I18" s="160" t="s">
        <v>706</v>
      </c>
      <c r="J18" s="158">
        <f t="shared" si="129"/>
        <v>1</v>
      </c>
      <c r="K18" s="158" t="str">
        <f t="shared" si="130"/>
        <v>-</v>
      </c>
      <c r="L18" s="160" t="s">
        <v>706</v>
      </c>
      <c r="M18" s="160" t="s">
        <v>706</v>
      </c>
      <c r="N18" s="160" t="s">
        <v>706</v>
      </c>
      <c r="O18" s="160" t="s">
        <v>706</v>
      </c>
      <c r="P18" s="160" t="s">
        <v>706</v>
      </c>
      <c r="Q18" s="160" t="s">
        <v>706</v>
      </c>
      <c r="R18" s="158">
        <f t="array" ref="R18">LET(team, SUBSTITUTE(R$1, " Wins", ""), IF(COUNTIF(INDIRECT("'"&amp;$A18&amp;"'!$C:$C"), team)&gt;0, 1, "-"))</f>
        <v>1</v>
      </c>
      <c r="S18" s="158" t="str">
        <f t="array" ref="S18">LET(team, SUBSTITUTE(S$1, " Losses", ""), weekSheet, "'"&amp;$A18&amp;"'!", matchIdx, MATCH("*"&amp;team&amp;"*", INDIRECT(weekSheet&amp;"$B:$B"), 0), IF(ISNA(matchIdx), "-", LET(winner, INDEX(INDIRECT(weekSheet&amp;"$C:$C"), matchIdx), IF(winner="", "-", IF(winner=team, "-", 1)))))</f>
        <v>-</v>
      </c>
      <c r="T18" s="160" t="s">
        <v>706</v>
      </c>
      <c r="U18" s="160" t="s">
        <v>706</v>
      </c>
      <c r="V18" s="158" t="str">
        <f t="shared" ref="V18:V19" si="141">LET(team, SUBSTITUTE(V$1, " Wins", ""), IF(COUNTIF(INDIRECT("'"&amp;$A18&amp;"'!$C:$C"), team)&gt;0, 1, "-"))</f>
        <v>-</v>
      </c>
      <c r="W18" s="158">
        <f t="shared" ref="W18:W19" si="142">LET(team, SUBSTITUTE(W$1, " Losses", ""), weekSheet, "'"&amp;$A18&amp;"'!", matchIdx, MATCH("*"&amp;team&amp;"*", INDIRECT(weekSheet&amp;"$B:$B"), 0), IF(ISNA(matchIdx), "-", LET(winner, INDEX(INDIRECT(weekSheet&amp;"$C:$C"), matchIdx), IF(winner="", "-", IF(winner=team, "-", 1)))))</f>
        <v>1</v>
      </c>
      <c r="X18" s="160" t="s">
        <v>706</v>
      </c>
      <c r="Y18" s="160" t="s">
        <v>706</v>
      </c>
      <c r="Z18" s="158">
        <f t="shared" si="131"/>
        <v>1</v>
      </c>
      <c r="AA18" s="158" t="str">
        <f t="shared" si="132"/>
        <v>-</v>
      </c>
      <c r="AB18" s="160" t="s">
        <v>706</v>
      </c>
      <c r="AC18" s="160" t="s">
        <v>706</v>
      </c>
      <c r="AD18" s="158">
        <f t="array" ref="AD18">LET(team, SUBSTITUTE(AD$1, " Wins", ""), IF(COUNTIF(INDIRECT("'"&amp;$A18&amp;"'!$C:$C"), team)&gt;0, 1, "-"))</f>
        <v>1</v>
      </c>
      <c r="AE18" s="158" t="str">
        <f t="array" ref="AE18">LET(team, SUBSTITUTE(AE$1, " Losses", ""), weekSheet, "'"&amp;$A18&amp;"'!", matchIdx, MATCH("*"&amp;team&amp;"*", INDIRECT(weekSheet&amp;"$B:$B"), 0), IF(ISNA(matchIdx), "-", LET(winner, INDEX(INDIRECT(weekSheet&amp;"$C:$C"), matchIdx), IF(winner="", "-", IF(winner=team, "-", 1)))))</f>
        <v>-</v>
      </c>
      <c r="AF18" s="160" t="s">
        <v>706</v>
      </c>
      <c r="AG18" s="160" t="s">
        <v>706</v>
      </c>
      <c r="AH18" s="160" t="s">
        <v>706</v>
      </c>
      <c r="AI18" s="160" t="s">
        <v>706</v>
      </c>
      <c r="AJ18" s="158">
        <f t="shared" si="133"/>
        <v>1</v>
      </c>
      <c r="AK18" s="158" t="str">
        <f t="shared" si="134"/>
        <v>-</v>
      </c>
      <c r="AL18" s="158">
        <f t="shared" ref="AL18:AL19" si="143">LET(team, SUBSTITUTE(AL$1, " Wins", ""), IF(COUNTIF(INDIRECT("'"&amp;$A18&amp;"'!$C:$C"), team)&gt;0, 1, "-"))</f>
        <v>1</v>
      </c>
      <c r="AM18" s="158" t="str">
        <f t="shared" ref="AM18:AM19" si="144">LET(team, SUBSTITUTE(AM$1, " Losses", ""), weekSheet, "'"&amp;$A18&amp;"'!", matchIdx, MATCH("*"&amp;team&amp;"*", INDIRECT(weekSheet&amp;"$B:$B"), 0), IF(ISNA(matchIdx), "-", LET(winner, INDEX(INDIRECT(weekSheet&amp;"$C:$C"), matchIdx), IF(winner="", "-", IF(winner=team, "-", 1)))))</f>
        <v>-</v>
      </c>
      <c r="AN18" s="160" t="s">
        <v>706</v>
      </c>
      <c r="AO18" s="160" t="s">
        <v>706</v>
      </c>
      <c r="AP18" s="160" t="s">
        <v>706</v>
      </c>
      <c r="AQ18" s="160" t="s">
        <v>706</v>
      </c>
      <c r="AR18" s="158" t="str">
        <f t="shared" ref="AR18:AR19" si="145">LET(team, SUBSTITUTE(AR$1, " Wins", ""), IF(COUNTIF(INDIRECT("'"&amp;$A18&amp;"'!$C:$C"), team)&gt;0, 1, "-"))</f>
        <v>-</v>
      </c>
      <c r="AS18" s="158">
        <f t="shared" ref="AS18:AS19" si="146">LET(team, SUBSTITUTE(AS$1, " Losses", ""), weekSheet, "'"&amp;$A18&amp;"'!", matchIdx, MATCH("*"&amp;team&amp;"*", INDIRECT(weekSheet&amp;"$B:$B"), 0), IF(ISNA(matchIdx), "-", LET(winner, INDEX(INDIRECT(weekSheet&amp;"$C:$C"), matchIdx), IF(winner="", "-", IF(winner=team, "-", 1)))))</f>
        <v>1</v>
      </c>
      <c r="AT18" s="158" t="str">
        <f t="shared" si="135"/>
        <v>-</v>
      </c>
      <c r="AU18" s="158">
        <f t="shared" si="136"/>
        <v>1</v>
      </c>
      <c r="AV18" s="158" t="str">
        <f t="shared" si="137"/>
        <v>-</v>
      </c>
      <c r="AW18" s="158">
        <f t="shared" si="138"/>
        <v>1</v>
      </c>
      <c r="AX18" s="158" t="str">
        <f t="shared" ref="AX18:AX19" si="147">LET(team, SUBSTITUTE(AX$1, " Wins", ""), IF(COUNTIF(INDIRECT("'"&amp;$A18&amp;"'!$C:$C"), team)&gt;0, 1, "-"))</f>
        <v>-</v>
      </c>
      <c r="AY18" s="158">
        <f t="shared" ref="AY18:AY19" si="148">LET(team, SUBSTITUTE(AY$1, " Losses", ""), weekSheet, "'"&amp;$A18&amp;"'!", matchIdx, MATCH("*"&amp;team&amp;"*", INDIRECT(weekSheet&amp;"$B:$B"), 0), IF(ISNA(matchIdx), "-", LET(winner, INDEX(INDIRECT(weekSheet&amp;"$C:$C"), matchIdx), IF(winner="", "-", IF(winner=team, "-", 1)))))</f>
        <v>1</v>
      </c>
      <c r="AZ18" s="160" t="s">
        <v>706</v>
      </c>
      <c r="BA18" s="160" t="s">
        <v>706</v>
      </c>
      <c r="BB18" s="158" t="str">
        <f t="array" ref="BB18">LET(team, SUBSTITUTE(BB$1, " Wins", ""), IF(COUNTIF(INDIRECT("'"&amp;$A18&amp;"'!$C:$C"), team)&gt;0, 1, "-"))</f>
        <v>-</v>
      </c>
      <c r="BC18" s="158">
        <f t="array" ref="BC18">LET(team, SUBSTITUTE(BC$1, " Losses", ""), weekSheet, "'"&amp;$A18&amp;"'!", matchIdx, MATCH("*"&amp;team&amp;"*", INDIRECT(weekSheet&amp;"$B:$B"), 0), IF(ISNA(matchIdx), "-", LET(winner, INDEX(INDIRECT(weekSheet&amp;"$C:$C"), matchIdx), IF(winner="", "-", IF(winner=team, "-", 1)))))</f>
        <v>1</v>
      </c>
      <c r="BD18" s="160" t="s">
        <v>706</v>
      </c>
      <c r="BE18" s="160" t="s">
        <v>706</v>
      </c>
      <c r="BF18" s="160" t="s">
        <v>706</v>
      </c>
      <c r="BG18" s="160" t="s">
        <v>706</v>
      </c>
      <c r="BH18" s="158">
        <f t="array" ref="BH18">LET(team, SUBSTITUTE(BH$1, " Wins", ""), IF(COUNTIF(INDIRECT("'"&amp;$A18&amp;"'!$C:$C"), team)&gt;0, 1, "-"))</f>
        <v>1</v>
      </c>
      <c r="BI18" s="158" t="str">
        <f t="array" ref="BI18">LET(team, SUBSTITUTE(BI$1, " Losses", ""), weekSheet, "'"&amp;$A18&amp;"'!", matchIdx, MATCH("*"&amp;team&amp;"*", INDIRECT(weekSheet&amp;"$B:$B"), 0), IF(ISNA(matchIdx), "-", LET(winner, INDEX(INDIRECT(weekSheet&amp;"$C:$C"), matchIdx), IF(winner="", "-", IF(winner=team, "-", 1)))))</f>
        <v>-</v>
      </c>
      <c r="BJ18" s="160" t="s">
        <v>706</v>
      </c>
      <c r="BK18" s="160" t="s">
        <v>706</v>
      </c>
      <c r="BL18" s="160" t="s">
        <v>706</v>
      </c>
      <c r="BM18" s="160" t="s">
        <v>706</v>
      </c>
    </row>
    <row r="19">
      <c r="A19" s="157" t="s">
        <v>207</v>
      </c>
      <c r="B19" s="160" t="s">
        <v>706</v>
      </c>
      <c r="C19" s="160" t="s">
        <v>706</v>
      </c>
      <c r="D19" s="158" t="str">
        <f t="shared" si="139"/>
        <v>-</v>
      </c>
      <c r="E19" s="158">
        <f t="shared" si="140"/>
        <v>1</v>
      </c>
      <c r="F19" s="160" t="s">
        <v>706</v>
      </c>
      <c r="G19" s="160" t="s">
        <v>706</v>
      </c>
      <c r="H19" s="158">
        <f t="array" ref="H19">LET(team, SUBSTITUTE(H$1, " Wins", ""), IF(COUNTIF(INDIRECT("'"&amp;$A19&amp;"'!$C:$C"), team)&gt;0, 1, "-"))</f>
        <v>1</v>
      </c>
      <c r="I19" s="158" t="str">
        <f t="array" ref="I19">LET(team, SUBSTITUTE(I$1, " Losses", ""), weekSheet, "'"&amp;$A19&amp;"'!", matchIdx, MATCH("*"&amp;team&amp;"*", INDIRECT(weekSheet&amp;"$B:$B"), 0), IF(ISNA(matchIdx), "-", LET(winner, INDEX(INDIRECT(weekSheet&amp;"$C:$C"), matchIdx), IF(winner="", "-", IF(winner=team, "-", 1)))))</f>
        <v>-</v>
      </c>
      <c r="J19" s="160" t="s">
        <v>706</v>
      </c>
      <c r="K19" s="160" t="s">
        <v>706</v>
      </c>
      <c r="L19" s="158" t="str">
        <f t="array" ref="L19">LET(team, SUBSTITUTE(L$1, " Wins", ""), IF(COUNTIF(INDIRECT("'"&amp;$A19&amp;"'!$C:$C"), team)&gt;0, 1, "-"))</f>
        <v>-</v>
      </c>
      <c r="M19" s="158">
        <f t="array" ref="M19">LET(team, SUBSTITUTE(M$1, " Losses", ""), weekSheet, "'"&amp;$A19&amp;"'!", matchIdx, MATCH("*"&amp;team&amp;"*", INDIRECT(weekSheet&amp;"$B:$B"), 0), IF(ISNA(matchIdx), "-", LET(winner, INDEX(INDIRECT(weekSheet&amp;"$C:$C"), matchIdx), IF(winner="", "-", IF(winner=team, "-", 1)))))</f>
        <v>1</v>
      </c>
      <c r="N19" s="158" t="str">
        <f t="array" ref="N19">LET(team, SUBSTITUTE(N$1, " Wins", ""), IF(COUNTIF(INDIRECT("'"&amp;$A19&amp;"'!$C:$C"), team)&gt;0, 1, "-"))</f>
        <v>-</v>
      </c>
      <c r="O19" s="158">
        <f t="array" ref="O19">LET(team, SUBSTITUTE(O$1, " Losses", ""), weekSheet, "'"&amp;$A19&amp;"'!", matchIdx, MATCH("*"&amp;team&amp;"*", INDIRECT(weekSheet&amp;"$B:$B"), 0), IF(ISNA(matchIdx), "-", LET(winner, INDEX(INDIRECT(weekSheet&amp;"$C:$C"), matchIdx), IF(winner="", "-", IF(winner=team, "-", 1)))))</f>
        <v>1</v>
      </c>
      <c r="P19" s="160" t="s">
        <v>706</v>
      </c>
      <c r="Q19" s="160" t="s">
        <v>706</v>
      </c>
      <c r="R19" s="160" t="s">
        <v>706</v>
      </c>
      <c r="S19" s="160" t="s">
        <v>706</v>
      </c>
      <c r="T19" s="158" t="str">
        <f t="array" ref="T19">LET(team, SUBSTITUTE(T$1, " Wins", ""), IF(COUNTIF(INDIRECT("'"&amp;$A19&amp;"'!$C:$C"), team)&gt;0, 1, "-"))</f>
        <v>-</v>
      </c>
      <c r="U19" s="158">
        <f t="array" ref="U19">LET(team, SUBSTITUTE(U$1, " Losses", ""), weekSheet, "'"&amp;$A19&amp;"'!", matchIdx, MATCH("*"&amp;team&amp;"*", INDIRECT(weekSheet&amp;"$B:$B"), 0), IF(ISNA(matchIdx), "-", LET(winner, INDEX(INDIRECT(weekSheet&amp;"$C:$C"), matchIdx), IF(winner="", "-", IF(winner=team, "-", 1)))))</f>
        <v>1</v>
      </c>
      <c r="V19" s="158" t="str">
        <f t="shared" si="141"/>
        <v>-</v>
      </c>
      <c r="W19" s="158">
        <f t="shared" si="142"/>
        <v>1</v>
      </c>
      <c r="X19" s="160" t="s">
        <v>706</v>
      </c>
      <c r="Y19" s="160" t="s">
        <v>706</v>
      </c>
      <c r="Z19" s="160" t="s">
        <v>706</v>
      </c>
      <c r="AA19" s="160" t="s">
        <v>706</v>
      </c>
      <c r="AB19" s="158">
        <f t="array" ref="AB19">LET(team, SUBSTITUTE(AB$1, " Wins", ""), IF(COUNTIF(INDIRECT("'"&amp;$A19&amp;"'!$C:$C"), team)&gt;0, 1, "-"))</f>
        <v>1</v>
      </c>
      <c r="AC19" s="158" t="str">
        <f t="array" ref="AC19">LET(team, SUBSTITUTE(AC$1, " Losses", ""), weekSheet, "'"&amp;$A19&amp;"'!", matchIdx, MATCH("*"&amp;team&amp;"*", INDIRECT(weekSheet&amp;"$B:$B"), 0), IF(ISNA(matchIdx), "-", LET(winner, INDEX(INDIRECT(weekSheet&amp;"$C:$C"), matchIdx), IF(winner="", "-", IF(winner=team, "-", 1)))))</f>
        <v>-</v>
      </c>
      <c r="AD19" s="160" t="s">
        <v>706</v>
      </c>
      <c r="AE19" s="160" t="s">
        <v>706</v>
      </c>
      <c r="AF19" s="158" t="str">
        <f t="array" ref="AF19">LET(team, SUBSTITUTE(AF$1, " Wins", ""), IF(COUNTIF(INDIRECT("'"&amp;$A19&amp;"'!$C:$C"), team)&gt;0, 1, "-"))</f>
        <v>-</v>
      </c>
      <c r="AG19" s="158">
        <f t="array" ref="AG19">LET(team, SUBSTITUTE(AG$1, " Losses", ""), weekSheet, "'"&amp;$A19&amp;"'!", matchIdx, MATCH("*"&amp;team&amp;"*", INDIRECT(weekSheet&amp;"$B:$B"), 0), IF(ISNA(matchIdx), "-", LET(winner, INDEX(INDIRECT(weekSheet&amp;"$C:$C"), matchIdx), IF(winner="", "-", IF(winner=team, "-", 1)))))</f>
        <v>1</v>
      </c>
      <c r="AH19" s="158">
        <f t="array" ref="AH19">LET(team, SUBSTITUTE(AH$1, " Wins", ""), IF(COUNTIF(INDIRECT("'"&amp;$A19&amp;"'!$C:$C"), team)&gt;0, 1, "-"))</f>
        <v>1</v>
      </c>
      <c r="AI19" s="158" t="str">
        <f t="array" ref="AI19">LET(team, SUBSTITUTE(AI$1, " Losses", ""), weekSheet, "'"&amp;$A19&amp;"'!", matchIdx, MATCH("*"&amp;team&amp;"*", INDIRECT(weekSheet&amp;"$B:$B"), 0), IF(ISNA(matchIdx), "-", LET(winner, INDEX(INDIRECT(weekSheet&amp;"$C:$C"), matchIdx), IF(winner="", "-", IF(winner=team, "-", 1)))))</f>
        <v>-</v>
      </c>
      <c r="AJ19" s="160" t="s">
        <v>706</v>
      </c>
      <c r="AK19" s="160" t="s">
        <v>706</v>
      </c>
      <c r="AL19" s="158">
        <f t="shared" si="143"/>
        <v>1</v>
      </c>
      <c r="AM19" s="158" t="str">
        <f t="shared" si="144"/>
        <v>-</v>
      </c>
      <c r="AN19" s="160" t="s">
        <v>706</v>
      </c>
      <c r="AO19" s="160" t="s">
        <v>706</v>
      </c>
      <c r="AP19" s="158">
        <f t="array" ref="AP19">LET(team, SUBSTITUTE(AP$1, " Wins", ""), IF(COUNTIF(INDIRECT("'"&amp;$A19&amp;"'!$C:$C"), team)&gt;0, 1, "-"))</f>
        <v>1</v>
      </c>
      <c r="AQ19" s="158" t="str">
        <f t="array" ref="AQ19">LET(team, SUBSTITUTE(AQ$1, " Losses", ""), weekSheet, "'"&amp;$A19&amp;"'!", matchIdx, MATCH("*"&amp;team&amp;"*", INDIRECT(weekSheet&amp;"$B:$B"), 0), IF(ISNA(matchIdx), "-", LET(winner, INDEX(INDIRECT(weekSheet&amp;"$C:$C"), matchIdx), IF(winner="", "-", IF(winner=team, "-", 1)))))</f>
        <v>-</v>
      </c>
      <c r="AR19" s="158">
        <f t="shared" si="145"/>
        <v>1</v>
      </c>
      <c r="AS19" s="158" t="str">
        <f t="shared" si="146"/>
        <v>-</v>
      </c>
      <c r="AT19" s="160" t="s">
        <v>706</v>
      </c>
      <c r="AU19" s="160" t="s">
        <v>706</v>
      </c>
      <c r="AV19" s="160" t="s">
        <v>706</v>
      </c>
      <c r="AW19" s="160" t="s">
        <v>706</v>
      </c>
      <c r="AX19" s="158">
        <f t="shared" si="147"/>
        <v>1</v>
      </c>
      <c r="AY19" s="158" t="str">
        <f t="shared" si="148"/>
        <v>-</v>
      </c>
      <c r="AZ19" s="160" t="s">
        <v>706</v>
      </c>
      <c r="BA19" s="160" t="s">
        <v>706</v>
      </c>
      <c r="BB19" s="160" t="s">
        <v>706</v>
      </c>
      <c r="BC19" s="160" t="s">
        <v>706</v>
      </c>
      <c r="BD19" s="158">
        <f t="array" ref="BD19">LET(team, SUBSTITUTE(BD$1, " Wins", ""), IF(COUNTIF(INDIRECT("'"&amp;$A19&amp;"'!$C:$C"), team)&gt;0, 1, "-"))</f>
        <v>1</v>
      </c>
      <c r="BE19" s="158" t="str">
        <f t="array" ref="BE19">LET(team, SUBSTITUTE(BE$1, " Losses", ""), weekSheet, "'"&amp;$A19&amp;"'!", matchIdx, MATCH("*"&amp;team&amp;"*", INDIRECT(weekSheet&amp;"$B:$B"), 0), IF(ISNA(matchIdx), "-", LET(winner, INDEX(INDIRECT(weekSheet&amp;"$C:$C"), matchIdx), IF(winner="", "-", IF(winner=team, "-", 1)))))</f>
        <v>-</v>
      </c>
      <c r="BF19" s="158" t="str">
        <f t="array" ref="BF19">LET(team, SUBSTITUTE(BF$1, " Wins", ""), IF(COUNTIF(INDIRECT("'"&amp;$A19&amp;"'!$C:$C"), team)&gt;0, 1, "-"))</f>
        <v>-</v>
      </c>
      <c r="BG19" s="158">
        <f t="array" ref="BG19">LET(team, SUBSTITUTE(BG$1, " Losses", ""), weekSheet, "'"&amp;$A19&amp;"'!", matchIdx, MATCH("*"&amp;team&amp;"*", INDIRECT(weekSheet&amp;"$B:$B"), 0), IF(ISNA(matchIdx), "-", LET(winner, INDEX(INDIRECT(weekSheet&amp;"$C:$C"), matchIdx), IF(winner="", "-", IF(winner=team, "-", 1)))))</f>
        <v>1</v>
      </c>
      <c r="BH19" s="160" t="s">
        <v>706</v>
      </c>
      <c r="BI19" s="160" t="s">
        <v>706</v>
      </c>
      <c r="BJ19" s="158">
        <f t="array" ref="BJ19">LET(team, SUBSTITUTE(BJ$1, " Wins", ""), IF(COUNTIF(INDIRECT("'"&amp;$A19&amp;"'!$C:$C"), team)&gt;0, 1, "-"))</f>
        <v>1</v>
      </c>
      <c r="BK19" s="158" t="str">
        <f t="array" ref="BK19">LET(team, SUBSTITUTE(BK$1, " Losses", ""), weekSheet, "'"&amp;$A19&amp;"'!", matchIdx, MATCH("*"&amp;team&amp;"*", INDIRECT(weekSheet&amp;"$B:$B"), 0), IF(ISNA(matchIdx), "-", LET(winner, INDEX(INDIRECT(weekSheet&amp;"$C:$C"), matchIdx), IF(winner="", "-", IF(winner=team, "-", 1)))))</f>
        <v>-</v>
      </c>
      <c r="BL19" s="160" t="s">
        <v>706</v>
      </c>
      <c r="BM19" s="160" t="s">
        <v>706</v>
      </c>
    </row>
    <row r="20">
      <c r="A20" s="227" t="s">
        <v>705</v>
      </c>
      <c r="B20" s="229">
        <f t="shared" ref="B20:BM20" si="149">SUM(B2:B19)</f>
        <v>4</v>
      </c>
      <c r="C20" s="229">
        <f t="shared" si="149"/>
        <v>5</v>
      </c>
      <c r="D20" s="230">
        <f t="shared" si="149"/>
        <v>2</v>
      </c>
      <c r="E20" s="230">
        <f t="shared" si="149"/>
        <v>7</v>
      </c>
      <c r="F20" s="231">
        <f t="shared" si="149"/>
        <v>6</v>
      </c>
      <c r="G20" s="231">
        <f t="shared" si="149"/>
        <v>3</v>
      </c>
      <c r="H20" s="232">
        <f t="shared" si="149"/>
        <v>3</v>
      </c>
      <c r="I20" s="232">
        <f t="shared" si="149"/>
        <v>6</v>
      </c>
      <c r="J20" s="233">
        <f t="shared" si="149"/>
        <v>5</v>
      </c>
      <c r="K20" s="233">
        <f t="shared" si="149"/>
        <v>4</v>
      </c>
      <c r="L20" s="234">
        <f t="shared" si="149"/>
        <v>2</v>
      </c>
      <c r="M20" s="234">
        <f t="shared" si="149"/>
        <v>7</v>
      </c>
      <c r="N20" s="235">
        <f t="shared" si="149"/>
        <v>2</v>
      </c>
      <c r="O20" s="235">
        <f t="shared" si="149"/>
        <v>7</v>
      </c>
      <c r="P20" s="236">
        <f t="shared" si="149"/>
        <v>7</v>
      </c>
      <c r="Q20" s="236">
        <f t="shared" si="149"/>
        <v>2</v>
      </c>
      <c r="R20" s="237">
        <f t="shared" si="149"/>
        <v>4</v>
      </c>
      <c r="S20" s="237">
        <f t="shared" si="149"/>
        <v>5</v>
      </c>
      <c r="T20" s="238">
        <f t="shared" si="149"/>
        <v>2</v>
      </c>
      <c r="U20" s="238">
        <f t="shared" si="149"/>
        <v>7</v>
      </c>
      <c r="V20" s="239">
        <f t="shared" si="149"/>
        <v>3</v>
      </c>
      <c r="W20" s="239">
        <f t="shared" si="149"/>
        <v>6</v>
      </c>
      <c r="X20" s="240">
        <f t="shared" si="149"/>
        <v>5</v>
      </c>
      <c r="Y20" s="240">
        <f t="shared" si="149"/>
        <v>4</v>
      </c>
      <c r="Z20" s="241">
        <f t="shared" si="149"/>
        <v>5</v>
      </c>
      <c r="AA20" s="241">
        <f t="shared" si="149"/>
        <v>4</v>
      </c>
      <c r="AB20" s="242">
        <f t="shared" si="149"/>
        <v>5</v>
      </c>
      <c r="AC20" s="242">
        <f t="shared" si="149"/>
        <v>4</v>
      </c>
      <c r="AD20" s="243">
        <f t="shared" si="149"/>
        <v>4</v>
      </c>
      <c r="AE20" s="243">
        <f t="shared" si="149"/>
        <v>5</v>
      </c>
      <c r="AF20" s="244">
        <f t="shared" si="149"/>
        <v>0</v>
      </c>
      <c r="AG20" s="244">
        <f t="shared" si="149"/>
        <v>9</v>
      </c>
      <c r="AH20" s="245">
        <f t="shared" si="149"/>
        <v>3</v>
      </c>
      <c r="AI20" s="245">
        <f t="shared" si="149"/>
        <v>5</v>
      </c>
      <c r="AJ20" s="246">
        <f t="shared" si="149"/>
        <v>5</v>
      </c>
      <c r="AK20" s="246">
        <f t="shared" si="149"/>
        <v>3</v>
      </c>
      <c r="AL20" s="247">
        <f t="shared" si="149"/>
        <v>4</v>
      </c>
      <c r="AM20" s="247">
        <f t="shared" si="149"/>
        <v>4</v>
      </c>
      <c r="AN20" s="248">
        <f t="shared" si="149"/>
        <v>1</v>
      </c>
      <c r="AO20" s="248">
        <f t="shared" si="149"/>
        <v>7</v>
      </c>
      <c r="AP20" s="249">
        <f t="shared" si="149"/>
        <v>4</v>
      </c>
      <c r="AQ20" s="249">
        <f t="shared" si="149"/>
        <v>4</v>
      </c>
      <c r="AR20" s="250">
        <f t="shared" si="149"/>
        <v>6</v>
      </c>
      <c r="AS20" s="250">
        <f t="shared" si="149"/>
        <v>2</v>
      </c>
      <c r="AT20" s="251">
        <f t="shared" si="149"/>
        <v>0</v>
      </c>
      <c r="AU20" s="251">
        <f t="shared" si="149"/>
        <v>8</v>
      </c>
      <c r="AV20" s="252">
        <f t="shared" si="149"/>
        <v>2</v>
      </c>
      <c r="AW20" s="252">
        <f t="shared" si="149"/>
        <v>6</v>
      </c>
      <c r="AX20" s="253">
        <f t="shared" si="149"/>
        <v>6</v>
      </c>
      <c r="AY20" s="253">
        <f t="shared" si="149"/>
        <v>2</v>
      </c>
      <c r="AZ20" s="254">
        <f t="shared" si="149"/>
        <v>3</v>
      </c>
      <c r="BA20" s="254">
        <f t="shared" si="149"/>
        <v>5</v>
      </c>
      <c r="BB20" s="255">
        <f t="shared" si="149"/>
        <v>3</v>
      </c>
      <c r="BC20" s="255">
        <f t="shared" si="149"/>
        <v>5</v>
      </c>
      <c r="BD20" s="256">
        <f t="shared" si="149"/>
        <v>4</v>
      </c>
      <c r="BE20" s="256">
        <f t="shared" si="149"/>
        <v>4</v>
      </c>
      <c r="BF20" s="257">
        <f t="shared" si="149"/>
        <v>1</v>
      </c>
      <c r="BG20" s="257">
        <f t="shared" si="149"/>
        <v>7</v>
      </c>
      <c r="BH20" s="258">
        <f t="shared" si="149"/>
        <v>3</v>
      </c>
      <c r="BI20" s="258">
        <f t="shared" si="149"/>
        <v>5</v>
      </c>
      <c r="BJ20" s="259">
        <f t="shared" si="149"/>
        <v>4</v>
      </c>
      <c r="BK20" s="259">
        <f t="shared" si="149"/>
        <v>4</v>
      </c>
      <c r="BL20" s="260">
        <f t="shared" si="149"/>
        <v>1</v>
      </c>
      <c r="BM20" s="260">
        <f t="shared" si="149"/>
        <v>7</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58" t="str">
        <f t="array" ref="B2">LET(team, SUBSTITUTE(B$1, " Wins", ""), IF(COUNTIF(INDIRECT("'"&amp;$A2&amp;"'!$C:$C"), team)&gt;0, 1, "-"))</f>
        <v>-</v>
      </c>
      <c r="C2" s="158">
        <f t="array" ref="C2">LET(team, SUBSTITUTE(C$1, " Losses", ""), weekSheet, "'"&amp;$A2&amp;"'!", matchIdx, MATCH("*"&amp;team&amp;"*", INDIRECT(weekSheet&amp;"$B:$B"), 0), IF(ISNA(matchIdx), "-", LET(winner, INDEX(INDIRECT(weekSheet&amp;"$C:$C"), matchIdx), IF(winner="", "-", IF(winner=team, "-", 1)))))</f>
        <v>1</v>
      </c>
      <c r="D2" s="160" t="s">
        <v>706</v>
      </c>
      <c r="E2" s="160" t="s">
        <v>706</v>
      </c>
      <c r="F2" s="158">
        <f t="array" ref="F2">LET(team, SUBSTITUTE(F$1, " Wins", ""), IF(COUNTIF(INDIRECT("'"&amp;$A2&amp;"'!$C:$C"), team)&gt;0, 1, "-"))</f>
        <v>1</v>
      </c>
      <c r="G2" s="158" t="str">
        <f t="array" ref="G2">LET(team, SUBSTITUTE(G$1, " Losses", ""), weekSheet, "'"&amp;$A2&amp;"'!", matchIdx, MATCH("*"&amp;team&amp;"*", INDIRECT(weekSheet&amp;"$B:$B"), 0), IF(ISNA(matchIdx), "-", LET(winner, INDEX(INDIRECT(weekSheet&amp;"$C:$C"), matchIdx), IF(winner="", "-", IF(winner=team, "-", 1)))))</f>
        <v>-</v>
      </c>
      <c r="H2" s="160" t="s">
        <v>706</v>
      </c>
      <c r="I2" s="160" t="s">
        <v>706</v>
      </c>
      <c r="J2" s="160" t="s">
        <v>706</v>
      </c>
      <c r="K2" s="160" t="s">
        <v>706</v>
      </c>
      <c r="L2" s="158" t="str">
        <f t="array" ref="L2">LET(team, SUBSTITUTE(L$1, " Wins", ""), IF(COUNTIF(INDIRECT("'"&amp;$A2&amp;"'!$C:$C"), team)&gt;0, 1, "-"))</f>
        <v>-</v>
      </c>
      <c r="M2" s="158">
        <f t="array" ref="M2">LET(team, SUBSTITUTE(M$1, " Losses", ""), weekSheet, "'"&amp;$A2&amp;"'!", matchIdx, MATCH("*"&amp;team&amp;"*", INDIRECT(weekSheet&amp;"$B:$B"), 0), IF(ISNA(matchIdx), "-", LET(winner, INDEX(INDIRECT(weekSheet&amp;"$C:$C"), matchIdx), IF(winner="", "-", IF(winner=team, "-", 1)))))</f>
        <v>1</v>
      </c>
      <c r="N2" s="160" t="s">
        <v>706</v>
      </c>
      <c r="O2" s="160" t="s">
        <v>706</v>
      </c>
      <c r="P2" s="160" t="s">
        <v>706</v>
      </c>
      <c r="Q2" s="160" t="s">
        <v>706</v>
      </c>
      <c r="R2" s="160" t="s">
        <v>706</v>
      </c>
      <c r="S2" s="160" t="s">
        <v>706</v>
      </c>
      <c r="T2" s="160" t="s">
        <v>706</v>
      </c>
      <c r="U2" s="160" t="s">
        <v>706</v>
      </c>
      <c r="V2" s="160" t="s">
        <v>706</v>
      </c>
      <c r="W2" s="160" t="s">
        <v>706</v>
      </c>
      <c r="X2" s="160" t="s">
        <v>706</v>
      </c>
      <c r="Y2" s="160" t="s">
        <v>706</v>
      </c>
      <c r="Z2" s="160" t="s">
        <v>706</v>
      </c>
      <c r="AA2" s="160" t="s">
        <v>706</v>
      </c>
      <c r="AB2" s="160" t="s">
        <v>706</v>
      </c>
      <c r="AC2" s="160" t="s">
        <v>706</v>
      </c>
      <c r="AD2" s="160" t="s">
        <v>706</v>
      </c>
      <c r="AE2" s="160" t="s">
        <v>706</v>
      </c>
      <c r="AF2" s="160" t="s">
        <v>706</v>
      </c>
      <c r="AG2" s="160" t="s">
        <v>706</v>
      </c>
      <c r="AH2" s="160" t="s">
        <v>706</v>
      </c>
      <c r="AI2" s="160" t="s">
        <v>706</v>
      </c>
      <c r="AJ2" s="160" t="s">
        <v>706</v>
      </c>
      <c r="AK2" s="160" t="s">
        <v>706</v>
      </c>
      <c r="AL2" s="160" t="s">
        <v>706</v>
      </c>
      <c r="AM2" s="160" t="s">
        <v>706</v>
      </c>
      <c r="AN2" s="158" t="str">
        <f t="array" ref="AN2">LET(team, SUBSTITUTE(AN$1, " Wins", ""), IF(COUNTIF(INDIRECT("'"&amp;$A2&amp;"'!$C:$C"), team)&gt;0, 1, "-"))</f>
        <v>-</v>
      </c>
      <c r="AO2" s="158">
        <f t="array" ref="AO2">LET(team, SUBSTITUTE(AO$1, " Losses", ""), weekSheet, "'"&amp;$A2&amp;"'!", matchIdx, MATCH("*"&amp;team&amp;"*", INDIRECT(weekSheet&amp;"$B:$B"), 0), IF(ISNA(matchIdx), "-", LET(winner, INDEX(INDIRECT(weekSheet&amp;"$C:$C"), matchIdx), IF(winner="", "-", IF(winner=team, "-", 1)))))</f>
        <v>1</v>
      </c>
      <c r="AP2" s="160" t="s">
        <v>706</v>
      </c>
      <c r="AQ2" s="160" t="s">
        <v>706</v>
      </c>
      <c r="AR2" s="160" t="s">
        <v>706</v>
      </c>
      <c r="AS2" s="160" t="s">
        <v>706</v>
      </c>
      <c r="AT2" s="160" t="s">
        <v>706</v>
      </c>
      <c r="AU2" s="160" t="s">
        <v>706</v>
      </c>
      <c r="AV2" s="160" t="s">
        <v>706</v>
      </c>
      <c r="AW2" s="160" t="s">
        <v>706</v>
      </c>
      <c r="AX2" s="160" t="s">
        <v>706</v>
      </c>
      <c r="AY2" s="160" t="s">
        <v>706</v>
      </c>
      <c r="AZ2" s="160" t="s">
        <v>706</v>
      </c>
      <c r="BA2" s="160" t="s">
        <v>706</v>
      </c>
      <c r="BB2" s="160" t="s">
        <v>706</v>
      </c>
      <c r="BC2" s="160" t="s">
        <v>706</v>
      </c>
      <c r="BD2" s="160" t="s">
        <v>706</v>
      </c>
      <c r="BE2" s="160" t="s">
        <v>706</v>
      </c>
      <c r="BF2" s="160" t="s">
        <v>706</v>
      </c>
      <c r="BG2" s="160" t="s">
        <v>706</v>
      </c>
      <c r="BH2" s="160" t="s">
        <v>706</v>
      </c>
      <c r="BI2" s="160" t="s">
        <v>706</v>
      </c>
      <c r="BJ2" s="160" t="s">
        <v>706</v>
      </c>
      <c r="BK2" s="160" t="s">
        <v>706</v>
      </c>
      <c r="BL2" s="160" t="s">
        <v>706</v>
      </c>
      <c r="BM2" s="160" t="s">
        <v>706</v>
      </c>
    </row>
    <row r="3">
      <c r="A3" s="157" t="s">
        <v>119</v>
      </c>
      <c r="B3" s="160" t="s">
        <v>706</v>
      </c>
      <c r="C3" s="160" t="s">
        <v>706</v>
      </c>
      <c r="D3" s="158" t="str">
        <f t="array" ref="D3">LET(team, SUBSTITUTE(D$1, " Wins", ""), IF(COUNTIF(INDIRECT("'"&amp;$A3&amp;"'!$C:$C"), team)&gt;0, 1, "-"))</f>
        <v>-</v>
      </c>
      <c r="E3" s="158">
        <f t="array" ref="E3">LET(team, SUBSTITUTE(E$1, " Losses", ""), weekSheet, "'"&amp;$A3&amp;"'!", matchIdx, MATCH("*"&amp;team&amp;"*", INDIRECT(weekSheet&amp;"$B:$B"), 0), IF(ISNA(matchIdx), "-", LET(winner, INDEX(INDIRECT(weekSheet&amp;"$C:$C"), matchIdx), IF(winner="", "-", IF(winner=team, "-", 1)))))</f>
        <v>1</v>
      </c>
      <c r="F3" s="160" t="s">
        <v>706</v>
      </c>
      <c r="G3" s="160" t="s">
        <v>706</v>
      </c>
      <c r="H3" s="158">
        <f t="array" ref="H3">LET(team, SUBSTITUTE(H$1, " Wins", ""), IF(COUNTIF(INDIRECT("'"&amp;$A3&amp;"'!$C:$C"), team)&gt;0, 1, "-"))</f>
        <v>1</v>
      </c>
      <c r="I3" s="158" t="str">
        <f t="array" ref="I3">LET(team, SUBSTITUTE(I$1, " Losses", ""), weekSheet, "'"&amp;$A3&amp;"'!", matchIdx, MATCH("*"&amp;team&amp;"*", INDIRECT(weekSheet&amp;"$B:$B"), 0), IF(ISNA(matchIdx), "-", LET(winner, INDEX(INDIRECT(weekSheet&amp;"$C:$C"), matchIdx), IF(winner="", "-", IF(winner=team, "-", 1)))))</f>
        <v>-</v>
      </c>
      <c r="J3" s="160" t="s">
        <v>706</v>
      </c>
      <c r="K3" s="160" t="s">
        <v>706</v>
      </c>
      <c r="L3" s="160" t="s">
        <v>706</v>
      </c>
      <c r="M3" s="160" t="s">
        <v>706</v>
      </c>
      <c r="N3" s="160" t="s">
        <v>706</v>
      </c>
      <c r="O3" s="160" t="s">
        <v>706</v>
      </c>
      <c r="P3" s="160" t="s">
        <v>706</v>
      </c>
      <c r="Q3" s="160" t="s">
        <v>706</v>
      </c>
      <c r="R3" s="160" t="s">
        <v>706</v>
      </c>
      <c r="S3" s="160" t="s">
        <v>706</v>
      </c>
      <c r="T3" s="160" t="s">
        <v>706</v>
      </c>
      <c r="U3" s="160" t="s">
        <v>706</v>
      </c>
      <c r="V3" s="160" t="s">
        <v>706</v>
      </c>
      <c r="W3" s="160" t="s">
        <v>706</v>
      </c>
      <c r="X3" s="160" t="s">
        <v>706</v>
      </c>
      <c r="Y3" s="160" t="s">
        <v>706</v>
      </c>
      <c r="Z3" s="160" t="s">
        <v>706</v>
      </c>
      <c r="AA3" s="160" t="s">
        <v>706</v>
      </c>
      <c r="AB3" s="158" t="str">
        <f t="array" ref="AB3">LET(team, SUBSTITUTE(AB$1, " Wins", ""), IF(COUNTIF(INDIRECT("'"&amp;$A3&amp;"'!$C:$C"), team)&gt;0, 1, "-"))</f>
        <v>-</v>
      </c>
      <c r="AC3" s="158">
        <f t="array" ref="AC3">LET(team, SUBSTITUTE(AC$1, " Losses", ""), weekSheet, "'"&amp;$A3&amp;"'!", matchIdx, MATCH("*"&amp;team&amp;"*", INDIRECT(weekSheet&amp;"$B:$B"), 0), IF(ISNA(matchIdx), "-", LET(winner, INDEX(INDIRECT(weekSheet&amp;"$C:$C"), matchIdx), IF(winner="", "-", IF(winner=team, "-", 1)))))</f>
        <v>1</v>
      </c>
      <c r="AD3" s="158">
        <f t="array" ref="AD3">LET(team, SUBSTITUTE(AD$1, " Wins", ""), IF(COUNTIF(INDIRECT("'"&amp;$A3&amp;"'!$C:$C"), team)&gt;0, 1, "-"))</f>
        <v>1</v>
      </c>
      <c r="AE3" s="158" t="str">
        <f t="array" ref="AE3">LET(team, SUBSTITUTE(AE$1, " Losses", ""), weekSheet, "'"&amp;$A3&amp;"'!", matchIdx, MATCH("*"&amp;team&amp;"*", INDIRECT(weekSheet&amp;"$B:$B"), 0), IF(ISNA(matchIdx), "-", LET(winner, INDEX(INDIRECT(weekSheet&amp;"$C:$C"), matchIdx), IF(winner="", "-", IF(winner=team, "-", 1)))))</f>
        <v>-</v>
      </c>
      <c r="AF3" s="160" t="s">
        <v>706</v>
      </c>
      <c r="AG3" s="160" t="s">
        <v>706</v>
      </c>
      <c r="AH3" s="160" t="s">
        <v>706</v>
      </c>
      <c r="AI3" s="160" t="s">
        <v>706</v>
      </c>
      <c r="AJ3" s="160" t="s">
        <v>706</v>
      </c>
      <c r="AK3" s="160" t="s">
        <v>706</v>
      </c>
      <c r="AL3" s="160" t="s">
        <v>706</v>
      </c>
      <c r="AM3" s="160" t="s">
        <v>706</v>
      </c>
      <c r="AN3" s="160" t="s">
        <v>706</v>
      </c>
      <c r="AO3" s="160" t="s">
        <v>706</v>
      </c>
      <c r="AP3" s="160" t="s">
        <v>706</v>
      </c>
      <c r="AQ3" s="160" t="s">
        <v>706</v>
      </c>
      <c r="AR3" s="160" t="s">
        <v>706</v>
      </c>
      <c r="AS3" s="160" t="s">
        <v>706</v>
      </c>
      <c r="AT3" s="160" t="s">
        <v>706</v>
      </c>
      <c r="AU3" s="160" t="s">
        <v>706</v>
      </c>
      <c r="AV3" s="160" t="s">
        <v>706</v>
      </c>
      <c r="AW3" s="160" t="s">
        <v>706</v>
      </c>
      <c r="AX3" s="160" t="s">
        <v>706</v>
      </c>
      <c r="AY3" s="160" t="s">
        <v>706</v>
      </c>
      <c r="AZ3" s="160" t="s">
        <v>706</v>
      </c>
      <c r="BA3" s="160" t="s">
        <v>706</v>
      </c>
      <c r="BB3" s="160" t="s">
        <v>706</v>
      </c>
      <c r="BC3" s="160" t="s">
        <v>706</v>
      </c>
      <c r="BD3" s="160" t="s">
        <v>706</v>
      </c>
      <c r="BE3" s="160" t="s">
        <v>706</v>
      </c>
      <c r="BF3" s="160" t="s">
        <v>706</v>
      </c>
      <c r="BG3" s="160" t="s">
        <v>706</v>
      </c>
      <c r="BH3" s="160" t="s">
        <v>706</v>
      </c>
      <c r="BI3" s="160" t="s">
        <v>706</v>
      </c>
      <c r="BJ3" s="160" t="s">
        <v>706</v>
      </c>
      <c r="BK3" s="160" t="s">
        <v>706</v>
      </c>
      <c r="BL3" s="160" t="s">
        <v>706</v>
      </c>
      <c r="BM3" s="160" t="s">
        <v>706</v>
      </c>
    </row>
    <row r="4">
      <c r="A4" s="157" t="s">
        <v>130</v>
      </c>
      <c r="B4" s="160" t="s">
        <v>706</v>
      </c>
      <c r="C4" s="160" t="s">
        <v>706</v>
      </c>
      <c r="D4" s="160" t="s">
        <v>706</v>
      </c>
      <c r="E4" s="160" t="s">
        <v>706</v>
      </c>
      <c r="F4" s="160" t="s">
        <v>706</v>
      </c>
      <c r="G4" s="160" t="s">
        <v>706</v>
      </c>
      <c r="H4" s="160" t="s">
        <v>706</v>
      </c>
      <c r="I4" s="160" t="s">
        <v>706</v>
      </c>
      <c r="J4" s="158">
        <f t="array" ref="J4">LET(team, SUBSTITUTE(J$1, " Wins", ""), IF(COUNTIF(INDIRECT("'"&amp;$A4&amp;"'!$C:$C"), team)&gt;0, 1, "-"))</f>
        <v>1</v>
      </c>
      <c r="K4" s="158" t="str">
        <f t="array" ref="K4">LET(team, SUBSTITUTE(K$1, " Losses", ""), weekSheet, "'"&amp;$A4&amp;"'!", matchIdx, MATCH("*"&amp;team&amp;"*", INDIRECT(weekSheet&amp;"$B:$B"), 0), IF(ISNA(matchIdx), "-", LET(winner, INDEX(INDIRECT(weekSheet&amp;"$C:$C"), matchIdx), IF(winner="", "-", IF(winner=team, "-", 1)))))</f>
        <v>-</v>
      </c>
      <c r="L4" s="158" t="str">
        <f t="array" ref="L4">LET(team, SUBSTITUTE(L$1, " Wins", ""), IF(COUNTIF(INDIRECT("'"&amp;$A4&amp;"'!$C:$C"), team)&gt;0, 1, "-"))</f>
        <v>-</v>
      </c>
      <c r="M4" s="158">
        <f t="array" ref="M4">LET(team, SUBSTITUTE(M$1, " Losses", ""), weekSheet, "'"&amp;$A4&amp;"'!", matchIdx, MATCH("*"&amp;team&amp;"*", INDIRECT(weekSheet&amp;"$B:$B"), 0), IF(ISNA(matchIdx), "-", LET(winner, INDEX(INDIRECT(weekSheet&amp;"$C:$C"), matchIdx), IF(winner="", "-", IF(winner=team, "-", 1)))))</f>
        <v>1</v>
      </c>
      <c r="N4" s="160" t="s">
        <v>706</v>
      </c>
      <c r="O4" s="160" t="s">
        <v>706</v>
      </c>
      <c r="P4" s="160" t="s">
        <v>706</v>
      </c>
      <c r="Q4" s="160" t="s">
        <v>706</v>
      </c>
      <c r="R4" s="160" t="s">
        <v>706</v>
      </c>
      <c r="S4" s="160" t="s">
        <v>706</v>
      </c>
      <c r="T4" s="160" t="s">
        <v>706</v>
      </c>
      <c r="U4" s="160" t="s">
        <v>706</v>
      </c>
      <c r="V4" s="160" t="s">
        <v>706</v>
      </c>
      <c r="W4" s="160" t="s">
        <v>706</v>
      </c>
      <c r="X4" s="160" t="s">
        <v>706</v>
      </c>
      <c r="Y4" s="160" t="s">
        <v>706</v>
      </c>
      <c r="Z4" s="160" t="s">
        <v>706</v>
      </c>
      <c r="AA4" s="160" t="s">
        <v>706</v>
      </c>
      <c r="AB4" s="160" t="s">
        <v>706</v>
      </c>
      <c r="AC4" s="160" t="s">
        <v>706</v>
      </c>
      <c r="AD4" s="160" t="s">
        <v>706</v>
      </c>
      <c r="AE4" s="160" t="s">
        <v>706</v>
      </c>
      <c r="AF4" s="160" t="s">
        <v>706</v>
      </c>
      <c r="AG4" s="160" t="s">
        <v>706</v>
      </c>
      <c r="AH4" s="160" t="s">
        <v>706</v>
      </c>
      <c r="AI4" s="160" t="s">
        <v>706</v>
      </c>
      <c r="AJ4" s="158" t="str">
        <f t="array" ref="AJ4">LET(team, SUBSTITUTE(AJ$1, " Wins", ""), IF(COUNTIF(INDIRECT("'"&amp;$A4&amp;"'!$C:$C"), team)&gt;0, 1, "-"))</f>
        <v>-</v>
      </c>
      <c r="AK4" s="158">
        <f t="array" ref="AK4">LET(team, SUBSTITUTE(AK$1, " Losses", ""), weekSheet, "'"&amp;$A4&amp;"'!", matchIdx, MATCH("*"&amp;team&amp;"*", INDIRECT(weekSheet&amp;"$B:$B"), 0), IF(ISNA(matchIdx), "-", LET(winner, INDEX(INDIRECT(weekSheet&amp;"$C:$C"), matchIdx), IF(winner="", "-", IF(winner=team, "-", 1)))))</f>
        <v>1</v>
      </c>
      <c r="AL4" s="160" t="s">
        <v>706</v>
      </c>
      <c r="AM4" s="160" t="s">
        <v>706</v>
      </c>
      <c r="AN4" s="160" t="s">
        <v>706</v>
      </c>
      <c r="AO4" s="160" t="s">
        <v>706</v>
      </c>
      <c r="AP4" s="160" t="s">
        <v>706</v>
      </c>
      <c r="AQ4" s="160" t="s">
        <v>706</v>
      </c>
      <c r="AR4" s="160" t="s">
        <v>706</v>
      </c>
      <c r="AS4" s="160" t="s">
        <v>706</v>
      </c>
      <c r="AT4" s="160" t="s">
        <v>706</v>
      </c>
      <c r="AU4" s="160" t="s">
        <v>706</v>
      </c>
      <c r="AV4" s="160" t="s">
        <v>706</v>
      </c>
      <c r="AW4" s="160" t="s">
        <v>706</v>
      </c>
      <c r="AX4" s="160" t="s">
        <v>706</v>
      </c>
      <c r="AY4" s="160" t="s">
        <v>706</v>
      </c>
      <c r="AZ4" s="160" t="s">
        <v>706</v>
      </c>
      <c r="BA4" s="160" t="s">
        <v>706</v>
      </c>
      <c r="BB4" s="160" t="s">
        <v>706</v>
      </c>
      <c r="BC4" s="160" t="s">
        <v>706</v>
      </c>
      <c r="BD4" s="160" t="s">
        <v>706</v>
      </c>
      <c r="BE4" s="160" t="s">
        <v>706</v>
      </c>
      <c r="BF4" s="160" t="s">
        <v>706</v>
      </c>
      <c r="BG4" s="160" t="s">
        <v>706</v>
      </c>
      <c r="BH4" s="158">
        <f t="array" ref="BH4">LET(team, SUBSTITUTE(BH$1, " Wins", ""), IF(COUNTIF(INDIRECT("'"&amp;$A4&amp;"'!$C:$C"), team)&gt;0, 1, "-"))</f>
        <v>1</v>
      </c>
      <c r="BI4" s="158" t="str">
        <f t="array" ref="BI4">LET(team, SUBSTITUTE(BI$1, " Losses", ""), weekSheet, "'"&amp;$A4&amp;"'!", matchIdx, MATCH("*"&amp;team&amp;"*", INDIRECT(weekSheet&amp;"$B:$B"), 0), IF(ISNA(matchIdx), "-", LET(winner, INDEX(INDIRECT(weekSheet&amp;"$C:$C"), matchIdx), IF(winner="", "-", IF(winner=team, "-", 1)))))</f>
        <v>-</v>
      </c>
      <c r="BJ4" s="160" t="s">
        <v>706</v>
      </c>
      <c r="BK4" s="160" t="s">
        <v>706</v>
      </c>
      <c r="BL4" s="160" t="s">
        <v>706</v>
      </c>
      <c r="BM4" s="160" t="s">
        <v>706</v>
      </c>
    </row>
    <row r="5">
      <c r="A5" s="157" t="s">
        <v>141</v>
      </c>
      <c r="B5" s="158" t="str">
        <f t="array" ref="B5">LET(team, SUBSTITUTE(B$1, " Wins", ""), IF(COUNTIF(INDIRECT("'"&amp;$A5&amp;"'!$C:$C"), team)&gt;0, 1, "-"))</f>
        <v>-</v>
      </c>
      <c r="C5" s="158">
        <f t="array" ref="C5">LET(team, SUBSTITUTE(C$1, " Losses", ""), weekSheet, "'"&amp;$A5&amp;"'!", matchIdx, MATCH("*"&amp;team&amp;"*", INDIRECT(weekSheet&amp;"$B:$B"), 0), IF(ISNA(matchIdx), "-", LET(winner, INDEX(INDIRECT(weekSheet&amp;"$C:$C"), matchIdx), IF(winner="", "-", IF(winner=team, "-", 1)))))</f>
        <v>1</v>
      </c>
      <c r="D5" s="158">
        <f t="array" ref="D5">LET(team, SUBSTITUTE(D$1, " Wins", ""), IF(COUNTIF(INDIRECT("'"&amp;$A5&amp;"'!$C:$C"), team)&gt;0, 1, "-"))</f>
        <v>1</v>
      </c>
      <c r="E5" s="158" t="str">
        <f t="array" ref="E5">LET(team, SUBSTITUTE(E$1, " Losses", ""), weekSheet, "'"&amp;$A5&amp;"'!", matchIdx, MATCH("*"&amp;team&amp;"*", INDIRECT(weekSheet&amp;"$B:$B"), 0), IF(ISNA(matchIdx), "-", LET(winner, INDEX(INDIRECT(weekSheet&amp;"$C:$C"), matchIdx), IF(winner="", "-", IF(winner=team, "-", 1)))))</f>
        <v>-</v>
      </c>
      <c r="F5" s="160" t="s">
        <v>706</v>
      </c>
      <c r="G5" s="160" t="s">
        <v>706</v>
      </c>
      <c r="H5" s="160" t="s">
        <v>706</v>
      </c>
      <c r="I5" s="160" t="s">
        <v>706</v>
      </c>
      <c r="J5" s="160" t="s">
        <v>706</v>
      </c>
      <c r="K5" s="160" t="s">
        <v>706</v>
      </c>
      <c r="L5" s="160" t="s">
        <v>706</v>
      </c>
      <c r="M5" s="160" t="s">
        <v>706</v>
      </c>
      <c r="N5" s="160" t="s">
        <v>706</v>
      </c>
      <c r="O5" s="160" t="s">
        <v>706</v>
      </c>
      <c r="P5" s="160" t="s">
        <v>706</v>
      </c>
      <c r="Q5" s="160" t="s">
        <v>706</v>
      </c>
      <c r="R5" s="160" t="s">
        <v>706</v>
      </c>
      <c r="S5" s="160" t="s">
        <v>706</v>
      </c>
      <c r="T5" s="160" t="s">
        <v>706</v>
      </c>
      <c r="U5" s="160" t="s">
        <v>706</v>
      </c>
      <c r="V5" s="160" t="s">
        <v>706</v>
      </c>
      <c r="W5" s="160" t="s">
        <v>706</v>
      </c>
      <c r="X5" s="160" t="s">
        <v>706</v>
      </c>
      <c r="Y5" s="160" t="s">
        <v>706</v>
      </c>
      <c r="Z5" s="160" t="s">
        <v>706</v>
      </c>
      <c r="AA5" s="160" t="s">
        <v>706</v>
      </c>
      <c r="AB5" s="160" t="s">
        <v>706</v>
      </c>
      <c r="AC5" s="160" t="s">
        <v>706</v>
      </c>
      <c r="AD5" s="160" t="s">
        <v>706</v>
      </c>
      <c r="AE5" s="160" t="s">
        <v>706</v>
      </c>
      <c r="AF5" s="160" t="s">
        <v>706</v>
      </c>
      <c r="AG5" s="160" t="s">
        <v>706</v>
      </c>
      <c r="AH5" s="158">
        <f t="array" ref="AH5">LET(team, SUBSTITUTE(AH$1, " Wins", ""), IF(COUNTIF(INDIRECT("'"&amp;$A5&amp;"'!$C:$C"), team)&gt;0, 1, "-"))</f>
        <v>1</v>
      </c>
      <c r="AI5" s="158" t="str">
        <f t="array" ref="AI5">LET(team, SUBSTITUTE(AI$1, " Losses", ""), weekSheet, "'"&amp;$A5&amp;"'!", matchIdx, MATCH("*"&amp;team&amp;"*", INDIRECT(weekSheet&amp;"$B:$B"), 0), IF(ISNA(matchIdx), "-", LET(winner, INDEX(INDIRECT(weekSheet&amp;"$C:$C"), matchIdx), IF(winner="", "-", IF(winner=team, "-", 1)))))</f>
        <v>-</v>
      </c>
      <c r="AJ5" s="160" t="s">
        <v>706</v>
      </c>
      <c r="AK5" s="160" t="s">
        <v>706</v>
      </c>
      <c r="AL5" s="158">
        <f t="array" ref="AL5">LET(team, SUBSTITUTE(AL$1, " Wins", ""), IF(COUNTIF(INDIRECT("'"&amp;$A5&amp;"'!$C:$C"), team)&gt;0, 1, "-"))</f>
        <v>1</v>
      </c>
      <c r="AM5" s="158" t="str">
        <f t="array" ref="AM5">LET(team, SUBSTITUTE(AM$1, " Losses", ""), weekSheet, "'"&amp;$A5&amp;"'!", matchIdx, MATCH("*"&amp;team&amp;"*", INDIRECT(weekSheet&amp;"$B:$B"), 0), IF(ISNA(matchIdx), "-", LET(winner, INDEX(INDIRECT(weekSheet&amp;"$C:$C"), matchIdx), IF(winner="", "-", IF(winner=team, "-", 1)))))</f>
        <v>-</v>
      </c>
      <c r="AN5" s="160" t="s">
        <v>706</v>
      </c>
      <c r="AO5" s="160" t="s">
        <v>706</v>
      </c>
      <c r="AP5" s="160" t="s">
        <v>706</v>
      </c>
      <c r="AQ5" s="160" t="s">
        <v>706</v>
      </c>
      <c r="AR5" s="160" t="s">
        <v>706</v>
      </c>
      <c r="AS5" s="160" t="s">
        <v>706</v>
      </c>
      <c r="AT5" s="160" t="s">
        <v>706</v>
      </c>
      <c r="AU5" s="160" t="s">
        <v>706</v>
      </c>
      <c r="AV5" s="160" t="s">
        <v>706</v>
      </c>
      <c r="AW5" s="160" t="s">
        <v>706</v>
      </c>
      <c r="AX5" s="160" t="s">
        <v>706</v>
      </c>
      <c r="AY5" s="160" t="s">
        <v>706</v>
      </c>
      <c r="AZ5" s="160" t="s">
        <v>706</v>
      </c>
      <c r="BA5" s="160" t="s">
        <v>706</v>
      </c>
      <c r="BB5" s="160" t="s">
        <v>706</v>
      </c>
      <c r="BC5" s="160" t="s">
        <v>706</v>
      </c>
      <c r="BD5" s="160" t="s">
        <v>706</v>
      </c>
      <c r="BE5" s="160" t="s">
        <v>706</v>
      </c>
      <c r="BF5" s="160" t="s">
        <v>706</v>
      </c>
      <c r="BG5" s="160" t="s">
        <v>706</v>
      </c>
      <c r="BH5" s="160" t="s">
        <v>706</v>
      </c>
      <c r="BI5" s="160" t="s">
        <v>706</v>
      </c>
      <c r="BJ5" s="160" t="s">
        <v>706</v>
      </c>
      <c r="BK5" s="160" t="s">
        <v>706</v>
      </c>
      <c r="BL5" s="160" t="s">
        <v>706</v>
      </c>
      <c r="BM5" s="160" t="s">
        <v>706</v>
      </c>
    </row>
    <row r="6">
      <c r="A6" s="157" t="s">
        <v>145</v>
      </c>
      <c r="B6" s="160" t="s">
        <v>706</v>
      </c>
      <c r="C6" s="160" t="s">
        <v>706</v>
      </c>
      <c r="D6" s="160" t="s">
        <v>706</v>
      </c>
      <c r="E6" s="160" t="s">
        <v>706</v>
      </c>
      <c r="F6" s="158">
        <f t="array" ref="F6">LET(team, SUBSTITUTE(F$1, " Wins", ""), IF(COUNTIF(INDIRECT("'"&amp;$A6&amp;"'!$C:$C"), team)&gt;0, 1, "-"))</f>
        <v>1</v>
      </c>
      <c r="G6" s="158" t="str">
        <f t="array" ref="G6">LET(team, SUBSTITUTE(G$1, " Losses", ""), weekSheet, "'"&amp;$A6&amp;"'!", matchIdx, MATCH("*"&amp;team&amp;"*", INDIRECT(weekSheet&amp;"$B:$B"), 0), IF(ISNA(matchIdx), "-", LET(winner, INDEX(INDIRECT(weekSheet&amp;"$C:$C"), matchIdx), IF(winner="", "-", IF(winner=team, "-", 1)))))</f>
        <v>-</v>
      </c>
      <c r="H6" s="158" t="str">
        <f t="shared" ref="H6:H7" si="1">LET(team, SUBSTITUTE(H$1, " Wins", ""), IF(COUNTIF(INDIRECT("'"&amp;$A6&amp;"'!$C:$C"), team)&gt;0, 1, "-"))</f>
        <v>-</v>
      </c>
      <c r="I6" s="158">
        <f t="shared" ref="I6:I7" si="2">LET(team, SUBSTITUTE(I$1, " Losses", ""), weekSheet, "'"&amp;$A6&amp;"'!", matchIdx, MATCH("*"&amp;team&amp;"*", INDIRECT(weekSheet&amp;"$B:$B"), 0), IF(ISNA(matchIdx), "-", LET(winner, INDEX(INDIRECT(weekSheet&amp;"$C:$C"), matchIdx), IF(winner="", "-", IF(winner=team, "-", 1)))))</f>
        <v>1</v>
      </c>
      <c r="J6" s="160" t="s">
        <v>706</v>
      </c>
      <c r="K6" s="160" t="s">
        <v>706</v>
      </c>
      <c r="L6" s="160" t="s">
        <v>706</v>
      </c>
      <c r="M6" s="160" t="s">
        <v>706</v>
      </c>
      <c r="N6" s="160" t="s">
        <v>706</v>
      </c>
      <c r="O6" s="160" t="s">
        <v>706</v>
      </c>
      <c r="P6" s="158">
        <f t="array" ref="P6">LET(team, SUBSTITUTE(P$1, " Wins", ""), IF(COUNTIF(INDIRECT("'"&amp;$A6&amp;"'!$C:$C"), team)&gt;0, 1, "-"))</f>
        <v>1</v>
      </c>
      <c r="Q6" s="158" t="str">
        <f t="array" ref="Q6">LET(team, SUBSTITUTE(Q$1, " Losses", ""), weekSheet, "'"&amp;$A6&amp;"'!", matchIdx, MATCH("*"&amp;team&amp;"*", INDIRECT(weekSheet&amp;"$B:$B"), 0), IF(ISNA(matchIdx), "-", LET(winner, INDEX(INDIRECT(weekSheet&amp;"$C:$C"), matchIdx), IF(winner="", "-", IF(winner=team, "-", 1)))))</f>
        <v>-</v>
      </c>
      <c r="R6" s="160" t="s">
        <v>706</v>
      </c>
      <c r="S6" s="160" t="s">
        <v>706</v>
      </c>
      <c r="T6" s="160" t="s">
        <v>706</v>
      </c>
      <c r="U6" s="160" t="s">
        <v>706</v>
      </c>
      <c r="V6" s="160" t="s">
        <v>706</v>
      </c>
      <c r="W6" s="160" t="s">
        <v>706</v>
      </c>
      <c r="X6" s="160" t="s">
        <v>706</v>
      </c>
      <c r="Y6" s="160" t="s">
        <v>706</v>
      </c>
      <c r="Z6" s="160" t="s">
        <v>706</v>
      </c>
      <c r="AA6" s="160" t="s">
        <v>706</v>
      </c>
      <c r="AB6" s="160" t="s">
        <v>706</v>
      </c>
      <c r="AC6" s="160" t="s">
        <v>706</v>
      </c>
      <c r="AD6" s="160" t="s">
        <v>706</v>
      </c>
      <c r="AE6" s="160" t="s">
        <v>706</v>
      </c>
      <c r="AF6" s="160" t="s">
        <v>706</v>
      </c>
      <c r="AG6" s="160" t="s">
        <v>706</v>
      </c>
      <c r="AH6" s="160" t="s">
        <v>706</v>
      </c>
      <c r="AI6" s="160" t="s">
        <v>706</v>
      </c>
      <c r="AJ6" s="160" t="s">
        <v>706</v>
      </c>
      <c r="AK6" s="160" t="s">
        <v>706</v>
      </c>
      <c r="AL6" s="160" t="s">
        <v>706</v>
      </c>
      <c r="AM6" s="160" t="s">
        <v>706</v>
      </c>
      <c r="AN6" s="160" t="s">
        <v>706</v>
      </c>
      <c r="AO6" s="160" t="s">
        <v>706</v>
      </c>
      <c r="AP6" s="160" t="s">
        <v>706</v>
      </c>
      <c r="AQ6" s="160" t="s">
        <v>706</v>
      </c>
      <c r="AR6" s="160" t="s">
        <v>706</v>
      </c>
      <c r="AS6" s="160" t="s">
        <v>706</v>
      </c>
      <c r="AT6" s="160" t="s">
        <v>706</v>
      </c>
      <c r="AU6" s="160" t="s">
        <v>706</v>
      </c>
      <c r="AV6" s="160" t="s">
        <v>706</v>
      </c>
      <c r="AW6" s="160" t="s">
        <v>706</v>
      </c>
      <c r="AX6" s="160" t="s">
        <v>706</v>
      </c>
      <c r="AY6" s="160" t="s">
        <v>706</v>
      </c>
      <c r="AZ6" s="160" t="s">
        <v>706</v>
      </c>
      <c r="BA6" s="160" t="s">
        <v>706</v>
      </c>
      <c r="BB6" s="160" t="s">
        <v>706</v>
      </c>
      <c r="BC6" s="160" t="s">
        <v>706</v>
      </c>
      <c r="BD6" s="160" t="s">
        <v>706</v>
      </c>
      <c r="BE6" s="160" t="s">
        <v>706</v>
      </c>
      <c r="BF6" s="160" t="s">
        <v>706</v>
      </c>
      <c r="BG6" s="160" t="s">
        <v>706</v>
      </c>
      <c r="BH6" s="160" t="s">
        <v>706</v>
      </c>
      <c r="BI6" s="160" t="s">
        <v>706</v>
      </c>
      <c r="BJ6" s="160" t="s">
        <v>706</v>
      </c>
      <c r="BK6" s="160" t="s">
        <v>706</v>
      </c>
      <c r="BL6" s="160" t="s">
        <v>706</v>
      </c>
      <c r="BM6" s="160" t="s">
        <v>706</v>
      </c>
    </row>
    <row r="7">
      <c r="A7" s="157" t="s">
        <v>156</v>
      </c>
      <c r="B7" s="45">
        <f t="array" ref="B7">LET(team, SUBSTITUTE(B$1, " Wins", ""), IF(COUNTIF(INDIRECT("'"&amp;$A7&amp;"'!$C:$C"), team)&gt;0, 1, "-"))</f>
        <v>1</v>
      </c>
      <c r="C7" s="45" t="str">
        <f t="array" ref="C7">LET(team, SUBSTITUTE(C$1, " Losses", ""), weekSheet, "'"&amp;$A7&amp;"'!", matchIdx, MATCH("*"&amp;team&amp;"*", INDIRECT(weekSheet&amp;"$B:$B"), 0), IF(ISNA(matchIdx), "-", LET(winner, INDEX(INDIRECT(weekSheet&amp;"$C:$C"), matchIdx), IF(winner="", "-", IF(winner=team, "-", 1)))))</f>
        <v>-</v>
      </c>
      <c r="D7" s="160" t="s">
        <v>706</v>
      </c>
      <c r="E7" s="160" t="s">
        <v>706</v>
      </c>
      <c r="F7" s="160" t="s">
        <v>706</v>
      </c>
      <c r="G7" s="160" t="s">
        <v>706</v>
      </c>
      <c r="H7" s="158" t="str">
        <f t="shared" si="1"/>
        <v>-</v>
      </c>
      <c r="I7" s="158">
        <f t="shared" si="2"/>
        <v>1</v>
      </c>
      <c r="J7" s="158">
        <f t="array" ref="J7">LET(team, SUBSTITUTE(J$1, " Wins", ""), IF(COUNTIF(INDIRECT("'"&amp;$A7&amp;"'!$C:$C"), team)&gt;0, 1, "-"))</f>
        <v>1</v>
      </c>
      <c r="K7" s="158" t="str">
        <f t="array" ref="K7">LET(team, SUBSTITUTE(K$1, " Losses", ""), weekSheet, "'"&amp;$A7&amp;"'!", matchIdx, MATCH("*"&amp;team&amp;"*", INDIRECT(weekSheet&amp;"$B:$B"), 0), IF(ISNA(matchIdx), "-", LET(winner, INDEX(INDIRECT(weekSheet&amp;"$C:$C"), matchIdx), IF(winner="", "-", IF(winner=team, "-", 1)))))</f>
        <v>-</v>
      </c>
      <c r="L7" s="160" t="s">
        <v>706</v>
      </c>
      <c r="M7" s="160" t="s">
        <v>706</v>
      </c>
      <c r="N7" s="160" t="s">
        <v>706</v>
      </c>
      <c r="O7" s="160" t="s">
        <v>706</v>
      </c>
      <c r="P7" s="160" t="s">
        <v>706</v>
      </c>
      <c r="Q7" s="160" t="s">
        <v>706</v>
      </c>
      <c r="R7" s="160" t="s">
        <v>706</v>
      </c>
      <c r="S7" s="160" t="s">
        <v>706</v>
      </c>
      <c r="T7" s="160" t="s">
        <v>706</v>
      </c>
      <c r="U7" s="160" t="s">
        <v>706</v>
      </c>
      <c r="V7" s="160" t="s">
        <v>706</v>
      </c>
      <c r="W7" s="160" t="s">
        <v>706</v>
      </c>
      <c r="X7" s="160" t="s">
        <v>706</v>
      </c>
      <c r="Y7" s="160" t="s">
        <v>706</v>
      </c>
      <c r="Z7" s="160" t="s">
        <v>706</v>
      </c>
      <c r="AA7" s="160" t="s">
        <v>706</v>
      </c>
      <c r="AB7" s="160" t="s">
        <v>706</v>
      </c>
      <c r="AC7" s="160" t="s">
        <v>706</v>
      </c>
      <c r="AD7" s="160" t="s">
        <v>706</v>
      </c>
      <c r="AE7" s="160" t="s">
        <v>706</v>
      </c>
      <c r="AF7" s="160" t="s">
        <v>706</v>
      </c>
      <c r="AG7" s="160" t="s">
        <v>706</v>
      </c>
      <c r="AH7" s="160" t="s">
        <v>706</v>
      </c>
      <c r="AI7" s="160" t="s">
        <v>706</v>
      </c>
      <c r="AJ7" s="160" t="s">
        <v>706</v>
      </c>
      <c r="AK7" s="160" t="s">
        <v>706</v>
      </c>
      <c r="AL7" s="158" t="str">
        <f t="shared" ref="AL7:AL8" si="3">LET(team, SUBSTITUTE(AL$1, " Wins", ""), IF(COUNTIF(INDIRECT("'"&amp;$A7&amp;"'!$C:$C"), team)&gt;0, 1, "-"))</f>
        <v>-</v>
      </c>
      <c r="AM7" s="158">
        <f t="shared" ref="AM7:AM8" si="4">LET(team, SUBSTITUTE(AM$1, " Losses", ""), weekSheet, "'"&amp;$A7&amp;"'!", matchIdx, MATCH("*"&amp;team&amp;"*", INDIRECT(weekSheet&amp;"$B:$B"), 0), IF(ISNA(matchIdx), "-", LET(winner, INDEX(INDIRECT(weekSheet&amp;"$C:$C"), matchIdx), IF(winner="", "-", IF(winner=team, "-", 1)))))</f>
        <v>1</v>
      </c>
      <c r="AN7" s="160" t="s">
        <v>706</v>
      </c>
      <c r="AO7" s="160" t="s">
        <v>706</v>
      </c>
      <c r="AP7" s="160" t="s">
        <v>706</v>
      </c>
      <c r="AQ7" s="160" t="s">
        <v>706</v>
      </c>
      <c r="AR7" s="160" t="s">
        <v>706</v>
      </c>
      <c r="AS7" s="160" t="s">
        <v>706</v>
      </c>
      <c r="AT7" s="160" t="s">
        <v>706</v>
      </c>
      <c r="AU7" s="160" t="s">
        <v>706</v>
      </c>
      <c r="AV7" s="160" t="s">
        <v>706</v>
      </c>
      <c r="AW7" s="160" t="s">
        <v>706</v>
      </c>
      <c r="AX7" s="160" t="s">
        <v>706</v>
      </c>
      <c r="AY7" s="160" t="s">
        <v>706</v>
      </c>
      <c r="AZ7" s="160" t="s">
        <v>706</v>
      </c>
      <c r="BA7" s="160" t="s">
        <v>706</v>
      </c>
      <c r="BB7" s="160" t="s">
        <v>706</v>
      </c>
      <c r="BC7" s="160" t="s">
        <v>706</v>
      </c>
      <c r="BD7" s="160" t="s">
        <v>706</v>
      </c>
      <c r="BE7" s="160" t="s">
        <v>706</v>
      </c>
      <c r="BF7" s="160" t="s">
        <v>706</v>
      </c>
      <c r="BG7" s="160" t="s">
        <v>706</v>
      </c>
      <c r="BH7" s="160" t="s">
        <v>706</v>
      </c>
      <c r="BI7" s="160" t="s">
        <v>706</v>
      </c>
      <c r="BJ7" s="160" t="s">
        <v>706</v>
      </c>
      <c r="BK7" s="160" t="s">
        <v>706</v>
      </c>
      <c r="BL7" s="160" t="s">
        <v>706</v>
      </c>
      <c r="BM7" s="160" t="s">
        <v>706</v>
      </c>
    </row>
    <row r="8">
      <c r="A8" s="157" t="s">
        <v>159</v>
      </c>
      <c r="B8" s="160" t="s">
        <v>706</v>
      </c>
      <c r="C8" s="160" t="s">
        <v>706</v>
      </c>
      <c r="D8" s="160" t="s">
        <v>706</v>
      </c>
      <c r="E8" s="160" t="s">
        <v>706</v>
      </c>
      <c r="F8" s="160" t="s">
        <v>706</v>
      </c>
      <c r="G8" s="160" t="s">
        <v>706</v>
      </c>
      <c r="H8" s="160" t="s">
        <v>706</v>
      </c>
      <c r="I8" s="160" t="s">
        <v>706</v>
      </c>
      <c r="J8" s="160" t="s">
        <v>706</v>
      </c>
      <c r="K8" s="160" t="s">
        <v>706</v>
      </c>
      <c r="L8" s="160" t="s">
        <v>706</v>
      </c>
      <c r="M8" s="160" t="s">
        <v>706</v>
      </c>
      <c r="N8" s="160" t="s">
        <v>706</v>
      </c>
      <c r="O8" s="160" t="s">
        <v>706</v>
      </c>
      <c r="P8" s="160" t="s">
        <v>706</v>
      </c>
      <c r="Q8" s="160" t="s">
        <v>706</v>
      </c>
      <c r="R8" s="160" t="s">
        <v>706</v>
      </c>
      <c r="S8" s="160" t="s">
        <v>706</v>
      </c>
      <c r="T8" s="160" t="s">
        <v>706</v>
      </c>
      <c r="U8" s="160" t="s">
        <v>706</v>
      </c>
      <c r="V8" s="160" t="s">
        <v>706</v>
      </c>
      <c r="W8" s="160" t="s">
        <v>706</v>
      </c>
      <c r="X8" s="160" t="s">
        <v>706</v>
      </c>
      <c r="Y8" s="160" t="s">
        <v>706</v>
      </c>
      <c r="Z8" s="160" t="s">
        <v>706</v>
      </c>
      <c r="AA8" s="160" t="s">
        <v>706</v>
      </c>
      <c r="AB8" s="160" t="s">
        <v>706</v>
      </c>
      <c r="AC8" s="160" t="s">
        <v>706</v>
      </c>
      <c r="AD8" s="160" t="s">
        <v>706</v>
      </c>
      <c r="AE8" s="160" t="s">
        <v>706</v>
      </c>
      <c r="AF8" s="160" t="s">
        <v>706</v>
      </c>
      <c r="AG8" s="160" t="s">
        <v>706</v>
      </c>
      <c r="AH8" s="160" t="s">
        <v>706</v>
      </c>
      <c r="AI8" s="160" t="s">
        <v>706</v>
      </c>
      <c r="AJ8" s="158">
        <f t="shared" ref="AJ8:AJ9" si="5">LET(team, SUBSTITUTE(AJ$1, " Wins", ""), IF(COUNTIF(INDIRECT("'"&amp;$A8&amp;"'!$C:$C"), team)&gt;0, 1, "-"))</f>
        <v>1</v>
      </c>
      <c r="AK8" s="158" t="str">
        <f t="shared" ref="AK8:AK9" si="6">LET(team, SUBSTITUTE(AK$1, " Losses", ""), weekSheet, "'"&amp;$A8&amp;"'!", matchIdx, MATCH("*"&amp;team&amp;"*", INDIRECT(weekSheet&amp;"$B:$B"), 0), IF(ISNA(matchIdx), "-", LET(winner, INDEX(INDIRECT(weekSheet&amp;"$C:$C"), matchIdx), IF(winner="", "-", IF(winner=team, "-", 1)))))</f>
        <v>-</v>
      </c>
      <c r="AL8" s="158">
        <f t="shared" si="3"/>
        <v>1</v>
      </c>
      <c r="AM8" s="158" t="str">
        <f t="shared" si="4"/>
        <v>-</v>
      </c>
      <c r="AN8" s="158" t="str">
        <f t="array" ref="AN8">LET(team, SUBSTITUTE(AN$1, " Wins", ""), IF(COUNTIF(INDIRECT("'"&amp;$A8&amp;"'!$C:$C"), team)&gt;0, 1, "-"))</f>
        <v>-</v>
      </c>
      <c r="AO8" s="158">
        <f t="array" ref="AO8">LET(team, SUBSTITUTE(AO$1, " Losses", ""), weekSheet, "'"&amp;$A8&amp;"'!", matchIdx, MATCH("*"&amp;team&amp;"*", INDIRECT(weekSheet&amp;"$B:$B"), 0), IF(ISNA(matchIdx), "-", LET(winner, INDEX(INDIRECT(weekSheet&amp;"$C:$C"), matchIdx), IF(winner="", "-", IF(winner=team, "-", 1)))))</f>
        <v>1</v>
      </c>
      <c r="AP8" s="160" t="s">
        <v>706</v>
      </c>
      <c r="AQ8" s="160" t="s">
        <v>706</v>
      </c>
      <c r="AR8" s="160" t="s">
        <v>706</v>
      </c>
      <c r="AS8" s="160" t="s">
        <v>706</v>
      </c>
      <c r="AT8" s="160" t="s">
        <v>706</v>
      </c>
      <c r="AU8" s="160" t="s">
        <v>706</v>
      </c>
      <c r="AV8" s="160" t="s">
        <v>706</v>
      </c>
      <c r="AW8" s="160" t="s">
        <v>706</v>
      </c>
      <c r="AX8" s="160" t="s">
        <v>706</v>
      </c>
      <c r="AY8" s="160" t="s">
        <v>706</v>
      </c>
      <c r="AZ8" s="160" t="s">
        <v>706</v>
      </c>
      <c r="BA8" s="160" t="s">
        <v>706</v>
      </c>
      <c r="BB8" s="160" t="s">
        <v>706</v>
      </c>
      <c r="BC8" s="160" t="s">
        <v>706</v>
      </c>
      <c r="BD8" s="160" t="s">
        <v>706</v>
      </c>
      <c r="BE8" s="160" t="s">
        <v>706</v>
      </c>
      <c r="BF8" s="160" t="s">
        <v>706</v>
      </c>
      <c r="BG8" s="160" t="s">
        <v>706</v>
      </c>
      <c r="BH8" s="160" t="s">
        <v>706</v>
      </c>
      <c r="BI8" s="160" t="s">
        <v>706</v>
      </c>
      <c r="BJ8" s="160" t="s">
        <v>706</v>
      </c>
      <c r="BK8" s="160" t="s">
        <v>706</v>
      </c>
      <c r="BL8" s="160" t="s">
        <v>706</v>
      </c>
      <c r="BM8" s="160" t="s">
        <v>706</v>
      </c>
    </row>
    <row r="9">
      <c r="A9" s="157" t="s">
        <v>164</v>
      </c>
      <c r="B9" s="158" t="str">
        <f t="array" ref="B9">LET(team, SUBSTITUTE(B$1, " Wins", ""), IF(COUNTIF(INDIRECT("'"&amp;$A9&amp;"'!$C:$C"), team)&gt;0, 1, "-"))</f>
        <v>-</v>
      </c>
      <c r="C9" s="158">
        <f t="array" ref="C9">LET(team, SUBSTITUTE(C$1, " Losses", ""), weekSheet, "'"&amp;$A9&amp;"'!", matchIdx, MATCH("*"&amp;team&amp;"*", INDIRECT(weekSheet&amp;"$B:$B"), 0), IF(ISNA(matchIdx), "-", LET(winner, INDEX(INDIRECT(weekSheet&amp;"$C:$C"), matchIdx), IF(winner="", "-", IF(winner=team, "-", 1)))))</f>
        <v>1</v>
      </c>
      <c r="D9" s="160" t="s">
        <v>706</v>
      </c>
      <c r="E9" s="160" t="s">
        <v>706</v>
      </c>
      <c r="F9" s="158">
        <f t="array" ref="F9">LET(team, SUBSTITUTE(F$1, " Wins", ""), IF(COUNTIF(INDIRECT("'"&amp;$A9&amp;"'!$C:$C"), team)&gt;0, 1, "-"))</f>
        <v>1</v>
      </c>
      <c r="G9" s="158" t="str">
        <f t="array" ref="G9">LET(team, SUBSTITUTE(G$1, " Losses", ""), weekSheet, "'"&amp;$A9&amp;"'!", matchIdx, MATCH("*"&amp;team&amp;"*", INDIRECT(weekSheet&amp;"$B:$B"), 0), IF(ISNA(matchIdx), "-", LET(winner, INDEX(INDIRECT(weekSheet&amp;"$C:$C"), matchIdx), IF(winner="", "-", IF(winner=team, "-", 1)))))</f>
        <v>-</v>
      </c>
      <c r="H9" s="160" t="s">
        <v>706</v>
      </c>
      <c r="I9" s="160" t="s">
        <v>706</v>
      </c>
      <c r="J9" s="160" t="s">
        <v>706</v>
      </c>
      <c r="K9" s="160" t="s">
        <v>706</v>
      </c>
      <c r="L9" s="160" t="s">
        <v>706</v>
      </c>
      <c r="M9" s="160" t="s">
        <v>706</v>
      </c>
      <c r="N9" s="158" t="str">
        <f t="shared" ref="N9:N10" si="7">LET(team, SUBSTITUTE(N$1, " Wins", ""), IF(COUNTIF(INDIRECT("'"&amp;$A9&amp;"'!$C:$C"), team)&gt;0, 1, "-"))</f>
        <v>-</v>
      </c>
      <c r="O9" s="158">
        <f t="shared" ref="O9:O10" si="8">LET(team, SUBSTITUTE(O$1, " Losses", ""), weekSheet, "'"&amp;$A9&amp;"'!", matchIdx, MATCH("*"&amp;team&amp;"*", INDIRECT(weekSheet&amp;"$B:$B"), 0), IF(ISNA(matchIdx), "-", LET(winner, INDEX(INDIRECT(weekSheet&amp;"$C:$C"), matchIdx), IF(winner="", "-", IF(winner=team, "-", 1)))))</f>
        <v>1</v>
      </c>
      <c r="P9" s="160" t="s">
        <v>706</v>
      </c>
      <c r="Q9" s="160" t="s">
        <v>706</v>
      </c>
      <c r="R9" s="160" t="s">
        <v>706</v>
      </c>
      <c r="S9" s="160" t="s">
        <v>706</v>
      </c>
      <c r="T9" s="160" t="s">
        <v>706</v>
      </c>
      <c r="U9" s="160" t="s">
        <v>706</v>
      </c>
      <c r="V9" s="160" t="s">
        <v>706</v>
      </c>
      <c r="W9" s="160" t="s">
        <v>706</v>
      </c>
      <c r="X9" s="160" t="s">
        <v>706</v>
      </c>
      <c r="Y9" s="160" t="s">
        <v>706</v>
      </c>
      <c r="Z9" s="160" t="s">
        <v>706</v>
      </c>
      <c r="AA9" s="160" t="s">
        <v>706</v>
      </c>
      <c r="AB9" s="160" t="s">
        <v>706</v>
      </c>
      <c r="AC9" s="160" t="s">
        <v>706</v>
      </c>
      <c r="AD9" s="160" t="s">
        <v>706</v>
      </c>
      <c r="AE9" s="160" t="s">
        <v>706</v>
      </c>
      <c r="AF9" s="160" t="s">
        <v>706</v>
      </c>
      <c r="AG9" s="160" t="s">
        <v>706</v>
      </c>
      <c r="AH9" s="160" t="s">
        <v>706</v>
      </c>
      <c r="AI9" s="160" t="s">
        <v>706</v>
      </c>
      <c r="AJ9" s="45">
        <f t="shared" si="5"/>
        <v>1</v>
      </c>
      <c r="AK9" s="45" t="str">
        <f t="shared" si="6"/>
        <v>-</v>
      </c>
      <c r="AL9" s="160" t="s">
        <v>706</v>
      </c>
      <c r="AM9" s="160" t="s">
        <v>706</v>
      </c>
      <c r="AN9" s="160" t="s">
        <v>706</v>
      </c>
      <c r="AO9" s="160" t="s">
        <v>706</v>
      </c>
      <c r="AP9" s="160" t="s">
        <v>706</v>
      </c>
      <c r="AQ9" s="160" t="s">
        <v>706</v>
      </c>
      <c r="AR9" s="160" t="s">
        <v>706</v>
      </c>
      <c r="AS9" s="160" t="s">
        <v>706</v>
      </c>
      <c r="AT9" s="160" t="s">
        <v>706</v>
      </c>
      <c r="AU9" s="160" t="s">
        <v>706</v>
      </c>
      <c r="AV9" s="160" t="s">
        <v>706</v>
      </c>
      <c r="AW9" s="160" t="s">
        <v>706</v>
      </c>
      <c r="AX9" s="160" t="s">
        <v>706</v>
      </c>
      <c r="AY9" s="160" t="s">
        <v>706</v>
      </c>
      <c r="AZ9" s="160" t="s">
        <v>706</v>
      </c>
      <c r="BA9" s="160" t="s">
        <v>706</v>
      </c>
      <c r="BB9" s="160" t="s">
        <v>706</v>
      </c>
      <c r="BC9" s="160" t="s">
        <v>706</v>
      </c>
      <c r="BD9" s="160" t="s">
        <v>706</v>
      </c>
      <c r="BE9" s="160" t="s">
        <v>706</v>
      </c>
      <c r="BF9" s="160" t="s">
        <v>706</v>
      </c>
      <c r="BG9" s="160" t="s">
        <v>706</v>
      </c>
      <c r="BH9" s="160" t="s">
        <v>706</v>
      </c>
      <c r="BI9" s="160" t="s">
        <v>706</v>
      </c>
      <c r="BJ9" s="160" t="s">
        <v>706</v>
      </c>
      <c r="BK9" s="160" t="s">
        <v>706</v>
      </c>
      <c r="BL9" s="160" t="s">
        <v>706</v>
      </c>
      <c r="BM9" s="160" t="s">
        <v>706</v>
      </c>
    </row>
    <row r="10">
      <c r="A10" s="157" t="s">
        <v>170</v>
      </c>
      <c r="B10" s="160" t="s">
        <v>706</v>
      </c>
      <c r="C10" s="160" t="s">
        <v>706</v>
      </c>
      <c r="D10" s="160" t="s">
        <v>706</v>
      </c>
      <c r="E10" s="160" t="s">
        <v>706</v>
      </c>
      <c r="F10" s="160" t="s">
        <v>706</v>
      </c>
      <c r="G10" s="160" t="s">
        <v>706</v>
      </c>
      <c r="H10" s="160" t="s">
        <v>706</v>
      </c>
      <c r="I10" s="160" t="s">
        <v>706</v>
      </c>
      <c r="J10" s="160" t="s">
        <v>706</v>
      </c>
      <c r="K10" s="160" t="s">
        <v>706</v>
      </c>
      <c r="L10" s="160" t="s">
        <v>706</v>
      </c>
      <c r="M10" s="160" t="s">
        <v>706</v>
      </c>
      <c r="N10" s="45" t="str">
        <f t="shared" si="7"/>
        <v>-</v>
      </c>
      <c r="O10" s="45">
        <f t="shared" si="8"/>
        <v>1</v>
      </c>
      <c r="P10" s="160" t="s">
        <v>706</v>
      </c>
      <c r="Q10" s="160" t="s">
        <v>706</v>
      </c>
      <c r="R10" s="160" t="s">
        <v>706</v>
      </c>
      <c r="S10" s="160" t="s">
        <v>706</v>
      </c>
      <c r="T10" s="160" t="s">
        <v>706</v>
      </c>
      <c r="U10" s="160" t="s">
        <v>706</v>
      </c>
      <c r="V10" s="160" t="s">
        <v>706</v>
      </c>
      <c r="W10" s="160" t="s">
        <v>706</v>
      </c>
      <c r="X10" s="160" t="s">
        <v>706</v>
      </c>
      <c r="Y10" s="160" t="s">
        <v>706</v>
      </c>
      <c r="Z10" s="158" t="str">
        <f t="array" ref="Z10">LET(team, SUBSTITUTE(Z$1, " Wins", ""), IF(COUNTIF(INDIRECT("'"&amp;$A10&amp;"'!$C:$C"), team)&gt;0, 1, "-"))</f>
        <v>-</v>
      </c>
      <c r="AA10" s="158">
        <f t="array" ref="AA10">LET(team, SUBSTITUTE(AA$1, " Losses", ""), weekSheet, "'"&amp;$A10&amp;"'!", matchIdx, MATCH("*"&amp;team&amp;"*", INDIRECT(weekSheet&amp;"$B:$B"), 0), IF(ISNA(matchIdx), "-", LET(winner, INDEX(INDIRECT(weekSheet&amp;"$C:$C"), matchIdx), IF(winner="", "-", IF(winner=team, "-", 1)))))</f>
        <v>1</v>
      </c>
      <c r="AB10" s="160" t="s">
        <v>706</v>
      </c>
      <c r="AC10" s="160" t="s">
        <v>706</v>
      </c>
      <c r="AD10" s="160" t="s">
        <v>706</v>
      </c>
      <c r="AE10" s="160" t="s">
        <v>706</v>
      </c>
      <c r="AF10" s="160" t="s">
        <v>706</v>
      </c>
      <c r="AG10" s="160" t="s">
        <v>706</v>
      </c>
      <c r="AH10" s="45">
        <f t="array" ref="AH10">LET(team, SUBSTITUTE(AH$1, " Wins", ""), IF(COUNTIF(INDIRECT("'"&amp;$A10&amp;"'!$C:$C"), team)&gt;0, 1, "-"))</f>
        <v>1</v>
      </c>
      <c r="AI10" s="45" t="str">
        <f t="array" ref="AI10">LET(team, SUBSTITUTE(AI$1, " Losses", ""), weekSheet, "'"&amp;$A10&amp;"'!", matchIdx, MATCH("*"&amp;team&amp;"*", INDIRECT(weekSheet&amp;"$B:$B"), 0), IF(ISNA(matchIdx), "-", LET(winner, INDEX(INDIRECT(weekSheet&amp;"$C:$C"), matchIdx), IF(winner="", "-", IF(winner=team, "-", 1)))))</f>
        <v>-</v>
      </c>
      <c r="AJ10" s="160" t="s">
        <v>706</v>
      </c>
      <c r="AK10" s="160" t="s">
        <v>706</v>
      </c>
      <c r="AL10" s="160" t="s">
        <v>706</v>
      </c>
      <c r="AM10" s="160" t="s">
        <v>706</v>
      </c>
      <c r="AN10" s="160" t="s">
        <v>706</v>
      </c>
      <c r="AO10" s="160" t="s">
        <v>706</v>
      </c>
      <c r="AP10" s="160" t="s">
        <v>706</v>
      </c>
      <c r="AQ10" s="160" t="s">
        <v>706</v>
      </c>
      <c r="AR10" s="160" t="s">
        <v>706</v>
      </c>
      <c r="AS10" s="160" t="s">
        <v>706</v>
      </c>
      <c r="AT10" s="160" t="s">
        <v>706</v>
      </c>
      <c r="AU10" s="160" t="s">
        <v>706</v>
      </c>
      <c r="AV10" s="160" t="s">
        <v>706</v>
      </c>
      <c r="AW10" s="160" t="s">
        <v>706</v>
      </c>
      <c r="AX10" s="160" t="s">
        <v>706</v>
      </c>
      <c r="AY10" s="160" t="s">
        <v>706</v>
      </c>
      <c r="AZ10" s="160" t="s">
        <v>706</v>
      </c>
      <c r="BA10" s="160" t="s">
        <v>706</v>
      </c>
      <c r="BB10" s="160" t="s">
        <v>706</v>
      </c>
      <c r="BC10" s="160" t="s">
        <v>706</v>
      </c>
      <c r="BD10" s="160" t="s">
        <v>706</v>
      </c>
      <c r="BE10" s="160" t="s">
        <v>706</v>
      </c>
      <c r="BF10" s="160" t="s">
        <v>706</v>
      </c>
      <c r="BG10" s="160" t="s">
        <v>706</v>
      </c>
      <c r="BH10" s="160" t="s">
        <v>706</v>
      </c>
      <c r="BI10" s="160" t="s">
        <v>706</v>
      </c>
      <c r="BJ10" s="160" t="s">
        <v>706</v>
      </c>
      <c r="BK10" s="160" t="s">
        <v>706</v>
      </c>
      <c r="BL10" s="158" t="str">
        <f t="array" ref="BL10">LET(team, SUBSTITUTE(BL$1, " Wins", ""), IF(COUNTIF(INDIRECT("'"&amp;$A10&amp;"'!$C:$C"), team)&gt;0, 1, "-"))</f>
        <v>-</v>
      </c>
      <c r="BM10" s="158">
        <f t="array" ref="BM10">LET(team, SUBSTITUTE(BM$1, " Losses", ""), weekSheet, "'"&amp;$A10&amp;"'!", matchIdx, MATCH("*"&amp;team&amp;"*", INDIRECT(weekSheet&amp;"$B:$B"), 0), IF(ISNA(matchIdx), "-", LET(winner, INDEX(INDIRECT(weekSheet&amp;"$C:$C"), matchIdx), IF(winner="", "-", IF(winner=team, "-", 1)))))</f>
        <v>1</v>
      </c>
    </row>
    <row r="11">
      <c r="A11" s="157" t="s">
        <v>175</v>
      </c>
      <c r="B11" s="160" t="s">
        <v>706</v>
      </c>
      <c r="C11" s="160" t="s">
        <v>706</v>
      </c>
      <c r="D11" s="160" t="s">
        <v>706</v>
      </c>
      <c r="E11" s="160" t="s">
        <v>706</v>
      </c>
      <c r="F11" s="160" t="s">
        <v>706</v>
      </c>
      <c r="G11" s="160" t="s">
        <v>706</v>
      </c>
      <c r="H11" s="160" t="s">
        <v>706</v>
      </c>
      <c r="I11" s="160" t="s">
        <v>706</v>
      </c>
      <c r="J11" s="160" t="s">
        <v>706</v>
      </c>
      <c r="K11" s="160" t="s">
        <v>706</v>
      </c>
      <c r="L11" s="160" t="s">
        <v>706</v>
      </c>
      <c r="M11" s="160" t="s">
        <v>706</v>
      </c>
      <c r="N11" s="160" t="s">
        <v>706</v>
      </c>
      <c r="O11" s="160" t="s">
        <v>706</v>
      </c>
      <c r="P11" s="160" t="s">
        <v>706</v>
      </c>
      <c r="Q11" s="160" t="s">
        <v>706</v>
      </c>
      <c r="R11" s="158">
        <f t="array" ref="R11">LET(team, SUBSTITUTE(R$1, " Wins", ""), IF(COUNTIF(INDIRECT("'"&amp;$A11&amp;"'!$C:$C"), team)&gt;0, 1, "-"))</f>
        <v>1</v>
      </c>
      <c r="S11" s="158" t="str">
        <f t="array" ref="S11">LET(team, SUBSTITUTE(S$1, " Losses", ""), weekSheet, "'"&amp;$A11&amp;"'!", matchIdx, MATCH("*"&amp;team&amp;"*", INDIRECT(weekSheet&amp;"$B:$B"), 0), IF(ISNA(matchIdx), "-", LET(winner, INDEX(INDIRECT(weekSheet&amp;"$C:$C"), matchIdx), IF(winner="", "-", IF(winner=team, "-", 1)))))</f>
        <v>-</v>
      </c>
      <c r="T11" s="160" t="s">
        <v>706</v>
      </c>
      <c r="U11" s="160" t="s">
        <v>706</v>
      </c>
      <c r="V11" s="160" t="s">
        <v>706</v>
      </c>
      <c r="W11" s="160" t="s">
        <v>706</v>
      </c>
      <c r="X11" s="160" t="s">
        <v>706</v>
      </c>
      <c r="Y11" s="160" t="s">
        <v>706</v>
      </c>
      <c r="Z11" s="160" t="s">
        <v>706</v>
      </c>
      <c r="AA11" s="160" t="s">
        <v>706</v>
      </c>
      <c r="AB11" s="160" t="s">
        <v>706</v>
      </c>
      <c r="AC11" s="160" t="s">
        <v>706</v>
      </c>
      <c r="AD11" s="160" t="s">
        <v>706</v>
      </c>
      <c r="AE11" s="160" t="s">
        <v>706</v>
      </c>
      <c r="AF11" s="160" t="s">
        <v>706</v>
      </c>
      <c r="AG11" s="160" t="s">
        <v>706</v>
      </c>
      <c r="AH11" s="160" t="s">
        <v>706</v>
      </c>
      <c r="AI11" s="160" t="s">
        <v>706</v>
      </c>
      <c r="AJ11" s="160" t="s">
        <v>706</v>
      </c>
      <c r="AK11" s="160" t="s">
        <v>706</v>
      </c>
      <c r="AL11" s="45" t="str">
        <f t="array" ref="AL11">LET(team, SUBSTITUTE(AL$1, " Wins", ""), IF(COUNTIF(INDIRECT("'"&amp;$A11&amp;"'!$C:$C"), team)&gt;0, 1, "-"))</f>
        <v>-</v>
      </c>
      <c r="AM11" s="45">
        <f t="array" ref="AM11">LET(team, SUBSTITUTE(AM$1, " Losses", ""), weekSheet, "'"&amp;$A11&amp;"'!", matchIdx, MATCH("*"&amp;team&amp;"*", INDIRECT(weekSheet&amp;"$B:$B"), 0), IF(ISNA(matchIdx), "-", LET(winner, INDEX(INDIRECT(weekSheet&amp;"$C:$C"), matchIdx), IF(winner="", "-", IF(winner=team, "-", 1)))))</f>
        <v>1</v>
      </c>
      <c r="AN11" s="160" t="s">
        <v>706</v>
      </c>
      <c r="AO11" s="160" t="s">
        <v>706</v>
      </c>
      <c r="AP11" s="160" t="s">
        <v>706</v>
      </c>
      <c r="AQ11" s="160" t="s">
        <v>706</v>
      </c>
      <c r="AR11" s="160" t="s">
        <v>706</v>
      </c>
      <c r="AS11" s="160" t="s">
        <v>706</v>
      </c>
      <c r="AT11" s="160" t="s">
        <v>706</v>
      </c>
      <c r="AU11" s="160" t="s">
        <v>706</v>
      </c>
      <c r="AV11" s="160" t="s">
        <v>706</v>
      </c>
      <c r="AW11" s="160" t="s">
        <v>706</v>
      </c>
      <c r="AX11" s="160" t="s">
        <v>706</v>
      </c>
      <c r="AY11" s="160" t="s">
        <v>706</v>
      </c>
      <c r="AZ11" s="160" t="s">
        <v>706</v>
      </c>
      <c r="BA11" s="160" t="s">
        <v>706</v>
      </c>
      <c r="BB11" s="160" t="s">
        <v>706</v>
      </c>
      <c r="BC11" s="160" t="s">
        <v>706</v>
      </c>
      <c r="BD11" s="160" t="s">
        <v>706</v>
      </c>
      <c r="BE11" s="160" t="s">
        <v>706</v>
      </c>
      <c r="BF11" s="160" t="s">
        <v>706</v>
      </c>
      <c r="BG11" s="160" t="s">
        <v>706</v>
      </c>
      <c r="BH11" s="160" t="s">
        <v>706</v>
      </c>
      <c r="BI11" s="160" t="s">
        <v>706</v>
      </c>
      <c r="BJ11" s="158" t="str">
        <f t="array" ref="BJ11">LET(team, SUBSTITUTE(BJ$1, " Wins", ""), IF(COUNTIF(INDIRECT("'"&amp;$A11&amp;"'!$C:$C"), team)&gt;0, 1, "-"))</f>
        <v>-</v>
      </c>
      <c r="BK11" s="158">
        <f t="array" ref="BK11">LET(team, SUBSTITUTE(BK$1, " Losses", ""), weekSheet, "'"&amp;$A11&amp;"'!", matchIdx, MATCH("*"&amp;team&amp;"*", INDIRECT(weekSheet&amp;"$B:$B"), 0), IF(ISNA(matchIdx), "-", LET(winner, INDEX(INDIRECT(weekSheet&amp;"$C:$C"), matchIdx), IF(winner="", "-", IF(winner=team, "-", 1)))))</f>
        <v>1</v>
      </c>
      <c r="BL11" s="160" t="s">
        <v>706</v>
      </c>
      <c r="BM11" s="160" t="s">
        <v>706</v>
      </c>
    </row>
    <row r="12">
      <c r="A12" s="157" t="s">
        <v>179</v>
      </c>
      <c r="B12" s="160" t="s">
        <v>706</v>
      </c>
      <c r="C12" s="160" t="s">
        <v>706</v>
      </c>
      <c r="D12" s="158" t="str">
        <f t="array" ref="D12">LET(team, SUBSTITUTE(D$1, " Wins", ""), IF(COUNTIF(INDIRECT("'"&amp;$A12&amp;"'!$C:$C"), team)&gt;0, 1, "-"))</f>
        <v>-</v>
      </c>
      <c r="E12" s="158">
        <f t="array" ref="E12">LET(team, SUBSTITUTE(E$1, " Losses", ""), weekSheet, "'"&amp;$A12&amp;"'!", matchIdx, MATCH("*"&amp;team&amp;"*", INDIRECT(weekSheet&amp;"$B:$B"), 0), IF(ISNA(matchIdx), "-", LET(winner, INDEX(INDIRECT(weekSheet&amp;"$C:$C"), matchIdx), IF(winner="", "-", IF(winner=team, "-", 1)))))</f>
        <v>1</v>
      </c>
      <c r="F12" s="158">
        <f t="array" ref="F12">LET(team, SUBSTITUTE(F$1, " Wins", ""), IF(COUNTIF(INDIRECT("'"&amp;$A12&amp;"'!$C:$C"), team)&gt;0, 1, "-"))</f>
        <v>1</v>
      </c>
      <c r="G12" s="158" t="str">
        <f t="array" ref="G12">LET(team, SUBSTITUTE(G$1, " Losses", ""), weekSheet, "'"&amp;$A12&amp;"'!", matchIdx, MATCH("*"&amp;team&amp;"*", INDIRECT(weekSheet&amp;"$B:$B"), 0), IF(ISNA(matchIdx), "-", LET(winner, INDEX(INDIRECT(weekSheet&amp;"$C:$C"), matchIdx), IF(winner="", "-", IF(winner=team, "-", 1)))))</f>
        <v>-</v>
      </c>
      <c r="H12" s="160" t="s">
        <v>706</v>
      </c>
      <c r="I12" s="160" t="s">
        <v>706</v>
      </c>
      <c r="J12" s="160" t="s">
        <v>706</v>
      </c>
      <c r="K12" s="160" t="s">
        <v>706</v>
      </c>
      <c r="L12" s="160" t="s">
        <v>706</v>
      </c>
      <c r="M12" s="160" t="s">
        <v>706</v>
      </c>
      <c r="N12" s="158" t="str">
        <f t="array" ref="N12">LET(team, SUBSTITUTE(N$1, " Wins", ""), IF(COUNTIF(INDIRECT("'"&amp;$A12&amp;"'!$C:$C"), team)&gt;0, 1, "-"))</f>
        <v>-</v>
      </c>
      <c r="O12" s="158">
        <f t="array" ref="O12">LET(team, SUBSTITUTE(O$1, " Losses", ""), weekSheet, "'"&amp;$A12&amp;"'!", matchIdx, MATCH("*"&amp;team&amp;"*", INDIRECT(weekSheet&amp;"$B:$B"), 0), IF(ISNA(matchIdx), "-", LET(winner, INDEX(INDIRECT(weekSheet&amp;"$C:$C"), matchIdx), IF(winner="", "-", IF(winner=team, "-", 1)))))</f>
        <v>1</v>
      </c>
      <c r="P12" s="160" t="s">
        <v>706</v>
      </c>
      <c r="Q12" s="160" t="s">
        <v>706</v>
      </c>
      <c r="R12" s="160" t="s">
        <v>706</v>
      </c>
      <c r="S12" s="160" t="s">
        <v>706</v>
      </c>
      <c r="T12" s="160" t="s">
        <v>706</v>
      </c>
      <c r="U12" s="160" t="s">
        <v>706</v>
      </c>
      <c r="V12" s="160" t="s">
        <v>706</v>
      </c>
      <c r="W12" s="160" t="s">
        <v>706</v>
      </c>
      <c r="X12" s="160" t="s">
        <v>706</v>
      </c>
      <c r="Y12" s="160" t="s">
        <v>706</v>
      </c>
      <c r="Z12" s="160" t="s">
        <v>706</v>
      </c>
      <c r="AA12" s="160" t="s">
        <v>706</v>
      </c>
      <c r="AB12" s="160" t="s">
        <v>706</v>
      </c>
      <c r="AC12" s="160" t="s">
        <v>706</v>
      </c>
      <c r="AD12" s="160" t="s">
        <v>706</v>
      </c>
      <c r="AE12" s="160" t="s">
        <v>706</v>
      </c>
      <c r="AF12" s="160" t="s">
        <v>706</v>
      </c>
      <c r="AG12" s="160" t="s">
        <v>706</v>
      </c>
      <c r="AH12" s="160" t="s">
        <v>706</v>
      </c>
      <c r="AI12" s="160" t="s">
        <v>706</v>
      </c>
      <c r="AJ12" s="160" t="s">
        <v>706</v>
      </c>
      <c r="AK12" s="160" t="s">
        <v>706</v>
      </c>
      <c r="AL12" s="160" t="s">
        <v>706</v>
      </c>
      <c r="AM12" s="160" t="s">
        <v>706</v>
      </c>
      <c r="AN12" s="45" t="str">
        <f t="array" ref="AN12">LET(team, SUBSTITUTE(AN$1, " Wins", ""), IF(COUNTIF(INDIRECT("'"&amp;$A12&amp;"'!$C:$C"), team)&gt;0, 1, "-"))</f>
        <v>-</v>
      </c>
      <c r="AO12" s="45">
        <f t="array" ref="AO12">LET(team, SUBSTITUTE(AO$1, " Losses", ""), weekSheet, "'"&amp;$A12&amp;"'!", matchIdx, MATCH("*"&amp;team&amp;"*", INDIRECT(weekSheet&amp;"$B:$B"), 0), IF(ISNA(matchIdx), "-", LET(winner, INDEX(INDIRECT(weekSheet&amp;"$C:$C"), matchIdx), IF(winner="", "-", IF(winner=team, "-", 1)))))</f>
        <v>1</v>
      </c>
      <c r="AP12" s="160" t="s">
        <v>706</v>
      </c>
      <c r="AQ12" s="160" t="s">
        <v>706</v>
      </c>
      <c r="AR12" s="160" t="s">
        <v>706</v>
      </c>
      <c r="AS12" s="160" t="s">
        <v>706</v>
      </c>
      <c r="AT12" s="160" t="s">
        <v>706</v>
      </c>
      <c r="AU12" s="160" t="s">
        <v>706</v>
      </c>
      <c r="AV12" s="160" t="s">
        <v>706</v>
      </c>
      <c r="AW12" s="160" t="s">
        <v>706</v>
      </c>
      <c r="AX12" s="160" t="s">
        <v>706</v>
      </c>
      <c r="AY12" s="160" t="s">
        <v>706</v>
      </c>
      <c r="AZ12" s="160" t="s">
        <v>706</v>
      </c>
      <c r="BA12" s="160" t="s">
        <v>706</v>
      </c>
      <c r="BB12" s="160" t="s">
        <v>706</v>
      </c>
      <c r="BC12" s="160" t="s">
        <v>706</v>
      </c>
      <c r="BD12" s="160" t="s">
        <v>706</v>
      </c>
      <c r="BE12" s="160" t="s">
        <v>706</v>
      </c>
      <c r="BF12" s="160" t="s">
        <v>706</v>
      </c>
      <c r="BG12" s="160" t="s">
        <v>706</v>
      </c>
      <c r="BH12" s="160" t="s">
        <v>706</v>
      </c>
      <c r="BI12" s="160" t="s">
        <v>706</v>
      </c>
      <c r="BJ12" s="160" t="s">
        <v>706</v>
      </c>
      <c r="BK12" s="160" t="s">
        <v>706</v>
      </c>
      <c r="BL12" s="160" t="s">
        <v>706</v>
      </c>
      <c r="BM12" s="160" t="s">
        <v>706</v>
      </c>
    </row>
    <row r="13">
      <c r="A13" s="157" t="s">
        <v>185</v>
      </c>
      <c r="B13" s="160" t="s">
        <v>706</v>
      </c>
      <c r="C13" s="160" t="s">
        <v>706</v>
      </c>
      <c r="D13" s="160" t="s">
        <v>706</v>
      </c>
      <c r="E13" s="160" t="s">
        <v>706</v>
      </c>
      <c r="F13" s="160" t="s">
        <v>706</v>
      </c>
      <c r="G13" s="160" t="s">
        <v>706</v>
      </c>
      <c r="H13" s="160" t="s">
        <v>706</v>
      </c>
      <c r="I13" s="160" t="s">
        <v>706</v>
      </c>
      <c r="J13" s="45">
        <f t="array" ref="J13">LET(team, SUBSTITUTE(J$1, " Wins", ""), IF(COUNTIF(INDIRECT("'"&amp;$A13&amp;"'!$C:$C"), team)&gt;0, 1, "-"))</f>
        <v>1</v>
      </c>
      <c r="K13" s="45" t="str">
        <f t="array" ref="K13">LET(team, SUBSTITUTE(K$1, " Losses", ""), weekSheet, "'"&amp;$A13&amp;"'!", matchIdx, MATCH("*"&amp;team&amp;"*", INDIRECT(weekSheet&amp;"$B:$B"), 0), IF(ISNA(matchIdx), "-", LET(winner, INDEX(INDIRECT(weekSheet&amp;"$C:$C"), matchIdx), IF(winner="", "-", IF(winner=team, "-", 1)))))</f>
        <v>-</v>
      </c>
      <c r="L13" s="160" t="s">
        <v>706</v>
      </c>
      <c r="M13" s="160" t="s">
        <v>706</v>
      </c>
      <c r="N13" s="160" t="s">
        <v>706</v>
      </c>
      <c r="O13" s="160" t="s">
        <v>706</v>
      </c>
      <c r="P13" s="158">
        <f t="array" ref="P13">LET(team, SUBSTITUTE(P$1, " Wins", ""), IF(COUNTIF(INDIRECT("'"&amp;$A13&amp;"'!$C:$C"), team)&gt;0, 1, "-"))</f>
        <v>1</v>
      </c>
      <c r="Q13" s="158" t="str">
        <f t="array" ref="Q13">LET(team, SUBSTITUTE(Q$1, " Losses", ""), weekSheet, "'"&amp;$A13&amp;"'!", matchIdx, MATCH("*"&amp;team&amp;"*", INDIRECT(weekSheet&amp;"$B:$B"), 0), IF(ISNA(matchIdx), "-", LET(winner, INDEX(INDIRECT(weekSheet&amp;"$C:$C"), matchIdx), IF(winner="", "-", IF(winner=team, "-", 1)))))</f>
        <v>-</v>
      </c>
      <c r="R13" s="160" t="s">
        <v>706</v>
      </c>
      <c r="S13" s="160" t="s">
        <v>706</v>
      </c>
      <c r="T13" s="158" t="str">
        <f t="array" ref="T13">LET(team, SUBSTITUTE(T$1, " Wins", ""), IF(COUNTIF(INDIRECT("'"&amp;$A13&amp;"'!$C:$C"), team)&gt;0, 1, "-"))</f>
        <v>-</v>
      </c>
      <c r="U13" s="158">
        <f t="array" ref="U13">LET(team, SUBSTITUTE(U$1, " Losses", ""), weekSheet, "'"&amp;$A13&amp;"'!", matchIdx, MATCH("*"&amp;team&amp;"*", INDIRECT(weekSheet&amp;"$B:$B"), 0), IF(ISNA(matchIdx), "-", LET(winner, INDEX(INDIRECT(weekSheet&amp;"$C:$C"), matchIdx), IF(winner="", "-", IF(winner=team, "-", 1)))))</f>
        <v>1</v>
      </c>
      <c r="V13" s="158" t="str">
        <f t="array" ref="V13">LET(team, SUBSTITUTE(V$1, " Wins", ""), IF(COUNTIF(INDIRECT("'"&amp;$A13&amp;"'!$C:$C"), team)&gt;0, 1, "-"))</f>
        <v>-</v>
      </c>
      <c r="W13" s="158">
        <f t="array" ref="W13">LET(team, SUBSTITUTE(W$1, " Losses", ""), weekSheet, "'"&amp;$A13&amp;"'!", matchIdx, MATCH("*"&amp;team&amp;"*", INDIRECT(weekSheet&amp;"$B:$B"), 0), IF(ISNA(matchIdx), "-", LET(winner, INDEX(INDIRECT(weekSheet&amp;"$C:$C"), matchIdx), IF(winner="", "-", IF(winner=team, "-", 1)))))</f>
        <v>1</v>
      </c>
      <c r="X13" s="160" t="s">
        <v>706</v>
      </c>
      <c r="Y13" s="160" t="s">
        <v>706</v>
      </c>
      <c r="Z13" s="160" t="s">
        <v>706</v>
      </c>
      <c r="AA13" s="160" t="s">
        <v>706</v>
      </c>
      <c r="AB13" s="160" t="s">
        <v>706</v>
      </c>
      <c r="AC13" s="160" t="s">
        <v>706</v>
      </c>
      <c r="AD13" s="160" t="s">
        <v>706</v>
      </c>
      <c r="AE13" s="160" t="s">
        <v>706</v>
      </c>
      <c r="AF13" s="160" t="s">
        <v>706</v>
      </c>
      <c r="AG13" s="160" t="s">
        <v>706</v>
      </c>
      <c r="AH13" s="160" t="s">
        <v>706</v>
      </c>
      <c r="AI13" s="160" t="s">
        <v>706</v>
      </c>
      <c r="AJ13" s="160" t="s">
        <v>706</v>
      </c>
      <c r="AK13" s="160" t="s">
        <v>706</v>
      </c>
      <c r="AL13" s="160" t="s">
        <v>706</v>
      </c>
      <c r="AM13" s="160" t="s">
        <v>706</v>
      </c>
      <c r="AN13" s="160" t="s">
        <v>706</v>
      </c>
      <c r="AO13" s="160" t="s">
        <v>706</v>
      </c>
      <c r="AP13" s="160" t="s">
        <v>706</v>
      </c>
      <c r="AQ13" s="160" t="s">
        <v>706</v>
      </c>
      <c r="AR13" s="160" t="s">
        <v>706</v>
      </c>
      <c r="AS13" s="160" t="s">
        <v>706</v>
      </c>
      <c r="AT13" s="160" t="s">
        <v>706</v>
      </c>
      <c r="AU13" s="160" t="s">
        <v>706</v>
      </c>
      <c r="AV13" s="160" t="s">
        <v>706</v>
      </c>
      <c r="AW13" s="160" t="s">
        <v>706</v>
      </c>
      <c r="AX13" s="160" t="s">
        <v>706</v>
      </c>
      <c r="AY13" s="160" t="s">
        <v>706</v>
      </c>
      <c r="AZ13" s="160" t="s">
        <v>706</v>
      </c>
      <c r="BA13" s="160" t="s">
        <v>706</v>
      </c>
      <c r="BB13" s="160" t="s">
        <v>706</v>
      </c>
      <c r="BC13" s="160" t="s">
        <v>706</v>
      </c>
      <c r="BD13" s="160" t="s">
        <v>706</v>
      </c>
      <c r="BE13" s="160" t="s">
        <v>706</v>
      </c>
      <c r="BF13" s="160" t="s">
        <v>706</v>
      </c>
      <c r="BG13" s="160" t="s">
        <v>706</v>
      </c>
      <c r="BH13" s="160" t="s">
        <v>706</v>
      </c>
      <c r="BI13" s="160" t="s">
        <v>706</v>
      </c>
      <c r="BJ13" s="160" t="s">
        <v>706</v>
      </c>
      <c r="BK13" s="160" t="s">
        <v>706</v>
      </c>
      <c r="BL13" s="160" t="s">
        <v>706</v>
      </c>
      <c r="BM13" s="160" t="s">
        <v>706</v>
      </c>
    </row>
    <row r="14">
      <c r="A14" s="157" t="s">
        <v>191</v>
      </c>
      <c r="B14" s="160" t="s">
        <v>706</v>
      </c>
      <c r="C14" s="160" t="s">
        <v>706</v>
      </c>
      <c r="D14" s="160" t="s">
        <v>706</v>
      </c>
      <c r="E14" s="160" t="s">
        <v>706</v>
      </c>
      <c r="F14" s="160" t="s">
        <v>706</v>
      </c>
      <c r="G14" s="160" t="s">
        <v>706</v>
      </c>
      <c r="H14" s="160" t="s">
        <v>706</v>
      </c>
      <c r="I14" s="160" t="s">
        <v>706</v>
      </c>
      <c r="J14" s="160" t="s">
        <v>706</v>
      </c>
      <c r="K14" s="160" t="s">
        <v>706</v>
      </c>
      <c r="L14" s="158" t="str">
        <f t="array" ref="L14">LET(team, SUBSTITUTE(L$1, " Wins", ""), IF(COUNTIF(INDIRECT("'"&amp;$A14&amp;"'!$C:$C"), team)&gt;0, 1, "-"))</f>
        <v>-</v>
      </c>
      <c r="M14" s="158">
        <f t="array" ref="M14">LET(team, SUBSTITUTE(M$1, " Losses", ""), weekSheet, "'"&amp;$A14&amp;"'!", matchIdx, MATCH("*"&amp;team&amp;"*", INDIRECT(weekSheet&amp;"$B:$B"), 0), IF(ISNA(matchIdx), "-", LET(winner, INDEX(INDIRECT(weekSheet&amp;"$C:$C"), matchIdx), IF(winner="", "-", IF(winner=team, "-", 1)))))</f>
        <v>1</v>
      </c>
      <c r="N14" s="160" t="s">
        <v>706</v>
      </c>
      <c r="O14" s="160" t="s">
        <v>706</v>
      </c>
      <c r="P14" s="160" t="s">
        <v>706</v>
      </c>
      <c r="Q14" s="160" t="s">
        <v>706</v>
      </c>
      <c r="R14" s="160" t="s">
        <v>706</v>
      </c>
      <c r="S14" s="160" t="s">
        <v>706</v>
      </c>
      <c r="T14" s="160" t="s">
        <v>706</v>
      </c>
      <c r="U14" s="160" t="s">
        <v>706</v>
      </c>
      <c r="V14" s="160" t="s">
        <v>706</v>
      </c>
      <c r="W14" s="160" t="s">
        <v>706</v>
      </c>
      <c r="X14" s="160" t="s">
        <v>706</v>
      </c>
      <c r="Y14" s="160" t="s">
        <v>706</v>
      </c>
      <c r="Z14" s="160" t="s">
        <v>706</v>
      </c>
      <c r="AA14" s="160" t="s">
        <v>706</v>
      </c>
      <c r="AB14" s="160" t="s">
        <v>706</v>
      </c>
      <c r="AC14" s="160" t="s">
        <v>706</v>
      </c>
      <c r="AD14" s="160" t="s">
        <v>706</v>
      </c>
      <c r="AE14" s="160" t="s">
        <v>706</v>
      </c>
      <c r="AF14" s="160" t="s">
        <v>706</v>
      </c>
      <c r="AG14" s="160" t="s">
        <v>706</v>
      </c>
      <c r="AH14" s="160" t="s">
        <v>706</v>
      </c>
      <c r="AI14" s="160" t="s">
        <v>706</v>
      </c>
      <c r="AJ14" s="158">
        <f t="array" ref="AJ14">LET(team, SUBSTITUTE(AJ$1, " Wins", ""), IF(COUNTIF(INDIRECT("'"&amp;$A14&amp;"'!$C:$C"), team)&gt;0, 1, "-"))</f>
        <v>1</v>
      </c>
      <c r="AK14" s="158" t="str">
        <f t="array" ref="AK14">LET(team, SUBSTITUTE(AK$1, " Losses", ""), weekSheet, "'"&amp;$A14&amp;"'!", matchIdx, MATCH("*"&amp;team&amp;"*", INDIRECT(weekSheet&amp;"$B:$B"), 0), IF(ISNA(matchIdx), "-", LET(winner, INDEX(INDIRECT(weekSheet&amp;"$C:$C"), matchIdx), IF(winner="", "-", IF(winner=team, "-", 1)))))</f>
        <v>-</v>
      </c>
      <c r="AL14" s="160" t="s">
        <v>706</v>
      </c>
      <c r="AM14" s="160" t="s">
        <v>706</v>
      </c>
      <c r="AN14" s="160" t="s">
        <v>706</v>
      </c>
      <c r="AO14" s="160" t="s">
        <v>706</v>
      </c>
      <c r="AP14" s="160" t="s">
        <v>706</v>
      </c>
      <c r="AQ14" s="160" t="s">
        <v>706</v>
      </c>
      <c r="AR14" s="160" t="s">
        <v>706</v>
      </c>
      <c r="AS14" s="160" t="s">
        <v>706</v>
      </c>
      <c r="AT14" s="160" t="s">
        <v>706</v>
      </c>
      <c r="AU14" s="160" t="s">
        <v>706</v>
      </c>
      <c r="AV14" s="160" t="s">
        <v>706</v>
      </c>
      <c r="AW14" s="160" t="s">
        <v>706</v>
      </c>
      <c r="AX14" s="160" t="s">
        <v>706</v>
      </c>
      <c r="AY14" s="160" t="s">
        <v>706</v>
      </c>
      <c r="AZ14" s="160" t="s">
        <v>706</v>
      </c>
      <c r="BA14" s="160" t="s">
        <v>706</v>
      </c>
      <c r="BB14" s="160" t="s">
        <v>706</v>
      </c>
      <c r="BC14" s="160" t="s">
        <v>706</v>
      </c>
      <c r="BD14" s="160" t="s">
        <v>706</v>
      </c>
      <c r="BE14" s="160" t="s">
        <v>706</v>
      </c>
      <c r="BF14" s="158">
        <f t="array" ref="BF14">LET(team, SUBSTITUTE(BF$1, " Wins", ""), IF(COUNTIF(INDIRECT("'"&amp;$A14&amp;"'!$C:$C"), team)&gt;0, 1, "-"))</f>
        <v>1</v>
      </c>
      <c r="BG14" s="158" t="str">
        <f t="array" ref="BG14">LET(team, SUBSTITUTE(BG$1, " Losses", ""), weekSheet, "'"&amp;$A14&amp;"'!", matchIdx, MATCH("*"&amp;team&amp;"*", INDIRECT(weekSheet&amp;"$B:$B"), 0), IF(ISNA(matchIdx), "-", LET(winner, INDEX(INDIRECT(weekSheet&amp;"$C:$C"), matchIdx), IF(winner="", "-", IF(winner=team, "-", 1)))))</f>
        <v>-</v>
      </c>
      <c r="BH14" s="160" t="s">
        <v>706</v>
      </c>
      <c r="BI14" s="160" t="s">
        <v>706</v>
      </c>
      <c r="BJ14" s="160" t="s">
        <v>706</v>
      </c>
      <c r="BK14" s="160" t="s">
        <v>706</v>
      </c>
      <c r="BL14" s="160" t="s">
        <v>706</v>
      </c>
      <c r="BM14" s="160" t="s">
        <v>706</v>
      </c>
    </row>
    <row r="15">
      <c r="A15" s="157" t="s">
        <v>194</v>
      </c>
      <c r="B15" s="160" t="s">
        <v>706</v>
      </c>
      <c r="C15" s="160" t="s">
        <v>706</v>
      </c>
      <c r="D15" s="158" t="str">
        <f t="shared" ref="D15:D16" si="9">LET(team, SUBSTITUTE(D$1, " Wins", ""), IF(COUNTIF(INDIRECT("'"&amp;$A15&amp;"'!$C:$C"), team)&gt;0, 1, "-"))</f>
        <v>-</v>
      </c>
      <c r="E15" s="158">
        <f t="shared" ref="E15:E16" si="10">LET(team, SUBSTITUTE(E$1, " Losses", ""), weekSheet, "'"&amp;$A15&amp;"'!", matchIdx, MATCH("*"&amp;team&amp;"*", INDIRECT(weekSheet&amp;"$B:$B"), 0), IF(ISNA(matchIdx), "-", LET(winner, INDEX(INDIRECT(weekSheet&amp;"$C:$C"), matchIdx), IF(winner="", "-", IF(winner=team, "-", 1)))))</f>
        <v>1</v>
      </c>
      <c r="F15" s="160" t="s">
        <v>706</v>
      </c>
      <c r="G15" s="160" t="s">
        <v>706</v>
      </c>
      <c r="H15" s="158">
        <f t="array" ref="H15">LET(team, SUBSTITUTE(H$1, " Wins", ""), IF(COUNTIF(INDIRECT("'"&amp;$A15&amp;"'!$C:$C"), team)&gt;0, 1, "-"))</f>
        <v>1</v>
      </c>
      <c r="I15" s="158" t="str">
        <f t="array" ref="I15">LET(team, SUBSTITUTE(I$1, " Losses", ""), weekSheet, "'"&amp;$A15&amp;"'!", matchIdx, MATCH("*"&amp;team&amp;"*", INDIRECT(weekSheet&amp;"$B:$B"), 0), IF(ISNA(matchIdx), "-", LET(winner, INDEX(INDIRECT(weekSheet&amp;"$C:$C"), matchIdx), IF(winner="", "-", IF(winner=team, "-", 1)))))</f>
        <v>-</v>
      </c>
      <c r="J15" s="160" t="s">
        <v>706</v>
      </c>
      <c r="K15" s="160" t="s">
        <v>706</v>
      </c>
      <c r="L15" s="160" t="s">
        <v>706</v>
      </c>
      <c r="M15" s="160" t="s">
        <v>706</v>
      </c>
      <c r="N15" s="158" t="str">
        <f t="array" ref="N15">LET(team, SUBSTITUTE(N$1, " Wins", ""), IF(COUNTIF(INDIRECT("'"&amp;$A15&amp;"'!$C:$C"), team)&gt;0, 1, "-"))</f>
        <v>-</v>
      </c>
      <c r="O15" s="158">
        <f t="array" ref="O15">LET(team, SUBSTITUTE(O$1, " Losses", ""), weekSheet, "'"&amp;$A15&amp;"'!", matchIdx, MATCH("*"&amp;team&amp;"*", INDIRECT(weekSheet&amp;"$B:$B"), 0), IF(ISNA(matchIdx), "-", LET(winner, INDEX(INDIRECT(weekSheet&amp;"$C:$C"), matchIdx), IF(winner="", "-", IF(winner=team, "-", 1)))))</f>
        <v>1</v>
      </c>
      <c r="P15" s="160" t="s">
        <v>706</v>
      </c>
      <c r="Q15" s="160" t="s">
        <v>706</v>
      </c>
      <c r="R15" s="160" t="s">
        <v>706</v>
      </c>
      <c r="S15" s="160" t="s">
        <v>706</v>
      </c>
      <c r="T15" s="160" t="s">
        <v>706</v>
      </c>
      <c r="U15" s="160" t="s">
        <v>706</v>
      </c>
      <c r="V15" s="160" t="s">
        <v>706</v>
      </c>
      <c r="W15" s="160" t="s">
        <v>706</v>
      </c>
      <c r="X15" s="158" t="str">
        <f t="array" ref="X15">LET(team, SUBSTITUTE(X$1, " Wins", ""), IF(COUNTIF(INDIRECT("'"&amp;$A15&amp;"'!$C:$C"), team)&gt;0, 1, "-"))</f>
        <v>-</v>
      </c>
      <c r="Y15" s="158">
        <f t="array" ref="Y15">LET(team, SUBSTITUTE(Y$1, " Losses", ""), weekSheet, "'"&amp;$A15&amp;"'!", matchIdx, MATCH("*"&amp;team&amp;"*", INDIRECT(weekSheet&amp;"$B:$B"), 0), IF(ISNA(matchIdx), "-", LET(winner, INDEX(INDIRECT(weekSheet&amp;"$C:$C"), matchIdx), IF(winner="", "-", IF(winner=team, "-", 1)))))</f>
        <v>1</v>
      </c>
      <c r="Z15" s="160" t="s">
        <v>706</v>
      </c>
      <c r="AA15" s="160" t="s">
        <v>706</v>
      </c>
      <c r="AB15" s="160" t="s">
        <v>706</v>
      </c>
      <c r="AC15" s="160" t="s">
        <v>706</v>
      </c>
      <c r="AD15" s="160" t="s">
        <v>706</v>
      </c>
      <c r="AE15" s="160" t="s">
        <v>706</v>
      </c>
      <c r="AF15" s="160" t="s">
        <v>706</v>
      </c>
      <c r="AG15" s="160" t="s">
        <v>706</v>
      </c>
      <c r="AH15" s="160" t="s">
        <v>706</v>
      </c>
      <c r="AI15" s="160" t="s">
        <v>706</v>
      </c>
      <c r="AJ15" s="160" t="s">
        <v>706</v>
      </c>
      <c r="AK15" s="160" t="s">
        <v>706</v>
      </c>
      <c r="AL15" s="160" t="s">
        <v>706</v>
      </c>
      <c r="AM15" s="160" t="s">
        <v>706</v>
      </c>
      <c r="AN15" s="160" t="s">
        <v>706</v>
      </c>
      <c r="AO15" s="160" t="s">
        <v>706</v>
      </c>
      <c r="AP15" s="160" t="s">
        <v>706</v>
      </c>
      <c r="AQ15" s="160" t="s">
        <v>706</v>
      </c>
      <c r="AR15" s="160" t="s">
        <v>706</v>
      </c>
      <c r="AS15" s="160" t="s">
        <v>706</v>
      </c>
      <c r="AT15" s="160" t="s">
        <v>706</v>
      </c>
      <c r="AU15" s="160" t="s">
        <v>706</v>
      </c>
      <c r="AV15" s="160" t="s">
        <v>706</v>
      </c>
      <c r="AW15" s="160" t="s">
        <v>706</v>
      </c>
      <c r="AX15" s="160" t="s">
        <v>706</v>
      </c>
      <c r="AY15" s="160" t="s">
        <v>706</v>
      </c>
      <c r="AZ15" s="160" t="s">
        <v>706</v>
      </c>
      <c r="BA15" s="160" t="s">
        <v>706</v>
      </c>
      <c r="BB15" s="160" t="s">
        <v>706</v>
      </c>
      <c r="BC15" s="160" t="s">
        <v>706</v>
      </c>
      <c r="BD15" s="160" t="s">
        <v>706</v>
      </c>
      <c r="BE15" s="160" t="s">
        <v>706</v>
      </c>
      <c r="BF15" s="160" t="s">
        <v>706</v>
      </c>
      <c r="BG15" s="160" t="s">
        <v>706</v>
      </c>
      <c r="BH15" s="160" t="s">
        <v>706</v>
      </c>
      <c r="BI15" s="160" t="s">
        <v>706</v>
      </c>
      <c r="BJ15" s="160" t="s">
        <v>706</v>
      </c>
      <c r="BK15" s="160" t="s">
        <v>706</v>
      </c>
      <c r="BL15" s="160" t="s">
        <v>706</v>
      </c>
      <c r="BM15" s="160" t="s">
        <v>706</v>
      </c>
    </row>
    <row r="16">
      <c r="A16" s="157" t="s">
        <v>198</v>
      </c>
      <c r="B16" s="160" t="s">
        <v>706</v>
      </c>
      <c r="C16" s="160" t="s">
        <v>706</v>
      </c>
      <c r="D16" s="158">
        <f t="shared" si="9"/>
        <v>1</v>
      </c>
      <c r="E16" s="158" t="str">
        <f t="shared" si="10"/>
        <v>-</v>
      </c>
      <c r="F16" s="158" t="str">
        <f t="array" ref="F16">LET(team, SUBSTITUTE(F$1, " Wins", ""), IF(COUNTIF(INDIRECT("'"&amp;$A16&amp;"'!$C:$C"), team)&gt;0, 1, "-"))</f>
        <v>-</v>
      </c>
      <c r="G16" s="158">
        <f t="array" ref="G16">LET(team, SUBSTITUTE(G$1, " Losses", ""), weekSheet, "'"&amp;$A16&amp;"'!", matchIdx, MATCH("*"&amp;team&amp;"*", INDIRECT(weekSheet&amp;"$B:$B"), 0), IF(ISNA(matchIdx), "-", LET(winner, INDEX(INDIRECT(weekSheet&amp;"$C:$C"), matchIdx), IF(winner="", "-", IF(winner=team, "-", 1)))))</f>
        <v>1</v>
      </c>
      <c r="H16" s="160" t="s">
        <v>706</v>
      </c>
      <c r="I16" s="160" t="s">
        <v>706</v>
      </c>
      <c r="J16" s="160" t="s">
        <v>706</v>
      </c>
      <c r="K16" s="160" t="s">
        <v>706</v>
      </c>
      <c r="L16" s="160" t="s">
        <v>706</v>
      </c>
      <c r="M16" s="160" t="s">
        <v>706</v>
      </c>
      <c r="N16" s="160" t="s">
        <v>706</v>
      </c>
      <c r="O16" s="160" t="s">
        <v>706</v>
      </c>
      <c r="P16" s="158" t="str">
        <f t="array" ref="P16">LET(team, SUBSTITUTE(P$1, " Wins", ""), IF(COUNTIF(INDIRECT("'"&amp;$A16&amp;"'!$C:$C"), team)&gt;0, 1, "-"))</f>
        <v>-</v>
      </c>
      <c r="Q16" s="158">
        <f t="array" ref="Q16">LET(team, SUBSTITUTE(Q$1, " Losses", ""), weekSheet, "'"&amp;$A16&amp;"'!", matchIdx, MATCH("*"&amp;team&amp;"*", INDIRECT(weekSheet&amp;"$B:$B"), 0), IF(ISNA(matchIdx), "-", LET(winner, INDEX(INDIRECT(weekSheet&amp;"$C:$C"), matchIdx), IF(winner="", "-", IF(winner=team, "-", 1)))))</f>
        <v>1</v>
      </c>
      <c r="R16" s="160" t="s">
        <v>706</v>
      </c>
      <c r="S16" s="160" t="s">
        <v>706</v>
      </c>
      <c r="T16" s="160" t="s">
        <v>706</v>
      </c>
      <c r="U16" s="160" t="s">
        <v>706</v>
      </c>
      <c r="V16" s="160" t="s">
        <v>706</v>
      </c>
      <c r="W16" s="160" t="s">
        <v>706</v>
      </c>
      <c r="X16" s="160" t="s">
        <v>706</v>
      </c>
      <c r="Y16" s="160" t="s">
        <v>706</v>
      </c>
      <c r="Z16" s="160" t="s">
        <v>706</v>
      </c>
      <c r="AA16" s="160" t="s">
        <v>706</v>
      </c>
      <c r="AB16" s="160" t="s">
        <v>706</v>
      </c>
      <c r="AC16" s="160" t="s">
        <v>706</v>
      </c>
      <c r="AD16" s="160" t="s">
        <v>706</v>
      </c>
      <c r="AE16" s="160" t="s">
        <v>706</v>
      </c>
      <c r="AF16" s="160" t="s">
        <v>706</v>
      </c>
      <c r="AG16" s="160" t="s">
        <v>706</v>
      </c>
      <c r="AH16" s="158" t="str">
        <f t="shared" ref="AH16:AH17" si="11">LET(team, SUBSTITUTE(AH$1, " Wins", ""), IF(COUNTIF(INDIRECT("'"&amp;$A16&amp;"'!$C:$C"), team)&gt;0, 1, "-"))</f>
        <v>-</v>
      </c>
      <c r="AI16" s="158">
        <f t="shared" ref="AI16:AI17" si="12">LET(team, SUBSTITUTE(AI$1, " Losses", ""), weekSheet, "'"&amp;$A16&amp;"'!", matchIdx, MATCH("*"&amp;team&amp;"*", INDIRECT(weekSheet&amp;"$B:$B"), 0), IF(ISNA(matchIdx), "-", LET(winner, INDEX(INDIRECT(weekSheet&amp;"$C:$C"), matchIdx), IF(winner="", "-", IF(winner=team, "-", 1)))))</f>
        <v>1</v>
      </c>
      <c r="AJ16" s="160" t="s">
        <v>706</v>
      </c>
      <c r="AK16" s="160" t="s">
        <v>706</v>
      </c>
      <c r="AL16" s="160" t="s">
        <v>706</v>
      </c>
      <c r="AM16" s="160" t="s">
        <v>706</v>
      </c>
      <c r="AN16" s="160" t="s">
        <v>706</v>
      </c>
      <c r="AO16" s="160" t="s">
        <v>706</v>
      </c>
      <c r="AP16" s="160" t="s">
        <v>706</v>
      </c>
      <c r="AQ16" s="160" t="s">
        <v>706</v>
      </c>
      <c r="AR16" s="160" t="s">
        <v>706</v>
      </c>
      <c r="AS16" s="160" t="s">
        <v>706</v>
      </c>
      <c r="AT16" s="160" t="s">
        <v>706</v>
      </c>
      <c r="AU16" s="160" t="s">
        <v>706</v>
      </c>
      <c r="AV16" s="160" t="s">
        <v>706</v>
      </c>
      <c r="AW16" s="160" t="s">
        <v>706</v>
      </c>
      <c r="AX16" s="160" t="s">
        <v>706</v>
      </c>
      <c r="AY16" s="160" t="s">
        <v>706</v>
      </c>
      <c r="AZ16" s="160" t="s">
        <v>706</v>
      </c>
      <c r="BA16" s="160" t="s">
        <v>706</v>
      </c>
      <c r="BB16" s="160" t="s">
        <v>706</v>
      </c>
      <c r="BC16" s="160" t="s">
        <v>706</v>
      </c>
      <c r="BD16" s="160" t="s">
        <v>706</v>
      </c>
      <c r="BE16" s="160" t="s">
        <v>706</v>
      </c>
      <c r="BF16" s="160" t="s">
        <v>706</v>
      </c>
      <c r="BG16" s="160" t="s">
        <v>706</v>
      </c>
      <c r="BH16" s="160" t="s">
        <v>706</v>
      </c>
      <c r="BI16" s="160" t="s">
        <v>706</v>
      </c>
      <c r="BJ16" s="160" t="s">
        <v>706</v>
      </c>
      <c r="BK16" s="160" t="s">
        <v>706</v>
      </c>
      <c r="BL16" s="160" t="s">
        <v>706</v>
      </c>
      <c r="BM16" s="160" t="s">
        <v>706</v>
      </c>
    </row>
    <row r="17">
      <c r="A17" s="157" t="s">
        <v>202</v>
      </c>
      <c r="B17" s="160" t="s">
        <v>706</v>
      </c>
      <c r="C17" s="160" t="s">
        <v>706</v>
      </c>
      <c r="D17" s="160" t="s">
        <v>706</v>
      </c>
      <c r="E17" s="160" t="s">
        <v>706</v>
      </c>
      <c r="F17" s="160" t="s">
        <v>706</v>
      </c>
      <c r="G17" s="160" t="s">
        <v>706</v>
      </c>
      <c r="H17" s="160" t="s">
        <v>706</v>
      </c>
      <c r="I17" s="160" t="s">
        <v>706</v>
      </c>
      <c r="J17" s="158">
        <f t="array" ref="J17">LET(team, SUBSTITUTE(J$1, " Wins", ""), IF(COUNTIF(INDIRECT("'"&amp;$A17&amp;"'!$C:$C"), team)&gt;0, 1, "-"))</f>
        <v>1</v>
      </c>
      <c r="K17" s="158" t="str">
        <f t="array" ref="K17">LET(team, SUBSTITUTE(K$1, " Losses", ""), weekSheet, "'"&amp;$A17&amp;"'!", matchIdx, MATCH("*"&amp;team&amp;"*", INDIRECT(weekSheet&amp;"$B:$B"), 0), IF(ISNA(matchIdx), "-", LET(winner, INDEX(INDIRECT(weekSheet&amp;"$C:$C"), matchIdx), IF(winner="", "-", IF(winner=team, "-", 1)))))</f>
        <v>-</v>
      </c>
      <c r="L17" s="158" t="str">
        <f t="array" ref="L17">LET(team, SUBSTITUTE(L$1, " Wins", ""), IF(COUNTIF(INDIRECT("'"&amp;$A17&amp;"'!$C:$C"), team)&gt;0, 1, "-"))</f>
        <v>-</v>
      </c>
      <c r="M17" s="158">
        <f t="array" ref="M17">LET(team, SUBSTITUTE(M$1, " Losses", ""), weekSheet, "'"&amp;$A17&amp;"'!", matchIdx, MATCH("*"&amp;team&amp;"*", INDIRECT(weekSheet&amp;"$B:$B"), 0), IF(ISNA(matchIdx), "-", LET(winner, INDEX(INDIRECT(weekSheet&amp;"$C:$C"), matchIdx), IF(winner="", "-", IF(winner=team, "-", 1)))))</f>
        <v>1</v>
      </c>
      <c r="N17" s="160" t="s">
        <v>706</v>
      </c>
      <c r="O17" s="160" t="s">
        <v>706</v>
      </c>
      <c r="P17" s="160" t="s">
        <v>706</v>
      </c>
      <c r="Q17" s="160" t="s">
        <v>706</v>
      </c>
      <c r="R17" s="160" t="s">
        <v>706</v>
      </c>
      <c r="S17" s="160" t="s">
        <v>706</v>
      </c>
      <c r="T17" s="160" t="s">
        <v>706</v>
      </c>
      <c r="U17" s="160" t="s">
        <v>706</v>
      </c>
      <c r="V17" s="160" t="s">
        <v>706</v>
      </c>
      <c r="W17" s="160" t="s">
        <v>706</v>
      </c>
      <c r="X17" s="160" t="s">
        <v>706</v>
      </c>
      <c r="Y17" s="160" t="s">
        <v>706</v>
      </c>
      <c r="Z17" s="160" t="s">
        <v>706</v>
      </c>
      <c r="AA17" s="160" t="s">
        <v>706</v>
      </c>
      <c r="AB17" s="160" t="s">
        <v>706</v>
      </c>
      <c r="AC17" s="160" t="s">
        <v>706</v>
      </c>
      <c r="AD17" s="160" t="s">
        <v>706</v>
      </c>
      <c r="AE17" s="160" t="s">
        <v>706</v>
      </c>
      <c r="AF17" s="158" t="str">
        <f t="array" ref="AF17">LET(team, SUBSTITUTE(AF$1, " Wins", ""), IF(COUNTIF(INDIRECT("'"&amp;$A17&amp;"'!$C:$C"), team)&gt;0, 1, "-"))</f>
        <v>-</v>
      </c>
      <c r="AG17" s="158">
        <f t="array" ref="AG17">LET(team, SUBSTITUTE(AG$1, " Losses", ""), weekSheet, "'"&amp;$A17&amp;"'!", matchIdx, MATCH("*"&amp;team&amp;"*", INDIRECT(weekSheet&amp;"$B:$B"), 0), IF(ISNA(matchIdx), "-", LET(winner, INDEX(INDIRECT(weekSheet&amp;"$C:$C"), matchIdx), IF(winner="", "-", IF(winner=team, "-", 1)))))</f>
        <v>1</v>
      </c>
      <c r="AH17" s="158" t="str">
        <f t="shared" si="11"/>
        <v>-</v>
      </c>
      <c r="AI17" s="158">
        <f t="shared" si="12"/>
        <v>1</v>
      </c>
      <c r="AJ17" s="160" t="s">
        <v>706</v>
      </c>
      <c r="AK17" s="160" t="s">
        <v>706</v>
      </c>
      <c r="AL17" s="160" t="s">
        <v>706</v>
      </c>
      <c r="AM17" s="160" t="s">
        <v>706</v>
      </c>
      <c r="AN17" s="160" t="s">
        <v>706</v>
      </c>
      <c r="AO17" s="160" t="s">
        <v>706</v>
      </c>
      <c r="AP17" s="160" t="s">
        <v>706</v>
      </c>
      <c r="AQ17" s="160" t="s">
        <v>706</v>
      </c>
      <c r="AR17" s="160" t="s">
        <v>706</v>
      </c>
      <c r="AS17" s="160" t="s">
        <v>706</v>
      </c>
      <c r="AT17" s="160" t="s">
        <v>706</v>
      </c>
      <c r="AU17" s="160" t="s">
        <v>706</v>
      </c>
      <c r="AV17" s="160" t="s">
        <v>706</v>
      </c>
      <c r="AW17" s="160" t="s">
        <v>706</v>
      </c>
      <c r="AX17" s="160" t="s">
        <v>706</v>
      </c>
      <c r="AY17" s="160" t="s">
        <v>706</v>
      </c>
      <c r="AZ17" s="160" t="s">
        <v>706</v>
      </c>
      <c r="BA17" s="160" t="s">
        <v>706</v>
      </c>
      <c r="BB17" s="160" t="s">
        <v>706</v>
      </c>
      <c r="BC17" s="160" t="s">
        <v>706</v>
      </c>
      <c r="BD17" s="160" t="s">
        <v>706</v>
      </c>
      <c r="BE17" s="160" t="s">
        <v>706</v>
      </c>
      <c r="BF17" s="160" t="s">
        <v>706</v>
      </c>
      <c r="BG17" s="160" t="s">
        <v>706</v>
      </c>
      <c r="BH17" s="160" t="s">
        <v>706</v>
      </c>
      <c r="BI17" s="160" t="s">
        <v>706</v>
      </c>
      <c r="BJ17" s="160" t="s">
        <v>706</v>
      </c>
      <c r="BK17" s="160" t="s">
        <v>706</v>
      </c>
      <c r="BL17" s="160" t="s">
        <v>706</v>
      </c>
      <c r="BM17" s="160" t="s">
        <v>706</v>
      </c>
    </row>
    <row r="18">
      <c r="A18" s="157" t="s">
        <v>206</v>
      </c>
      <c r="B18" s="158">
        <f t="shared" ref="B18:B19" si="13">LET(team, SUBSTITUTE(B$1, " Wins", ""), IF(COUNTIF(INDIRECT("'"&amp;$A18&amp;"'!$C:$C"), team)&gt;0, 1, "-"))</f>
        <v>1</v>
      </c>
      <c r="C18" s="158" t="str">
        <f t="shared" ref="C18:C19" si="14">LET(team, SUBSTITUTE(C$1, " Losses", ""), weekSheet, "'"&amp;$A18&amp;"'!", matchIdx, MATCH("*"&amp;team&amp;"*", INDIRECT(weekSheet&amp;"$B:$B"), 0), IF(ISNA(matchIdx), "-", LET(winner, INDEX(INDIRECT(weekSheet&amp;"$C:$C"), matchIdx), IF(winner="", "-", IF(winner=team, "-", 1)))))</f>
        <v>-</v>
      </c>
      <c r="D18" s="160" t="s">
        <v>706</v>
      </c>
      <c r="E18" s="160" t="s">
        <v>706</v>
      </c>
      <c r="F18" s="160" t="s">
        <v>706</v>
      </c>
      <c r="G18" s="160" t="s">
        <v>706</v>
      </c>
      <c r="H18" s="158" t="str">
        <f t="shared" ref="H18:H19" si="15">LET(team, SUBSTITUTE(H$1, " Wins", ""), IF(COUNTIF(INDIRECT("'"&amp;$A18&amp;"'!$C:$C"), team)&gt;0, 1, "-"))</f>
        <v>-</v>
      </c>
      <c r="I18" s="158">
        <f t="shared" ref="I18:I19" si="16">LET(team, SUBSTITUTE(I$1, " Losses", ""), weekSheet, "'"&amp;$A18&amp;"'!", matchIdx, MATCH("*"&amp;team&amp;"*", INDIRECT(weekSheet&amp;"$B:$B"), 0), IF(ISNA(matchIdx), "-", LET(winner, INDEX(INDIRECT(weekSheet&amp;"$C:$C"), matchIdx), IF(winner="", "-", IF(winner=team, "-", 1)))))</f>
        <v>1</v>
      </c>
      <c r="J18" s="160" t="s">
        <v>706</v>
      </c>
      <c r="K18" s="160" t="s">
        <v>706</v>
      </c>
      <c r="L18" s="160" t="s">
        <v>706</v>
      </c>
      <c r="M18" s="160" t="s">
        <v>706</v>
      </c>
      <c r="N18" s="160" t="s">
        <v>706</v>
      </c>
      <c r="O18" s="160" t="s">
        <v>706</v>
      </c>
      <c r="P18" s="158">
        <f t="array" ref="P18">LET(team, SUBSTITUTE(P$1, " Wins", ""), IF(COUNTIF(INDIRECT("'"&amp;$A18&amp;"'!$C:$C"), team)&gt;0, 1, "-"))</f>
        <v>1</v>
      </c>
      <c r="Q18" s="158" t="str">
        <f t="array" ref="Q18">LET(team, SUBSTITUTE(Q$1, " Losses", ""), weekSheet, "'"&amp;$A18&amp;"'!", matchIdx, MATCH("*"&amp;team&amp;"*", INDIRECT(weekSheet&amp;"$B:$B"), 0), IF(ISNA(matchIdx), "-", LET(winner, INDEX(INDIRECT(weekSheet&amp;"$C:$C"), matchIdx), IF(winner="", "-", IF(winner=team, "-", 1)))))</f>
        <v>-</v>
      </c>
      <c r="R18" s="160" t="s">
        <v>706</v>
      </c>
      <c r="S18" s="160" t="s">
        <v>706</v>
      </c>
      <c r="T18" s="160" t="s">
        <v>706</v>
      </c>
      <c r="U18" s="160" t="s">
        <v>706</v>
      </c>
      <c r="V18" s="160" t="s">
        <v>706</v>
      </c>
      <c r="W18" s="160" t="s">
        <v>706</v>
      </c>
      <c r="X18" s="160" t="s">
        <v>706</v>
      </c>
      <c r="Y18" s="160" t="s">
        <v>706</v>
      </c>
      <c r="Z18" s="160" t="s">
        <v>706</v>
      </c>
      <c r="AA18" s="160" t="s">
        <v>706</v>
      </c>
      <c r="AB18" s="160" t="s">
        <v>706</v>
      </c>
      <c r="AC18" s="160" t="s">
        <v>706</v>
      </c>
      <c r="AD18" s="160" t="s">
        <v>706</v>
      </c>
      <c r="AE18" s="160" t="s">
        <v>706</v>
      </c>
      <c r="AF18" s="160" t="s">
        <v>706</v>
      </c>
      <c r="AG18" s="160" t="s">
        <v>706</v>
      </c>
      <c r="AH18" s="160" t="s">
        <v>706</v>
      </c>
      <c r="AI18" s="160" t="s">
        <v>706</v>
      </c>
      <c r="AJ18" s="160" t="s">
        <v>706</v>
      </c>
      <c r="AK18" s="160" t="s">
        <v>706</v>
      </c>
      <c r="AL18" s="160" t="s">
        <v>706</v>
      </c>
      <c r="AM18" s="160" t="s">
        <v>706</v>
      </c>
      <c r="AN18" s="158">
        <f t="array" ref="AN18">LET(team, SUBSTITUTE(AN$1, " Wins", ""), IF(COUNTIF(INDIRECT("'"&amp;$A18&amp;"'!$C:$C"), team)&gt;0, 1, "-"))</f>
        <v>1</v>
      </c>
      <c r="AO18" s="158" t="str">
        <f t="array" ref="AO18">LET(team, SUBSTITUTE(AO$1, " Losses", ""), weekSheet, "'"&amp;$A18&amp;"'!", matchIdx, MATCH("*"&amp;team&amp;"*", INDIRECT(weekSheet&amp;"$B:$B"), 0), IF(ISNA(matchIdx), "-", LET(winner, INDEX(INDIRECT(weekSheet&amp;"$C:$C"), matchIdx), IF(winner="", "-", IF(winner=team, "-", 1)))))</f>
        <v>-</v>
      </c>
      <c r="AP18" s="160" t="s">
        <v>706</v>
      </c>
      <c r="AQ18" s="160" t="s">
        <v>706</v>
      </c>
      <c r="AR18" s="160" t="s">
        <v>706</v>
      </c>
      <c r="AS18" s="160" t="s">
        <v>706</v>
      </c>
      <c r="AT18" s="160" t="s">
        <v>706</v>
      </c>
      <c r="AU18" s="160" t="s">
        <v>706</v>
      </c>
      <c r="AV18" s="160" t="s">
        <v>706</v>
      </c>
      <c r="AW18" s="160" t="s">
        <v>706</v>
      </c>
      <c r="AX18" s="160" t="s">
        <v>706</v>
      </c>
      <c r="AY18" s="160" t="s">
        <v>706</v>
      </c>
      <c r="AZ18" s="160" t="s">
        <v>706</v>
      </c>
      <c r="BA18" s="160" t="s">
        <v>706</v>
      </c>
      <c r="BB18" s="160" t="s">
        <v>706</v>
      </c>
      <c r="BC18" s="160" t="s">
        <v>706</v>
      </c>
      <c r="BD18" s="160" t="s">
        <v>706</v>
      </c>
      <c r="BE18" s="160" t="s">
        <v>706</v>
      </c>
      <c r="BF18" s="160" t="s">
        <v>706</v>
      </c>
      <c r="BG18" s="160" t="s">
        <v>706</v>
      </c>
      <c r="BH18" s="160" t="s">
        <v>706</v>
      </c>
      <c r="BI18" s="160" t="s">
        <v>706</v>
      </c>
      <c r="BJ18" s="160" t="s">
        <v>706</v>
      </c>
      <c r="BK18" s="160" t="s">
        <v>706</v>
      </c>
      <c r="BL18" s="160" t="s">
        <v>706</v>
      </c>
      <c r="BM18" s="160" t="s">
        <v>706</v>
      </c>
    </row>
    <row r="19">
      <c r="A19" s="157" t="s">
        <v>207</v>
      </c>
      <c r="B19" s="158">
        <f t="shared" si="13"/>
        <v>1</v>
      </c>
      <c r="C19" s="158" t="str">
        <f t="shared" si="14"/>
        <v>-</v>
      </c>
      <c r="D19" s="158" t="str">
        <f t="array" ref="D19">LET(team, SUBSTITUTE(D$1, " Wins", ""), IF(COUNTIF(INDIRECT("'"&amp;$A19&amp;"'!$C:$C"), team)&gt;0, 1, "-"))</f>
        <v>-</v>
      </c>
      <c r="E19" s="158">
        <f t="array" ref="E19">LET(team, SUBSTITUTE(E$1, " Losses", ""), weekSheet, "'"&amp;$A19&amp;"'!", matchIdx, MATCH("*"&amp;team&amp;"*", INDIRECT(weekSheet&amp;"$B:$B"), 0), IF(ISNA(matchIdx), "-", LET(winner, INDEX(INDIRECT(weekSheet&amp;"$C:$C"), matchIdx), IF(winner="", "-", IF(winner=team, "-", 1)))))</f>
        <v>1</v>
      </c>
      <c r="F19" s="158" t="str">
        <f t="array" ref="F19">LET(team, SUBSTITUTE(F$1, " Wins", ""), IF(COUNTIF(INDIRECT("'"&amp;$A19&amp;"'!$C:$C"), team)&gt;0, 1, "-"))</f>
        <v>-</v>
      </c>
      <c r="G19" s="158">
        <f t="array" ref="G19">LET(team, SUBSTITUTE(G$1, " Losses", ""), weekSheet, "'"&amp;$A19&amp;"'!", matchIdx, MATCH("*"&amp;team&amp;"*", INDIRECT(weekSheet&amp;"$B:$B"), 0), IF(ISNA(matchIdx), "-", LET(winner, INDEX(INDIRECT(weekSheet&amp;"$C:$C"), matchIdx), IF(winner="", "-", IF(winner=team, "-", 1)))))</f>
        <v>1</v>
      </c>
      <c r="H19" s="158">
        <f t="shared" si="15"/>
        <v>1</v>
      </c>
      <c r="I19" s="158" t="str">
        <f t="shared" si="16"/>
        <v>-</v>
      </c>
      <c r="J19" s="160" t="s">
        <v>706</v>
      </c>
      <c r="K19" s="160" t="s">
        <v>706</v>
      </c>
      <c r="L19" s="160" t="s">
        <v>706</v>
      </c>
      <c r="M19" s="160" t="s">
        <v>706</v>
      </c>
      <c r="N19" s="160" t="s">
        <v>706</v>
      </c>
      <c r="O19" s="160" t="s">
        <v>706</v>
      </c>
      <c r="P19" s="160" t="s">
        <v>706</v>
      </c>
      <c r="Q19" s="160" t="s">
        <v>706</v>
      </c>
      <c r="R19" s="160" t="s">
        <v>706</v>
      </c>
      <c r="S19" s="160" t="s">
        <v>706</v>
      </c>
      <c r="T19" s="160" t="s">
        <v>706</v>
      </c>
      <c r="U19" s="160" t="s">
        <v>706</v>
      </c>
      <c r="V19" s="160" t="s">
        <v>706</v>
      </c>
      <c r="W19" s="160" t="s">
        <v>706</v>
      </c>
      <c r="X19" s="160" t="s">
        <v>706</v>
      </c>
      <c r="Y19" s="160" t="s">
        <v>706</v>
      </c>
      <c r="Z19" s="160" t="s">
        <v>706</v>
      </c>
      <c r="AA19" s="160" t="s">
        <v>706</v>
      </c>
      <c r="AB19" s="160" t="s">
        <v>706</v>
      </c>
      <c r="AC19" s="160" t="s">
        <v>706</v>
      </c>
      <c r="AD19" s="160" t="s">
        <v>706</v>
      </c>
      <c r="AE19" s="160" t="s">
        <v>706</v>
      </c>
      <c r="AF19" s="160" t="s">
        <v>706</v>
      </c>
      <c r="AG19" s="160" t="s">
        <v>706</v>
      </c>
      <c r="AH19" s="160" t="s">
        <v>706</v>
      </c>
      <c r="AI19" s="160" t="s">
        <v>706</v>
      </c>
      <c r="AJ19" s="160" t="s">
        <v>706</v>
      </c>
      <c r="AK19" s="160" t="s">
        <v>706</v>
      </c>
      <c r="AL19" s="160" t="s">
        <v>706</v>
      </c>
      <c r="AM19" s="160" t="s">
        <v>706</v>
      </c>
      <c r="AN19" s="160" t="s">
        <v>706</v>
      </c>
      <c r="AO19" s="160" t="s">
        <v>706</v>
      </c>
      <c r="AP19" s="160" t="s">
        <v>706</v>
      </c>
      <c r="AQ19" s="160" t="s">
        <v>706</v>
      </c>
      <c r="AR19" s="160" t="s">
        <v>706</v>
      </c>
      <c r="AS19" s="160" t="s">
        <v>706</v>
      </c>
      <c r="AT19" s="160" t="s">
        <v>706</v>
      </c>
      <c r="AU19" s="160" t="s">
        <v>706</v>
      </c>
      <c r="AV19" s="160" t="s">
        <v>706</v>
      </c>
      <c r="AW19" s="160" t="s">
        <v>706</v>
      </c>
      <c r="AX19" s="160" t="s">
        <v>706</v>
      </c>
      <c r="AY19" s="160" t="s">
        <v>706</v>
      </c>
      <c r="AZ19" s="160" t="s">
        <v>706</v>
      </c>
      <c r="BA19" s="160" t="s">
        <v>706</v>
      </c>
      <c r="BB19" s="160" t="s">
        <v>706</v>
      </c>
      <c r="BC19" s="160" t="s">
        <v>706</v>
      </c>
      <c r="BD19" s="160" t="s">
        <v>706</v>
      </c>
      <c r="BE19" s="160" t="s">
        <v>706</v>
      </c>
      <c r="BF19" s="160" t="s">
        <v>706</v>
      </c>
      <c r="BG19" s="160" t="s">
        <v>706</v>
      </c>
      <c r="BH19" s="160" t="s">
        <v>706</v>
      </c>
      <c r="BI19" s="160" t="s">
        <v>706</v>
      </c>
      <c r="BJ19" s="160" t="s">
        <v>706</v>
      </c>
      <c r="BK19" s="160" t="s">
        <v>706</v>
      </c>
      <c r="BL19" s="160" t="s">
        <v>706</v>
      </c>
      <c r="BM19" s="160" t="s">
        <v>706</v>
      </c>
    </row>
    <row r="20">
      <c r="A20" s="227" t="s">
        <v>705</v>
      </c>
      <c r="B20" s="229">
        <f t="shared" ref="B20:BM20" si="17">SUM(B2:B19)</f>
        <v>3</v>
      </c>
      <c r="C20" s="229">
        <f t="shared" si="17"/>
        <v>3</v>
      </c>
      <c r="D20" s="230">
        <f t="shared" si="17"/>
        <v>2</v>
      </c>
      <c r="E20" s="230">
        <f t="shared" si="17"/>
        <v>4</v>
      </c>
      <c r="F20" s="231">
        <f t="shared" si="17"/>
        <v>4</v>
      </c>
      <c r="G20" s="231">
        <f t="shared" si="17"/>
        <v>2</v>
      </c>
      <c r="H20" s="232">
        <f t="shared" si="17"/>
        <v>3</v>
      </c>
      <c r="I20" s="232">
        <f t="shared" si="17"/>
        <v>3</v>
      </c>
      <c r="J20" s="233">
        <f t="shared" si="17"/>
        <v>4</v>
      </c>
      <c r="K20" s="233">
        <f t="shared" si="17"/>
        <v>0</v>
      </c>
      <c r="L20" s="234">
        <f t="shared" si="17"/>
        <v>0</v>
      </c>
      <c r="M20" s="234">
        <f t="shared" si="17"/>
        <v>4</v>
      </c>
      <c r="N20" s="235">
        <f t="shared" si="17"/>
        <v>0</v>
      </c>
      <c r="O20" s="235">
        <f t="shared" si="17"/>
        <v>4</v>
      </c>
      <c r="P20" s="236">
        <f t="shared" si="17"/>
        <v>3</v>
      </c>
      <c r="Q20" s="236">
        <f t="shared" si="17"/>
        <v>1</v>
      </c>
      <c r="R20" s="237">
        <f t="shared" si="17"/>
        <v>1</v>
      </c>
      <c r="S20" s="237">
        <f t="shared" si="17"/>
        <v>0</v>
      </c>
      <c r="T20" s="238">
        <f t="shared" si="17"/>
        <v>0</v>
      </c>
      <c r="U20" s="238">
        <f t="shared" si="17"/>
        <v>1</v>
      </c>
      <c r="V20" s="239">
        <f t="shared" si="17"/>
        <v>0</v>
      </c>
      <c r="W20" s="239">
        <f t="shared" si="17"/>
        <v>1</v>
      </c>
      <c r="X20" s="240">
        <f t="shared" si="17"/>
        <v>0</v>
      </c>
      <c r="Y20" s="240">
        <f t="shared" si="17"/>
        <v>1</v>
      </c>
      <c r="Z20" s="241">
        <f t="shared" si="17"/>
        <v>0</v>
      </c>
      <c r="AA20" s="241">
        <f t="shared" si="17"/>
        <v>1</v>
      </c>
      <c r="AB20" s="242">
        <f t="shared" si="17"/>
        <v>0</v>
      </c>
      <c r="AC20" s="242">
        <f t="shared" si="17"/>
        <v>1</v>
      </c>
      <c r="AD20" s="243">
        <f t="shared" si="17"/>
        <v>1</v>
      </c>
      <c r="AE20" s="243">
        <f t="shared" si="17"/>
        <v>0</v>
      </c>
      <c r="AF20" s="244">
        <f t="shared" si="17"/>
        <v>0</v>
      </c>
      <c r="AG20" s="244">
        <f t="shared" si="17"/>
        <v>1</v>
      </c>
      <c r="AH20" s="245">
        <f t="shared" si="17"/>
        <v>2</v>
      </c>
      <c r="AI20" s="245">
        <f t="shared" si="17"/>
        <v>2</v>
      </c>
      <c r="AJ20" s="246">
        <f t="shared" si="17"/>
        <v>3</v>
      </c>
      <c r="AK20" s="246">
        <f t="shared" si="17"/>
        <v>1</v>
      </c>
      <c r="AL20" s="247">
        <f t="shared" si="17"/>
        <v>2</v>
      </c>
      <c r="AM20" s="247">
        <f t="shared" si="17"/>
        <v>2</v>
      </c>
      <c r="AN20" s="248">
        <f t="shared" si="17"/>
        <v>1</v>
      </c>
      <c r="AO20" s="248">
        <f t="shared" si="17"/>
        <v>3</v>
      </c>
      <c r="AP20" s="249">
        <f t="shared" si="17"/>
        <v>0</v>
      </c>
      <c r="AQ20" s="249">
        <f t="shared" si="17"/>
        <v>0</v>
      </c>
      <c r="AR20" s="250">
        <f t="shared" si="17"/>
        <v>0</v>
      </c>
      <c r="AS20" s="250">
        <f t="shared" si="17"/>
        <v>0</v>
      </c>
      <c r="AT20" s="251">
        <f t="shared" si="17"/>
        <v>0</v>
      </c>
      <c r="AU20" s="251">
        <f t="shared" si="17"/>
        <v>0</v>
      </c>
      <c r="AV20" s="252">
        <f t="shared" si="17"/>
        <v>0</v>
      </c>
      <c r="AW20" s="252">
        <f t="shared" si="17"/>
        <v>0</v>
      </c>
      <c r="AX20" s="253">
        <f t="shared" si="17"/>
        <v>0</v>
      </c>
      <c r="AY20" s="253">
        <f t="shared" si="17"/>
        <v>0</v>
      </c>
      <c r="AZ20" s="254">
        <f t="shared" si="17"/>
        <v>0</v>
      </c>
      <c r="BA20" s="254">
        <f t="shared" si="17"/>
        <v>0</v>
      </c>
      <c r="BB20" s="255">
        <f t="shared" si="17"/>
        <v>0</v>
      </c>
      <c r="BC20" s="255">
        <f t="shared" si="17"/>
        <v>0</v>
      </c>
      <c r="BD20" s="256">
        <f t="shared" si="17"/>
        <v>0</v>
      </c>
      <c r="BE20" s="256">
        <f t="shared" si="17"/>
        <v>0</v>
      </c>
      <c r="BF20" s="257">
        <f t="shared" si="17"/>
        <v>1</v>
      </c>
      <c r="BG20" s="257">
        <f t="shared" si="17"/>
        <v>0</v>
      </c>
      <c r="BH20" s="258">
        <f t="shared" si="17"/>
        <v>1</v>
      </c>
      <c r="BI20" s="258">
        <f t="shared" si="17"/>
        <v>0</v>
      </c>
      <c r="BJ20" s="259">
        <f t="shared" si="17"/>
        <v>0</v>
      </c>
      <c r="BK20" s="259">
        <f t="shared" si="17"/>
        <v>1</v>
      </c>
      <c r="BL20" s="260">
        <f t="shared" si="17"/>
        <v>0</v>
      </c>
      <c r="BM20" s="260">
        <f t="shared" si="17"/>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58">
        <f t="array" ref="D2">LET(team, SUBSTITUTE(D$1, " Wins", ""), IF(COUNTIF(INDIRECT("'"&amp;$A2&amp;"'!$C:$C"), team)&gt;0, 1, "-"))</f>
        <v>1</v>
      </c>
      <c r="E2" s="158" t="str">
        <f t="array" ref="E2">LET(team, SUBSTITUTE(E$1, " Losses", ""), weekSheet, "'"&amp;$A2&amp;"'!", matchIdx, MATCH("*"&amp;team&amp;"*", INDIRECT(weekSheet&amp;"$B:$B"), 0), IF(ISNA(matchIdx), "-", LET(winner, INDEX(INDIRECT(weekSheet&amp;"$C:$C"), matchIdx), IF(winner="", "-", IF(winner=team, "-", 1)))))</f>
        <v>-</v>
      </c>
      <c r="F2" s="160"/>
      <c r="G2" s="160"/>
      <c r="H2" s="160"/>
      <c r="I2" s="160"/>
      <c r="J2" s="160"/>
      <c r="K2" s="160"/>
      <c r="L2" s="160"/>
      <c r="M2" s="160"/>
      <c r="N2" s="160"/>
      <c r="O2" s="160"/>
      <c r="P2" s="160"/>
      <c r="Q2" s="160"/>
      <c r="R2" s="160"/>
      <c r="S2" s="160"/>
      <c r="T2" s="160"/>
      <c r="U2" s="160"/>
      <c r="V2" s="160"/>
      <c r="W2" s="160"/>
      <c r="X2" s="160"/>
      <c r="Y2" s="160"/>
      <c r="Z2" s="158" t="str">
        <f t="array" ref="Z2">LET(team, SUBSTITUTE(Z$1, " Wins", ""), IF(COUNTIF(INDIRECT("'"&amp;$A2&amp;"'!$C:$C"), team)&gt;0, 1, "-"))</f>
        <v>-</v>
      </c>
      <c r="AA2" s="158">
        <f t="array" ref="AA2">LET(team, SUBSTITUTE(AA$1, " Losses", ""), weekSheet, "'"&amp;$A2&amp;"'!", matchIdx, MATCH("*"&amp;team&amp;"*", INDIRECT(weekSheet&amp;"$B:$B"), 0), IF(ISNA(matchIdx), "-", LET(winner, INDEX(INDIRECT(weekSheet&amp;"$C:$C"), matchIdx), IF(winner="", "-", IF(winner=team, "-", 1)))))</f>
        <v>1</v>
      </c>
      <c r="AB2" s="160"/>
      <c r="AC2" s="160"/>
      <c r="AD2" s="160"/>
      <c r="AE2" s="160"/>
      <c r="AF2" s="158">
        <f t="array" ref="AF2">LET(team, SUBSTITUTE(AF$1, " Wins", ""), IF(COUNTIF(INDIRECT("'"&amp;$A2&amp;"'!$C:$C"), team)&gt;0, 1, "-"))</f>
        <v>1</v>
      </c>
      <c r="AG2" s="158" t="str">
        <f t="array" ref="AG2">LET(team, SUBSTITUTE(AG$1, " Losses", ""), weekSheet, "'"&amp;$A2&amp;"'!", matchIdx, MATCH("*"&amp;team&amp;"*", INDIRECT(weekSheet&amp;"$B:$B"), 0), IF(ISNA(matchIdx), "-", LET(winner, INDEX(INDIRECT(weekSheet&amp;"$C:$C"), matchIdx), IF(winner="", "-", IF(winner=team, "-", 1)))))</f>
        <v>-</v>
      </c>
      <c r="AH2" s="160"/>
      <c r="AI2" s="160"/>
      <c r="AJ2" s="160"/>
      <c r="AK2" s="160"/>
      <c r="AL2" s="158">
        <f t="array" ref="AL2">LET(team, SUBSTITUTE(AL$1, " Wins", ""), IF(COUNTIF(INDIRECT("'"&amp;$A2&amp;"'!$C:$C"), team)&gt;0, 1, "-"))</f>
        <v>1</v>
      </c>
      <c r="AM2" s="158" t="str">
        <f t="array" ref="AM2">LET(team, SUBSTITUTE(AM$1, " Losses", ""), weekSheet, "'"&amp;$A2&amp;"'!", matchIdx, MATCH("*"&amp;team&amp;"*", INDIRECT(weekSheet&amp;"$B:$B"), 0), IF(ISNA(matchIdx), "-", LET(winner, INDEX(INDIRECT(weekSheet&amp;"$C:$C"), matchIdx), IF(winner="", "-", IF(winner=team, "-", 1)))))</f>
        <v>-</v>
      </c>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row>
    <row r="3">
      <c r="A3" s="157" t="s">
        <v>119</v>
      </c>
      <c r="B3" s="160"/>
      <c r="C3" s="160"/>
      <c r="D3" s="160"/>
      <c r="E3" s="160"/>
      <c r="F3" s="160"/>
      <c r="G3" s="160"/>
      <c r="H3" s="160"/>
      <c r="I3" s="160"/>
      <c r="J3" s="160"/>
      <c r="K3" s="160"/>
      <c r="L3" s="160"/>
      <c r="M3" s="160"/>
      <c r="N3" s="160"/>
      <c r="O3" s="160"/>
      <c r="P3" s="160"/>
      <c r="Q3" s="160"/>
      <c r="R3" s="160"/>
      <c r="S3" s="160"/>
      <c r="T3" s="160"/>
      <c r="U3" s="160"/>
      <c r="V3" s="158">
        <f t="array" ref="V3">LET(team, SUBSTITUTE(V$1, " Wins", ""), IF(COUNTIF(INDIRECT("'"&amp;$A3&amp;"'!$C:$C"), team)&gt;0, 1, "-"))</f>
        <v>1</v>
      </c>
      <c r="W3" s="158" t="str">
        <f t="array" ref="W3">LET(team, SUBSTITUTE(W$1, " Losses", ""), weekSheet, "'"&amp;$A3&amp;"'!", matchIdx, MATCH("*"&amp;team&amp;"*", INDIRECT(weekSheet&amp;"$B:$B"), 0), IF(ISNA(matchIdx), "-", LET(winner, INDEX(INDIRECT(weekSheet&amp;"$C:$C"), matchIdx), IF(winner="", "-", IF(winner=team, "-", 1)))))</f>
        <v>-</v>
      </c>
      <c r="X3" s="160"/>
      <c r="Y3" s="160"/>
      <c r="Z3" s="160"/>
      <c r="AA3" s="160"/>
      <c r="AB3" s="160"/>
      <c r="AC3" s="160"/>
      <c r="AD3" s="160"/>
      <c r="AE3" s="160"/>
      <c r="AF3" s="160"/>
      <c r="AG3" s="160"/>
      <c r="AH3" s="158">
        <f t="array" ref="AH3">LET(team, SUBSTITUTE(AH$1, " Wins", ""), IF(COUNTIF(INDIRECT("'"&amp;$A3&amp;"'!$C:$C"), team)&gt;0, 1, "-"))</f>
        <v>1</v>
      </c>
      <c r="AI3" s="158" t="str">
        <f t="array" ref="AI3">LET(team, SUBSTITUTE(AI$1, " Losses", ""), weekSheet, "'"&amp;$A3&amp;"'!", matchIdx, MATCH("*"&amp;team&amp;"*", INDIRECT(weekSheet&amp;"$B:$B"), 0), IF(ISNA(matchIdx), "-", LET(winner, INDEX(INDIRECT(weekSheet&amp;"$C:$C"), matchIdx), IF(winner="", "-", IF(winner=team, "-", 1)))))</f>
        <v>-</v>
      </c>
      <c r="AJ3" s="160"/>
      <c r="AK3" s="160"/>
      <c r="AL3" s="160"/>
      <c r="AM3" s="160"/>
      <c r="AN3" s="160"/>
      <c r="AO3" s="160"/>
      <c r="AP3" s="160"/>
      <c r="AQ3" s="160"/>
      <c r="AR3" s="160"/>
      <c r="AS3" s="160"/>
      <c r="AT3" s="160"/>
      <c r="AU3" s="160"/>
      <c r="AV3" s="160"/>
      <c r="AW3" s="160"/>
      <c r="AX3" s="158" t="str">
        <f t="shared" ref="AX3:AX4" si="1">LET(team, SUBSTITUTE(AX$1, " Wins", ""), IF(COUNTIF(INDIRECT("'"&amp;$A3&amp;"'!$C:$C"), team)&gt;0, 1, "-"))</f>
        <v>-</v>
      </c>
      <c r="AY3" s="158">
        <f t="shared" ref="AY3:AY4" si="2">LET(team, SUBSTITUTE(AY$1, " Losses", ""), weekSheet, "'"&amp;$A3&amp;"'!", matchIdx, MATCH("*"&amp;team&amp;"*", INDIRECT(weekSheet&amp;"$B:$B"), 0), IF(ISNA(matchIdx), "-", LET(winner, INDEX(INDIRECT(weekSheet&amp;"$C:$C"), matchIdx), IF(winner="", "-", IF(winner=team, "-", 1)))))</f>
        <v>1</v>
      </c>
      <c r="AZ3" s="158">
        <f t="array" ref="AZ3">LET(team, SUBSTITUTE(AZ$1, " Wins", ""), IF(COUNTIF(INDIRECT("'"&amp;$A3&amp;"'!$C:$C"), team)&gt;0, 1, "-"))</f>
        <v>1</v>
      </c>
      <c r="BA3" s="158" t="str">
        <f t="array" ref="BA3">LET(team, SUBSTITUTE(BA$1, " Losses", ""), weekSheet, "'"&amp;$A3&amp;"'!", matchIdx, MATCH("*"&amp;team&amp;"*", INDIRECT(weekSheet&amp;"$B:$B"), 0), IF(ISNA(matchIdx), "-", LET(winner, INDEX(INDIRECT(weekSheet&amp;"$C:$C"), matchIdx), IF(winner="", "-", IF(winner=team, "-", 1)))))</f>
        <v>-</v>
      </c>
      <c r="BB3" s="160"/>
      <c r="BC3" s="160"/>
      <c r="BD3" s="160"/>
      <c r="BE3" s="160"/>
      <c r="BF3" s="160"/>
      <c r="BG3" s="160"/>
      <c r="BH3" s="160"/>
      <c r="BI3" s="160"/>
      <c r="BJ3" s="160"/>
      <c r="BK3" s="160"/>
      <c r="BL3" s="160"/>
      <c r="BM3" s="160"/>
    </row>
    <row r="4">
      <c r="A4" s="157" t="s">
        <v>130</v>
      </c>
      <c r="B4" s="158">
        <f t="array" ref="B4">LET(team, SUBSTITUTE(B$1, " Wins", ""), IF(COUNTIF(INDIRECT("'"&amp;$A4&amp;"'!$C:$C"), team)&gt;0, 1, "-"))</f>
        <v>1</v>
      </c>
      <c r="C4" s="158" t="str">
        <f t="array" ref="C4">LET(team, SUBSTITUTE(C$1, " Losses", ""), weekSheet, "'"&amp;$A4&amp;"'!", matchIdx, MATCH("*"&amp;team&amp;"*", INDIRECT(weekSheet&amp;"$B:$B"), 0), IF(ISNA(matchIdx), "-", LET(winner, INDEX(INDIRECT(weekSheet&amp;"$C:$C"), matchIdx), IF(winner="", "-", IF(winner=team, "-", 1)))))</f>
        <v>-</v>
      </c>
      <c r="D4" s="160"/>
      <c r="E4" s="160"/>
      <c r="F4" s="160"/>
      <c r="G4" s="160"/>
      <c r="H4" s="158" t="str">
        <f t="array" ref="H4">LET(team, SUBSTITUTE(H$1, " Wins", ""), IF(COUNTIF(INDIRECT("'"&amp;$A4&amp;"'!$C:$C"), team)&gt;0, 1, "-"))</f>
        <v>-</v>
      </c>
      <c r="I4" s="158">
        <f t="array" ref="I4">LET(team, SUBSTITUTE(I$1, " Losses", ""), weekSheet, "'"&amp;$A4&amp;"'!", matchIdx, MATCH("*"&amp;team&amp;"*", INDIRECT(weekSheet&amp;"$B:$B"), 0), IF(ISNA(matchIdx), "-", LET(winner, INDEX(INDIRECT(weekSheet&amp;"$C:$C"), matchIdx), IF(winner="", "-", IF(winner=team, "-", 1)))))</f>
        <v>1</v>
      </c>
      <c r="J4" s="160"/>
      <c r="K4" s="160"/>
      <c r="L4" s="160"/>
      <c r="M4" s="160"/>
      <c r="N4" s="160"/>
      <c r="O4" s="160"/>
      <c r="P4" s="160"/>
      <c r="Q4" s="160"/>
      <c r="R4" s="160"/>
      <c r="S4" s="160"/>
      <c r="T4" s="160"/>
      <c r="U4" s="160"/>
      <c r="V4" s="160"/>
      <c r="W4" s="160"/>
      <c r="X4" s="160"/>
      <c r="Y4" s="160"/>
      <c r="Z4" s="160"/>
      <c r="AA4" s="160"/>
      <c r="AB4" s="158" t="str">
        <f t="array" ref="AB4">LET(team, SUBSTITUTE(AB$1, " Wins", ""), IF(COUNTIF(INDIRECT("'"&amp;$A4&amp;"'!$C:$C"), team)&gt;0, 1, "-"))</f>
        <v>-</v>
      </c>
      <c r="AC4" s="158">
        <f t="array" ref="AC4">LET(team, SUBSTITUTE(AC$1, " Losses", ""), weekSheet, "'"&amp;$A4&amp;"'!", matchIdx, MATCH("*"&amp;team&amp;"*", INDIRECT(weekSheet&amp;"$B:$B"), 0), IF(ISNA(matchIdx), "-", LET(winner, INDEX(INDIRECT(weekSheet&amp;"$C:$C"), matchIdx), IF(winner="", "-", IF(winner=team, "-", 1)))))</f>
        <v>1</v>
      </c>
      <c r="AD4" s="160"/>
      <c r="AE4" s="160"/>
      <c r="AF4" s="160"/>
      <c r="AG4" s="160"/>
      <c r="AH4" s="160"/>
      <c r="AI4" s="160"/>
      <c r="AJ4" s="160"/>
      <c r="AK4" s="160"/>
      <c r="AL4" s="160"/>
      <c r="AM4" s="160"/>
      <c r="AN4" s="160"/>
      <c r="AO4" s="160"/>
      <c r="AP4" s="160"/>
      <c r="AQ4" s="160"/>
      <c r="AR4" s="160"/>
      <c r="AS4" s="160"/>
      <c r="AT4" s="160"/>
      <c r="AU4" s="160"/>
      <c r="AV4" s="160"/>
      <c r="AW4" s="160"/>
      <c r="AX4" s="158">
        <f t="shared" si="1"/>
        <v>1</v>
      </c>
      <c r="AY4" s="158" t="str">
        <f t="shared" si="2"/>
        <v>-</v>
      </c>
      <c r="AZ4" s="160"/>
      <c r="BA4" s="160"/>
      <c r="BB4" s="160"/>
      <c r="BC4" s="160"/>
      <c r="BD4" s="160"/>
      <c r="BE4" s="160"/>
      <c r="BF4" s="160"/>
      <c r="BG4" s="160"/>
      <c r="BH4" s="160"/>
      <c r="BI4" s="160"/>
      <c r="BJ4" s="160"/>
      <c r="BK4" s="160"/>
      <c r="BL4" s="160"/>
      <c r="BM4" s="160"/>
    </row>
    <row r="5">
      <c r="A5" s="157" t="s">
        <v>141</v>
      </c>
      <c r="B5" s="160"/>
      <c r="C5" s="160"/>
      <c r="D5" s="160"/>
      <c r="E5" s="160"/>
      <c r="F5" s="160"/>
      <c r="G5" s="160"/>
      <c r="H5" s="160"/>
      <c r="I5" s="160"/>
      <c r="J5" s="158" t="str">
        <f t="array" ref="J5">LET(team, SUBSTITUTE(J$1, " Wins", ""), IF(COUNTIF(INDIRECT("'"&amp;$A5&amp;"'!$C:$C"), team)&gt;0, 1, "-"))</f>
        <v>-</v>
      </c>
      <c r="K5" s="158">
        <f t="array" ref="K5">LET(team, SUBSTITUTE(K$1, " Losses", ""), weekSheet, "'"&amp;$A5&amp;"'!", matchIdx, MATCH("*"&amp;team&amp;"*", INDIRECT(weekSheet&amp;"$B:$B"), 0), IF(ISNA(matchIdx), "-", LET(winner, INDEX(INDIRECT(weekSheet&amp;"$C:$C"), matchIdx), IF(winner="", "-", IF(winner=team, "-", 1)))))</f>
        <v>1</v>
      </c>
      <c r="L5" s="160"/>
      <c r="M5" s="160"/>
      <c r="N5" s="160"/>
      <c r="O5" s="160"/>
      <c r="P5" s="158">
        <f t="array" ref="P5">LET(team, SUBSTITUTE(P$1, " Wins", ""), IF(COUNTIF(INDIRECT("'"&amp;$A5&amp;"'!$C:$C"), team)&gt;0, 1, "-"))</f>
        <v>1</v>
      </c>
      <c r="Q5" s="158" t="str">
        <f t="array" ref="Q5">LET(team, SUBSTITUTE(Q$1, " Losses", ""), weekSheet, "'"&amp;$A5&amp;"'!", matchIdx, MATCH("*"&amp;team&amp;"*", INDIRECT(weekSheet&amp;"$B:$B"), 0), IF(ISNA(matchIdx), "-", LET(winner, INDEX(INDIRECT(weekSheet&amp;"$C:$C"), matchIdx), IF(winner="", "-", IF(winner=team, "-", 1)))))</f>
        <v>-</v>
      </c>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58">
        <f t="array" ref="BB5">LET(team, SUBSTITUTE(BB$1, " Wins", ""), IF(COUNTIF(INDIRECT("'"&amp;$A5&amp;"'!$C:$C"), team)&gt;0, 1, "-"))</f>
        <v>1</v>
      </c>
      <c r="BC5" s="158" t="str">
        <f t="array" ref="BC5">LET(team, SUBSTITUTE(BC$1, " Losses", ""), weekSheet, "'"&amp;$A5&amp;"'!", matchIdx, MATCH("*"&amp;team&amp;"*", INDIRECT(weekSheet&amp;"$B:$B"), 0), IF(ISNA(matchIdx), "-", LET(winner, INDEX(INDIRECT(weekSheet&amp;"$C:$C"), matchIdx), IF(winner="", "-", IF(winner=team, "-", 1)))))</f>
        <v>-</v>
      </c>
      <c r="BD5" s="158">
        <f t="array" ref="BD5">LET(team, SUBSTITUTE(BD$1, " Wins", ""), IF(COUNTIF(INDIRECT("'"&amp;$A5&amp;"'!$C:$C"), team)&gt;0, 1, "-"))</f>
        <v>1</v>
      </c>
      <c r="BE5" s="158" t="str">
        <f t="array" ref="BE5">LET(team, SUBSTITUTE(BE$1, " Losses", ""), weekSheet, "'"&amp;$A5&amp;"'!", matchIdx, MATCH("*"&amp;team&amp;"*", INDIRECT(weekSheet&amp;"$B:$B"), 0), IF(ISNA(matchIdx), "-", LET(winner, INDEX(INDIRECT(weekSheet&amp;"$C:$C"), matchIdx), IF(winner="", "-", IF(winner=team, "-", 1)))))</f>
        <v>-</v>
      </c>
      <c r="BF5" s="160"/>
      <c r="BG5" s="160"/>
      <c r="BH5" s="160"/>
      <c r="BI5" s="160"/>
      <c r="BJ5" s="160"/>
      <c r="BK5" s="160"/>
      <c r="BL5" s="160"/>
      <c r="BM5" s="160"/>
    </row>
    <row r="6">
      <c r="A6" s="157" t="s">
        <v>145</v>
      </c>
      <c r="B6" s="160"/>
      <c r="C6" s="160"/>
      <c r="D6" s="158" t="str">
        <f t="shared" ref="D6:D7" si="3">LET(team, SUBSTITUTE(D$1, " Wins", ""), IF(COUNTIF(INDIRECT("'"&amp;$A6&amp;"'!$C:$C"), team)&gt;0, 1, "-"))</f>
        <v>-</v>
      </c>
      <c r="E6" s="158">
        <f t="shared" ref="E6:E7" si="4">LET(team, SUBSTITUTE(E$1, " Losses", ""), weekSheet, "'"&amp;$A6&amp;"'!", matchIdx, MATCH("*"&amp;team&amp;"*", INDIRECT(weekSheet&amp;"$B:$B"), 0), IF(ISNA(matchIdx), "-", LET(winner, INDEX(INDIRECT(weekSheet&amp;"$C:$C"), matchIdx), IF(winner="", "-", IF(winner=team, "-", 1)))))</f>
        <v>1</v>
      </c>
      <c r="F6" s="160"/>
      <c r="G6" s="160"/>
      <c r="H6" s="160"/>
      <c r="I6" s="160"/>
      <c r="J6" s="160"/>
      <c r="K6" s="160"/>
      <c r="L6" s="160"/>
      <c r="M6" s="160"/>
      <c r="N6" s="160"/>
      <c r="O6" s="160"/>
      <c r="P6" s="160"/>
      <c r="Q6" s="160"/>
      <c r="R6" s="160"/>
      <c r="S6" s="160"/>
      <c r="T6" s="158">
        <f t="array" ref="T6">LET(team, SUBSTITUTE(T$1, " Wins", ""), IF(COUNTIF(INDIRECT("'"&amp;$A6&amp;"'!$C:$C"), team)&gt;0, 1, "-"))</f>
        <v>1</v>
      </c>
      <c r="U6" s="158" t="str">
        <f t="array" ref="U6">LET(team, SUBSTITUTE(U$1, " Losses", ""), weekSheet, "'"&amp;$A6&amp;"'!", matchIdx, MATCH("*"&amp;team&amp;"*", INDIRECT(weekSheet&amp;"$B:$B"), 0), IF(ISNA(matchIdx), "-", LET(winner, INDEX(INDIRECT(weekSheet&amp;"$C:$C"), matchIdx), IF(winner="", "-", IF(winner=team, "-", 1)))))</f>
        <v>-</v>
      </c>
      <c r="V6" s="160"/>
      <c r="W6" s="160"/>
      <c r="X6" s="158">
        <f t="array" ref="X6">LET(team, SUBSTITUTE(X$1, " Wins", ""), IF(COUNTIF(INDIRECT("'"&amp;$A6&amp;"'!$C:$C"), team)&gt;0, 1, "-"))</f>
        <v>1</v>
      </c>
      <c r="Y6" s="158" t="str">
        <f t="array" ref="Y6">LET(team, SUBSTITUTE(Y$1, " Losses", ""), weekSheet, "'"&amp;$A6&amp;"'!", matchIdx, MATCH("*"&amp;team&amp;"*", INDIRECT(weekSheet&amp;"$B:$B"), 0), IF(ISNA(matchIdx), "-", LET(winner, INDEX(INDIRECT(weekSheet&amp;"$C:$C"), matchIdx), IF(winner="", "-", IF(winner=team, "-", 1)))))</f>
        <v>-</v>
      </c>
      <c r="Z6" s="160"/>
      <c r="AA6" s="160"/>
      <c r="AB6" s="160"/>
      <c r="AC6" s="160"/>
      <c r="AD6" s="160"/>
      <c r="AE6" s="160"/>
      <c r="AF6" s="160"/>
      <c r="AG6" s="160"/>
      <c r="AH6" s="160"/>
      <c r="AI6" s="160"/>
      <c r="AJ6" s="158">
        <f t="array" ref="AJ6">LET(team, SUBSTITUTE(AJ$1, " Wins", ""), IF(COUNTIF(INDIRECT("'"&amp;$A6&amp;"'!$C:$C"), team)&gt;0, 1, "-"))</f>
        <v>1</v>
      </c>
      <c r="AK6" s="158" t="str">
        <f t="array" ref="AK6">LET(team, SUBSTITUTE(AK$1, " Losses", ""), weekSheet, "'"&amp;$A6&amp;"'!", matchIdx, MATCH("*"&amp;team&amp;"*", INDIRECT(weekSheet&amp;"$B:$B"), 0), IF(ISNA(matchIdx), "-", LET(winner, INDEX(INDIRECT(weekSheet&amp;"$C:$C"), matchIdx), IF(winner="", "-", IF(winner=team, "-", 1)))))</f>
        <v>-</v>
      </c>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row>
    <row r="7">
      <c r="A7" s="157" t="s">
        <v>156</v>
      </c>
      <c r="B7" s="160"/>
      <c r="C7" s="160"/>
      <c r="D7" s="158" t="str">
        <f t="shared" si="3"/>
        <v>-</v>
      </c>
      <c r="E7" s="158">
        <f t="shared" si="4"/>
        <v>1</v>
      </c>
      <c r="F7" s="160"/>
      <c r="G7" s="160"/>
      <c r="H7" s="160"/>
      <c r="I7" s="160"/>
      <c r="J7" s="160"/>
      <c r="K7" s="160"/>
      <c r="L7" s="160"/>
      <c r="M7" s="160"/>
      <c r="N7" s="158">
        <f t="shared" ref="N7:N8" si="5">LET(team, SUBSTITUTE(N$1, " Wins", ""), IF(COUNTIF(INDIRECT("'"&amp;$A7&amp;"'!$C:$C"), team)&gt;0, 1, "-"))</f>
        <v>1</v>
      </c>
      <c r="O7" s="158" t="str">
        <f t="shared" ref="O7:O8" si="6">LET(team, SUBSTITUTE(O$1, " Losses", ""), weekSheet, "'"&amp;$A7&amp;"'!", matchIdx, MATCH("*"&amp;team&amp;"*", INDIRECT(weekSheet&amp;"$B:$B"), 0), IF(ISNA(matchIdx), "-", LET(winner, INDEX(INDIRECT(weekSheet&amp;"$C:$C"), matchIdx), IF(winner="", "-", IF(winner=team, "-", 1)))))</f>
        <v>-</v>
      </c>
      <c r="P7" s="158" t="str">
        <f t="array" ref="P7">LET(team, SUBSTITUTE(P$1, " Wins", ""), IF(COUNTIF(INDIRECT("'"&amp;$A7&amp;"'!$C:$C"), team)&gt;0, 1, "-"))</f>
        <v>-</v>
      </c>
      <c r="Q7" s="158">
        <f t="array" ref="Q7">LET(team, SUBSTITUTE(Q$1, " Losses", ""), weekSheet, "'"&amp;$A7&amp;"'!", matchIdx, MATCH("*"&amp;team&amp;"*", INDIRECT(weekSheet&amp;"$B:$B"), 0), IF(ISNA(matchIdx), "-", LET(winner, INDEX(INDIRECT(weekSheet&amp;"$C:$C"), matchIdx), IF(winner="", "-", IF(winner=team, "-", 1)))))</f>
        <v>1</v>
      </c>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row>
    <row r="8">
      <c r="A8" s="157" t="s">
        <v>159</v>
      </c>
      <c r="B8" s="160"/>
      <c r="C8" s="160"/>
      <c r="D8" s="160"/>
      <c r="E8" s="160"/>
      <c r="F8" s="160"/>
      <c r="G8" s="160"/>
      <c r="H8" s="160"/>
      <c r="I8" s="160"/>
      <c r="J8" s="160"/>
      <c r="K8" s="160"/>
      <c r="L8" s="158">
        <f t="shared" ref="L8:L9" si="7">LET(team, SUBSTITUTE(L$1, " Wins", ""), IF(COUNTIF(INDIRECT("'"&amp;$A8&amp;"'!$C:$C"), team)&gt;0, 1, "-"))</f>
        <v>1</v>
      </c>
      <c r="M8" s="158" t="str">
        <f t="shared" ref="M8:M9" si="8">LET(team, SUBSTITUTE(M$1, " Losses", ""), weekSheet, "'"&amp;$A8&amp;"'!", matchIdx, MATCH("*"&amp;team&amp;"*", INDIRECT(weekSheet&amp;"$B:$B"), 0), IF(ISNA(matchIdx), "-", LET(winner, INDEX(INDIRECT(weekSheet&amp;"$C:$C"), matchIdx), IF(winner="", "-", IF(winner=team, "-", 1)))))</f>
        <v>-</v>
      </c>
      <c r="N8" s="158" t="str">
        <f t="shared" si="5"/>
        <v>-</v>
      </c>
      <c r="O8" s="158">
        <f t="shared" si="6"/>
        <v>1</v>
      </c>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45" t="str">
        <f t="array" ref="BD8">LET(team, SUBSTITUTE(BD$1, " Wins", ""), IF(COUNTIF(INDIRECT("'"&amp;$A8&amp;"'!$C:$C"), team)&gt;0, 1, "-"))</f>
        <v>-</v>
      </c>
      <c r="BE8" s="45">
        <f t="array" ref="BE8">LET(team, SUBSTITUTE(BE$1, " Losses", ""), weekSheet, "'"&amp;$A8&amp;"'!", matchIdx, MATCH("*"&amp;team&amp;"*", INDIRECT(weekSheet&amp;"$B:$B"), 0), IF(ISNA(matchIdx), "-", LET(winner, INDEX(INDIRECT(weekSheet&amp;"$C:$C"), matchIdx), IF(winner="", "-", IF(winner=team, "-", 1)))))</f>
        <v>1</v>
      </c>
      <c r="BF8" s="160"/>
      <c r="BG8" s="160"/>
      <c r="BH8" s="160"/>
      <c r="BI8" s="160"/>
      <c r="BJ8" s="160"/>
      <c r="BK8" s="160"/>
      <c r="BL8" s="160"/>
      <c r="BM8" s="160"/>
    </row>
    <row r="9">
      <c r="A9" s="157" t="s">
        <v>164</v>
      </c>
      <c r="B9" s="160"/>
      <c r="C9" s="160"/>
      <c r="D9" s="45">
        <f t="array" ref="D9">LET(team, SUBSTITUTE(D$1, " Wins", ""), IF(COUNTIF(INDIRECT("'"&amp;$A9&amp;"'!$C:$C"), team)&gt;0, 1, "-"))</f>
        <v>1</v>
      </c>
      <c r="E9" s="45" t="str">
        <f t="array" ref="E9">LET(team, SUBSTITUTE(E$1, " Losses", ""), weekSheet, "'"&amp;$A9&amp;"'!", matchIdx, MATCH("*"&amp;team&amp;"*", INDIRECT(weekSheet&amp;"$B:$B"), 0), IF(ISNA(matchIdx), "-", LET(winner, INDEX(INDIRECT(weekSheet&amp;"$C:$C"), matchIdx), IF(winner="", "-", IF(winner=team, "-", 1)))))</f>
        <v>-</v>
      </c>
      <c r="F9" s="160"/>
      <c r="G9" s="160"/>
      <c r="H9" s="160"/>
      <c r="I9" s="160"/>
      <c r="J9" s="160"/>
      <c r="K9" s="160"/>
      <c r="L9" s="158" t="str">
        <f t="shared" si="7"/>
        <v>-</v>
      </c>
      <c r="M9" s="158">
        <f t="shared" si="8"/>
        <v>1</v>
      </c>
      <c r="N9" s="160"/>
      <c r="O9" s="160"/>
      <c r="P9" s="158">
        <f t="array" ref="P9">LET(team, SUBSTITUTE(P$1, " Wins", ""), IF(COUNTIF(INDIRECT("'"&amp;$A9&amp;"'!$C:$C"), team)&gt;0, 1, "-"))</f>
        <v>1</v>
      </c>
      <c r="Q9" s="158" t="str">
        <f t="array" ref="Q9">LET(team, SUBSTITUTE(Q$1, " Losses", ""), weekSheet, "'"&amp;$A9&amp;"'!", matchIdx, MATCH("*"&amp;team&amp;"*", INDIRECT(weekSheet&amp;"$B:$B"), 0), IF(ISNA(matchIdx), "-", LET(winner, INDEX(INDIRECT(weekSheet&amp;"$C:$C"), matchIdx), IF(winner="", "-", IF(winner=team, "-", 1)))))</f>
        <v>-</v>
      </c>
      <c r="R9" s="158" t="str">
        <f t="array" ref="R9">LET(team, SUBSTITUTE(R$1, " Wins", ""), IF(COUNTIF(INDIRECT("'"&amp;$A9&amp;"'!$C:$C"), team)&gt;0, 1, "-"))</f>
        <v>-</v>
      </c>
      <c r="S9" s="158">
        <f t="array" ref="S9">LET(team, SUBSTITUTE(S$1, " Losses", ""), weekSheet, "'"&amp;$A9&amp;"'!", matchIdx, MATCH("*"&amp;team&amp;"*", INDIRECT(weekSheet&amp;"$B:$B"), 0), IF(ISNA(matchIdx), "-", LET(winner, INDEX(INDIRECT(weekSheet&amp;"$C:$C"), matchIdx), IF(winner="", "-", IF(winner=team, "-", 1)))))</f>
        <v>1</v>
      </c>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row>
    <row r="10">
      <c r="A10" s="157" t="s">
        <v>170</v>
      </c>
      <c r="B10" s="158">
        <f t="array" ref="B10">LET(team, SUBSTITUTE(B$1, " Wins", ""), IF(COUNTIF(INDIRECT("'"&amp;$A10&amp;"'!$C:$C"), team)&gt;0, 1, "-"))</f>
        <v>1</v>
      </c>
      <c r="C10" s="158" t="str">
        <f t="array" ref="C10">LET(team, SUBSTITUTE(C$1, " Losses", ""), weekSheet, "'"&amp;$A10&amp;"'!", matchIdx, MATCH("*"&amp;team&amp;"*", INDIRECT(weekSheet&amp;"$B:$B"), 0), IF(ISNA(matchIdx), "-", LET(winner, INDEX(INDIRECT(weekSheet&amp;"$C:$C"), matchIdx), IF(winner="", "-", IF(winner=team, "-", 1)))))</f>
        <v>-</v>
      </c>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58">
        <f t="shared" ref="AX10:AX11" si="9">LET(team, SUBSTITUTE(AX$1, " Wins", ""), IF(COUNTIF(INDIRECT("'"&amp;$A10&amp;"'!$C:$C"), team)&gt;0, 1, "-"))</f>
        <v>1</v>
      </c>
      <c r="AY10" s="158" t="str">
        <f t="shared" ref="AY10:AY11" si="10">LET(team, SUBSTITUTE(AY$1, " Losses", ""), weekSheet, "'"&amp;$A10&amp;"'!", matchIdx, MATCH("*"&amp;team&amp;"*", INDIRECT(weekSheet&amp;"$B:$B"), 0), IF(ISNA(matchIdx), "-", LET(winner, INDEX(INDIRECT(weekSheet&amp;"$C:$C"), matchIdx), IF(winner="", "-", IF(winner=team, "-", 1)))))</f>
        <v>-</v>
      </c>
      <c r="AZ10" s="158" t="str">
        <f t="array" ref="AZ10">LET(team, SUBSTITUTE(AZ$1, " Wins", ""), IF(COUNTIF(INDIRECT("'"&amp;$A10&amp;"'!$C:$C"), team)&gt;0, 1, "-"))</f>
        <v>-</v>
      </c>
      <c r="BA10" s="158">
        <f t="array" ref="BA10">LET(team, SUBSTITUTE(BA$1, " Losses", ""), weekSheet, "'"&amp;$A10&amp;"'!", matchIdx, MATCH("*"&amp;team&amp;"*", INDIRECT(weekSheet&amp;"$B:$B"), 0), IF(ISNA(matchIdx), "-", LET(winner, INDEX(INDIRECT(weekSheet&amp;"$C:$C"), matchIdx), IF(winner="", "-", IF(winner=team, "-", 1)))))</f>
        <v>1</v>
      </c>
      <c r="BB10" s="158" t="str">
        <f t="array" ref="BB10">LET(team, SUBSTITUTE(BB$1, " Wins", ""), IF(COUNTIF(INDIRECT("'"&amp;$A10&amp;"'!$C:$C"), team)&gt;0, 1, "-"))</f>
        <v>-</v>
      </c>
      <c r="BC10" s="158">
        <f t="array" ref="BC10">LET(team, SUBSTITUTE(BC$1, " Losses", ""), weekSheet, "'"&amp;$A10&amp;"'!", matchIdx, MATCH("*"&amp;team&amp;"*", INDIRECT(weekSheet&amp;"$B:$B"), 0), IF(ISNA(matchIdx), "-", LET(winner, INDEX(INDIRECT(weekSheet&amp;"$C:$C"), matchIdx), IF(winner="", "-", IF(winner=team, "-", 1)))))</f>
        <v>1</v>
      </c>
      <c r="BD10" s="160"/>
      <c r="BE10" s="160"/>
      <c r="BF10" s="160"/>
      <c r="BG10" s="160"/>
      <c r="BH10" s="160"/>
      <c r="BI10" s="160"/>
      <c r="BJ10" s="160"/>
      <c r="BK10" s="160"/>
      <c r="BL10" s="160"/>
      <c r="BM10" s="160"/>
    </row>
    <row r="11">
      <c r="A11" s="157" t="s">
        <v>175</v>
      </c>
      <c r="B11" s="160"/>
      <c r="C11" s="160"/>
      <c r="D11" s="160"/>
      <c r="E11" s="160"/>
      <c r="F11" s="160"/>
      <c r="G11" s="160"/>
      <c r="H11" s="160"/>
      <c r="I11" s="160"/>
      <c r="J11" s="158" t="str">
        <f t="shared" ref="J11:J12" si="11">LET(team, SUBSTITUTE(J$1, " Wins", ""), IF(COUNTIF(INDIRECT("'"&amp;$A11&amp;"'!$C:$C"), team)&gt;0, 1, "-"))</f>
        <v>-</v>
      </c>
      <c r="K11" s="158">
        <f t="shared" ref="K11:K12" si="12">LET(team, SUBSTITUTE(K$1, " Losses", ""), weekSheet, "'"&amp;$A11&amp;"'!", matchIdx, MATCH("*"&amp;team&amp;"*", INDIRECT(weekSheet&amp;"$B:$B"), 0), IF(ISNA(matchIdx), "-", LET(winner, INDEX(INDIRECT(weekSheet&amp;"$C:$C"), matchIdx), IF(winner="", "-", IF(winner=team, "-", 1)))))</f>
        <v>1</v>
      </c>
      <c r="L11" s="160"/>
      <c r="M11" s="160"/>
      <c r="N11" s="158">
        <f t="array" ref="N11">LET(team, SUBSTITUTE(N$1, " Wins", ""), IF(COUNTIF(INDIRECT("'"&amp;$A11&amp;"'!$C:$C"), team)&gt;0, 1, "-"))</f>
        <v>1</v>
      </c>
      <c r="O11" s="158" t="str">
        <f t="array" ref="O11">LET(team, SUBSTITUTE(O$1, " Losses", ""), weekSheet, "'"&amp;$A11&amp;"'!", matchIdx, MATCH("*"&amp;team&amp;"*", INDIRECT(weekSheet&amp;"$B:$B"), 0), IF(ISNA(matchIdx), "-", LET(winner, INDEX(INDIRECT(weekSheet&amp;"$C:$C"), matchIdx), IF(winner="", "-", IF(winner=team, "-", 1)))))</f>
        <v>-</v>
      </c>
      <c r="P11" s="160"/>
      <c r="Q11" s="160"/>
      <c r="R11" s="160"/>
      <c r="S11" s="160"/>
      <c r="T11" s="160"/>
      <c r="U11" s="160"/>
      <c r="V11" s="160"/>
      <c r="W11" s="160"/>
      <c r="X11" s="160"/>
      <c r="Y11" s="160"/>
      <c r="Z11" s="160"/>
      <c r="AA11" s="160"/>
      <c r="AB11" s="160"/>
      <c r="AC11" s="160"/>
      <c r="AD11" s="158" t="str">
        <f t="array" ref="AD11">LET(team, SUBSTITUTE(AD$1, " Wins", ""), IF(COUNTIF(INDIRECT("'"&amp;$A11&amp;"'!$C:$C"), team)&gt;0, 1, "-"))</f>
        <v>-</v>
      </c>
      <c r="AE11" s="158">
        <f t="array" ref="AE11">LET(team, SUBSTITUTE(AE$1, " Losses", ""), weekSheet, "'"&amp;$A11&amp;"'!", matchIdx, MATCH("*"&amp;team&amp;"*", INDIRECT(weekSheet&amp;"$B:$B"), 0), IF(ISNA(matchIdx), "-", LET(winner, INDEX(INDIRECT(weekSheet&amp;"$C:$C"), matchIdx), IF(winner="", "-", IF(winner=team, "-", 1)))))</f>
        <v>1</v>
      </c>
      <c r="AF11" s="160"/>
      <c r="AG11" s="160"/>
      <c r="AH11" s="160"/>
      <c r="AI11" s="160"/>
      <c r="AJ11" s="160"/>
      <c r="AK11" s="160"/>
      <c r="AL11" s="160"/>
      <c r="AM11" s="160"/>
      <c r="AN11" s="160"/>
      <c r="AO11" s="160"/>
      <c r="AP11" s="160"/>
      <c r="AQ11" s="160"/>
      <c r="AR11" s="160"/>
      <c r="AS11" s="160"/>
      <c r="AT11" s="160"/>
      <c r="AU11" s="160"/>
      <c r="AV11" s="160"/>
      <c r="AW11" s="160"/>
      <c r="AX11" s="158" t="str">
        <f t="shared" si="9"/>
        <v>-</v>
      </c>
      <c r="AY11" s="158">
        <f t="shared" si="10"/>
        <v>1</v>
      </c>
      <c r="AZ11" s="160"/>
      <c r="BA11" s="160"/>
      <c r="BB11" s="160"/>
      <c r="BC11" s="160"/>
      <c r="BD11" s="160"/>
      <c r="BE11" s="160"/>
      <c r="BF11" s="160"/>
      <c r="BG11" s="160"/>
      <c r="BH11" s="160"/>
      <c r="BI11" s="160"/>
      <c r="BJ11" s="160"/>
      <c r="BK11" s="160"/>
      <c r="BL11" s="160"/>
      <c r="BM11" s="160"/>
    </row>
    <row r="12">
      <c r="A12" s="157" t="s">
        <v>179</v>
      </c>
      <c r="B12" s="160"/>
      <c r="C12" s="160"/>
      <c r="D12" s="160"/>
      <c r="E12" s="160"/>
      <c r="F12" s="160"/>
      <c r="G12" s="160"/>
      <c r="H12" s="158">
        <f t="shared" ref="H12:H13" si="13">LET(team, SUBSTITUTE(H$1, " Wins", ""), IF(COUNTIF(INDIRECT("'"&amp;$A12&amp;"'!$C:$C"), team)&gt;0, 1, "-"))</f>
        <v>1</v>
      </c>
      <c r="I12" s="158" t="str">
        <f t="shared" ref="I12:I13" si="14">LET(team, SUBSTITUTE(I$1, " Losses", ""), weekSheet, "'"&amp;$A12&amp;"'!", matchIdx, MATCH("*"&amp;team&amp;"*", INDIRECT(weekSheet&amp;"$B:$B"), 0), IF(ISNA(matchIdx), "-", LET(winner, INDEX(INDIRECT(weekSheet&amp;"$C:$C"), matchIdx), IF(winner="", "-", IF(winner=team, "-", 1)))))</f>
        <v>-</v>
      </c>
      <c r="J12" s="158">
        <f t="shared" si="11"/>
        <v>1</v>
      </c>
      <c r="K12" s="158" t="str">
        <f t="shared" si="12"/>
        <v>-</v>
      </c>
      <c r="L12" s="158" t="str">
        <f t="shared" ref="L12:L13" si="15">LET(team, SUBSTITUTE(L$1, " Wins", ""), IF(COUNTIF(INDIRECT("'"&amp;$A12&amp;"'!$C:$C"), team)&gt;0, 1, "-"))</f>
        <v>-</v>
      </c>
      <c r="M12" s="158">
        <f t="shared" ref="M12:M13" si="16">LET(team, SUBSTITUTE(M$1, " Losses", ""), weekSheet, "'"&amp;$A12&amp;"'!", matchIdx, MATCH("*"&amp;team&amp;"*", INDIRECT(weekSheet&amp;"$B:$B"), 0), IF(ISNA(matchIdx), "-", LET(winner, INDEX(INDIRECT(weekSheet&amp;"$C:$C"), matchIdx), IF(winner="", "-", IF(winner=team, "-", 1)))))</f>
        <v>1</v>
      </c>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row>
    <row r="13">
      <c r="A13" s="157" t="s">
        <v>185</v>
      </c>
      <c r="B13" s="158" t="str">
        <f t="array" ref="B13">LET(team, SUBSTITUTE(B$1, " Wins", ""), IF(COUNTIF(INDIRECT("'"&amp;$A13&amp;"'!$C:$C"), team)&gt;0, 1, "-"))</f>
        <v>-</v>
      </c>
      <c r="C13" s="158">
        <f t="array" ref="C13">LET(team, SUBSTITUTE(C$1, " Losses", ""), weekSheet, "'"&amp;$A13&amp;"'!", matchIdx, MATCH("*"&amp;team&amp;"*", INDIRECT(weekSheet&amp;"$B:$B"), 0), IF(ISNA(matchIdx), "-", LET(winner, INDEX(INDIRECT(weekSheet&amp;"$C:$C"), matchIdx), IF(winner="", "-", IF(winner=team, "-", 1)))))</f>
        <v>1</v>
      </c>
      <c r="D13" s="160"/>
      <c r="E13" s="160"/>
      <c r="F13" s="160"/>
      <c r="G13" s="160"/>
      <c r="H13" s="45" t="str">
        <f t="shared" si="13"/>
        <v>-</v>
      </c>
      <c r="I13" s="45">
        <f t="shared" si="14"/>
        <v>1</v>
      </c>
      <c r="J13" s="160"/>
      <c r="K13" s="160"/>
      <c r="L13" s="45" t="str">
        <f t="shared" si="15"/>
        <v>-</v>
      </c>
      <c r="M13" s="45">
        <f t="shared" si="16"/>
        <v>1</v>
      </c>
      <c r="N13" s="45">
        <f t="array" ref="N13">LET(team, SUBSTITUTE(N$1, " Wins", ""), IF(COUNTIF(INDIRECT("'"&amp;$A13&amp;"'!$C:$C"), team)&gt;0, 1, "-"))</f>
        <v>1</v>
      </c>
      <c r="O13" s="45" t="str">
        <f t="array" ref="O13">LET(team, SUBSTITUTE(O$1, " Losses", ""), weekSheet, "'"&amp;$A13&amp;"'!", matchIdx, MATCH("*"&amp;team&amp;"*", INDIRECT(weekSheet&amp;"$B:$B"), 0), IF(ISNA(matchIdx), "-", LET(winner, INDEX(INDIRECT(weekSheet&amp;"$C:$C"), matchIdx), IF(winner="", "-", IF(winner=team, "-", 1)))))</f>
        <v>-</v>
      </c>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row>
    <row r="14">
      <c r="A14" s="157" t="s">
        <v>191</v>
      </c>
      <c r="B14" s="160"/>
      <c r="C14" s="160"/>
      <c r="D14" s="160"/>
      <c r="E14" s="160"/>
      <c r="F14" s="158">
        <f t="shared" ref="F14:F15" si="17">LET(team, SUBSTITUTE(F$1, " Wins", ""), IF(COUNTIF(INDIRECT("'"&amp;$A14&amp;"'!$C:$C"), team)&gt;0, 1, "-"))</f>
        <v>1</v>
      </c>
      <c r="G14" s="158" t="str">
        <f t="shared" ref="G14:G15" si="18">LET(team, SUBSTITUTE(G$1, " Losses", ""), weekSheet, "'"&amp;$A14&amp;"'!", matchIdx, MATCH("*"&amp;team&amp;"*", INDIRECT(weekSheet&amp;"$B:$B"), 0), IF(ISNA(matchIdx), "-", LET(winner, INDEX(INDIRECT(weekSheet&amp;"$C:$C"), matchIdx), IF(winner="", "-", IF(winner=team, "-", 1)))))</f>
        <v>-</v>
      </c>
      <c r="H14" s="160"/>
      <c r="I14" s="160"/>
      <c r="J14" s="158" t="str">
        <f t="array" ref="J14">LET(team, SUBSTITUTE(J$1, " Wins", ""), IF(COUNTIF(INDIRECT("'"&amp;$A14&amp;"'!$C:$C"), team)&gt;0, 1, "-"))</f>
        <v>-</v>
      </c>
      <c r="K14" s="158">
        <f t="array" ref="K14">LET(team, SUBSTITUTE(K$1, " Losses", ""), weekSheet, "'"&amp;$A14&amp;"'!", matchIdx, MATCH("*"&amp;team&amp;"*", INDIRECT(weekSheet&amp;"$B:$B"), 0), IF(ISNA(matchIdx), "-", LET(winner, INDEX(INDIRECT(weekSheet&amp;"$C:$C"), matchIdx), IF(winner="", "-", IF(winner=team, "-", 1)))))</f>
        <v>1</v>
      </c>
      <c r="L14" s="160"/>
      <c r="M14" s="160"/>
      <c r="N14" s="160"/>
      <c r="O14" s="160"/>
      <c r="P14" s="158">
        <f t="array" ref="P14">LET(team, SUBSTITUTE(P$1, " Wins", ""), IF(COUNTIF(INDIRECT("'"&amp;$A14&amp;"'!$C:$C"), team)&gt;0, 1, "-"))</f>
        <v>1</v>
      </c>
      <c r="Q14" s="158" t="str">
        <f t="array" ref="Q14">LET(team, SUBSTITUTE(Q$1, " Losses", ""), weekSheet, "'"&amp;$A14&amp;"'!", matchIdx, MATCH("*"&amp;team&amp;"*", INDIRECT(weekSheet&amp;"$B:$B"), 0), IF(ISNA(matchIdx), "-", LET(winner, INDEX(INDIRECT(weekSheet&amp;"$C:$C"), matchIdx), IF(winner="", "-", IF(winner=team, "-", 1)))))</f>
        <v>-</v>
      </c>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row>
    <row r="15">
      <c r="A15" s="157" t="s">
        <v>194</v>
      </c>
      <c r="B15" s="160"/>
      <c r="C15" s="160"/>
      <c r="D15" s="160"/>
      <c r="E15" s="160"/>
      <c r="F15" s="45">
        <f t="shared" si="17"/>
        <v>1</v>
      </c>
      <c r="G15" s="45" t="str">
        <f t="shared" si="18"/>
        <v>-</v>
      </c>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58">
        <f t="shared" ref="AZ15:AZ16" si="19">LET(team, SUBSTITUTE(AZ$1, " Wins", ""), IF(COUNTIF(INDIRECT("'"&amp;$A15&amp;"'!$C:$C"), team)&gt;0, 1, "-"))</f>
        <v>1</v>
      </c>
      <c r="BA15" s="158" t="str">
        <f t="shared" ref="BA15:BA16" si="20">LET(team, SUBSTITUTE(BA$1, " Losses", ""), weekSheet, "'"&amp;$A15&amp;"'!", matchIdx, MATCH("*"&amp;team&amp;"*", INDIRECT(weekSheet&amp;"$B:$B"), 0), IF(ISNA(matchIdx), "-", LET(winner, INDEX(INDIRECT(weekSheet&amp;"$C:$C"), matchIdx), IF(winner="", "-", IF(winner=team, "-", 1)))))</f>
        <v>-</v>
      </c>
      <c r="BB15" s="158" t="str">
        <f t="array" ref="BB15">LET(team, SUBSTITUTE(BB$1, " Wins", ""), IF(COUNTIF(INDIRECT("'"&amp;$A15&amp;"'!$C:$C"), team)&gt;0, 1, "-"))</f>
        <v>-</v>
      </c>
      <c r="BC15" s="158">
        <f t="array" ref="BC15">LET(team, SUBSTITUTE(BC$1, " Losses", ""), weekSheet, "'"&amp;$A15&amp;"'!", matchIdx, MATCH("*"&amp;team&amp;"*", INDIRECT(weekSheet&amp;"$B:$B"), 0), IF(ISNA(matchIdx), "-", LET(winner, INDEX(INDIRECT(weekSheet&amp;"$C:$C"), matchIdx), IF(winner="", "-", IF(winner=team, "-", 1)))))</f>
        <v>1</v>
      </c>
      <c r="BD15" s="158" t="str">
        <f t="shared" ref="BD15:BD16" si="21">LET(team, SUBSTITUTE(BD$1, " Wins", ""), IF(COUNTIF(INDIRECT("'"&amp;$A15&amp;"'!$C:$C"), team)&gt;0, 1, "-"))</f>
        <v>-</v>
      </c>
      <c r="BE15" s="158">
        <f t="shared" ref="BE15:BE16" si="22">LET(team, SUBSTITUTE(BE$1, " Losses", ""), weekSheet, "'"&amp;$A15&amp;"'!", matchIdx, MATCH("*"&amp;team&amp;"*", INDIRECT(weekSheet&amp;"$B:$B"), 0), IF(ISNA(matchIdx), "-", LET(winner, INDEX(INDIRECT(weekSheet&amp;"$C:$C"), matchIdx), IF(winner="", "-", IF(winner=team, "-", 1)))))</f>
        <v>1</v>
      </c>
      <c r="BF15" s="160"/>
      <c r="BG15" s="160"/>
      <c r="BH15" s="160"/>
      <c r="BI15" s="160"/>
      <c r="BJ15" s="160"/>
      <c r="BK15" s="160"/>
      <c r="BL15" s="160"/>
      <c r="BM15" s="160"/>
    </row>
    <row r="16">
      <c r="A16" s="157" t="s">
        <v>198</v>
      </c>
      <c r="B16" s="158">
        <f t="array" ref="B16">LET(team, SUBSTITUTE(B$1, " Wins", ""), IF(COUNTIF(INDIRECT("'"&amp;$A16&amp;"'!$C:$C"), team)&gt;0, 1, "-"))</f>
        <v>1</v>
      </c>
      <c r="C16" s="158" t="str">
        <f t="array" ref="C16">LET(team, SUBSTITUTE(C$1, " Losses", ""), weekSheet, "'"&amp;$A16&amp;"'!", matchIdx, MATCH("*"&amp;team&amp;"*", INDIRECT(weekSheet&amp;"$B:$B"), 0), IF(ISNA(matchIdx), "-", LET(winner, INDEX(INDIRECT(weekSheet&amp;"$C:$C"), matchIdx), IF(winner="", "-", IF(winner=team, "-", 1)))))</f>
        <v>-</v>
      </c>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58">
        <f t="array" ref="AN16">LET(team, SUBSTITUTE(AN$1, " Wins", ""), IF(COUNTIF(INDIRECT("'"&amp;$A16&amp;"'!$C:$C"), team)&gt;0, 1, "-"))</f>
        <v>1</v>
      </c>
      <c r="AO16" s="158" t="str">
        <f t="array" ref="AO16">LET(team, SUBSTITUTE(AO$1, " Losses", ""), weekSheet, "'"&amp;$A16&amp;"'!", matchIdx, MATCH("*"&amp;team&amp;"*", INDIRECT(weekSheet&amp;"$B:$B"), 0), IF(ISNA(matchIdx), "-", LET(winner, INDEX(INDIRECT(weekSheet&amp;"$C:$C"), matchIdx), IF(winner="", "-", IF(winner=team, "-", 1)))))</f>
        <v>-</v>
      </c>
      <c r="AP16" s="160"/>
      <c r="AQ16" s="160"/>
      <c r="AR16" s="160"/>
      <c r="AS16" s="160"/>
      <c r="AT16" s="160"/>
      <c r="AU16" s="160"/>
      <c r="AV16" s="160"/>
      <c r="AW16" s="160"/>
      <c r="AX16" s="160"/>
      <c r="AY16" s="160"/>
      <c r="AZ16" s="158">
        <f t="shared" si="19"/>
        <v>1</v>
      </c>
      <c r="BA16" s="158" t="str">
        <f t="shared" si="20"/>
        <v>-</v>
      </c>
      <c r="BB16" s="160"/>
      <c r="BC16" s="160"/>
      <c r="BD16" s="158" t="str">
        <f t="shared" si="21"/>
        <v>-</v>
      </c>
      <c r="BE16" s="158">
        <f t="shared" si="22"/>
        <v>1</v>
      </c>
      <c r="BF16" s="160"/>
      <c r="BG16" s="160"/>
      <c r="BH16" s="160"/>
      <c r="BI16" s="160"/>
      <c r="BJ16" s="160"/>
      <c r="BK16" s="160"/>
      <c r="BL16" s="160"/>
      <c r="BM16" s="160"/>
    </row>
    <row r="17">
      <c r="A17" s="157" t="s">
        <v>202</v>
      </c>
      <c r="B17" s="160"/>
      <c r="C17" s="160"/>
      <c r="D17" s="160"/>
      <c r="E17" s="160"/>
      <c r="F17" s="158" t="str">
        <f t="shared" ref="F17:F18" si="23">LET(team, SUBSTITUTE(F$1, " Wins", ""), IF(COUNTIF(INDIRECT("'"&amp;$A17&amp;"'!$C:$C"), team)&gt;0, 1, "-"))</f>
        <v>-</v>
      </c>
      <c r="G17" s="158">
        <f t="shared" ref="G17:G18" si="24">LET(team, SUBSTITUTE(G$1, " Losses", ""), weekSheet, "'"&amp;$A17&amp;"'!", matchIdx, MATCH("*"&amp;team&amp;"*", INDIRECT(weekSheet&amp;"$B:$B"), 0), IF(ISNA(matchIdx), "-", LET(winner, INDEX(INDIRECT(weekSheet&amp;"$C:$C"), matchIdx), IF(winner="", "-", IF(winner=team, "-", 1)))))</f>
        <v>1</v>
      </c>
      <c r="H17" s="158">
        <f t="array" ref="H17">LET(team, SUBSTITUTE(H$1, " Wins", ""), IF(COUNTIF(INDIRECT("'"&amp;$A17&amp;"'!$C:$C"), team)&gt;0, 1, "-"))</f>
        <v>1</v>
      </c>
      <c r="I17" s="158" t="str">
        <f t="array" ref="I17">LET(team, SUBSTITUTE(I$1, " Losses", ""), weekSheet, "'"&amp;$A17&amp;"'!", matchIdx, MATCH("*"&amp;team&amp;"*", INDIRECT(weekSheet&amp;"$B:$B"), 0), IF(ISNA(matchIdx), "-", LET(winner, INDEX(INDIRECT(weekSheet&amp;"$C:$C"), matchIdx), IF(winner="", "-", IF(winner=team, "-", 1)))))</f>
        <v>-</v>
      </c>
      <c r="J17" s="160"/>
      <c r="K17" s="160"/>
      <c r="L17" s="160"/>
      <c r="M17" s="160"/>
      <c r="N17" s="158" t="str">
        <f t="array" ref="N17">LET(team, SUBSTITUTE(N$1, " Wins", ""), IF(COUNTIF(INDIRECT("'"&amp;$A17&amp;"'!$C:$C"), team)&gt;0, 1, "-"))</f>
        <v>-</v>
      </c>
      <c r="O17" s="158">
        <f t="array" ref="O17">LET(team, SUBSTITUTE(O$1, " Losses", ""), weekSheet, "'"&amp;$A17&amp;"'!", matchIdx, MATCH("*"&amp;team&amp;"*", INDIRECT(weekSheet&amp;"$B:$B"), 0), IF(ISNA(matchIdx), "-", LET(winner, INDEX(INDIRECT(weekSheet&amp;"$C:$C"), matchIdx), IF(winner="", "-", IF(winner=team, "-", 1)))))</f>
        <v>1</v>
      </c>
      <c r="P17" s="158">
        <f t="array" ref="P17">LET(team, SUBSTITUTE(P$1, " Wins", ""), IF(COUNTIF(INDIRECT("'"&amp;$A17&amp;"'!$C:$C"), team)&gt;0, 1, "-"))</f>
        <v>1</v>
      </c>
      <c r="Q17" s="158" t="str">
        <f t="array" ref="Q17">LET(team, SUBSTITUTE(Q$1, " Losses", ""), weekSheet, "'"&amp;$A17&amp;"'!", matchIdx, MATCH("*"&amp;team&amp;"*", INDIRECT(weekSheet&amp;"$B:$B"), 0), IF(ISNA(matchIdx), "-", LET(winner, INDEX(INDIRECT(weekSheet&amp;"$C:$C"), matchIdx), IF(winner="", "-", IF(winner=team, "-", 1)))))</f>
        <v>-</v>
      </c>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row>
    <row r="18">
      <c r="A18" s="157" t="s">
        <v>206</v>
      </c>
      <c r="B18" s="160"/>
      <c r="C18" s="160"/>
      <c r="D18" s="160"/>
      <c r="E18" s="160"/>
      <c r="F18" s="158" t="str">
        <f t="shared" si="23"/>
        <v>-</v>
      </c>
      <c r="G18" s="158">
        <f t="shared" si="24"/>
        <v>1</v>
      </c>
      <c r="H18" s="160"/>
      <c r="I18" s="160"/>
      <c r="J18" s="158">
        <f t="shared" ref="J18:J19" si="25">LET(team, SUBSTITUTE(J$1, " Wins", ""), IF(COUNTIF(INDIRECT("'"&amp;$A18&amp;"'!$C:$C"), team)&gt;0, 1, "-"))</f>
        <v>1</v>
      </c>
      <c r="K18" s="158" t="str">
        <f t="shared" ref="K18:K19" si="26">LET(team, SUBSTITUTE(K$1, " Losses", ""), weekSheet, "'"&amp;$A18&amp;"'!", matchIdx, MATCH("*"&amp;team&amp;"*", INDIRECT(weekSheet&amp;"$B:$B"), 0), IF(ISNA(matchIdx), "-", LET(winner, INDEX(INDIRECT(weekSheet&amp;"$C:$C"), matchIdx), IF(winner="", "-", IF(winner=team, "-", 1)))))</f>
        <v>-</v>
      </c>
      <c r="L18" s="158" t="str">
        <f t="shared" ref="L18:L19" si="27">LET(team, SUBSTITUTE(L$1, " Wins", ""), IF(COUNTIF(INDIRECT("'"&amp;$A18&amp;"'!$C:$C"), team)&gt;0, 1, "-"))</f>
        <v>-</v>
      </c>
      <c r="M18" s="158">
        <f t="shared" ref="M18:M19" si="28">LET(team, SUBSTITUTE(M$1, " Losses", ""), weekSheet, "'"&amp;$A18&amp;"'!", matchIdx, MATCH("*"&amp;team&amp;"*", INDIRECT(weekSheet&amp;"$B:$B"), 0), IF(ISNA(matchIdx), "-", LET(winner, INDEX(INDIRECT(weekSheet&amp;"$C:$C"), matchIdx), IF(winner="", "-", IF(winner=team, "-", 1)))))</f>
        <v>1</v>
      </c>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58" t="str">
        <f t="array" ref="BB18">LET(team, SUBSTITUTE(BB$1, " Wins", ""), IF(COUNTIF(INDIRECT("'"&amp;$A18&amp;"'!$C:$C"), team)&gt;0, 1, "-"))</f>
        <v>-</v>
      </c>
      <c r="BC18" s="158">
        <f t="array" ref="BC18">LET(team, SUBSTITUTE(BC$1, " Losses", ""), weekSheet, "'"&amp;$A18&amp;"'!", matchIdx, MATCH("*"&amp;team&amp;"*", INDIRECT(weekSheet&amp;"$B:$B"), 0), IF(ISNA(matchIdx), "-", LET(winner, INDEX(INDIRECT(weekSheet&amp;"$C:$C"), matchIdx), IF(winner="", "-", IF(winner=team, "-", 1)))))</f>
        <v>1</v>
      </c>
      <c r="BD18" s="160"/>
      <c r="BE18" s="160"/>
      <c r="BF18" s="160"/>
      <c r="BG18" s="160"/>
      <c r="BH18" s="160"/>
      <c r="BI18" s="160"/>
      <c r="BJ18" s="160"/>
      <c r="BK18" s="160"/>
      <c r="BL18" s="160"/>
      <c r="BM18" s="160"/>
    </row>
    <row r="19">
      <c r="A19" s="157" t="s">
        <v>207</v>
      </c>
      <c r="B19" s="160"/>
      <c r="C19" s="160"/>
      <c r="D19" s="160"/>
      <c r="E19" s="160"/>
      <c r="F19" s="160"/>
      <c r="G19" s="160"/>
      <c r="H19" s="160"/>
      <c r="I19" s="160"/>
      <c r="J19" s="158">
        <f t="shared" si="25"/>
        <v>1</v>
      </c>
      <c r="K19" s="158" t="str">
        <f t="shared" si="26"/>
        <v>-</v>
      </c>
      <c r="L19" s="158" t="str">
        <f t="shared" si="27"/>
        <v>-</v>
      </c>
      <c r="M19" s="158">
        <f t="shared" si="28"/>
        <v>1</v>
      </c>
      <c r="N19" s="158" t="str">
        <f t="array" ref="N19">LET(team, SUBSTITUTE(N$1, " Wins", ""), IF(COUNTIF(INDIRECT("'"&amp;$A19&amp;"'!$C:$C"), team)&gt;0, 1, "-"))</f>
        <v>-</v>
      </c>
      <c r="O19" s="158">
        <f t="array" ref="O19">LET(team, SUBSTITUTE(O$1, " Losses", ""), weekSheet, "'"&amp;$A19&amp;"'!", matchIdx, MATCH("*"&amp;team&amp;"*", INDIRECT(weekSheet&amp;"$B:$B"), 0), IF(ISNA(matchIdx), "-", LET(winner, INDEX(INDIRECT(weekSheet&amp;"$C:$C"), matchIdx), IF(winner="", "-", IF(winner=team, "-", 1)))))</f>
        <v>1</v>
      </c>
      <c r="P19" s="158">
        <f t="array" ref="P19">LET(team, SUBSTITUTE(P$1, " Wins", ""), IF(COUNTIF(INDIRECT("'"&amp;$A19&amp;"'!$C:$C"), team)&gt;0, 1, "-"))</f>
        <v>1</v>
      </c>
      <c r="Q19" s="158" t="str">
        <f t="array" ref="Q19">LET(team, SUBSTITUTE(Q$1, " Losses", ""), weekSheet, "'"&amp;$A19&amp;"'!", matchIdx, MATCH("*"&amp;team&amp;"*", INDIRECT(weekSheet&amp;"$B:$B"), 0), IF(ISNA(matchIdx), "-", LET(winner, INDEX(INDIRECT(weekSheet&amp;"$C:$C"), matchIdx), IF(winner="", "-", IF(winner=team, "-", 1)))))</f>
        <v>-</v>
      </c>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row>
    <row r="20">
      <c r="A20" s="227" t="s">
        <v>705</v>
      </c>
      <c r="B20" s="229">
        <f t="shared" ref="B20:BM20" si="29">SUM(B2:B19)</f>
        <v>3</v>
      </c>
      <c r="C20" s="229">
        <f t="shared" si="29"/>
        <v>1</v>
      </c>
      <c r="D20" s="230">
        <f t="shared" si="29"/>
        <v>2</v>
      </c>
      <c r="E20" s="230">
        <f t="shared" si="29"/>
        <v>2</v>
      </c>
      <c r="F20" s="231">
        <f t="shared" si="29"/>
        <v>2</v>
      </c>
      <c r="G20" s="231">
        <f t="shared" si="29"/>
        <v>2</v>
      </c>
      <c r="H20" s="232">
        <f t="shared" si="29"/>
        <v>2</v>
      </c>
      <c r="I20" s="232">
        <f t="shared" si="29"/>
        <v>2</v>
      </c>
      <c r="J20" s="233">
        <f t="shared" si="29"/>
        <v>3</v>
      </c>
      <c r="K20" s="233">
        <f t="shared" si="29"/>
        <v>3</v>
      </c>
      <c r="L20" s="234">
        <f t="shared" si="29"/>
        <v>1</v>
      </c>
      <c r="M20" s="234">
        <f t="shared" si="29"/>
        <v>5</v>
      </c>
      <c r="N20" s="235">
        <f t="shared" si="29"/>
        <v>3</v>
      </c>
      <c r="O20" s="235">
        <f t="shared" si="29"/>
        <v>3</v>
      </c>
      <c r="P20" s="236">
        <f t="shared" si="29"/>
        <v>5</v>
      </c>
      <c r="Q20" s="236">
        <f t="shared" si="29"/>
        <v>1</v>
      </c>
      <c r="R20" s="237">
        <f t="shared" si="29"/>
        <v>0</v>
      </c>
      <c r="S20" s="237">
        <f t="shared" si="29"/>
        <v>1</v>
      </c>
      <c r="T20" s="238">
        <f t="shared" si="29"/>
        <v>1</v>
      </c>
      <c r="U20" s="238">
        <f t="shared" si="29"/>
        <v>0</v>
      </c>
      <c r="V20" s="239">
        <f t="shared" si="29"/>
        <v>1</v>
      </c>
      <c r="W20" s="239">
        <f t="shared" si="29"/>
        <v>0</v>
      </c>
      <c r="X20" s="240">
        <f t="shared" si="29"/>
        <v>1</v>
      </c>
      <c r="Y20" s="240">
        <f t="shared" si="29"/>
        <v>0</v>
      </c>
      <c r="Z20" s="241">
        <f t="shared" si="29"/>
        <v>0</v>
      </c>
      <c r="AA20" s="241">
        <f t="shared" si="29"/>
        <v>1</v>
      </c>
      <c r="AB20" s="242">
        <f t="shared" si="29"/>
        <v>0</v>
      </c>
      <c r="AC20" s="242">
        <f t="shared" si="29"/>
        <v>1</v>
      </c>
      <c r="AD20" s="243">
        <f t="shared" si="29"/>
        <v>0</v>
      </c>
      <c r="AE20" s="243">
        <f t="shared" si="29"/>
        <v>1</v>
      </c>
      <c r="AF20" s="244">
        <f t="shared" si="29"/>
        <v>1</v>
      </c>
      <c r="AG20" s="244">
        <f t="shared" si="29"/>
        <v>0</v>
      </c>
      <c r="AH20" s="245">
        <f t="shared" si="29"/>
        <v>1</v>
      </c>
      <c r="AI20" s="245">
        <f t="shared" si="29"/>
        <v>0</v>
      </c>
      <c r="AJ20" s="246">
        <f t="shared" si="29"/>
        <v>1</v>
      </c>
      <c r="AK20" s="246">
        <f t="shared" si="29"/>
        <v>0</v>
      </c>
      <c r="AL20" s="247">
        <f t="shared" si="29"/>
        <v>1</v>
      </c>
      <c r="AM20" s="247">
        <f t="shared" si="29"/>
        <v>0</v>
      </c>
      <c r="AN20" s="248">
        <f t="shared" si="29"/>
        <v>1</v>
      </c>
      <c r="AO20" s="248">
        <f t="shared" si="29"/>
        <v>0</v>
      </c>
      <c r="AP20" s="249">
        <f t="shared" si="29"/>
        <v>0</v>
      </c>
      <c r="AQ20" s="249">
        <f t="shared" si="29"/>
        <v>0</v>
      </c>
      <c r="AR20" s="250">
        <f t="shared" si="29"/>
        <v>0</v>
      </c>
      <c r="AS20" s="250">
        <f t="shared" si="29"/>
        <v>0</v>
      </c>
      <c r="AT20" s="251">
        <f t="shared" si="29"/>
        <v>0</v>
      </c>
      <c r="AU20" s="251">
        <f t="shared" si="29"/>
        <v>0</v>
      </c>
      <c r="AV20" s="252">
        <f t="shared" si="29"/>
        <v>0</v>
      </c>
      <c r="AW20" s="252">
        <f t="shared" si="29"/>
        <v>0</v>
      </c>
      <c r="AX20" s="253">
        <f t="shared" si="29"/>
        <v>2</v>
      </c>
      <c r="AY20" s="253">
        <f t="shared" si="29"/>
        <v>2</v>
      </c>
      <c r="AZ20" s="254">
        <f t="shared" si="29"/>
        <v>3</v>
      </c>
      <c r="BA20" s="254">
        <f t="shared" si="29"/>
        <v>1</v>
      </c>
      <c r="BB20" s="255">
        <f t="shared" si="29"/>
        <v>1</v>
      </c>
      <c r="BC20" s="255">
        <f t="shared" si="29"/>
        <v>3</v>
      </c>
      <c r="BD20" s="256">
        <f t="shared" si="29"/>
        <v>1</v>
      </c>
      <c r="BE20" s="256">
        <f t="shared" si="29"/>
        <v>3</v>
      </c>
      <c r="BF20" s="257">
        <f t="shared" si="29"/>
        <v>0</v>
      </c>
      <c r="BG20" s="257">
        <f t="shared" si="29"/>
        <v>0</v>
      </c>
      <c r="BH20" s="258">
        <f t="shared" si="29"/>
        <v>0</v>
      </c>
      <c r="BI20" s="258">
        <f t="shared" si="29"/>
        <v>0</v>
      </c>
      <c r="BJ20" s="259">
        <f t="shared" si="29"/>
        <v>0</v>
      </c>
      <c r="BK20" s="259">
        <f t="shared" si="29"/>
        <v>0</v>
      </c>
      <c r="BL20" s="260">
        <f t="shared" si="29"/>
        <v>0</v>
      </c>
      <c r="BM20" s="260">
        <f t="shared" si="29"/>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58">
        <f t="array" ref="AB2">LET(team, SUBSTITUTE(AB$1, " Wins", ""), IF(COUNTIF(INDIRECT("'"&amp;$A2&amp;"'!$C:$C"), team)&gt;0, 1, "-"))</f>
        <v>1</v>
      </c>
      <c r="AC2" s="158" t="str">
        <f t="array" ref="AC2">LET(team, SUBSTITUTE(AC$1, " Losses", ""), weekSheet, "'"&amp;$A2&amp;"'!", matchIdx, MATCH("*"&amp;team&amp;"*", INDIRECT(weekSheet&amp;"$B:$B"), 0), IF(ISNA(matchIdx), "-", LET(winner, INDEX(INDIRECT(weekSheet&amp;"$C:$C"), matchIdx), IF(winner="", "-", IF(winner=team, "-", 1)))))</f>
        <v>-</v>
      </c>
      <c r="AD2" s="158" t="str">
        <f t="array" ref="AD2">LET(team, SUBSTITUTE(AD$1, " Wins", ""), IF(COUNTIF(INDIRECT("'"&amp;$A2&amp;"'!$C:$C"), team)&gt;0, 1, "-"))</f>
        <v>-</v>
      </c>
      <c r="AE2" s="158">
        <f t="array" ref="AE2">LET(team, SUBSTITUTE(AE$1, " Losses", ""), weekSheet, "'"&amp;$A2&amp;"'!", matchIdx, MATCH("*"&amp;team&amp;"*", INDIRECT(weekSheet&amp;"$B:$B"), 0), IF(ISNA(matchIdx), "-", LET(winner, INDEX(INDIRECT(weekSheet&amp;"$C:$C"), matchIdx), IF(winner="", "-", IF(winner=team, "-", 1)))))</f>
        <v>1</v>
      </c>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58" t="str">
        <f t="shared" ref="BF2:BF3" si="1">LET(team, SUBSTITUTE(BF$1, " Wins", ""), IF(COUNTIF(INDIRECT("'"&amp;$A2&amp;"'!$C:$C"), team)&gt;0, 1, "-"))</f>
        <v>-</v>
      </c>
      <c r="BG2" s="158">
        <f t="shared" ref="BG2:BG3" si="2">LET(team, SUBSTITUTE(BG$1, " Losses", ""), weekSheet, "'"&amp;$A2&amp;"'!", matchIdx, MATCH("*"&amp;team&amp;"*", INDIRECT(weekSheet&amp;"$B:$B"), 0), IF(ISNA(matchIdx), "-", LET(winner, INDEX(INDIRECT(weekSheet&amp;"$C:$C"), matchIdx), IF(winner="", "-", IF(winner=team, "-", 1)))))</f>
        <v>1</v>
      </c>
      <c r="BH2" s="160"/>
      <c r="BI2" s="160"/>
      <c r="BJ2" s="158" t="str">
        <f t="array" ref="BJ2">LET(team, SUBSTITUTE(BJ$1, " Wins", ""), IF(COUNTIF(INDIRECT("'"&amp;$A2&amp;"'!$C:$C"), team)&gt;0, 1, "-"))</f>
        <v>-</v>
      </c>
      <c r="BK2" s="158">
        <f t="array" ref="BK2">LET(team, SUBSTITUTE(BK$1, " Losses", ""), weekSheet, "'"&amp;$A2&amp;"'!", matchIdx, MATCH("*"&amp;team&amp;"*", INDIRECT(weekSheet&amp;"$B:$B"), 0), IF(ISNA(matchIdx), "-", LET(winner, INDEX(INDIRECT(weekSheet&amp;"$C:$C"), matchIdx), IF(winner="", "-", IF(winner=team, "-", 1)))))</f>
        <v>1</v>
      </c>
      <c r="BL2" s="160"/>
      <c r="BM2" s="160"/>
    </row>
    <row r="3">
      <c r="A3" s="157" t="s">
        <v>119</v>
      </c>
      <c r="B3" s="160"/>
      <c r="C3" s="160"/>
      <c r="D3" s="160"/>
      <c r="E3" s="160"/>
      <c r="F3" s="160"/>
      <c r="G3" s="160"/>
      <c r="H3" s="160"/>
      <c r="I3" s="160"/>
      <c r="J3" s="160"/>
      <c r="K3" s="160"/>
      <c r="L3" s="160"/>
      <c r="M3" s="160"/>
      <c r="N3" s="160"/>
      <c r="O3" s="160"/>
      <c r="P3" s="158" t="str">
        <f t="array" ref="P3">LET(team, SUBSTITUTE(P$1, " Wins", ""), IF(COUNTIF(INDIRECT("'"&amp;$A3&amp;"'!$C:$C"), team)&gt;0, 1, "-"))</f>
        <v>-</v>
      </c>
      <c r="Q3" s="158">
        <f t="array" ref="Q3">LET(team, SUBSTITUTE(Q$1, " Losses", ""), weekSheet, "'"&amp;$A3&amp;"'!", matchIdx, MATCH("*"&amp;team&amp;"*", INDIRECT(weekSheet&amp;"$B:$B"), 0), IF(ISNA(matchIdx), "-", LET(winner, INDEX(INDIRECT(weekSheet&amp;"$C:$C"), matchIdx), IF(winner="", "-", IF(winner=team, "-", 1)))))</f>
        <v>1</v>
      </c>
      <c r="R3" s="160"/>
      <c r="S3" s="160"/>
      <c r="T3" s="160"/>
      <c r="U3" s="160"/>
      <c r="V3" s="160"/>
      <c r="W3" s="160"/>
      <c r="X3" s="160"/>
      <c r="Y3" s="160"/>
      <c r="Z3" s="158">
        <f t="array" ref="Z3">LET(team, SUBSTITUTE(Z$1, " Wins", ""), IF(COUNTIF(INDIRECT("'"&amp;$A3&amp;"'!$C:$C"), team)&gt;0, 1, "-"))</f>
        <v>1</v>
      </c>
      <c r="AA3" s="158" t="str">
        <f t="array" ref="AA3">LET(team, SUBSTITUTE(AA$1, " Losses", ""), weekSheet, "'"&amp;$A3&amp;"'!", matchIdx, MATCH("*"&amp;team&amp;"*", INDIRECT(weekSheet&amp;"$B:$B"), 0), IF(ISNA(matchIdx), "-", LET(winner, INDEX(INDIRECT(weekSheet&amp;"$C:$C"), matchIdx), IF(winner="", "-", IF(winner=team, "-", 1)))))</f>
        <v>-</v>
      </c>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c r="BF3" s="158">
        <f t="shared" si="1"/>
        <v>1</v>
      </c>
      <c r="BG3" s="158" t="str">
        <f t="shared" si="2"/>
        <v>-</v>
      </c>
      <c r="BH3" s="158" t="str">
        <f t="array" ref="BH3">LET(team, SUBSTITUTE(BH$1, " Wins", ""), IF(COUNTIF(INDIRECT("'"&amp;$A3&amp;"'!$C:$C"), team)&gt;0, 1, "-"))</f>
        <v>-</v>
      </c>
      <c r="BI3" s="158">
        <f t="array" ref="BI3">LET(team, SUBSTITUTE(BI$1, " Losses", ""), weekSheet, "'"&amp;$A3&amp;"'!", matchIdx, MATCH("*"&amp;team&amp;"*", INDIRECT(weekSheet&amp;"$B:$B"), 0), IF(ISNA(matchIdx), "-", LET(winner, INDEX(INDIRECT(weekSheet&amp;"$C:$C"), matchIdx), IF(winner="", "-", IF(winner=team, "-", 1)))))</f>
        <v>1</v>
      </c>
      <c r="BJ3" s="160"/>
      <c r="BK3" s="160"/>
      <c r="BL3" s="160"/>
      <c r="BM3" s="160"/>
    </row>
    <row r="4">
      <c r="A4" s="157" t="s">
        <v>130</v>
      </c>
      <c r="B4" s="160"/>
      <c r="C4" s="160"/>
      <c r="D4" s="160"/>
      <c r="E4" s="160"/>
      <c r="F4" s="160"/>
      <c r="G4" s="160"/>
      <c r="H4" s="160"/>
      <c r="I4" s="160"/>
      <c r="J4" s="160"/>
      <c r="K4" s="160"/>
      <c r="L4" s="160"/>
      <c r="M4" s="160"/>
      <c r="N4" s="160"/>
      <c r="O4" s="160"/>
      <c r="P4" s="160"/>
      <c r="Q4" s="160"/>
      <c r="R4" s="160"/>
      <c r="S4" s="160"/>
      <c r="T4" s="160"/>
      <c r="U4" s="160"/>
      <c r="V4" s="158" t="str">
        <f t="shared" ref="V4:V5" si="3">LET(team, SUBSTITUTE(V$1, " Wins", ""), IF(COUNTIF(INDIRECT("'"&amp;$A4&amp;"'!$C:$C"), team)&gt;0, 1, "-"))</f>
        <v>-</v>
      </c>
      <c r="W4" s="158">
        <f t="shared" ref="W4:W5" si="4">LET(team, SUBSTITUTE(W$1, " Losses", ""), weekSheet, "'"&amp;$A4&amp;"'!", matchIdx, MATCH("*"&amp;team&amp;"*", INDIRECT(weekSheet&amp;"$B:$B"), 0), IF(ISNA(matchIdx), "-", LET(winner, INDEX(INDIRECT(weekSheet&amp;"$C:$C"), matchIdx), IF(winner="", "-", IF(winner=team, "-", 1)))))</f>
        <v>1</v>
      </c>
      <c r="X4" s="158">
        <f t="array" ref="X4">LET(team, SUBSTITUTE(X$1, " Wins", ""), IF(COUNTIF(INDIRECT("'"&amp;$A4&amp;"'!$C:$C"), team)&gt;0, 1, "-"))</f>
        <v>1</v>
      </c>
      <c r="Y4" s="158" t="str">
        <f t="array" ref="Y4">LET(team, SUBSTITUTE(Y$1, " Losses", ""), weekSheet, "'"&amp;$A4&amp;"'!", matchIdx, MATCH("*"&amp;team&amp;"*", INDIRECT(weekSheet&amp;"$B:$B"), 0), IF(ISNA(matchIdx), "-", LET(winner, INDEX(INDIRECT(weekSheet&amp;"$C:$C"), matchIdx), IF(winner="", "-", IF(winner=team, "-", 1)))))</f>
        <v>-</v>
      </c>
      <c r="Z4" s="160"/>
      <c r="AA4" s="160"/>
      <c r="AB4" s="160"/>
      <c r="AC4" s="160"/>
      <c r="AD4" s="160"/>
      <c r="AE4" s="160"/>
      <c r="AF4" s="160"/>
      <c r="AG4" s="160"/>
      <c r="AH4" s="160"/>
      <c r="AI4" s="160"/>
      <c r="AJ4" s="160"/>
      <c r="AK4" s="160"/>
      <c r="AL4" s="160"/>
      <c r="AM4" s="160"/>
      <c r="AN4" s="160"/>
      <c r="AO4" s="160"/>
      <c r="AP4" s="158">
        <f t="array" ref="AP4">LET(team, SUBSTITUTE(AP$1, " Wins", ""), IF(COUNTIF(INDIRECT("'"&amp;$A4&amp;"'!$C:$C"), team)&gt;0, 1, "-"))</f>
        <v>1</v>
      </c>
      <c r="AQ4" s="158" t="str">
        <f t="array" ref="AQ4">LET(team, SUBSTITUTE(AQ$1, " Losses", ""), weekSheet, "'"&amp;$A4&amp;"'!", matchIdx, MATCH("*"&amp;team&amp;"*", INDIRECT(weekSheet&amp;"$B:$B"), 0), IF(ISNA(matchIdx), "-", LET(winner, INDEX(INDIRECT(weekSheet&amp;"$C:$C"), matchIdx), IF(winner="", "-", IF(winner=team, "-", 1)))))</f>
        <v>-</v>
      </c>
      <c r="AR4" s="160"/>
      <c r="AS4" s="160"/>
      <c r="AT4" s="160"/>
      <c r="AU4" s="160"/>
      <c r="AV4" s="160"/>
      <c r="AW4" s="160"/>
      <c r="AX4" s="160"/>
      <c r="AY4" s="160"/>
      <c r="AZ4" s="160"/>
      <c r="BA4" s="160"/>
      <c r="BB4" s="160"/>
      <c r="BC4" s="160"/>
      <c r="BD4" s="160"/>
      <c r="BE4" s="160"/>
      <c r="BF4" s="160"/>
      <c r="BG4" s="160"/>
      <c r="BH4" s="160"/>
      <c r="BI4" s="160"/>
      <c r="BJ4" s="160"/>
      <c r="BK4" s="160"/>
      <c r="BL4" s="158">
        <f t="array" ref="BL4">LET(team, SUBSTITUTE(BL$1, " Wins", ""), IF(COUNTIF(INDIRECT("'"&amp;$A4&amp;"'!$C:$C"), team)&gt;0, 1, "-"))</f>
        <v>1</v>
      </c>
      <c r="BM4" s="158" t="str">
        <f t="array" ref="BM4">LET(team, SUBSTITUTE(BM$1, " Losses", ""), weekSheet, "'"&amp;$A4&amp;"'!", matchIdx, MATCH("*"&amp;team&amp;"*", INDIRECT(weekSheet&amp;"$B:$B"), 0), IF(ISNA(matchIdx), "-", LET(winner, INDEX(INDIRECT(weekSheet&amp;"$C:$C"), matchIdx), IF(winner="", "-", IF(winner=team, "-", 1)))))</f>
        <v>-</v>
      </c>
    </row>
    <row r="5">
      <c r="A5" s="157" t="s">
        <v>141</v>
      </c>
      <c r="B5" s="160"/>
      <c r="C5" s="160"/>
      <c r="D5" s="160"/>
      <c r="E5" s="160"/>
      <c r="F5" s="160"/>
      <c r="G5" s="160"/>
      <c r="H5" s="160"/>
      <c r="I5" s="160"/>
      <c r="J5" s="160"/>
      <c r="K5" s="160"/>
      <c r="L5" s="160"/>
      <c r="M5" s="160"/>
      <c r="N5" s="160"/>
      <c r="O5" s="160"/>
      <c r="P5" s="160"/>
      <c r="Q5" s="160"/>
      <c r="R5" s="160"/>
      <c r="S5" s="160"/>
      <c r="T5" s="158" t="str">
        <f t="array" ref="T5">LET(team, SUBSTITUTE(T$1, " Wins", ""), IF(COUNTIF(INDIRECT("'"&amp;$A5&amp;"'!$C:$C"), team)&gt;0, 1, "-"))</f>
        <v>-</v>
      </c>
      <c r="U5" s="158">
        <f t="array" ref="U5">LET(team, SUBSTITUTE(U$1, " Losses", ""), weekSheet, "'"&amp;$A5&amp;"'!", matchIdx, MATCH("*"&amp;team&amp;"*", INDIRECT(weekSheet&amp;"$B:$B"), 0), IF(ISNA(matchIdx), "-", LET(winner, INDEX(INDIRECT(weekSheet&amp;"$C:$C"), matchIdx), IF(winner="", "-", IF(winner=team, "-", 1)))))</f>
        <v>1</v>
      </c>
      <c r="V5" s="158">
        <f t="shared" si="3"/>
        <v>1</v>
      </c>
      <c r="W5" s="158" t="str">
        <f t="shared" si="4"/>
        <v>-</v>
      </c>
      <c r="X5" s="160"/>
      <c r="Y5" s="160"/>
      <c r="Z5" s="160"/>
      <c r="AA5" s="160"/>
      <c r="AB5" s="158">
        <f t="array" ref="AB5">LET(team, SUBSTITUTE(AB$1, " Wins", ""), IF(COUNTIF(INDIRECT("'"&amp;$A5&amp;"'!$C:$C"), team)&gt;0, 1, "-"))</f>
        <v>1</v>
      </c>
      <c r="AC5" s="158" t="str">
        <f t="array" ref="AC5">LET(team, SUBSTITUTE(AC$1, " Losses", ""), weekSheet, "'"&amp;$A5&amp;"'!", matchIdx, MATCH("*"&amp;team&amp;"*", INDIRECT(weekSheet&amp;"$B:$B"), 0), IF(ISNA(matchIdx), "-", LET(winner, INDEX(INDIRECT(weekSheet&amp;"$C:$C"), matchIdx), IF(winner="", "-", IF(winner=team, "-", 1)))))</f>
        <v>-</v>
      </c>
      <c r="AD5" s="160"/>
      <c r="AE5" s="160"/>
      <c r="AF5" s="158" t="str">
        <f t="array" ref="AF5">LET(team, SUBSTITUTE(AF$1, " Wins", ""), IF(COUNTIF(INDIRECT("'"&amp;$A5&amp;"'!$C:$C"), team)&gt;0, 1, "-"))</f>
        <v>-</v>
      </c>
      <c r="AG5" s="158">
        <f t="array" ref="AG5">LET(team, SUBSTITUTE(AG$1, " Losses", ""), weekSheet, "'"&amp;$A5&amp;"'!", matchIdx, MATCH("*"&amp;team&amp;"*", INDIRECT(weekSheet&amp;"$B:$B"), 0), IF(ISNA(matchIdx), "-", LET(winner, INDEX(INDIRECT(weekSheet&amp;"$C:$C"), matchIdx), IF(winner="", "-", IF(winner=team, "-", 1)))))</f>
        <v>1</v>
      </c>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0"/>
      <c r="BM5" s="160"/>
    </row>
    <row r="6">
      <c r="A6" s="157" t="s">
        <v>145</v>
      </c>
      <c r="B6" s="160"/>
      <c r="C6" s="160"/>
      <c r="D6" s="160"/>
      <c r="E6" s="160"/>
      <c r="F6" s="160"/>
      <c r="G6" s="160"/>
      <c r="H6" s="160"/>
      <c r="I6" s="160"/>
      <c r="J6" s="160"/>
      <c r="K6" s="160"/>
      <c r="L6" s="158" t="str">
        <f t="array" ref="L6">LET(team, SUBSTITUTE(L$1, " Wins", ""), IF(COUNTIF(INDIRECT("'"&amp;$A6&amp;"'!$C:$C"), team)&gt;0, 1, "-"))</f>
        <v>-</v>
      </c>
      <c r="M6" s="158">
        <f t="array" ref="M6">LET(team, SUBSTITUTE(M$1, " Losses", ""), weekSheet, "'"&amp;$A6&amp;"'!", matchIdx, MATCH("*"&amp;team&amp;"*", INDIRECT(weekSheet&amp;"$B:$B"), 0), IF(ISNA(matchIdx), "-", LET(winner, INDEX(INDIRECT(weekSheet&amp;"$C:$C"), matchIdx), IF(winner="", "-", IF(winner=team, "-", 1)))))</f>
        <v>1</v>
      </c>
      <c r="N6" s="158" t="str">
        <f t="array" ref="N6">LET(team, SUBSTITUTE(N$1, " Wins", ""), IF(COUNTIF(INDIRECT("'"&amp;$A6&amp;"'!$C:$C"), team)&gt;0, 1, "-"))</f>
        <v>-</v>
      </c>
      <c r="O6" s="158">
        <f t="array" ref="O6">LET(team, SUBSTITUTE(O$1, " Losses", ""), weekSheet, "'"&amp;$A6&amp;"'!", matchIdx, MATCH("*"&amp;team&amp;"*", INDIRECT(weekSheet&amp;"$B:$B"), 0), IF(ISNA(matchIdx), "-", LET(winner, INDEX(INDIRECT(weekSheet&amp;"$C:$C"), matchIdx), IF(winner="", "-", IF(winner=team, "-", 1)))))</f>
        <v>1</v>
      </c>
      <c r="P6" s="160"/>
      <c r="Q6" s="160"/>
      <c r="R6" s="160"/>
      <c r="S6" s="160"/>
      <c r="T6" s="160"/>
      <c r="U6" s="160"/>
      <c r="V6" s="160"/>
      <c r="W6" s="160"/>
      <c r="X6" s="160"/>
      <c r="Y6" s="160"/>
      <c r="Z6" s="160"/>
      <c r="AA6" s="160"/>
      <c r="AB6" s="160"/>
      <c r="AC6" s="160"/>
      <c r="AD6" s="158">
        <f t="array" ref="AD6">LET(team, SUBSTITUTE(AD$1, " Wins", ""), IF(COUNTIF(INDIRECT("'"&amp;$A6&amp;"'!$C:$C"), team)&gt;0, 1, "-"))</f>
        <v>1</v>
      </c>
      <c r="AE6" s="158" t="str">
        <f t="array" ref="AE6">LET(team, SUBSTITUTE(AE$1, " Losses", ""), weekSheet, "'"&amp;$A6&amp;"'!", matchIdx, MATCH("*"&amp;team&amp;"*", INDIRECT(weekSheet&amp;"$B:$B"), 0), IF(ISNA(matchIdx), "-", LET(winner, INDEX(INDIRECT(weekSheet&amp;"$C:$C"), matchIdx), IF(winner="", "-", IF(winner=team, "-", 1)))))</f>
        <v>-</v>
      </c>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45">
        <f t="array" ref="BJ6">LET(team, SUBSTITUTE(BJ$1, " Wins", ""), IF(COUNTIF(INDIRECT("'"&amp;$A6&amp;"'!$C:$C"), team)&gt;0, 1, "-"))</f>
        <v>1</v>
      </c>
      <c r="BK6" s="45" t="str">
        <f t="array" ref="BK6">LET(team, SUBSTITUTE(BK$1, " Losses", ""), weekSheet, "'"&amp;$A6&amp;"'!", matchIdx, MATCH("*"&amp;team&amp;"*", INDIRECT(weekSheet&amp;"$B:$B"), 0), IF(ISNA(matchIdx), "-", LET(winner, INDEX(INDIRECT(weekSheet&amp;"$C:$C"), matchIdx), IF(winner="", "-", IF(winner=team, "-", 1)))))</f>
        <v>-</v>
      </c>
      <c r="BL6" s="160"/>
      <c r="BM6" s="160"/>
    </row>
    <row r="7">
      <c r="A7" s="157" t="s">
        <v>156</v>
      </c>
      <c r="B7" s="160"/>
      <c r="C7" s="160"/>
      <c r="D7" s="160"/>
      <c r="E7" s="160"/>
      <c r="F7" s="160"/>
      <c r="G7" s="160"/>
      <c r="H7" s="160"/>
      <c r="I7" s="160"/>
      <c r="J7" s="160"/>
      <c r="K7" s="160"/>
      <c r="L7" s="160"/>
      <c r="M7" s="160"/>
      <c r="N7" s="160"/>
      <c r="O7" s="160"/>
      <c r="P7" s="160"/>
      <c r="Q7" s="160"/>
      <c r="R7" s="158">
        <f t="shared" ref="R7:R8" si="5">LET(team, SUBSTITUTE(R$1, " Wins", ""), IF(COUNTIF(INDIRECT("'"&amp;$A7&amp;"'!$C:$C"), team)&gt;0, 1, "-"))</f>
        <v>1</v>
      </c>
      <c r="S7" s="158" t="str">
        <f t="shared" ref="S7:S8" si="6">LET(team, SUBSTITUTE(S$1, " Losses", ""), weekSheet, "'"&amp;$A7&amp;"'!", matchIdx, MATCH("*"&amp;team&amp;"*", INDIRECT(weekSheet&amp;"$B:$B"), 0), IF(ISNA(matchIdx), "-", LET(winner, INDEX(INDIRECT(weekSheet&amp;"$C:$C"), matchIdx), IF(winner="", "-", IF(winner=team, "-", 1)))))</f>
        <v>-</v>
      </c>
      <c r="T7" s="158" t="str">
        <f t="array" ref="T7">LET(team, SUBSTITUTE(T$1, " Wins", ""), IF(COUNTIF(INDIRECT("'"&amp;$A7&amp;"'!$C:$C"), team)&gt;0, 1, "-"))</f>
        <v>-</v>
      </c>
      <c r="U7" s="158">
        <f t="array" ref="U7">LET(team, SUBSTITUTE(U$1, " Losses", ""), weekSheet, "'"&amp;$A7&amp;"'!", matchIdx, MATCH("*"&amp;team&amp;"*", INDIRECT(weekSheet&amp;"$B:$B"), 0), IF(ISNA(matchIdx), "-", LET(winner, INDEX(INDIRECT(weekSheet&amp;"$C:$C"), matchIdx), IF(winner="", "-", IF(winner=team, "-", 1)))))</f>
        <v>1</v>
      </c>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58">
        <f t="array" ref="BF7">LET(team, SUBSTITUTE(BF$1, " Wins", ""), IF(COUNTIF(INDIRECT("'"&amp;$A7&amp;"'!$C:$C"), team)&gt;0, 1, "-"))</f>
        <v>1</v>
      </c>
      <c r="BG7" s="158" t="str">
        <f t="array" ref="BG7">LET(team, SUBSTITUTE(BG$1, " Losses", ""), weekSheet, "'"&amp;$A7&amp;"'!", matchIdx, MATCH("*"&amp;team&amp;"*", INDIRECT(weekSheet&amp;"$B:$B"), 0), IF(ISNA(matchIdx), "-", LET(winner, INDEX(INDIRECT(weekSheet&amp;"$C:$C"), matchIdx), IF(winner="", "-", IF(winner=team, "-", 1)))))</f>
        <v>-</v>
      </c>
      <c r="BH7" s="160"/>
      <c r="BI7" s="160"/>
      <c r="BJ7" s="160"/>
      <c r="BK7" s="160"/>
      <c r="BL7" s="160"/>
      <c r="BM7" s="160"/>
    </row>
    <row r="8">
      <c r="A8" s="157" t="s">
        <v>159</v>
      </c>
      <c r="B8" s="160"/>
      <c r="C8" s="160"/>
      <c r="D8" s="160"/>
      <c r="E8" s="160"/>
      <c r="F8" s="160"/>
      <c r="G8" s="160"/>
      <c r="H8" s="160"/>
      <c r="I8" s="160"/>
      <c r="J8" s="160"/>
      <c r="K8" s="160"/>
      <c r="L8" s="160"/>
      <c r="M8" s="160"/>
      <c r="N8" s="160"/>
      <c r="O8" s="160"/>
      <c r="P8" s="160"/>
      <c r="Q8" s="160"/>
      <c r="R8" s="45" t="str">
        <f t="shared" si="5"/>
        <v>-</v>
      </c>
      <c r="S8" s="45">
        <f t="shared" si="6"/>
        <v>1</v>
      </c>
      <c r="T8" s="160"/>
      <c r="U8" s="160"/>
      <c r="V8" s="160"/>
      <c r="W8" s="160"/>
      <c r="X8" s="158">
        <f t="array" ref="X8">LET(team, SUBSTITUTE(X$1, " Wins", ""), IF(COUNTIF(INDIRECT("'"&amp;$A8&amp;"'!$C:$C"), team)&gt;0, 1, "-"))</f>
        <v>1</v>
      </c>
      <c r="Y8" s="158" t="str">
        <f t="array" ref="Y8">LET(team, SUBSTITUTE(Y$1, " Losses", ""), weekSheet, "'"&amp;$A8&amp;"'!", matchIdx, MATCH("*"&amp;team&amp;"*", INDIRECT(weekSheet&amp;"$B:$B"), 0), IF(ISNA(matchIdx), "-", LET(winner, INDEX(INDIRECT(weekSheet&amp;"$C:$C"), matchIdx), IF(winner="", "-", IF(winner=team, "-", 1)))))</f>
        <v>-</v>
      </c>
      <c r="Z8" s="160"/>
      <c r="AA8" s="160"/>
      <c r="AB8" s="160"/>
      <c r="AC8" s="160"/>
      <c r="AD8" s="160"/>
      <c r="AE8" s="160"/>
      <c r="AF8" s="158" t="str">
        <f t="shared" ref="AF8:AF9" si="7">LET(team, SUBSTITUTE(AF$1, " Wins", ""), IF(COUNTIF(INDIRECT("'"&amp;$A8&amp;"'!$C:$C"), team)&gt;0, 1, "-"))</f>
        <v>-</v>
      </c>
      <c r="AG8" s="158">
        <f t="shared" ref="AG8:AG9" si="8">LET(team, SUBSTITUTE(AG$1, " Losses", ""), weekSheet, "'"&amp;$A8&amp;"'!", matchIdx, MATCH("*"&amp;team&amp;"*", INDIRECT(weekSheet&amp;"$B:$B"), 0), IF(ISNA(matchIdx), "-", LET(winner, INDEX(INDIRECT(weekSheet&amp;"$C:$C"), matchIdx), IF(winner="", "-", IF(winner=team, "-", 1)))))</f>
        <v>1</v>
      </c>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58">
        <f t="array" ref="BH8">LET(team, SUBSTITUTE(BH$1, " Wins", ""), IF(COUNTIF(INDIRECT("'"&amp;$A8&amp;"'!$C:$C"), team)&gt;0, 1, "-"))</f>
        <v>1</v>
      </c>
      <c r="BI8" s="158" t="str">
        <f t="array" ref="BI8">LET(team, SUBSTITUTE(BI$1, " Losses", ""), weekSheet, "'"&amp;$A8&amp;"'!", matchIdx, MATCH("*"&amp;team&amp;"*", INDIRECT(weekSheet&amp;"$B:$B"), 0), IF(ISNA(matchIdx), "-", LET(winner, INDEX(INDIRECT(weekSheet&amp;"$C:$C"), matchIdx), IF(winner="", "-", IF(winner=team, "-", 1)))))</f>
        <v>-</v>
      </c>
      <c r="BJ8" s="160"/>
      <c r="BK8" s="160"/>
      <c r="BL8" s="160"/>
      <c r="BM8" s="160"/>
    </row>
    <row r="9">
      <c r="A9" s="157" t="s">
        <v>164</v>
      </c>
      <c r="B9" s="160"/>
      <c r="C9" s="160"/>
      <c r="D9" s="160"/>
      <c r="E9" s="160"/>
      <c r="F9" s="160"/>
      <c r="G9" s="160"/>
      <c r="H9" s="160"/>
      <c r="I9" s="160"/>
      <c r="J9" s="158">
        <f t="array" ref="J9">LET(team, SUBSTITUTE(J$1, " Wins", ""), IF(COUNTIF(INDIRECT("'"&amp;$A9&amp;"'!$C:$C"), team)&gt;0, 1, "-"))</f>
        <v>1</v>
      </c>
      <c r="K9" s="158" t="str">
        <f t="array" ref="K9">LET(team, SUBSTITUTE(K$1, " Losses", ""), weekSheet, "'"&amp;$A9&amp;"'!", matchIdx, MATCH("*"&amp;team&amp;"*", INDIRECT(weekSheet&amp;"$B:$B"), 0), IF(ISNA(matchIdx), "-", LET(winner, INDEX(INDIRECT(weekSheet&amp;"$C:$C"), matchIdx), IF(winner="", "-", IF(winner=team, "-", 1)))))</f>
        <v>-</v>
      </c>
      <c r="L9" s="160"/>
      <c r="M9" s="160"/>
      <c r="N9" s="160"/>
      <c r="O9" s="160"/>
      <c r="P9" s="160"/>
      <c r="Q9" s="160"/>
      <c r="R9" s="160"/>
      <c r="S9" s="160"/>
      <c r="T9" s="158" t="str">
        <f t="array" ref="T9">LET(team, SUBSTITUTE(T$1, " Wins", ""), IF(COUNTIF(INDIRECT("'"&amp;$A9&amp;"'!$C:$C"), team)&gt;0, 1, "-"))</f>
        <v>-</v>
      </c>
      <c r="U9" s="158">
        <f t="array" ref="U9">LET(team, SUBSTITUTE(U$1, " Losses", ""), weekSheet, "'"&amp;$A9&amp;"'!", matchIdx, MATCH("*"&amp;team&amp;"*", INDIRECT(weekSheet&amp;"$B:$B"), 0), IF(ISNA(matchIdx), "-", LET(winner, INDEX(INDIRECT(weekSheet&amp;"$C:$C"), matchIdx), IF(winner="", "-", IF(winner=team, "-", 1)))))</f>
        <v>1</v>
      </c>
      <c r="V9" s="158">
        <f t="array" ref="V9">LET(team, SUBSTITUTE(V$1, " Wins", ""), IF(COUNTIF(INDIRECT("'"&amp;$A9&amp;"'!$C:$C"), team)&gt;0, 1, "-"))</f>
        <v>1</v>
      </c>
      <c r="W9" s="158" t="str">
        <f t="array" ref="W9">LET(team, SUBSTITUTE(W$1, " Losses", ""), weekSheet, "'"&amp;$A9&amp;"'!", matchIdx, MATCH("*"&amp;team&amp;"*", INDIRECT(weekSheet&amp;"$B:$B"), 0), IF(ISNA(matchIdx), "-", LET(winner, INDEX(INDIRECT(weekSheet&amp;"$C:$C"), matchIdx), IF(winner="", "-", IF(winner=team, "-", 1)))))</f>
        <v>-</v>
      </c>
      <c r="X9" s="160"/>
      <c r="Y9" s="160"/>
      <c r="Z9" s="160"/>
      <c r="AA9" s="160"/>
      <c r="AB9" s="160"/>
      <c r="AC9" s="160"/>
      <c r="AD9" s="160"/>
      <c r="AE9" s="160"/>
      <c r="AF9" s="158" t="str">
        <f t="shared" si="7"/>
        <v>-</v>
      </c>
      <c r="AG9" s="158">
        <f t="shared" si="8"/>
        <v>1</v>
      </c>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row>
    <row r="10">
      <c r="A10" s="157" t="s">
        <v>170</v>
      </c>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58" t="str">
        <f t="array" ref="AB10">LET(team, SUBSTITUTE(AB$1, " Wins", ""), IF(COUNTIF(INDIRECT("'"&amp;$A10&amp;"'!$C:$C"), team)&gt;0, 1, "-"))</f>
        <v>-</v>
      </c>
      <c r="AC10" s="158">
        <f t="array" ref="AC10">LET(team, SUBSTITUTE(AC$1, " Losses", ""), weekSheet, "'"&amp;$A10&amp;"'!", matchIdx, MATCH("*"&amp;team&amp;"*", INDIRECT(weekSheet&amp;"$B:$B"), 0), IF(ISNA(matchIdx), "-", LET(winner, INDEX(INDIRECT(weekSheet&amp;"$C:$C"), matchIdx), IF(winner="", "-", IF(winner=team, "-", 1)))))</f>
        <v>1</v>
      </c>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58">
        <f t="array" ref="BH10">LET(team, SUBSTITUTE(BH$1, " Wins", ""), IF(COUNTIF(INDIRECT("'"&amp;$A10&amp;"'!$C:$C"), team)&gt;0, 1, "-"))</f>
        <v>1</v>
      </c>
      <c r="BI10" s="158" t="str">
        <f t="array" ref="BI10">LET(team, SUBSTITUTE(BI$1, " Losses", ""), weekSheet, "'"&amp;$A10&amp;"'!", matchIdx, MATCH("*"&amp;team&amp;"*", INDIRECT(weekSheet&amp;"$B:$B"), 0), IF(ISNA(matchIdx), "-", LET(winner, INDEX(INDIRECT(weekSheet&amp;"$C:$C"), matchIdx), IF(winner="", "-", IF(winner=team, "-", 1)))))</f>
        <v>-</v>
      </c>
      <c r="BJ10" s="158">
        <f t="array" ref="BJ10">LET(team, SUBSTITUTE(BJ$1, " Wins", ""), IF(COUNTIF(INDIRECT("'"&amp;$A10&amp;"'!$C:$C"), team)&gt;0, 1, "-"))</f>
        <v>1</v>
      </c>
      <c r="BK10" s="158" t="str">
        <f t="array" ref="BK10">LET(team, SUBSTITUTE(BK$1, " Losses", ""), weekSheet, "'"&amp;$A10&amp;"'!", matchIdx, MATCH("*"&amp;team&amp;"*", INDIRECT(weekSheet&amp;"$B:$B"), 0), IF(ISNA(matchIdx), "-", LET(winner, INDEX(INDIRECT(weekSheet&amp;"$C:$C"), matchIdx), IF(winner="", "-", IF(winner=team, "-", 1)))))</f>
        <v>-</v>
      </c>
      <c r="BL10" s="160"/>
      <c r="BM10" s="160"/>
    </row>
    <row r="11">
      <c r="A11" s="157" t="s">
        <v>175</v>
      </c>
      <c r="B11" s="160"/>
      <c r="C11" s="160"/>
      <c r="D11" s="160"/>
      <c r="E11" s="160"/>
      <c r="F11" s="160"/>
      <c r="G11" s="160"/>
      <c r="H11" s="158" t="str">
        <f t="array" ref="H11">LET(team, SUBSTITUTE(H$1, " Wins", ""), IF(COUNTIF(INDIRECT("'"&amp;$A11&amp;"'!$C:$C"), team)&gt;0, 1, "-"))</f>
        <v>-</v>
      </c>
      <c r="I11" s="158">
        <f t="array" ref="I11">LET(team, SUBSTITUTE(I$1, " Losses", ""), weekSheet, "'"&amp;$A11&amp;"'!", matchIdx, MATCH("*"&amp;team&amp;"*", INDIRECT(weekSheet&amp;"$B:$B"), 0), IF(ISNA(matchIdx), "-", LET(winner, INDEX(INDIRECT(weekSheet&amp;"$C:$C"), matchIdx), IF(winner="", "-", IF(winner=team, "-", 1)))))</f>
        <v>1</v>
      </c>
      <c r="J11" s="160"/>
      <c r="K11" s="160"/>
      <c r="L11" s="160"/>
      <c r="M11" s="160"/>
      <c r="N11" s="160"/>
      <c r="O11" s="160"/>
      <c r="P11" s="160"/>
      <c r="Q11" s="160"/>
      <c r="R11" s="160"/>
      <c r="S11" s="160"/>
      <c r="T11" s="160"/>
      <c r="U11" s="160"/>
      <c r="V11" s="158" t="str">
        <f t="array" ref="V11">LET(team, SUBSTITUTE(V$1, " Wins", ""), IF(COUNTIF(INDIRECT("'"&amp;$A11&amp;"'!$C:$C"), team)&gt;0, 1, "-"))</f>
        <v>-</v>
      </c>
      <c r="W11" s="158">
        <f t="array" ref="W11">LET(team, SUBSTITUTE(W$1, " Losses", ""), weekSheet, "'"&amp;$A11&amp;"'!", matchIdx, MATCH("*"&amp;team&amp;"*", INDIRECT(weekSheet&amp;"$B:$B"), 0), IF(ISNA(matchIdx), "-", LET(winner, INDEX(INDIRECT(weekSheet&amp;"$C:$C"), matchIdx), IF(winner="", "-", IF(winner=team, "-", 1)))))</f>
        <v>1</v>
      </c>
      <c r="X11" s="45">
        <f t="array" ref="X11">LET(team, SUBSTITUTE(X$1, " Wins", ""), IF(COUNTIF(INDIRECT("'"&amp;$A11&amp;"'!$C:$C"), team)&gt;0, 1, "-"))</f>
        <v>1</v>
      </c>
      <c r="Y11" s="45" t="str">
        <f t="array" ref="Y11">LET(team, SUBSTITUTE(Y$1, " Losses", ""), weekSheet, "'"&amp;$A11&amp;"'!", matchIdx, MATCH("*"&amp;team&amp;"*", INDIRECT(weekSheet&amp;"$B:$B"), 0), IF(ISNA(matchIdx), "-", LET(winner, INDEX(INDIRECT(weekSheet&amp;"$C:$C"), matchIdx), IF(winner="", "-", IF(winner=team, "-", 1)))))</f>
        <v>-</v>
      </c>
      <c r="Z11" s="158" t="str">
        <f t="array" ref="Z11">LET(team, SUBSTITUTE(Z$1, " Wins", ""), IF(COUNTIF(INDIRECT("'"&amp;$A11&amp;"'!$C:$C"), team)&gt;0, 1, "-"))</f>
        <v>-</v>
      </c>
      <c r="AA11" s="158">
        <f t="array" ref="AA11">LET(team, SUBSTITUTE(AA$1, " Losses", ""), weekSheet, "'"&amp;$A11&amp;"'!", matchIdx, MATCH("*"&amp;team&amp;"*", INDIRECT(weekSheet&amp;"$B:$B"), 0), IF(ISNA(matchIdx), "-", LET(winner, INDEX(INDIRECT(weekSheet&amp;"$C:$C"), matchIdx), IF(winner="", "-", IF(winner=team, "-", 1)))))</f>
        <v>1</v>
      </c>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row>
    <row r="12">
      <c r="A12" s="157" t="s">
        <v>179</v>
      </c>
      <c r="B12" s="160"/>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58">
        <f t="array" ref="AR12">LET(team, SUBSTITUTE(AR$1, " Wins", ""), IF(COUNTIF(INDIRECT("'"&amp;$A12&amp;"'!$C:$C"), team)&gt;0, 1, "-"))</f>
        <v>1</v>
      </c>
      <c r="AS12" s="158" t="str">
        <f t="array" ref="AS12">LET(team, SUBSTITUTE(AS$1, " Losses", ""), weekSheet, "'"&amp;$A12&amp;"'!", matchIdx, MATCH("*"&amp;team&amp;"*", INDIRECT(weekSheet&amp;"$B:$B"), 0), IF(ISNA(matchIdx), "-", LET(winner, INDEX(INDIRECT(weekSheet&amp;"$C:$C"), matchIdx), IF(winner="", "-", IF(winner=team, "-", 1)))))</f>
        <v>-</v>
      </c>
      <c r="AT12" s="160"/>
      <c r="AU12" s="160"/>
      <c r="AV12" s="158">
        <f t="array" ref="AV12">LET(team, SUBSTITUTE(AV$1, " Wins", ""), IF(COUNTIF(INDIRECT("'"&amp;$A12&amp;"'!$C:$C"), team)&gt;0, 1, "-"))</f>
        <v>1</v>
      </c>
      <c r="AW12" s="158" t="str">
        <f t="array" ref="AW12">LET(team, SUBSTITUTE(AW$1, " Losses", ""), weekSheet, "'"&amp;$A12&amp;"'!", matchIdx, MATCH("*"&amp;team&amp;"*", INDIRECT(weekSheet&amp;"$B:$B"), 0), IF(ISNA(matchIdx), "-", LET(winner, INDEX(INDIRECT(weekSheet&amp;"$C:$C"), matchIdx), IF(winner="", "-", IF(winner=team, "-", 1)))))</f>
        <v>-</v>
      </c>
      <c r="AX12" s="160"/>
      <c r="AY12" s="160"/>
      <c r="AZ12" s="160"/>
      <c r="BA12" s="160"/>
      <c r="BB12" s="160"/>
      <c r="BC12" s="160"/>
      <c r="BD12" s="160"/>
      <c r="BE12" s="160"/>
      <c r="BF12" s="160"/>
      <c r="BG12" s="160"/>
      <c r="BH12" s="160"/>
      <c r="BI12" s="160"/>
      <c r="BJ12" s="160"/>
      <c r="BK12" s="160"/>
      <c r="BL12" s="45">
        <f t="array" ref="BL12">LET(team, SUBSTITUTE(BL$1, " Wins", ""), IF(COUNTIF(INDIRECT("'"&amp;$A12&amp;"'!$C:$C"), team)&gt;0, 1, "-"))</f>
        <v>1</v>
      </c>
      <c r="BM12" s="45" t="str">
        <f t="array" ref="BM12">LET(team, SUBSTITUTE(BM$1, " Losses", ""), weekSheet, "'"&amp;$A12&amp;"'!", matchIdx, MATCH("*"&amp;team&amp;"*", INDIRECT(weekSheet&amp;"$B:$B"), 0), IF(ISNA(matchIdx), "-", LET(winner, INDEX(INDIRECT(weekSheet&amp;"$C:$C"), matchIdx), IF(winner="", "-", IF(winner=team, "-", 1)))))</f>
        <v>-</v>
      </c>
    </row>
    <row r="13">
      <c r="A13" s="157" t="s">
        <v>185</v>
      </c>
      <c r="B13" s="160"/>
      <c r="C13" s="160"/>
      <c r="D13" s="158">
        <f t="array" ref="D13">LET(team, SUBSTITUTE(D$1, " Wins", ""), IF(COUNTIF(INDIRECT("'"&amp;$A13&amp;"'!$C:$C"), team)&gt;0, 1, "-"))</f>
        <v>1</v>
      </c>
      <c r="E13" s="158" t="str">
        <f t="array" ref="E13">LET(team, SUBSTITUTE(E$1, " Losses", ""), weekSheet, "'"&amp;$A13&amp;"'!", matchIdx, MATCH("*"&amp;team&amp;"*", INDIRECT(weekSheet&amp;"$B:$B"), 0), IF(ISNA(matchIdx), "-", LET(winner, INDEX(INDIRECT(weekSheet&amp;"$C:$C"), matchIdx), IF(winner="", "-", IF(winner=team, "-", 1)))))</f>
        <v>-</v>
      </c>
      <c r="F13" s="45">
        <f t="array" ref="F13">LET(team, SUBSTITUTE(F$1, " Wins", ""), IF(COUNTIF(INDIRECT("'"&amp;$A13&amp;"'!$C:$C"), team)&gt;0, 1, "-"))</f>
        <v>1</v>
      </c>
      <c r="G13" s="45" t="str">
        <f t="array" ref="G13">LET(team, SUBSTITUTE(G$1, " Losses", ""), weekSheet, "'"&amp;$A13&amp;"'!", matchIdx, MATCH("*"&amp;team&amp;"*", INDIRECT(weekSheet&amp;"$B:$B"), 0), IF(ISNA(matchIdx), "-", LET(winner, INDEX(INDIRECT(weekSheet&amp;"$C:$C"), matchIdx), IF(winner="", "-", IF(winner=team, "-", 1)))))</f>
        <v>-</v>
      </c>
      <c r="H13" s="160"/>
      <c r="I13" s="160"/>
      <c r="J13" s="160"/>
      <c r="K13" s="160"/>
      <c r="L13" s="160"/>
      <c r="M13" s="160"/>
      <c r="N13" s="160"/>
      <c r="O13" s="160"/>
      <c r="P13" s="160"/>
      <c r="Q13" s="160"/>
      <c r="R13" s="160"/>
      <c r="S13" s="160"/>
      <c r="T13" s="160"/>
      <c r="U13" s="160"/>
      <c r="V13" s="160"/>
      <c r="W13" s="160"/>
      <c r="X13" s="160"/>
      <c r="Y13" s="160"/>
      <c r="Z13" s="158" t="str">
        <f t="shared" ref="Z13:Z14" si="9">LET(team, SUBSTITUTE(Z$1, " Wins", ""), IF(COUNTIF(INDIRECT("'"&amp;$A13&amp;"'!$C:$C"), team)&gt;0, 1, "-"))</f>
        <v>-</v>
      </c>
      <c r="AA13" s="158">
        <f t="shared" ref="AA13:AA14" si="10">LET(team, SUBSTITUTE(AA$1, " Losses", ""), weekSheet, "'"&amp;$A13&amp;"'!", matchIdx, MATCH("*"&amp;team&amp;"*", INDIRECT(weekSheet&amp;"$B:$B"), 0), IF(ISNA(matchIdx), "-", LET(winner, INDEX(INDIRECT(weekSheet&amp;"$C:$C"), matchIdx), IF(winner="", "-", IF(winner=team, "-", 1)))))</f>
        <v>1</v>
      </c>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45" t="str">
        <f t="array" ref="BH13">LET(team, SUBSTITUTE(BH$1, " Wins", ""), IF(COUNTIF(INDIRECT("'"&amp;$A13&amp;"'!$C:$C"), team)&gt;0, 1, "-"))</f>
        <v>-</v>
      </c>
      <c r="BI13" s="45">
        <f t="array" ref="BI13">LET(team, SUBSTITUTE(BI$1, " Losses", ""), weekSheet, "'"&amp;$A13&amp;"'!", matchIdx, MATCH("*"&amp;team&amp;"*", INDIRECT(weekSheet&amp;"$B:$B"), 0), IF(ISNA(matchIdx), "-", LET(winner, INDEX(INDIRECT(weekSheet&amp;"$C:$C"), matchIdx), IF(winner="", "-", IF(winner=team, "-", 1)))))</f>
        <v>1</v>
      </c>
      <c r="BJ13" s="160"/>
      <c r="BK13" s="160"/>
      <c r="BL13" s="160"/>
      <c r="BM13" s="160"/>
    </row>
    <row r="14">
      <c r="A14" s="157" t="s">
        <v>191</v>
      </c>
      <c r="B14" s="160"/>
      <c r="C14" s="160"/>
      <c r="D14" s="160"/>
      <c r="E14" s="160"/>
      <c r="F14" s="160"/>
      <c r="G14" s="160"/>
      <c r="H14" s="160"/>
      <c r="I14" s="160"/>
      <c r="J14" s="160"/>
      <c r="K14" s="160"/>
      <c r="L14" s="160"/>
      <c r="M14" s="160"/>
      <c r="N14" s="160"/>
      <c r="O14" s="160"/>
      <c r="P14" s="160"/>
      <c r="Q14" s="160"/>
      <c r="R14" s="160"/>
      <c r="S14" s="160"/>
      <c r="T14" s="158" t="str">
        <f t="array" ref="T14">LET(team, SUBSTITUTE(T$1, " Wins", ""), IF(COUNTIF(INDIRECT("'"&amp;$A14&amp;"'!$C:$C"), team)&gt;0, 1, "-"))</f>
        <v>-</v>
      </c>
      <c r="U14" s="158">
        <f t="array" ref="U14">LET(team, SUBSTITUTE(U$1, " Losses", ""), weekSheet, "'"&amp;$A14&amp;"'!", matchIdx, MATCH("*"&amp;team&amp;"*", INDIRECT(weekSheet&amp;"$B:$B"), 0), IF(ISNA(matchIdx), "-", LET(winner, INDEX(INDIRECT(weekSheet&amp;"$C:$C"), matchIdx), IF(winner="", "-", IF(winner=team, "-", 1)))))</f>
        <v>1</v>
      </c>
      <c r="V14" s="158" t="str">
        <f t="array" ref="V14">LET(team, SUBSTITUTE(V$1, " Wins", ""), IF(COUNTIF(INDIRECT("'"&amp;$A14&amp;"'!$C:$C"), team)&gt;0, 1, "-"))</f>
        <v>-</v>
      </c>
      <c r="W14" s="158">
        <f t="array" ref="W14">LET(team, SUBSTITUTE(W$1, " Losses", ""), weekSheet, "'"&amp;$A14&amp;"'!", matchIdx, MATCH("*"&amp;team&amp;"*", INDIRECT(weekSheet&amp;"$B:$B"), 0), IF(ISNA(matchIdx), "-", LET(winner, INDEX(INDIRECT(weekSheet&amp;"$C:$C"), matchIdx), IF(winner="", "-", IF(winner=team, "-", 1)))))</f>
        <v>1</v>
      </c>
      <c r="X14" s="158">
        <f t="array" ref="X14">LET(team, SUBSTITUTE(X$1, " Wins", ""), IF(COUNTIF(INDIRECT("'"&amp;$A14&amp;"'!$C:$C"), team)&gt;0, 1, "-"))</f>
        <v>1</v>
      </c>
      <c r="Y14" s="158" t="str">
        <f t="array" ref="Y14">LET(team, SUBSTITUTE(Y$1, " Losses", ""), weekSheet, "'"&amp;$A14&amp;"'!", matchIdx, MATCH("*"&amp;team&amp;"*", INDIRECT(weekSheet&amp;"$B:$B"), 0), IF(ISNA(matchIdx), "-", LET(winner, INDEX(INDIRECT(weekSheet&amp;"$C:$C"), matchIdx), IF(winner="", "-", IF(winner=team, "-", 1)))))</f>
        <v>-</v>
      </c>
      <c r="Z14" s="158">
        <f t="shared" si="9"/>
        <v>1</v>
      </c>
      <c r="AA14" s="158" t="str">
        <f t="shared" si="10"/>
        <v>-</v>
      </c>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row>
    <row r="15">
      <c r="A15" s="157" t="s">
        <v>194</v>
      </c>
      <c r="B15" s="158">
        <f t="array" ref="B15">LET(team, SUBSTITUTE(B$1, " Wins", ""), IF(COUNTIF(INDIRECT("'"&amp;$A15&amp;"'!$C:$C"), team)&gt;0, 1, "-"))</f>
        <v>1</v>
      </c>
      <c r="C15" s="158" t="str">
        <f t="array" ref="C15">LET(team, SUBSTITUTE(C$1, " Losses", ""), weekSheet, "'"&amp;$A15&amp;"'!", matchIdx, MATCH("*"&amp;team&amp;"*", INDIRECT(weekSheet&amp;"$B:$B"), 0), IF(ISNA(matchIdx), "-", LET(winner, INDEX(INDIRECT(weekSheet&amp;"$C:$C"), matchIdx), IF(winner="", "-", IF(winner=team, "-", 1)))))</f>
        <v>-</v>
      </c>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58" t="str">
        <f t="array" ref="AB15">LET(team, SUBSTITUTE(AB$1, " Wins", ""), IF(COUNTIF(INDIRECT("'"&amp;$A15&amp;"'!$C:$C"), team)&gt;0, 1, "-"))</f>
        <v>-</v>
      </c>
      <c r="AC15" s="158">
        <f t="array" ref="AC15">LET(team, SUBSTITUTE(AC$1, " Losses", ""), weekSheet, "'"&amp;$A15&amp;"'!", matchIdx, MATCH("*"&amp;team&amp;"*", INDIRECT(weekSheet&amp;"$B:$B"), 0), IF(ISNA(matchIdx), "-", LET(winner, INDEX(INDIRECT(weekSheet&amp;"$C:$C"), matchIdx), IF(winner="", "-", IF(winner=team, "-", 1)))))</f>
        <v>1</v>
      </c>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58" t="str">
        <f t="array" ref="BF15">LET(team, SUBSTITUTE(BF$1, " Wins", ""), IF(COUNTIF(INDIRECT("'"&amp;$A15&amp;"'!$C:$C"), team)&gt;0, 1, "-"))</f>
        <v>-</v>
      </c>
      <c r="BG15" s="158">
        <f t="array" ref="BG15">LET(team, SUBSTITUTE(BG$1, " Losses", ""), weekSheet, "'"&amp;$A15&amp;"'!", matchIdx, MATCH("*"&amp;team&amp;"*", INDIRECT(weekSheet&amp;"$B:$B"), 0), IF(ISNA(matchIdx), "-", LET(winner, INDEX(INDIRECT(weekSheet&amp;"$C:$C"), matchIdx), IF(winner="", "-", IF(winner=team, "-", 1)))))</f>
        <v>1</v>
      </c>
      <c r="BH15" s="160"/>
      <c r="BI15" s="160"/>
      <c r="BJ15" s="158" t="str">
        <f t="array" ref="BJ15">LET(team, SUBSTITUTE(BJ$1, " Wins", ""), IF(COUNTIF(INDIRECT("'"&amp;$A15&amp;"'!$C:$C"), team)&gt;0, 1, "-"))</f>
        <v>-</v>
      </c>
      <c r="BK15" s="158">
        <f t="array" ref="BK15">LET(team, SUBSTITUTE(BK$1, " Losses", ""), weekSheet, "'"&amp;$A15&amp;"'!", matchIdx, MATCH("*"&amp;team&amp;"*", INDIRECT(weekSheet&amp;"$B:$B"), 0), IF(ISNA(matchIdx), "-", LET(winner, INDEX(INDIRECT(weekSheet&amp;"$C:$C"), matchIdx), IF(winner="", "-", IF(winner=team, "-", 1)))))</f>
        <v>1</v>
      </c>
      <c r="BL15" s="160"/>
      <c r="BM15" s="160"/>
    </row>
    <row r="16">
      <c r="A16" s="157" t="s">
        <v>198</v>
      </c>
      <c r="B16" s="160"/>
      <c r="C16" s="160"/>
      <c r="D16" s="160"/>
      <c r="E16" s="160"/>
      <c r="F16" s="160"/>
      <c r="G16" s="160"/>
      <c r="H16" s="160"/>
      <c r="I16" s="160"/>
      <c r="J16" s="160"/>
      <c r="K16" s="160"/>
      <c r="L16" s="160"/>
      <c r="M16" s="160"/>
      <c r="N16" s="160"/>
      <c r="O16" s="160"/>
      <c r="P16" s="160"/>
      <c r="Q16" s="160"/>
      <c r="R16" s="158" t="str">
        <f t="shared" ref="R16:R19" si="11">LET(team, SUBSTITUTE(R$1, " Wins", ""), IF(COUNTIF(INDIRECT("'"&amp;$A16&amp;"'!$C:$C"), team)&gt;0, 1, "-"))</f>
        <v>-</v>
      </c>
      <c r="S16" s="158">
        <f t="shared" ref="S16:S19" si="12">LET(team, SUBSTITUTE(S$1, " Losses", ""), weekSheet, "'"&amp;$A16&amp;"'!", matchIdx, MATCH("*"&amp;team&amp;"*", INDIRECT(weekSheet&amp;"$B:$B"), 0), IF(ISNA(matchIdx), "-", LET(winner, INDEX(INDIRECT(weekSheet&amp;"$C:$C"), matchIdx), IF(winner="", "-", IF(winner=team, "-", 1)))))</f>
        <v>1</v>
      </c>
      <c r="T16" s="160"/>
      <c r="U16" s="160"/>
      <c r="V16" s="158">
        <f t="array" ref="V16">LET(team, SUBSTITUTE(V$1, " Wins", ""), IF(COUNTIF(INDIRECT("'"&amp;$A16&amp;"'!$C:$C"), team)&gt;0, 1, "-"))</f>
        <v>1</v>
      </c>
      <c r="W16" s="158" t="str">
        <f t="array" ref="W16">LET(team, SUBSTITUTE(W$1, " Losses", ""), weekSheet, "'"&amp;$A16&amp;"'!", matchIdx, MATCH("*"&amp;team&amp;"*", INDIRECT(weekSheet&amp;"$B:$B"), 0), IF(ISNA(matchIdx), "-", LET(winner, INDEX(INDIRECT(weekSheet&amp;"$C:$C"), matchIdx), IF(winner="", "-", IF(winner=team, "-", 1)))))</f>
        <v>-</v>
      </c>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58">
        <f t="array" ref="AT16">LET(team, SUBSTITUTE(AT$1, " Wins", ""), IF(COUNTIF(INDIRECT("'"&amp;$A16&amp;"'!$C:$C"), team)&gt;0, 1, "-"))</f>
        <v>1</v>
      </c>
      <c r="AU16" s="158" t="str">
        <f t="array" ref="AU16">LET(team, SUBSTITUTE(AU$1, " Losses", ""), weekSheet, "'"&amp;$A16&amp;"'!", matchIdx, MATCH("*"&amp;team&amp;"*", INDIRECT(weekSheet&amp;"$B:$B"), 0), IF(ISNA(matchIdx), "-", LET(winner, INDEX(INDIRECT(weekSheet&amp;"$C:$C"), matchIdx), IF(winner="", "-", IF(winner=team, "-", 1)))))</f>
        <v>-</v>
      </c>
      <c r="AV16" s="160"/>
      <c r="AW16" s="160"/>
      <c r="AX16" s="160"/>
      <c r="AY16" s="160"/>
      <c r="AZ16" s="160"/>
      <c r="BA16" s="160"/>
      <c r="BB16" s="160"/>
      <c r="BC16" s="160"/>
      <c r="BD16" s="160"/>
      <c r="BE16" s="160"/>
      <c r="BF16" s="160"/>
      <c r="BG16" s="160"/>
      <c r="BH16" s="160"/>
      <c r="BI16" s="160"/>
      <c r="BJ16" s="160"/>
      <c r="BK16" s="160"/>
      <c r="BL16" s="158">
        <f t="shared" ref="BL16:BL17" si="13">LET(team, SUBSTITUTE(BL$1, " Wins", ""), IF(COUNTIF(INDIRECT("'"&amp;$A16&amp;"'!$C:$C"), team)&gt;0, 1, "-"))</f>
        <v>1</v>
      </c>
      <c r="BM16" s="158" t="str">
        <f t="shared" ref="BM16:BM17" si="14">LET(team, SUBSTITUTE(BM$1, " Losses", ""), weekSheet, "'"&amp;$A16&amp;"'!", matchIdx, MATCH("*"&amp;team&amp;"*", INDIRECT(weekSheet&amp;"$B:$B"), 0), IF(ISNA(matchIdx), "-", LET(winner, INDEX(INDIRECT(weekSheet&amp;"$C:$C"), matchIdx), IF(winner="", "-", IF(winner=team, "-", 1)))))</f>
        <v>-</v>
      </c>
    </row>
    <row r="17">
      <c r="A17" s="157" t="s">
        <v>202</v>
      </c>
      <c r="B17" s="160"/>
      <c r="C17" s="160"/>
      <c r="D17" s="160"/>
      <c r="E17" s="160"/>
      <c r="F17" s="160"/>
      <c r="G17" s="160"/>
      <c r="H17" s="160"/>
      <c r="I17" s="160"/>
      <c r="J17" s="160"/>
      <c r="K17" s="160"/>
      <c r="L17" s="160"/>
      <c r="M17" s="160"/>
      <c r="N17" s="160"/>
      <c r="O17" s="160"/>
      <c r="P17" s="160"/>
      <c r="Q17" s="160"/>
      <c r="R17" s="158">
        <f t="shared" si="11"/>
        <v>1</v>
      </c>
      <c r="S17" s="158" t="str">
        <f t="shared" si="12"/>
        <v>-</v>
      </c>
      <c r="T17" s="158" t="str">
        <f t="array" ref="T17">LET(team, SUBSTITUTE(T$1, " Wins", ""), IF(COUNTIF(INDIRECT("'"&amp;$A17&amp;"'!$C:$C"), team)&gt;0, 1, "-"))</f>
        <v>-</v>
      </c>
      <c r="U17" s="158">
        <f t="array" ref="U17">LET(team, SUBSTITUTE(U$1, " Losses", ""), weekSheet, "'"&amp;$A17&amp;"'!", matchIdx, MATCH("*"&amp;team&amp;"*", INDIRECT(weekSheet&amp;"$B:$B"), 0), IF(ISNA(matchIdx), "-", LET(winner, INDEX(INDIRECT(weekSheet&amp;"$C:$C"), matchIdx), IF(winner="", "-", IF(winner=team, "-", 1)))))</f>
        <v>1</v>
      </c>
      <c r="V17" s="160"/>
      <c r="W17" s="160"/>
      <c r="X17" s="160"/>
      <c r="Y17" s="160"/>
      <c r="Z17" s="160"/>
      <c r="AA17" s="160"/>
      <c r="AB17" s="160"/>
      <c r="AC17" s="160"/>
      <c r="AD17" s="158" t="str">
        <f t="shared" ref="AD17:AD18" si="15">LET(team, SUBSTITUTE(AD$1, " Wins", ""), IF(COUNTIF(INDIRECT("'"&amp;$A17&amp;"'!$C:$C"), team)&gt;0, 1, "-"))</f>
        <v>-</v>
      </c>
      <c r="AE17" s="158">
        <f t="shared" ref="AE17:AE18" si="16">LET(team, SUBSTITUTE(AE$1, " Losses", ""), weekSheet, "'"&amp;$A17&amp;"'!", matchIdx, MATCH("*"&amp;team&amp;"*", INDIRECT(weekSheet&amp;"$B:$B"), 0), IF(ISNA(matchIdx), "-", LET(winner, INDEX(INDIRECT(weekSheet&amp;"$C:$C"), matchIdx), IF(winner="", "-", IF(winner=team, "-", 1)))))</f>
        <v>1</v>
      </c>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58" t="str">
        <f t="shared" si="13"/>
        <v>-</v>
      </c>
      <c r="BM17" s="158">
        <f t="shared" si="14"/>
        <v>1</v>
      </c>
    </row>
    <row r="18">
      <c r="A18" s="157" t="s">
        <v>206</v>
      </c>
      <c r="B18" s="160"/>
      <c r="C18" s="160"/>
      <c r="D18" s="160"/>
      <c r="E18" s="160"/>
      <c r="F18" s="160"/>
      <c r="G18" s="160"/>
      <c r="H18" s="160"/>
      <c r="I18" s="160"/>
      <c r="J18" s="160"/>
      <c r="K18" s="160"/>
      <c r="L18" s="160"/>
      <c r="M18" s="160"/>
      <c r="N18" s="160"/>
      <c r="O18" s="160"/>
      <c r="P18" s="160"/>
      <c r="Q18" s="160"/>
      <c r="R18" s="158">
        <f t="shared" si="11"/>
        <v>1</v>
      </c>
      <c r="S18" s="158" t="str">
        <f t="shared" si="12"/>
        <v>-</v>
      </c>
      <c r="T18" s="160"/>
      <c r="U18" s="160"/>
      <c r="V18" s="160"/>
      <c r="W18" s="160"/>
      <c r="X18" s="158" t="str">
        <f t="shared" ref="X18:X19" si="17">LET(team, SUBSTITUTE(X$1, " Wins", ""), IF(COUNTIF(INDIRECT("'"&amp;$A18&amp;"'!$C:$C"), team)&gt;0, 1, "-"))</f>
        <v>-</v>
      </c>
      <c r="Y18" s="158">
        <f t="shared" ref="Y18:Y19" si="18">LET(team, SUBSTITUTE(Y$1, " Losses", ""), weekSheet, "'"&amp;$A18&amp;"'!", matchIdx, MATCH("*"&amp;team&amp;"*", INDIRECT(weekSheet&amp;"$B:$B"), 0), IF(ISNA(matchIdx), "-", LET(winner, INDEX(INDIRECT(weekSheet&amp;"$C:$C"), matchIdx), IF(winner="", "-", IF(winner=team, "-", 1)))))</f>
        <v>1</v>
      </c>
      <c r="Z18" s="160"/>
      <c r="AA18" s="160"/>
      <c r="AB18" s="160"/>
      <c r="AC18" s="160"/>
      <c r="AD18" s="158">
        <f t="shared" si="15"/>
        <v>1</v>
      </c>
      <c r="AE18" s="158" t="str">
        <f t="shared" si="16"/>
        <v>-</v>
      </c>
      <c r="AF18" s="158">
        <f t="array" ref="AF18">LET(team, SUBSTITUTE(AF$1, " Wins", ""), IF(COUNTIF(INDIRECT("'"&amp;$A18&amp;"'!$C:$C"), team)&gt;0, 1, "-"))</f>
        <v>1</v>
      </c>
      <c r="AG18" s="158" t="str">
        <f t="array" ref="AG18">LET(team, SUBSTITUTE(AG$1, " Losses", ""), weekSheet, "'"&amp;$A18&amp;"'!", matchIdx, MATCH("*"&amp;team&amp;"*", INDIRECT(weekSheet&amp;"$B:$B"), 0), IF(ISNA(matchIdx), "-", LET(winner, INDEX(INDIRECT(weekSheet&amp;"$C:$C"), matchIdx), IF(winner="", "-", IF(winner=team, "-", 1)))))</f>
        <v>-</v>
      </c>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row>
    <row r="19">
      <c r="A19" s="157" t="s">
        <v>207</v>
      </c>
      <c r="B19" s="160"/>
      <c r="C19" s="160"/>
      <c r="D19" s="160"/>
      <c r="E19" s="160"/>
      <c r="F19" s="160"/>
      <c r="G19" s="160"/>
      <c r="H19" s="160"/>
      <c r="I19" s="160"/>
      <c r="J19" s="160"/>
      <c r="K19" s="160"/>
      <c r="L19" s="160"/>
      <c r="M19" s="160"/>
      <c r="N19" s="160"/>
      <c r="O19" s="160"/>
      <c r="P19" s="160"/>
      <c r="Q19" s="160"/>
      <c r="R19" s="158">
        <f t="shared" si="11"/>
        <v>1</v>
      </c>
      <c r="S19" s="158" t="str">
        <f t="shared" si="12"/>
        <v>-</v>
      </c>
      <c r="T19" s="158" t="str">
        <f t="array" ref="T19">LET(team, SUBSTITUTE(T$1, " Wins", ""), IF(COUNTIF(INDIRECT("'"&amp;$A19&amp;"'!$C:$C"), team)&gt;0, 1, "-"))</f>
        <v>-</v>
      </c>
      <c r="U19" s="158">
        <f t="array" ref="U19">LET(team, SUBSTITUTE(U$1, " Losses", ""), weekSheet, "'"&amp;$A19&amp;"'!", matchIdx, MATCH("*"&amp;team&amp;"*", INDIRECT(weekSheet&amp;"$B:$B"), 0), IF(ISNA(matchIdx), "-", LET(winner, INDEX(INDIRECT(weekSheet&amp;"$C:$C"), matchIdx), IF(winner="", "-", IF(winner=team, "-", 1)))))</f>
        <v>1</v>
      </c>
      <c r="V19" s="158" t="str">
        <f t="array" ref="V19">LET(team, SUBSTITUTE(V$1, " Wins", ""), IF(COUNTIF(INDIRECT("'"&amp;$A19&amp;"'!$C:$C"), team)&gt;0, 1, "-"))</f>
        <v>-</v>
      </c>
      <c r="W19" s="158">
        <f t="array" ref="W19">LET(team, SUBSTITUTE(W$1, " Losses", ""), weekSheet, "'"&amp;$A19&amp;"'!", matchIdx, MATCH("*"&amp;team&amp;"*", INDIRECT(weekSheet&amp;"$B:$B"), 0), IF(ISNA(matchIdx), "-", LET(winner, INDEX(INDIRECT(weekSheet&amp;"$C:$C"), matchIdx), IF(winner="", "-", IF(winner=team, "-", 1)))))</f>
        <v>1</v>
      </c>
      <c r="X19" s="158">
        <f t="shared" si="17"/>
        <v>1</v>
      </c>
      <c r="Y19" s="158" t="str">
        <f t="shared" si="18"/>
        <v>-</v>
      </c>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row>
    <row r="20">
      <c r="A20" s="227" t="s">
        <v>705</v>
      </c>
      <c r="B20" s="229">
        <f t="shared" ref="B20:BM20" si="19">SUM(B2:B19)</f>
        <v>1</v>
      </c>
      <c r="C20" s="229">
        <f t="shared" si="19"/>
        <v>0</v>
      </c>
      <c r="D20" s="230">
        <f t="shared" si="19"/>
        <v>1</v>
      </c>
      <c r="E20" s="230">
        <f t="shared" si="19"/>
        <v>0</v>
      </c>
      <c r="F20" s="231">
        <f t="shared" si="19"/>
        <v>1</v>
      </c>
      <c r="G20" s="231">
        <f t="shared" si="19"/>
        <v>0</v>
      </c>
      <c r="H20" s="232">
        <f t="shared" si="19"/>
        <v>0</v>
      </c>
      <c r="I20" s="232">
        <f t="shared" si="19"/>
        <v>1</v>
      </c>
      <c r="J20" s="233">
        <f t="shared" si="19"/>
        <v>1</v>
      </c>
      <c r="K20" s="233">
        <f t="shared" si="19"/>
        <v>0</v>
      </c>
      <c r="L20" s="234">
        <f t="shared" si="19"/>
        <v>0</v>
      </c>
      <c r="M20" s="234">
        <f t="shared" si="19"/>
        <v>1</v>
      </c>
      <c r="N20" s="235">
        <f t="shared" si="19"/>
        <v>0</v>
      </c>
      <c r="O20" s="235">
        <f t="shared" si="19"/>
        <v>1</v>
      </c>
      <c r="P20" s="236">
        <f t="shared" si="19"/>
        <v>0</v>
      </c>
      <c r="Q20" s="236">
        <f t="shared" si="19"/>
        <v>1</v>
      </c>
      <c r="R20" s="237">
        <f t="shared" si="19"/>
        <v>4</v>
      </c>
      <c r="S20" s="237">
        <f t="shared" si="19"/>
        <v>2</v>
      </c>
      <c r="T20" s="238">
        <f t="shared" si="19"/>
        <v>0</v>
      </c>
      <c r="U20" s="238">
        <f t="shared" si="19"/>
        <v>6</v>
      </c>
      <c r="V20" s="239">
        <f t="shared" si="19"/>
        <v>3</v>
      </c>
      <c r="W20" s="239">
        <f t="shared" si="19"/>
        <v>4</v>
      </c>
      <c r="X20" s="240">
        <f t="shared" si="19"/>
        <v>5</v>
      </c>
      <c r="Y20" s="240">
        <f t="shared" si="19"/>
        <v>1</v>
      </c>
      <c r="Z20" s="241">
        <f t="shared" si="19"/>
        <v>2</v>
      </c>
      <c r="AA20" s="241">
        <f t="shared" si="19"/>
        <v>2</v>
      </c>
      <c r="AB20" s="242">
        <f t="shared" si="19"/>
        <v>2</v>
      </c>
      <c r="AC20" s="242">
        <f t="shared" si="19"/>
        <v>2</v>
      </c>
      <c r="AD20" s="243">
        <f t="shared" si="19"/>
        <v>2</v>
      </c>
      <c r="AE20" s="243">
        <f t="shared" si="19"/>
        <v>2</v>
      </c>
      <c r="AF20" s="244">
        <f t="shared" si="19"/>
        <v>1</v>
      </c>
      <c r="AG20" s="244">
        <f t="shared" si="19"/>
        <v>3</v>
      </c>
      <c r="AH20" s="245">
        <f t="shared" si="19"/>
        <v>0</v>
      </c>
      <c r="AI20" s="245">
        <f t="shared" si="19"/>
        <v>0</v>
      </c>
      <c r="AJ20" s="246">
        <f t="shared" si="19"/>
        <v>0</v>
      </c>
      <c r="AK20" s="246">
        <f t="shared" si="19"/>
        <v>0</v>
      </c>
      <c r="AL20" s="247">
        <f t="shared" si="19"/>
        <v>0</v>
      </c>
      <c r="AM20" s="247">
        <f t="shared" si="19"/>
        <v>0</v>
      </c>
      <c r="AN20" s="248">
        <f t="shared" si="19"/>
        <v>0</v>
      </c>
      <c r="AO20" s="248">
        <f t="shared" si="19"/>
        <v>0</v>
      </c>
      <c r="AP20" s="249">
        <f t="shared" si="19"/>
        <v>1</v>
      </c>
      <c r="AQ20" s="249">
        <f t="shared" si="19"/>
        <v>0</v>
      </c>
      <c r="AR20" s="250">
        <f t="shared" si="19"/>
        <v>1</v>
      </c>
      <c r="AS20" s="250">
        <f t="shared" si="19"/>
        <v>0</v>
      </c>
      <c r="AT20" s="251">
        <f t="shared" si="19"/>
        <v>1</v>
      </c>
      <c r="AU20" s="251">
        <f t="shared" si="19"/>
        <v>0</v>
      </c>
      <c r="AV20" s="252">
        <f t="shared" si="19"/>
        <v>1</v>
      </c>
      <c r="AW20" s="252">
        <f t="shared" si="19"/>
        <v>0</v>
      </c>
      <c r="AX20" s="253">
        <f t="shared" si="19"/>
        <v>0</v>
      </c>
      <c r="AY20" s="253">
        <f t="shared" si="19"/>
        <v>0</v>
      </c>
      <c r="AZ20" s="254">
        <f t="shared" si="19"/>
        <v>0</v>
      </c>
      <c r="BA20" s="254">
        <f t="shared" si="19"/>
        <v>0</v>
      </c>
      <c r="BB20" s="255">
        <f t="shared" si="19"/>
        <v>0</v>
      </c>
      <c r="BC20" s="255">
        <f t="shared" si="19"/>
        <v>0</v>
      </c>
      <c r="BD20" s="256">
        <f t="shared" si="19"/>
        <v>0</v>
      </c>
      <c r="BE20" s="256">
        <f t="shared" si="19"/>
        <v>0</v>
      </c>
      <c r="BF20" s="257">
        <f t="shared" si="19"/>
        <v>2</v>
      </c>
      <c r="BG20" s="257">
        <f t="shared" si="19"/>
        <v>2</v>
      </c>
      <c r="BH20" s="258">
        <f t="shared" si="19"/>
        <v>2</v>
      </c>
      <c r="BI20" s="258">
        <f t="shared" si="19"/>
        <v>2</v>
      </c>
      <c r="BJ20" s="259">
        <f t="shared" si="19"/>
        <v>2</v>
      </c>
      <c r="BK20" s="259">
        <f t="shared" si="19"/>
        <v>2</v>
      </c>
      <c r="BL20" s="260">
        <f t="shared" si="19"/>
        <v>3</v>
      </c>
      <c r="BM20" s="260">
        <f t="shared" si="19"/>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60"/>
      <c r="I2" s="160"/>
      <c r="J2" s="158">
        <f t="array" ref="J2">LET(team, SUBSTITUTE(J$1, " Wins", ""), IF(COUNTIF(INDIRECT("'"&amp;$A2&amp;"'!$C:$C"), team)&gt;0, 1, "-"))</f>
        <v>1</v>
      </c>
      <c r="K2" s="158" t="str">
        <f t="array" ref="K2">LET(team, SUBSTITUTE(K$1, " Losses", ""), weekSheet, "'"&amp;$A2&amp;"'!", matchIdx, MATCH("*"&amp;team&amp;"*", INDIRECT(weekSheet&amp;"$B:$B"), 0), IF(ISNA(matchIdx), "-", LET(winner, INDEX(INDIRECT(weekSheet&amp;"$C:$C"), matchIdx), IF(winner="", "-", IF(winner=team, "-", 1)))))</f>
        <v>-</v>
      </c>
      <c r="L2" s="160"/>
      <c r="M2" s="160"/>
      <c r="N2" s="158" t="str">
        <f t="array" ref="N2">LET(team, SUBSTITUTE(N$1, " Wins", ""), IF(COUNTIF(INDIRECT("'"&amp;$A2&amp;"'!$C:$C"), team)&gt;0, 1, "-"))</f>
        <v>-</v>
      </c>
      <c r="O2" s="158">
        <f t="array" ref="O2">LET(team, SUBSTITUTE(O$1, " Losses", ""), weekSheet, "'"&amp;$A2&amp;"'!", matchIdx, MATCH("*"&amp;team&amp;"*", INDIRECT(weekSheet&amp;"$B:$B"), 0), IF(ISNA(matchIdx), "-", LET(winner, INDEX(INDIRECT(weekSheet&amp;"$C:$C"), matchIdx), IF(winner="", "-", IF(winner=team, "-", 1)))))</f>
        <v>1</v>
      </c>
      <c r="P2" s="160"/>
      <c r="Q2" s="160"/>
      <c r="R2" s="158">
        <f t="array" ref="R2">LET(team, SUBSTITUTE(R$1, " Wins", ""), IF(COUNTIF(INDIRECT("'"&amp;$A2&amp;"'!$C:$C"), team)&gt;0, 1, "-"))</f>
        <v>1</v>
      </c>
      <c r="S2" s="158" t="str">
        <f t="array" ref="S2">LET(team, SUBSTITUTE(S$1, " Losses", ""), weekSheet, "'"&amp;$A2&amp;"'!", matchIdx, MATCH("*"&amp;team&amp;"*", INDIRECT(weekSheet&amp;"$B:$B"), 0), IF(ISNA(matchIdx), "-", LET(winner, INDEX(INDIRECT(weekSheet&amp;"$C:$C"), matchIdx), IF(winner="", "-", IF(winner=team, "-", 1)))))</f>
        <v>-</v>
      </c>
      <c r="T2" s="158" t="str">
        <f t="array" ref="T2">LET(team, SUBSTITUTE(T$1, " Wins", ""), IF(COUNTIF(INDIRECT("'"&amp;$A2&amp;"'!$C:$C"), team)&gt;0, 1, "-"))</f>
        <v>-</v>
      </c>
      <c r="U2" s="158">
        <f t="array" ref="U2">LET(team, SUBSTITUTE(U$1, " Losses", ""), weekSheet, "'"&amp;$A2&amp;"'!", matchIdx, MATCH("*"&amp;team&amp;"*", INDIRECT(weekSheet&amp;"$B:$B"), 0), IF(ISNA(matchIdx), "-", LET(winner, INDEX(INDIRECT(weekSheet&amp;"$C:$C"), matchIdx), IF(winner="", "-", IF(winner=team, "-", 1)))))</f>
        <v>1</v>
      </c>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row>
    <row r="3">
      <c r="A3" s="157" t="s">
        <v>119</v>
      </c>
      <c r="B3" s="158" t="str">
        <f t="array" ref="B3">LET(team, SUBSTITUTE(B$1, " Wins", ""), IF(COUNTIF(INDIRECT("'"&amp;$A3&amp;"'!$C:$C"), team)&gt;0, 1, "-"))</f>
        <v>-</v>
      </c>
      <c r="C3" s="158">
        <f t="array" ref="C3">LET(team, SUBSTITUTE(C$1, " Losses", ""), weekSheet, "'"&amp;$A3&amp;"'!", matchIdx, MATCH("*"&amp;team&amp;"*", INDIRECT(weekSheet&amp;"$B:$B"), 0), IF(ISNA(matchIdx), "-", LET(winner, INDEX(INDIRECT(weekSheet&amp;"$C:$C"), matchIdx), IF(winner="", "-", IF(winner=team, "-", 1)))))</f>
        <v>1</v>
      </c>
      <c r="D3" s="160"/>
      <c r="E3" s="160"/>
      <c r="F3" s="158">
        <f t="array" ref="F3">LET(team, SUBSTITUTE(F$1, " Wins", ""), IF(COUNTIF(INDIRECT("'"&amp;$A3&amp;"'!$C:$C"), team)&gt;0, 1, "-"))</f>
        <v>1</v>
      </c>
      <c r="G3" s="158" t="str">
        <f t="array" ref="G3">LET(team, SUBSTITUTE(G$1, " Losses", ""), weekSheet, "'"&amp;$A3&amp;"'!", matchIdx, MATCH("*"&amp;team&amp;"*", INDIRECT(weekSheet&amp;"$B:$B"), 0), IF(ISNA(matchIdx), "-", LET(winner, INDEX(INDIRECT(weekSheet&amp;"$C:$C"), matchIdx), IF(winner="", "-", IF(winner=team, "-", 1)))))</f>
        <v>-</v>
      </c>
      <c r="H3" s="160"/>
      <c r="I3" s="160"/>
      <c r="J3" s="160"/>
      <c r="K3" s="160"/>
      <c r="L3" s="160"/>
      <c r="M3" s="160"/>
      <c r="N3" s="160"/>
      <c r="O3" s="160"/>
      <c r="P3" s="160"/>
      <c r="Q3" s="160"/>
      <c r="R3" s="160"/>
      <c r="S3" s="160"/>
      <c r="T3" s="160"/>
      <c r="U3" s="160"/>
      <c r="V3" s="160"/>
      <c r="W3" s="160"/>
      <c r="X3" s="158" t="str">
        <f t="array" ref="X3">LET(team, SUBSTITUTE(X$1, " Wins", ""), IF(COUNTIF(INDIRECT("'"&amp;$A3&amp;"'!$C:$C"), team)&gt;0, 1, "-"))</f>
        <v>-</v>
      </c>
      <c r="Y3" s="158">
        <f t="array" ref="Y3">LET(team, SUBSTITUTE(Y$1, " Losses", ""), weekSheet, "'"&amp;$A3&amp;"'!", matchIdx, MATCH("*"&amp;team&amp;"*", INDIRECT(weekSheet&amp;"$B:$B"), 0), IF(ISNA(matchIdx), "-", LET(winner, INDEX(INDIRECT(weekSheet&amp;"$C:$C"), matchIdx), IF(winner="", "-", IF(winner=team, "-", 1)))))</f>
        <v>1</v>
      </c>
      <c r="Z3" s="160"/>
      <c r="AA3" s="160"/>
      <c r="AB3" s="160"/>
      <c r="AC3" s="160"/>
      <c r="AD3" s="160"/>
      <c r="AE3" s="160"/>
      <c r="AF3" s="160"/>
      <c r="AG3" s="160"/>
      <c r="AH3" s="160"/>
      <c r="AI3" s="160"/>
      <c r="AJ3" s="160"/>
      <c r="AK3" s="160"/>
      <c r="AL3" s="160"/>
      <c r="AM3" s="160"/>
      <c r="AN3" s="160"/>
      <c r="AO3" s="160"/>
      <c r="AP3" s="160"/>
      <c r="AQ3" s="160"/>
      <c r="AR3" s="158">
        <f t="array" ref="AR3">LET(team, SUBSTITUTE(AR$1, " Wins", ""), IF(COUNTIF(INDIRECT("'"&amp;$A3&amp;"'!$C:$C"), team)&gt;0, 1, "-"))</f>
        <v>1</v>
      </c>
      <c r="AS3" s="158" t="str">
        <f t="array" ref="AS3">LET(team, SUBSTITUTE(AS$1, " Losses", ""), weekSheet, "'"&amp;$A3&amp;"'!", matchIdx, MATCH("*"&amp;team&amp;"*", INDIRECT(weekSheet&amp;"$B:$B"), 0), IF(ISNA(matchIdx), "-", LET(winner, INDEX(INDIRECT(weekSheet&amp;"$C:$C"), matchIdx), IF(winner="", "-", IF(winner=team, "-", 1)))))</f>
        <v>-</v>
      </c>
      <c r="AT3" s="160"/>
      <c r="AU3" s="160"/>
      <c r="AV3" s="160"/>
      <c r="AW3" s="160"/>
      <c r="AX3" s="160"/>
      <c r="AY3" s="160"/>
      <c r="AZ3" s="160"/>
      <c r="BA3" s="160"/>
      <c r="BB3" s="160"/>
      <c r="BC3" s="160"/>
      <c r="BD3" s="160"/>
      <c r="BE3" s="160"/>
      <c r="BF3" s="160"/>
      <c r="BG3" s="160"/>
      <c r="BH3" s="160"/>
      <c r="BI3" s="160"/>
      <c r="BJ3" s="160"/>
      <c r="BK3" s="160"/>
      <c r="BL3" s="160"/>
      <c r="BM3" s="160"/>
    </row>
    <row r="4">
      <c r="A4" s="157" t="s">
        <v>130</v>
      </c>
      <c r="B4" s="160"/>
      <c r="C4" s="160"/>
      <c r="D4" s="160"/>
      <c r="E4" s="160"/>
      <c r="F4" s="160"/>
      <c r="G4" s="160"/>
      <c r="H4" s="160"/>
      <c r="I4" s="160"/>
      <c r="J4" s="160"/>
      <c r="K4" s="160"/>
      <c r="L4" s="160"/>
      <c r="M4" s="160"/>
      <c r="N4" s="160"/>
      <c r="O4" s="160"/>
      <c r="P4" s="158">
        <f t="array" ref="P4">LET(team, SUBSTITUTE(P$1, " Wins", ""), IF(COUNTIF(INDIRECT("'"&amp;$A4&amp;"'!$C:$C"), team)&gt;0, 1, "-"))</f>
        <v>1</v>
      </c>
      <c r="Q4" s="158" t="str">
        <f t="array" ref="Q4">LET(team, SUBSTITUTE(Q$1, " Losses", ""), weekSheet, "'"&amp;$A4&amp;"'!", matchIdx, MATCH("*"&amp;team&amp;"*", INDIRECT(weekSheet&amp;"$B:$B"), 0), IF(ISNA(matchIdx), "-", LET(winner, INDEX(INDIRECT(weekSheet&amp;"$C:$C"), matchIdx), IF(winner="", "-", IF(winner=team, "-", 1)))))</f>
        <v>-</v>
      </c>
      <c r="R4" s="160"/>
      <c r="S4" s="160"/>
      <c r="T4" s="160"/>
      <c r="U4" s="160"/>
      <c r="V4" s="160"/>
      <c r="W4" s="160"/>
      <c r="X4" s="160"/>
      <c r="Y4" s="160"/>
      <c r="Z4" s="158">
        <f t="array" ref="Z4">LET(team, SUBSTITUTE(Z$1, " Wins", ""), IF(COUNTIF(INDIRECT("'"&amp;$A4&amp;"'!$C:$C"), team)&gt;0, 1, "-"))</f>
        <v>1</v>
      </c>
      <c r="AA4" s="158" t="str">
        <f t="array" ref="AA4">LET(team, SUBSTITUTE(AA$1, " Losses", ""), weekSheet, "'"&amp;$A4&amp;"'!", matchIdx, MATCH("*"&amp;team&amp;"*", INDIRECT(weekSheet&amp;"$B:$B"), 0), IF(ISNA(matchIdx), "-", LET(winner, INDEX(INDIRECT(weekSheet&amp;"$C:$C"), matchIdx), IF(winner="", "-", IF(winner=team, "-", 1)))))</f>
        <v>-</v>
      </c>
      <c r="AB4" s="160"/>
      <c r="AC4" s="160"/>
      <c r="AD4" s="158" t="str">
        <f t="array" ref="AD4">LET(team, SUBSTITUTE(AD$1, " Wins", ""), IF(COUNTIF(INDIRECT("'"&amp;$A4&amp;"'!$C:$C"), team)&gt;0, 1, "-"))</f>
        <v>-</v>
      </c>
      <c r="AE4" s="158">
        <f t="array" ref="AE4">LET(team, SUBSTITUTE(AE$1, " Losses", ""), weekSheet, "'"&amp;$A4&amp;"'!", matchIdx, MATCH("*"&amp;team&amp;"*", INDIRECT(weekSheet&amp;"$B:$B"), 0), IF(ISNA(matchIdx), "-", LET(winner, INDEX(INDIRECT(weekSheet&amp;"$C:$C"), matchIdx), IF(winner="", "-", IF(winner=team, "-", 1)))))</f>
        <v>1</v>
      </c>
      <c r="AF4" s="160"/>
      <c r="AG4" s="160"/>
      <c r="AH4" s="160"/>
      <c r="AI4" s="160"/>
      <c r="AJ4" s="160"/>
      <c r="AK4" s="160"/>
      <c r="AL4" s="160"/>
      <c r="AM4" s="160"/>
      <c r="AN4" s="160"/>
      <c r="AO4" s="160"/>
      <c r="AP4" s="160"/>
      <c r="AQ4" s="160"/>
      <c r="AR4" s="160"/>
      <c r="AS4" s="160"/>
      <c r="AT4" s="158">
        <f t="array" ref="AT4">LET(team, SUBSTITUTE(AT$1, " Wins", ""), IF(COUNTIF(INDIRECT("'"&amp;$A4&amp;"'!$C:$C"), team)&gt;0, 1, "-"))</f>
        <v>1</v>
      </c>
      <c r="AU4" s="158" t="str">
        <f t="array" ref="AU4">LET(team, SUBSTITUTE(AU$1, " Losses", ""), weekSheet, "'"&amp;$A4&amp;"'!", matchIdx, MATCH("*"&amp;team&amp;"*", INDIRECT(weekSheet&amp;"$B:$B"), 0), IF(ISNA(matchIdx), "-", LET(winner, INDEX(INDIRECT(weekSheet&amp;"$C:$C"), matchIdx), IF(winner="", "-", IF(winner=team, "-", 1)))))</f>
        <v>-</v>
      </c>
      <c r="AV4" s="160"/>
      <c r="AW4" s="160"/>
      <c r="AX4" s="160"/>
      <c r="AY4" s="160"/>
      <c r="AZ4" s="160"/>
      <c r="BA4" s="160"/>
      <c r="BB4" s="160"/>
      <c r="BC4" s="160"/>
      <c r="BD4" s="160"/>
      <c r="BE4" s="160"/>
      <c r="BF4" s="160"/>
      <c r="BG4" s="160"/>
      <c r="BH4" s="160"/>
      <c r="BI4" s="160"/>
      <c r="BJ4" s="160"/>
      <c r="BK4" s="160"/>
      <c r="BL4" s="160"/>
      <c r="BM4" s="160"/>
    </row>
    <row r="5">
      <c r="A5" s="157" t="s">
        <v>141</v>
      </c>
      <c r="B5" s="160"/>
      <c r="C5" s="160"/>
      <c r="D5" s="160"/>
      <c r="E5" s="160"/>
      <c r="F5" s="160"/>
      <c r="G5" s="160"/>
      <c r="H5" s="160"/>
      <c r="I5" s="160"/>
      <c r="J5" s="160"/>
      <c r="K5" s="160"/>
      <c r="L5" s="160"/>
      <c r="M5" s="160"/>
      <c r="N5" s="160"/>
      <c r="O5" s="160"/>
      <c r="P5" s="160"/>
      <c r="Q5" s="160"/>
      <c r="R5" s="158">
        <f t="array" ref="R5">LET(team, SUBSTITUTE(R$1, " Wins", ""), IF(COUNTIF(INDIRECT("'"&amp;$A5&amp;"'!$C:$C"), team)&gt;0, 1, "-"))</f>
        <v>1</v>
      </c>
      <c r="S5" s="158" t="str">
        <f t="array" ref="S5">LET(team, SUBSTITUTE(S$1, " Losses", ""), weekSheet, "'"&amp;$A5&amp;"'!", matchIdx, MATCH("*"&amp;team&amp;"*", INDIRECT(weekSheet&amp;"$B:$B"), 0), IF(ISNA(matchIdx), "-", LET(winner, INDEX(INDIRECT(weekSheet&amp;"$C:$C"), matchIdx), IF(winner="", "-", IF(winner=team, "-", 1)))))</f>
        <v>-</v>
      </c>
      <c r="T5" s="160"/>
      <c r="U5" s="160"/>
      <c r="V5" s="160"/>
      <c r="W5" s="160"/>
      <c r="X5" s="158" t="str">
        <f t="array" ref="X5">LET(team, SUBSTITUTE(X$1, " Wins", ""), IF(COUNTIF(INDIRECT("'"&amp;$A5&amp;"'!$C:$C"), team)&gt;0, 1, "-"))</f>
        <v>-</v>
      </c>
      <c r="Y5" s="158">
        <f t="array" ref="Y5">LET(team, SUBSTITUTE(Y$1, " Losses", ""), weekSheet, "'"&amp;$A5&amp;"'!", matchIdx, MATCH("*"&amp;team&amp;"*", INDIRECT(weekSheet&amp;"$B:$B"), 0), IF(ISNA(matchIdx), "-", LET(winner, INDEX(INDIRECT(weekSheet&amp;"$C:$C"), matchIdx), IF(winner="", "-", IF(winner=team, "-", 1)))))</f>
        <v>1</v>
      </c>
      <c r="Z5" s="160"/>
      <c r="AA5" s="160"/>
      <c r="AB5" s="160"/>
      <c r="AC5" s="160"/>
      <c r="AD5" s="160"/>
      <c r="AE5" s="160"/>
      <c r="AF5" s="160"/>
      <c r="AG5" s="160"/>
      <c r="AH5" s="160"/>
      <c r="AI5" s="160"/>
      <c r="AJ5" s="160"/>
      <c r="AK5" s="160"/>
      <c r="AL5" s="160"/>
      <c r="AM5" s="160"/>
      <c r="AN5" s="160"/>
      <c r="AO5" s="160"/>
      <c r="AP5" s="158" t="str">
        <f t="array" ref="AP5">LET(team, SUBSTITUTE(AP$1, " Wins", ""), IF(COUNTIF(INDIRECT("'"&amp;$A5&amp;"'!$C:$C"), team)&gt;0, 1, "-"))</f>
        <v>-</v>
      </c>
      <c r="AQ5" s="158">
        <f t="array" ref="AQ5">LET(team, SUBSTITUTE(AQ$1, " Losses", ""), weekSheet, "'"&amp;$A5&amp;"'!", matchIdx, MATCH("*"&amp;team&amp;"*", INDIRECT(weekSheet&amp;"$B:$B"), 0), IF(ISNA(matchIdx), "-", LET(winner, INDEX(INDIRECT(weekSheet&amp;"$C:$C"), matchIdx), IF(winner="", "-", IF(winner=team, "-", 1)))))</f>
        <v>1</v>
      </c>
      <c r="AR5" s="160"/>
      <c r="AS5" s="160"/>
      <c r="AT5" s="160"/>
      <c r="AU5" s="160"/>
      <c r="AV5" s="158">
        <f t="array" ref="AV5">LET(team, SUBSTITUTE(AV$1, " Wins", ""), IF(COUNTIF(INDIRECT("'"&amp;$A5&amp;"'!$C:$C"), team)&gt;0, 1, "-"))</f>
        <v>1</v>
      </c>
      <c r="AW5" s="158" t="str">
        <f t="array" ref="AW5">LET(team, SUBSTITUTE(AW$1, " Losses", ""), weekSheet, "'"&amp;$A5&amp;"'!", matchIdx, MATCH("*"&amp;team&amp;"*", INDIRECT(weekSheet&amp;"$B:$B"), 0), IF(ISNA(matchIdx), "-", LET(winner, INDEX(INDIRECT(weekSheet&amp;"$C:$C"), matchIdx), IF(winner="", "-", IF(winner=team, "-", 1)))))</f>
        <v>-</v>
      </c>
      <c r="AX5" s="160"/>
      <c r="AY5" s="160"/>
      <c r="AZ5" s="160"/>
      <c r="BA5" s="160"/>
      <c r="BB5" s="160"/>
      <c r="BC5" s="160"/>
      <c r="BD5" s="160"/>
      <c r="BE5" s="160"/>
      <c r="BF5" s="160"/>
      <c r="BG5" s="160"/>
      <c r="BH5" s="160"/>
      <c r="BI5" s="160"/>
      <c r="BJ5" s="160"/>
      <c r="BK5" s="160"/>
      <c r="BL5" s="160"/>
      <c r="BM5" s="160"/>
    </row>
    <row r="6">
      <c r="A6" s="157" t="s">
        <v>145</v>
      </c>
      <c r="B6" s="160"/>
      <c r="C6" s="160"/>
      <c r="D6" s="160"/>
      <c r="E6" s="160"/>
      <c r="F6" s="160"/>
      <c r="G6" s="160"/>
      <c r="H6" s="160"/>
      <c r="I6" s="160"/>
      <c r="J6" s="160"/>
      <c r="K6" s="160"/>
      <c r="L6" s="160"/>
      <c r="M6" s="160"/>
      <c r="N6" s="160"/>
      <c r="O6" s="160"/>
      <c r="P6" s="160"/>
      <c r="Q6" s="160"/>
      <c r="R6" s="160"/>
      <c r="S6" s="160"/>
      <c r="T6" s="160"/>
      <c r="U6" s="160"/>
      <c r="V6" s="45" t="str">
        <f t="array" ref="V6">LET(team, SUBSTITUTE(V$1, " Wins", ""), IF(COUNTIF(INDIRECT("'"&amp;$A6&amp;"'!$C:$C"), team)&gt;0, 1, "-"))</f>
        <v>-</v>
      </c>
      <c r="W6" s="45">
        <f t="array" ref="W6">LET(team, SUBSTITUTE(W$1, " Losses", ""), weekSheet, "'"&amp;$A6&amp;"'!", matchIdx, MATCH("*"&amp;team&amp;"*", INDIRECT(weekSheet&amp;"$B:$B"), 0), IF(ISNA(matchIdx), "-", LET(winner, INDEX(INDIRECT(weekSheet&amp;"$C:$C"), matchIdx), IF(winner="", "-", IF(winner=team, "-", 1)))))</f>
        <v>1</v>
      </c>
      <c r="X6" s="160"/>
      <c r="Y6" s="160"/>
      <c r="Z6" s="158">
        <f t="shared" ref="Z6:Z7" si="1">LET(team, SUBSTITUTE(Z$1, " Wins", ""), IF(COUNTIF(INDIRECT("'"&amp;$A6&amp;"'!$C:$C"), team)&gt;0, 1, "-"))</f>
        <v>1</v>
      </c>
      <c r="AA6" s="158" t="str">
        <f t="shared" ref="AA6:AA7" si="2">LET(team, SUBSTITUTE(AA$1, " Losses", ""), weekSheet, "'"&amp;$A6&amp;"'!", matchIdx, MATCH("*"&amp;team&amp;"*", INDIRECT(weekSheet&amp;"$B:$B"), 0), IF(ISNA(matchIdx), "-", LET(winner, INDEX(INDIRECT(weekSheet&amp;"$C:$C"), matchIdx), IF(winner="", "-", IF(winner=team, "-", 1)))))</f>
        <v>-</v>
      </c>
      <c r="AB6" s="160"/>
      <c r="AC6" s="160"/>
      <c r="AD6" s="160"/>
      <c r="AE6" s="160"/>
      <c r="AF6" s="45" t="str">
        <f t="shared" ref="AF6:AF7" si="3">LET(team, SUBSTITUTE(AF$1, " Wins", ""), IF(COUNTIF(INDIRECT("'"&amp;$A6&amp;"'!$C:$C"), team)&gt;0, 1, "-"))</f>
        <v>-</v>
      </c>
      <c r="AG6" s="45">
        <f t="shared" ref="AG6:AG7" si="4">LET(team, SUBSTITUTE(AG$1, " Losses", ""), weekSheet, "'"&amp;$A6&amp;"'!", matchIdx, MATCH("*"&amp;team&amp;"*", INDIRECT(weekSheet&amp;"$B:$B"), 0), IF(ISNA(matchIdx), "-", LET(winner, INDEX(INDIRECT(weekSheet&amp;"$C:$C"), matchIdx), IF(winner="", "-", IF(winner=team, "-", 1)))))</f>
        <v>1</v>
      </c>
      <c r="AH6" s="160"/>
      <c r="AI6" s="160"/>
      <c r="AJ6" s="160"/>
      <c r="AK6" s="160"/>
      <c r="AL6" s="160"/>
      <c r="AM6" s="160"/>
      <c r="AN6" s="160"/>
      <c r="AO6" s="160"/>
      <c r="AP6" s="160"/>
      <c r="AQ6" s="160"/>
      <c r="AR6" s="45" t="str">
        <f t="array" ref="AR6">LET(team, SUBSTITUTE(AR$1, " Wins", ""), IF(COUNTIF(INDIRECT("'"&amp;$A6&amp;"'!$C:$C"), team)&gt;0, 1, "-"))</f>
        <v>-</v>
      </c>
      <c r="AS6" s="45">
        <f t="array" ref="AS6">LET(team, SUBSTITUTE(AS$1, " Losses", ""), weekSheet, "'"&amp;$A6&amp;"'!", matchIdx, MATCH("*"&amp;team&amp;"*", INDIRECT(weekSheet&amp;"$B:$B"), 0), IF(ISNA(matchIdx), "-", LET(winner, INDEX(INDIRECT(weekSheet&amp;"$C:$C"), matchIdx), IF(winner="", "-", IF(winner=team, "-", 1)))))</f>
        <v>1</v>
      </c>
      <c r="AT6" s="160"/>
      <c r="AU6" s="160"/>
      <c r="AV6" s="160"/>
      <c r="AW6" s="160"/>
      <c r="AX6" s="160"/>
      <c r="AY6" s="160"/>
      <c r="AZ6" s="160"/>
      <c r="BA6" s="160"/>
      <c r="BB6" s="160"/>
      <c r="BC6" s="160"/>
      <c r="BD6" s="160"/>
      <c r="BE6" s="160"/>
      <c r="BF6" s="160"/>
      <c r="BG6" s="160"/>
      <c r="BH6" s="160"/>
      <c r="BI6" s="160"/>
      <c r="BJ6" s="160"/>
      <c r="BK6" s="160"/>
      <c r="BL6" s="160"/>
      <c r="BM6" s="160"/>
    </row>
    <row r="7">
      <c r="A7" s="157" t="s">
        <v>156</v>
      </c>
      <c r="B7" s="160"/>
      <c r="C7" s="160"/>
      <c r="D7" s="160"/>
      <c r="E7" s="160"/>
      <c r="F7" s="160"/>
      <c r="G7" s="160"/>
      <c r="H7" s="160"/>
      <c r="I7" s="160"/>
      <c r="J7" s="160"/>
      <c r="K7" s="160"/>
      <c r="L7" s="160"/>
      <c r="M7" s="160"/>
      <c r="N7" s="160"/>
      <c r="O7" s="160"/>
      <c r="P7" s="160"/>
      <c r="Q7" s="160"/>
      <c r="R7" s="160"/>
      <c r="S7" s="160"/>
      <c r="T7" s="160"/>
      <c r="U7" s="160"/>
      <c r="V7" s="160"/>
      <c r="W7" s="160"/>
      <c r="X7" s="160"/>
      <c r="Y7" s="160"/>
      <c r="Z7" s="45">
        <f t="shared" si="1"/>
        <v>1</v>
      </c>
      <c r="AA7" s="45" t="str">
        <f t="shared" si="2"/>
        <v>-</v>
      </c>
      <c r="AB7" s="158" t="str">
        <f t="array" ref="AB7">LET(team, SUBSTITUTE(AB$1, " Wins", ""), IF(COUNTIF(INDIRECT("'"&amp;$A7&amp;"'!$C:$C"), team)&gt;0, 1, "-"))</f>
        <v>-</v>
      </c>
      <c r="AC7" s="158">
        <f t="array" ref="AC7">LET(team, SUBSTITUTE(AC$1, " Losses", ""), weekSheet, "'"&amp;$A7&amp;"'!", matchIdx, MATCH("*"&amp;team&amp;"*", INDIRECT(weekSheet&amp;"$B:$B"), 0), IF(ISNA(matchIdx), "-", LET(winner, INDEX(INDIRECT(weekSheet&amp;"$C:$C"), matchIdx), IF(winner="", "-", IF(winner=team, "-", 1)))))</f>
        <v>1</v>
      </c>
      <c r="AD7" s="158">
        <f t="array" ref="AD7">LET(team, SUBSTITUTE(AD$1, " Wins", ""), IF(COUNTIF(INDIRECT("'"&amp;$A7&amp;"'!$C:$C"), team)&gt;0, 1, "-"))</f>
        <v>1</v>
      </c>
      <c r="AE7" s="158" t="str">
        <f t="array" ref="AE7">LET(team, SUBSTITUTE(AE$1, " Losses", ""), weekSheet, "'"&amp;$A7&amp;"'!", matchIdx, MATCH("*"&amp;team&amp;"*", INDIRECT(weekSheet&amp;"$B:$B"), 0), IF(ISNA(matchIdx), "-", LET(winner, INDEX(INDIRECT(weekSheet&amp;"$C:$C"), matchIdx), IF(winner="", "-", IF(winner=team, "-", 1)))))</f>
        <v>-</v>
      </c>
      <c r="AF7" s="158" t="str">
        <f t="shared" si="3"/>
        <v>-</v>
      </c>
      <c r="AG7" s="158">
        <f t="shared" si="4"/>
        <v>1</v>
      </c>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row>
    <row r="8">
      <c r="A8" s="157" t="s">
        <v>159</v>
      </c>
      <c r="B8" s="160"/>
      <c r="C8" s="160"/>
      <c r="D8" s="160"/>
      <c r="E8" s="160"/>
      <c r="F8" s="160"/>
      <c r="G8" s="160"/>
      <c r="H8" s="160"/>
      <c r="I8" s="160"/>
      <c r="J8" s="160"/>
      <c r="K8" s="160"/>
      <c r="L8" s="160"/>
      <c r="M8" s="160"/>
      <c r="N8" s="160"/>
      <c r="O8" s="160"/>
      <c r="P8" s="160"/>
      <c r="Q8" s="160"/>
      <c r="R8" s="160"/>
      <c r="S8" s="160"/>
      <c r="T8" s="158">
        <f t="array" ref="T8">LET(team, SUBSTITUTE(T$1, " Wins", ""), IF(COUNTIF(INDIRECT("'"&amp;$A8&amp;"'!$C:$C"), team)&gt;0, 1, "-"))</f>
        <v>1</v>
      </c>
      <c r="U8" s="158" t="str">
        <f t="array" ref="U8">LET(team, SUBSTITUTE(U$1, " Losses", ""), weekSheet, "'"&amp;$A8&amp;"'!", matchIdx, MATCH("*"&amp;team&amp;"*", INDIRECT(weekSheet&amp;"$B:$B"), 0), IF(ISNA(matchIdx), "-", LET(winner, INDEX(INDIRECT(weekSheet&amp;"$C:$C"), matchIdx), IF(winner="", "-", IF(winner=team, "-", 1)))))</f>
        <v>-</v>
      </c>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58" t="str">
        <f t="array" ref="AT8">LET(team, SUBSTITUTE(AT$1, " Wins", ""), IF(COUNTIF(INDIRECT("'"&amp;$A8&amp;"'!$C:$C"), team)&gt;0, 1, "-"))</f>
        <v>-</v>
      </c>
      <c r="AU8" s="158">
        <f t="array" ref="AU8">LET(team, SUBSTITUTE(AU$1, " Losses", ""), weekSheet, "'"&amp;$A8&amp;"'!", matchIdx, MATCH("*"&amp;team&amp;"*", INDIRECT(weekSheet&amp;"$B:$B"), 0), IF(ISNA(matchIdx), "-", LET(winner, INDEX(INDIRECT(weekSheet&amp;"$C:$C"), matchIdx), IF(winner="", "-", IF(winner=team, "-", 1)))))</f>
        <v>1</v>
      </c>
      <c r="AV8" s="160"/>
      <c r="AW8" s="160"/>
      <c r="AX8" s="160"/>
      <c r="AY8" s="160"/>
      <c r="AZ8" s="160"/>
      <c r="BA8" s="160"/>
      <c r="BB8" s="158">
        <f t="array" ref="BB8">LET(team, SUBSTITUTE(BB$1, " Wins", ""), IF(COUNTIF(INDIRECT("'"&amp;$A8&amp;"'!$C:$C"), team)&gt;0, 1, "-"))</f>
        <v>1</v>
      </c>
      <c r="BC8" s="158" t="str">
        <f t="array" ref="BC8">LET(team, SUBSTITUTE(BC$1, " Losses", ""), weekSheet, "'"&amp;$A8&amp;"'!", matchIdx, MATCH("*"&amp;team&amp;"*", INDIRECT(weekSheet&amp;"$B:$B"), 0), IF(ISNA(matchIdx), "-", LET(winner, INDEX(INDIRECT(weekSheet&amp;"$C:$C"), matchIdx), IF(winner="", "-", IF(winner=team, "-", 1)))))</f>
        <v>-</v>
      </c>
      <c r="BD8" s="160"/>
      <c r="BE8" s="160"/>
      <c r="BF8" s="160"/>
      <c r="BG8" s="160"/>
      <c r="BH8" s="160"/>
      <c r="BI8" s="160"/>
      <c r="BJ8" s="160"/>
      <c r="BK8" s="160"/>
      <c r="BL8" s="160"/>
      <c r="BM8" s="160"/>
    </row>
    <row r="9">
      <c r="A9" s="157" t="s">
        <v>164</v>
      </c>
      <c r="B9" s="160"/>
      <c r="C9" s="160"/>
      <c r="D9" s="160"/>
      <c r="E9" s="160"/>
      <c r="F9" s="160"/>
      <c r="G9" s="160"/>
      <c r="H9" s="160"/>
      <c r="I9" s="160"/>
      <c r="J9" s="160"/>
      <c r="K9" s="160"/>
      <c r="L9" s="160"/>
      <c r="M9" s="160"/>
      <c r="N9" s="160"/>
      <c r="O9" s="160"/>
      <c r="P9" s="160"/>
      <c r="Q9" s="160"/>
      <c r="R9" s="160"/>
      <c r="S9" s="160"/>
      <c r="T9" s="160"/>
      <c r="U9" s="160"/>
      <c r="V9" s="160"/>
      <c r="W9" s="160"/>
      <c r="X9" s="158">
        <f t="array" ref="X9">LET(team, SUBSTITUTE(X$1, " Wins", ""), IF(COUNTIF(INDIRECT("'"&amp;$A9&amp;"'!$C:$C"), team)&gt;0, 1, "-"))</f>
        <v>1</v>
      </c>
      <c r="Y9" s="158" t="str">
        <f t="array" ref="Y9">LET(team, SUBSTITUTE(Y$1, " Losses", ""), weekSheet, "'"&amp;$A9&amp;"'!", matchIdx, MATCH("*"&amp;team&amp;"*", INDIRECT(weekSheet&amp;"$B:$B"), 0), IF(ISNA(matchIdx), "-", LET(winner, INDEX(INDIRECT(weekSheet&amp;"$C:$C"), matchIdx), IF(winner="", "-", IF(winner=team, "-", 1)))))</f>
        <v>-</v>
      </c>
      <c r="Z9" s="160"/>
      <c r="AA9" s="160"/>
      <c r="AB9" s="45">
        <f t="array" ref="AB9">LET(team, SUBSTITUTE(AB$1, " Wins", ""), IF(COUNTIF(INDIRECT("'"&amp;$A9&amp;"'!$C:$C"), team)&gt;0, 1, "-"))</f>
        <v>1</v>
      </c>
      <c r="AC9" s="45" t="str">
        <f t="array" ref="AC9">LET(team, SUBSTITUTE(AC$1, " Losses", ""), weekSheet, "'"&amp;$A9&amp;"'!", matchIdx, MATCH("*"&amp;team&amp;"*", INDIRECT(weekSheet&amp;"$B:$B"), 0), IF(ISNA(matchIdx), "-", LET(winner, INDEX(INDIRECT(weekSheet&amp;"$C:$C"), matchIdx), IF(winner="", "-", IF(winner=team, "-", 1)))))</f>
        <v>-</v>
      </c>
      <c r="AD9" s="158" t="str">
        <f t="array" ref="AD9">LET(team, SUBSTITUTE(AD$1, " Wins", ""), IF(COUNTIF(INDIRECT("'"&amp;$A9&amp;"'!$C:$C"), team)&gt;0, 1, "-"))</f>
        <v>-</v>
      </c>
      <c r="AE9" s="158">
        <f t="array" ref="AE9">LET(team, SUBSTITUTE(AE$1, " Losses", ""), weekSheet, "'"&amp;$A9&amp;"'!", matchIdx, MATCH("*"&amp;team&amp;"*", INDIRECT(weekSheet&amp;"$B:$B"), 0), IF(ISNA(matchIdx), "-", LET(winner, INDEX(INDIRECT(weekSheet&amp;"$C:$C"), matchIdx), IF(winner="", "-", IF(winner=team, "-", 1)))))</f>
        <v>1</v>
      </c>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row>
    <row r="10">
      <c r="A10" s="157" t="s">
        <v>170</v>
      </c>
      <c r="B10" s="160"/>
      <c r="C10" s="160"/>
      <c r="D10" s="160"/>
      <c r="E10" s="160"/>
      <c r="F10" s="160"/>
      <c r="G10" s="160"/>
      <c r="H10" s="158">
        <f t="array" ref="H10">LET(team, SUBSTITUTE(H$1, " Wins", ""), IF(COUNTIF(INDIRECT("'"&amp;$A10&amp;"'!$C:$C"), team)&gt;0, 1, "-"))</f>
        <v>1</v>
      </c>
      <c r="I10" s="158" t="str">
        <f t="array" ref="I10">LET(team, SUBSTITUTE(I$1, " Losses", ""), weekSheet, "'"&amp;$A10&amp;"'!", matchIdx, MATCH("*"&amp;team&amp;"*", INDIRECT(weekSheet&amp;"$B:$B"), 0), IF(ISNA(matchIdx), "-", LET(winner, INDEX(INDIRECT(weekSheet&amp;"$C:$C"), matchIdx), IF(winner="", "-", IF(winner=team, "-", 1)))))</f>
        <v>-</v>
      </c>
      <c r="J10" s="160"/>
      <c r="K10" s="160"/>
      <c r="L10" s="160"/>
      <c r="M10" s="160"/>
      <c r="N10" s="160"/>
      <c r="O10" s="160"/>
      <c r="P10" s="160"/>
      <c r="Q10" s="160"/>
      <c r="R10" s="158">
        <f t="array" ref="R10">LET(team, SUBSTITUTE(R$1, " Wins", ""), IF(COUNTIF(INDIRECT("'"&amp;$A10&amp;"'!$C:$C"), team)&gt;0, 1, "-"))</f>
        <v>1</v>
      </c>
      <c r="S10" s="158" t="str">
        <f t="array" ref="S10">LET(team, SUBSTITUTE(S$1, " Losses", ""), weekSheet, "'"&amp;$A10&amp;"'!", matchIdx, MATCH("*"&amp;team&amp;"*", INDIRECT(weekSheet&amp;"$B:$B"), 0), IF(ISNA(matchIdx), "-", LET(winner, INDEX(INDIRECT(weekSheet&amp;"$C:$C"), matchIdx), IF(winner="", "-", IF(winner=team, "-", 1)))))</f>
        <v>-</v>
      </c>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58" t="str">
        <f t="array" ref="AP10">LET(team, SUBSTITUTE(AP$1, " Wins", ""), IF(COUNTIF(INDIRECT("'"&amp;$A10&amp;"'!$C:$C"), team)&gt;0, 1, "-"))</f>
        <v>-</v>
      </c>
      <c r="AQ10" s="158">
        <f t="array" ref="AQ10">LET(team, SUBSTITUTE(AQ$1, " Losses", ""), weekSheet, "'"&amp;$A10&amp;"'!", matchIdx, MATCH("*"&amp;team&amp;"*", INDIRECT(weekSheet&amp;"$B:$B"), 0), IF(ISNA(matchIdx), "-", LET(winner, INDEX(INDIRECT(weekSheet&amp;"$C:$C"), matchIdx), IF(winner="", "-", IF(winner=team, "-", 1)))))</f>
        <v>1</v>
      </c>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row>
    <row r="11">
      <c r="A11" s="157" t="s">
        <v>175</v>
      </c>
      <c r="B11" s="160"/>
      <c r="C11" s="160"/>
      <c r="D11" s="160"/>
      <c r="E11" s="160"/>
      <c r="F11" s="160"/>
      <c r="G11" s="160"/>
      <c r="H11" s="160"/>
      <c r="I11" s="160"/>
      <c r="J11" s="160"/>
      <c r="K11" s="160"/>
      <c r="L11" s="158">
        <f t="array" ref="L11">LET(team, SUBSTITUTE(L$1, " Wins", ""), IF(COUNTIF(INDIRECT("'"&amp;$A11&amp;"'!$C:$C"), team)&gt;0, 1, "-"))</f>
        <v>1</v>
      </c>
      <c r="M11" s="158" t="str">
        <f t="array" ref="M11">LET(team, SUBSTITUTE(M$1, " Losses", ""), weekSheet, "'"&amp;$A11&amp;"'!", matchIdx, MATCH("*"&amp;team&amp;"*", INDIRECT(weekSheet&amp;"$B:$B"), 0), IF(ISNA(matchIdx), "-", LET(winner, INDEX(INDIRECT(weekSheet&amp;"$C:$C"), matchIdx), IF(winner="", "-", IF(winner=team, "-", 1)))))</f>
        <v>-</v>
      </c>
      <c r="N11" s="160"/>
      <c r="O11" s="160"/>
      <c r="P11" s="160"/>
      <c r="Q11" s="160"/>
      <c r="R11" s="160"/>
      <c r="S11" s="160"/>
      <c r="T11" s="45">
        <f t="array" ref="T11">LET(team, SUBSTITUTE(T$1, " Wins", ""), IF(COUNTIF(INDIRECT("'"&amp;$A11&amp;"'!$C:$C"), team)&gt;0, 1, "-"))</f>
        <v>1</v>
      </c>
      <c r="U11" s="45" t="str">
        <f t="array" ref="U11">LET(team, SUBSTITUTE(U$1, " Losses", ""), weekSheet, "'"&amp;$A11&amp;"'!", matchIdx, MATCH("*"&amp;team&amp;"*", INDIRECT(weekSheet&amp;"$B:$B"), 0), IF(ISNA(matchIdx), "-", LET(winner, INDEX(INDIRECT(weekSheet&amp;"$C:$C"), matchIdx), IF(winner="", "-", IF(winner=team, "-", 1)))))</f>
        <v>-</v>
      </c>
      <c r="V11" s="160"/>
      <c r="W11" s="160"/>
      <c r="X11" s="160"/>
      <c r="Y11" s="160"/>
      <c r="Z11" s="160"/>
      <c r="AA11" s="160"/>
      <c r="AB11" s="158">
        <f t="array" ref="AB11">LET(team, SUBSTITUTE(AB$1, " Wins", ""), IF(COUNTIF(INDIRECT("'"&amp;$A11&amp;"'!$C:$C"), team)&gt;0, 1, "-"))</f>
        <v>1</v>
      </c>
      <c r="AC11" s="158" t="str">
        <f t="array" ref="AC11">LET(team, SUBSTITUTE(AC$1, " Losses", ""), weekSheet, "'"&amp;$A11&amp;"'!", matchIdx, MATCH("*"&amp;team&amp;"*", INDIRECT(weekSheet&amp;"$B:$B"), 0), IF(ISNA(matchIdx), "-", LET(winner, INDEX(INDIRECT(weekSheet&amp;"$C:$C"), matchIdx), IF(winner="", "-", IF(winner=team, "-", 1)))))</f>
        <v>-</v>
      </c>
      <c r="AD11" s="160"/>
      <c r="AE11" s="160"/>
      <c r="AF11" s="45" t="str">
        <f t="array" ref="AF11">LET(team, SUBSTITUTE(AF$1, " Wins", ""), IF(COUNTIF(INDIRECT("'"&amp;$A11&amp;"'!$C:$C"), team)&gt;0, 1, "-"))</f>
        <v>-</v>
      </c>
      <c r="AG11" s="45">
        <f t="array" ref="AG11">LET(team, SUBSTITUTE(AG$1, " Losses", ""), weekSheet, "'"&amp;$A11&amp;"'!", matchIdx, MATCH("*"&amp;team&amp;"*", INDIRECT(weekSheet&amp;"$B:$B"), 0), IF(ISNA(matchIdx), "-", LET(winner, INDEX(INDIRECT(weekSheet&amp;"$C:$C"), matchIdx), IF(winner="", "-", IF(winner=team, "-", 1)))))</f>
        <v>1</v>
      </c>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row>
    <row r="12">
      <c r="A12" s="157" t="s">
        <v>179</v>
      </c>
      <c r="B12" s="160"/>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58">
        <f t="array" ref="Z12">LET(team, SUBSTITUTE(Z$1, " Wins", ""), IF(COUNTIF(INDIRECT("'"&amp;$A12&amp;"'!$C:$C"), team)&gt;0, 1, "-"))</f>
        <v>1</v>
      </c>
      <c r="AA12" s="158" t="str">
        <f t="array" ref="AA12">LET(team, SUBSTITUTE(AA$1, " Losses", ""), weekSheet, "'"&amp;$A12&amp;"'!", matchIdx, MATCH("*"&amp;team&amp;"*", INDIRECT(weekSheet&amp;"$B:$B"), 0), IF(ISNA(matchIdx), "-", LET(winner, INDEX(INDIRECT(weekSheet&amp;"$C:$C"), matchIdx), IF(winner="", "-", IF(winner=team, "-", 1)))))</f>
        <v>-</v>
      </c>
      <c r="AB12" s="160"/>
      <c r="AC12" s="160"/>
      <c r="AD12" s="45" t="str">
        <f t="array" ref="AD12">LET(team, SUBSTITUTE(AD$1, " Wins", ""), IF(COUNTIF(INDIRECT("'"&amp;$A12&amp;"'!$C:$C"), team)&gt;0, 1, "-"))</f>
        <v>-</v>
      </c>
      <c r="AE12" s="45">
        <f t="array" ref="AE12">LET(team, SUBSTITUTE(AE$1, " Losses", ""), weekSheet, "'"&amp;$A12&amp;"'!", matchIdx, MATCH("*"&amp;team&amp;"*", INDIRECT(weekSheet&amp;"$B:$B"), 0), IF(ISNA(matchIdx), "-", LET(winner, INDEX(INDIRECT(weekSheet&amp;"$C:$C"), matchIdx), IF(winner="", "-", IF(winner=team, "-", 1)))))</f>
        <v>1</v>
      </c>
      <c r="AF12" s="160"/>
      <c r="AG12" s="160"/>
      <c r="AH12" s="160"/>
      <c r="AI12" s="160"/>
      <c r="AJ12" s="160"/>
      <c r="AK12" s="160"/>
      <c r="AL12" s="160"/>
      <c r="AM12" s="160"/>
      <c r="AN12" s="160"/>
      <c r="AO12" s="160"/>
      <c r="AP12" s="158">
        <f t="array" ref="AP12">LET(team, SUBSTITUTE(AP$1, " Wins", ""), IF(COUNTIF(INDIRECT("'"&amp;$A12&amp;"'!$C:$C"), team)&gt;0, 1, "-"))</f>
        <v>1</v>
      </c>
      <c r="AQ12" s="158" t="str">
        <f t="array" ref="AQ12">LET(team, SUBSTITUTE(AQ$1, " Losses", ""), weekSheet, "'"&amp;$A12&amp;"'!", matchIdx, MATCH("*"&amp;team&amp;"*", INDIRECT(weekSheet&amp;"$B:$B"), 0), IF(ISNA(matchIdx), "-", LET(winner, INDEX(INDIRECT(weekSheet&amp;"$C:$C"), matchIdx), IF(winner="", "-", IF(winner=team, "-", 1)))))</f>
        <v>-</v>
      </c>
      <c r="AR12" s="160"/>
      <c r="AS12" s="160"/>
      <c r="AT12" s="45">
        <f t="shared" ref="AT12:AT13" si="5">LET(team, SUBSTITUTE(AT$1, " Wins", ""), IF(COUNTIF(INDIRECT("'"&amp;$A12&amp;"'!$C:$C"), team)&gt;0, 1, "-"))</f>
        <v>1</v>
      </c>
      <c r="AU12" s="45" t="str">
        <f t="shared" ref="AU12:AU13" si="6">LET(team, SUBSTITUTE(AU$1, " Losses", ""), weekSheet, "'"&amp;$A12&amp;"'!", matchIdx, MATCH("*"&amp;team&amp;"*", INDIRECT(weekSheet&amp;"$B:$B"), 0), IF(ISNA(matchIdx), "-", LET(winner, INDEX(INDIRECT(weekSheet&amp;"$C:$C"), matchIdx), IF(winner="", "-", IF(winner=team, "-", 1)))))</f>
        <v>-</v>
      </c>
      <c r="AV12" s="160"/>
      <c r="AW12" s="160"/>
      <c r="AX12" s="160"/>
      <c r="AY12" s="160"/>
      <c r="AZ12" s="160"/>
      <c r="BA12" s="160"/>
      <c r="BB12" s="160"/>
      <c r="BC12" s="160"/>
      <c r="BD12" s="160"/>
      <c r="BE12" s="160"/>
      <c r="BF12" s="160"/>
      <c r="BG12" s="160"/>
      <c r="BH12" s="160"/>
      <c r="BI12" s="160"/>
      <c r="BJ12" s="160"/>
      <c r="BK12" s="160"/>
      <c r="BL12" s="160"/>
      <c r="BM12" s="160"/>
    </row>
    <row r="13">
      <c r="A13" s="157" t="s">
        <v>185</v>
      </c>
      <c r="B13" s="160"/>
      <c r="C13" s="160"/>
      <c r="D13" s="160"/>
      <c r="E13" s="160"/>
      <c r="F13" s="160"/>
      <c r="G13" s="160"/>
      <c r="H13" s="160"/>
      <c r="I13" s="160"/>
      <c r="J13" s="160"/>
      <c r="K13" s="160"/>
      <c r="L13" s="160"/>
      <c r="M13" s="160"/>
      <c r="N13" s="160"/>
      <c r="O13" s="160"/>
      <c r="P13" s="160"/>
      <c r="Q13" s="160"/>
      <c r="R13" s="158">
        <f t="array" ref="R13">LET(team, SUBSTITUTE(R$1, " Wins", ""), IF(COUNTIF(INDIRECT("'"&amp;$A13&amp;"'!$C:$C"), team)&gt;0, 1, "-"))</f>
        <v>1</v>
      </c>
      <c r="S13" s="158" t="str">
        <f t="array" ref="S13">LET(team, SUBSTITUTE(S$1, " Losses", ""), weekSheet, "'"&amp;$A13&amp;"'!", matchIdx, MATCH("*"&amp;team&amp;"*", INDIRECT(weekSheet&amp;"$B:$B"), 0), IF(ISNA(matchIdx), "-", LET(winner, INDEX(INDIRECT(weekSheet&amp;"$C:$C"), matchIdx), IF(winner="", "-", IF(winner=team, "-", 1)))))</f>
        <v>-</v>
      </c>
      <c r="T13" s="160"/>
      <c r="U13" s="160"/>
      <c r="V13" s="160"/>
      <c r="W13" s="160"/>
      <c r="X13" s="160"/>
      <c r="Y13" s="160"/>
      <c r="Z13" s="160"/>
      <c r="AA13" s="160"/>
      <c r="AB13" s="45">
        <f t="array" ref="AB13">LET(team, SUBSTITUTE(AB$1, " Wins", ""), IF(COUNTIF(INDIRECT("'"&amp;$A13&amp;"'!$C:$C"), team)&gt;0, 1, "-"))</f>
        <v>1</v>
      </c>
      <c r="AC13" s="45" t="str">
        <f t="array" ref="AC13">LET(team, SUBSTITUTE(AC$1, " Losses", ""), weekSheet, "'"&amp;$A13&amp;"'!", matchIdx, MATCH("*"&amp;team&amp;"*", INDIRECT(weekSheet&amp;"$B:$B"), 0), IF(ISNA(matchIdx), "-", LET(winner, INDEX(INDIRECT(weekSheet&amp;"$C:$C"), matchIdx), IF(winner="", "-", IF(winner=team, "-", 1)))))</f>
        <v>-</v>
      </c>
      <c r="AD13" s="160"/>
      <c r="AE13" s="160"/>
      <c r="AF13" s="158" t="str">
        <f t="array" ref="AF13">LET(team, SUBSTITUTE(AF$1, " Wins", ""), IF(COUNTIF(INDIRECT("'"&amp;$A13&amp;"'!$C:$C"), team)&gt;0, 1, "-"))</f>
        <v>-</v>
      </c>
      <c r="AG13" s="158">
        <f t="array" ref="AG13">LET(team, SUBSTITUTE(AG$1, " Losses", ""), weekSheet, "'"&amp;$A13&amp;"'!", matchIdx, MATCH("*"&amp;team&amp;"*", INDIRECT(weekSheet&amp;"$B:$B"), 0), IF(ISNA(matchIdx), "-", LET(winner, INDEX(INDIRECT(weekSheet&amp;"$C:$C"), matchIdx), IF(winner="", "-", IF(winner=team, "-", 1)))))</f>
        <v>1</v>
      </c>
      <c r="AH13" s="160"/>
      <c r="AI13" s="160"/>
      <c r="AJ13" s="160"/>
      <c r="AK13" s="160"/>
      <c r="AL13" s="160"/>
      <c r="AM13" s="160"/>
      <c r="AN13" s="160"/>
      <c r="AO13" s="160"/>
      <c r="AP13" s="160"/>
      <c r="AQ13" s="160"/>
      <c r="AR13" s="160"/>
      <c r="AS13" s="160"/>
      <c r="AT13" s="158" t="str">
        <f t="shared" si="5"/>
        <v>-</v>
      </c>
      <c r="AU13" s="158">
        <f t="shared" si="6"/>
        <v>1</v>
      </c>
      <c r="AV13" s="160"/>
      <c r="AW13" s="160"/>
      <c r="AX13" s="160"/>
      <c r="AY13" s="160"/>
      <c r="AZ13" s="160"/>
      <c r="BA13" s="160"/>
      <c r="BB13" s="160"/>
      <c r="BC13" s="160"/>
      <c r="BD13" s="160"/>
      <c r="BE13" s="160"/>
      <c r="BF13" s="160"/>
      <c r="BG13" s="160"/>
      <c r="BH13" s="160"/>
      <c r="BI13" s="160"/>
      <c r="BJ13" s="160"/>
      <c r="BK13" s="160"/>
      <c r="BL13" s="160"/>
      <c r="BM13" s="160"/>
    </row>
    <row r="14">
      <c r="A14" s="157" t="s">
        <v>191</v>
      </c>
      <c r="B14" s="160"/>
      <c r="C14" s="160"/>
      <c r="D14" s="160"/>
      <c r="E14" s="160"/>
      <c r="F14" s="160"/>
      <c r="G14" s="160"/>
      <c r="H14" s="160"/>
      <c r="I14" s="160"/>
      <c r="J14" s="160"/>
      <c r="K14" s="160"/>
      <c r="L14" s="160"/>
      <c r="M14" s="160"/>
      <c r="N14" s="160"/>
      <c r="O14" s="160"/>
      <c r="P14" s="160"/>
      <c r="Q14" s="160"/>
      <c r="R14" s="160"/>
      <c r="S14" s="160"/>
      <c r="T14" s="160"/>
      <c r="U14" s="160"/>
      <c r="V14" s="158" t="str">
        <f t="shared" ref="V14:V15" si="7">LET(team, SUBSTITUTE(V$1, " Wins", ""), IF(COUNTIF(INDIRECT("'"&amp;$A14&amp;"'!$C:$C"), team)&gt;0, 1, "-"))</f>
        <v>-</v>
      </c>
      <c r="W14" s="158">
        <f t="shared" ref="W14:W15" si="8">LET(team, SUBSTITUTE(W$1, " Losses", ""), weekSheet, "'"&amp;$A14&amp;"'!", matchIdx, MATCH("*"&amp;team&amp;"*", INDIRECT(weekSheet&amp;"$B:$B"), 0), IF(ISNA(matchIdx), "-", LET(winner, INDEX(INDIRECT(weekSheet&amp;"$C:$C"), matchIdx), IF(winner="", "-", IF(winner=team, "-", 1)))))</f>
        <v>1</v>
      </c>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58" t="str">
        <f t="shared" ref="AV14:AV15" si="9">LET(team, SUBSTITUTE(AV$1, " Wins", ""), IF(COUNTIF(INDIRECT("'"&amp;$A14&amp;"'!$C:$C"), team)&gt;0, 1, "-"))</f>
        <v>-</v>
      </c>
      <c r="AW14" s="158">
        <f t="shared" ref="AW14:AW15" si="10">LET(team, SUBSTITUTE(AW$1, " Losses", ""), weekSheet, "'"&amp;$A14&amp;"'!", matchIdx, MATCH("*"&amp;team&amp;"*", INDIRECT(weekSheet&amp;"$B:$B"), 0), IF(ISNA(matchIdx), "-", LET(winner, INDEX(INDIRECT(weekSheet&amp;"$C:$C"), matchIdx), IF(winner="", "-", IF(winner=team, "-", 1)))))</f>
        <v>1</v>
      </c>
      <c r="AX14" s="160"/>
      <c r="AY14" s="160"/>
      <c r="AZ14" s="160"/>
      <c r="BA14" s="160"/>
      <c r="BB14" s="160"/>
      <c r="BC14" s="160"/>
      <c r="BD14" s="158" t="str">
        <f t="array" ref="BD14">LET(team, SUBSTITUTE(BD$1, " Wins", ""), IF(COUNTIF(INDIRECT("'"&amp;$A14&amp;"'!$C:$C"), team)&gt;0, 1, "-"))</f>
        <v>-</v>
      </c>
      <c r="BE14" s="158">
        <f t="array" ref="BE14">LET(team, SUBSTITUTE(BE$1, " Losses", ""), weekSheet, "'"&amp;$A14&amp;"'!", matchIdx, MATCH("*"&amp;team&amp;"*", INDIRECT(weekSheet&amp;"$B:$B"), 0), IF(ISNA(matchIdx), "-", LET(winner, INDEX(INDIRECT(weekSheet&amp;"$C:$C"), matchIdx), IF(winner="", "-", IF(winner=team, "-", 1)))))</f>
        <v>1</v>
      </c>
      <c r="BF14" s="160"/>
      <c r="BG14" s="160"/>
      <c r="BH14" s="160"/>
      <c r="BI14" s="160"/>
      <c r="BJ14" s="160"/>
      <c r="BK14" s="160"/>
      <c r="BL14" s="160"/>
      <c r="BM14" s="160"/>
    </row>
    <row r="15">
      <c r="A15" s="157" t="s">
        <v>194</v>
      </c>
      <c r="B15" s="160"/>
      <c r="C15" s="160"/>
      <c r="D15" s="160"/>
      <c r="E15" s="160"/>
      <c r="F15" s="160"/>
      <c r="G15" s="160"/>
      <c r="H15" s="160"/>
      <c r="I15" s="160"/>
      <c r="J15" s="160"/>
      <c r="K15" s="160"/>
      <c r="L15" s="160"/>
      <c r="M15" s="160"/>
      <c r="N15" s="160"/>
      <c r="O15" s="160"/>
      <c r="P15" s="160"/>
      <c r="Q15" s="160"/>
      <c r="R15" s="160"/>
      <c r="S15" s="160"/>
      <c r="T15" s="160"/>
      <c r="U15" s="160"/>
      <c r="V15" s="158">
        <f t="shared" si="7"/>
        <v>1</v>
      </c>
      <c r="W15" s="158" t="str">
        <f t="shared" si="8"/>
        <v>-</v>
      </c>
      <c r="X15" s="160"/>
      <c r="Y15" s="160"/>
      <c r="Z15" s="160"/>
      <c r="AA15" s="160"/>
      <c r="AB15" s="160"/>
      <c r="AC15" s="160"/>
      <c r="AD15" s="160"/>
      <c r="AE15" s="160"/>
      <c r="AF15" s="160"/>
      <c r="AG15" s="160"/>
      <c r="AH15" s="160"/>
      <c r="AI15" s="160"/>
      <c r="AJ15" s="160"/>
      <c r="AK15" s="160"/>
      <c r="AL15" s="160"/>
      <c r="AM15" s="160"/>
      <c r="AN15" s="160"/>
      <c r="AO15" s="160"/>
      <c r="AP15" s="160"/>
      <c r="AQ15" s="160"/>
      <c r="AR15" s="158">
        <f t="array" ref="AR15">LET(team, SUBSTITUTE(AR$1, " Wins", ""), IF(COUNTIF(INDIRECT("'"&amp;$A15&amp;"'!$C:$C"), team)&gt;0, 1, "-"))</f>
        <v>1</v>
      </c>
      <c r="AS15" s="158" t="str">
        <f t="array" ref="AS15">LET(team, SUBSTITUTE(AS$1, " Losses", ""), weekSheet, "'"&amp;$A15&amp;"'!", matchIdx, MATCH("*"&amp;team&amp;"*", INDIRECT(weekSheet&amp;"$B:$B"), 0), IF(ISNA(matchIdx), "-", LET(winner, INDEX(INDIRECT(weekSheet&amp;"$C:$C"), matchIdx), IF(winner="", "-", IF(winner=team, "-", 1)))))</f>
        <v>-</v>
      </c>
      <c r="AT15" s="160"/>
      <c r="AU15" s="160"/>
      <c r="AV15" s="45">
        <f t="shared" si="9"/>
        <v>1</v>
      </c>
      <c r="AW15" s="45" t="str">
        <f t="shared" si="10"/>
        <v>-</v>
      </c>
      <c r="AX15" s="158">
        <f t="array" ref="AX15">LET(team, SUBSTITUTE(AX$1, " Wins", ""), IF(COUNTIF(INDIRECT("'"&amp;$A15&amp;"'!$C:$C"), team)&gt;0, 1, "-"))</f>
        <v>1</v>
      </c>
      <c r="AY15" s="158" t="str">
        <f t="array" ref="AY15">LET(team, SUBSTITUTE(AY$1, " Losses", ""), weekSheet, "'"&amp;$A15&amp;"'!", matchIdx, MATCH("*"&amp;team&amp;"*", INDIRECT(weekSheet&amp;"$B:$B"), 0), IF(ISNA(matchIdx), "-", LET(winner, INDEX(INDIRECT(weekSheet&amp;"$C:$C"), matchIdx), IF(winner="", "-", IF(winner=team, "-", 1)))))</f>
        <v>-</v>
      </c>
      <c r="AZ15" s="160"/>
      <c r="BA15" s="160"/>
      <c r="BB15" s="160"/>
      <c r="BC15" s="160"/>
      <c r="BD15" s="160"/>
      <c r="BE15" s="160"/>
      <c r="BF15" s="160"/>
      <c r="BG15" s="160"/>
      <c r="BH15" s="160"/>
      <c r="BI15" s="160"/>
      <c r="BJ15" s="160"/>
      <c r="BK15" s="160"/>
      <c r="BL15" s="160"/>
      <c r="BM15" s="160"/>
    </row>
    <row r="16">
      <c r="A16" s="157" t="s">
        <v>198</v>
      </c>
      <c r="B16" s="160"/>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58" t="str">
        <f t="array" ref="Z16">LET(team, SUBSTITUTE(Z$1, " Wins", ""), IF(COUNTIF(INDIRECT("'"&amp;$A16&amp;"'!$C:$C"), team)&gt;0, 1, "-"))</f>
        <v>-</v>
      </c>
      <c r="AA16" s="158">
        <f t="array" ref="AA16">LET(team, SUBSTITUTE(AA$1, " Losses", ""), weekSheet, "'"&amp;$A16&amp;"'!", matchIdx, MATCH("*"&amp;team&amp;"*", INDIRECT(weekSheet&amp;"$B:$B"), 0), IF(ISNA(matchIdx), "-", LET(winner, INDEX(INDIRECT(weekSheet&amp;"$C:$C"), matchIdx), IF(winner="", "-", IF(winner=team, "-", 1)))))</f>
        <v>1</v>
      </c>
      <c r="AB16" s="158">
        <f t="array" ref="AB16">LET(team, SUBSTITUTE(AB$1, " Wins", ""), IF(COUNTIF(INDIRECT("'"&amp;$A16&amp;"'!$C:$C"), team)&gt;0, 1, "-"))</f>
        <v>1</v>
      </c>
      <c r="AC16" s="158" t="str">
        <f t="array" ref="AC16">LET(team, SUBSTITUTE(AC$1, " Losses", ""), weekSheet, "'"&amp;$A16&amp;"'!", matchIdx, MATCH("*"&amp;team&amp;"*", INDIRECT(weekSheet&amp;"$B:$B"), 0), IF(ISNA(matchIdx), "-", LET(winner, INDEX(INDIRECT(weekSheet&amp;"$C:$C"), matchIdx), IF(winner="", "-", IF(winner=team, "-", 1)))))</f>
        <v>-</v>
      </c>
      <c r="AD16" s="158">
        <f t="array" ref="AD16">LET(team, SUBSTITUTE(AD$1, " Wins", ""), IF(COUNTIF(INDIRECT("'"&amp;$A16&amp;"'!$C:$C"), team)&gt;0, 1, "-"))</f>
        <v>1</v>
      </c>
      <c r="AE16" s="158" t="str">
        <f t="array" ref="AE16">LET(team, SUBSTITUTE(AE$1, " Losses", ""), weekSheet, "'"&amp;$A16&amp;"'!", matchIdx, MATCH("*"&amp;team&amp;"*", INDIRECT(weekSheet&amp;"$B:$B"), 0), IF(ISNA(matchIdx), "-", LET(winner, INDEX(INDIRECT(weekSheet&amp;"$C:$C"), matchIdx), IF(winner="", "-", IF(winner=team, "-", 1)))))</f>
        <v>-</v>
      </c>
      <c r="AF16" s="158" t="str">
        <f t="array" ref="AF16">LET(team, SUBSTITUTE(AF$1, " Wins", ""), IF(COUNTIF(INDIRECT("'"&amp;$A16&amp;"'!$C:$C"), team)&gt;0, 1, "-"))</f>
        <v>-</v>
      </c>
      <c r="AG16" s="158">
        <f t="array" ref="AG16">LET(team, SUBSTITUTE(AG$1, " Losses", ""), weekSheet, "'"&amp;$A16&amp;"'!", matchIdx, MATCH("*"&amp;team&amp;"*", INDIRECT(weekSheet&amp;"$B:$B"), 0), IF(ISNA(matchIdx), "-", LET(winner, INDEX(INDIRECT(weekSheet&amp;"$C:$C"), matchIdx), IF(winner="", "-", IF(winner=team, "-", 1)))))</f>
        <v>1</v>
      </c>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row>
    <row r="17">
      <c r="A17" s="157" t="s">
        <v>202</v>
      </c>
      <c r="B17" s="160"/>
      <c r="C17" s="160"/>
      <c r="D17" s="158">
        <f t="array" ref="D17">LET(team, SUBSTITUTE(D$1, " Wins", ""), IF(COUNTIF(INDIRECT("'"&amp;$A17&amp;"'!$C:$C"), team)&gt;0, 1, "-"))</f>
        <v>1</v>
      </c>
      <c r="E17" s="158" t="str">
        <f t="array" ref="E17">LET(team, SUBSTITUTE(E$1, " Losses", ""), weekSheet, "'"&amp;$A17&amp;"'!", matchIdx, MATCH("*"&amp;team&amp;"*", INDIRECT(weekSheet&amp;"$B:$B"), 0), IF(ISNA(matchIdx), "-", LET(winner, INDEX(INDIRECT(weekSheet&amp;"$C:$C"), matchIdx), IF(winner="", "-", IF(winner=team, "-", 1)))))</f>
        <v>-</v>
      </c>
      <c r="F17" s="160"/>
      <c r="G17" s="160"/>
      <c r="H17" s="160"/>
      <c r="I17" s="160"/>
      <c r="J17" s="160"/>
      <c r="K17" s="160"/>
      <c r="L17" s="160"/>
      <c r="M17" s="160"/>
      <c r="N17" s="160"/>
      <c r="O17" s="160"/>
      <c r="P17" s="160"/>
      <c r="Q17" s="160"/>
      <c r="R17" s="160"/>
      <c r="S17" s="160"/>
      <c r="T17" s="160"/>
      <c r="U17" s="160"/>
      <c r="V17" s="160"/>
      <c r="W17" s="160"/>
      <c r="X17" s="158">
        <f t="array" ref="X17">LET(team, SUBSTITUTE(X$1, " Wins", ""), IF(COUNTIF(INDIRECT("'"&amp;$A17&amp;"'!$C:$C"), team)&gt;0, 1, "-"))</f>
        <v>1</v>
      </c>
      <c r="Y17" s="158" t="str">
        <f t="array" ref="Y17">LET(team, SUBSTITUTE(Y$1, " Losses", ""), weekSheet, "'"&amp;$A17&amp;"'!", matchIdx, MATCH("*"&amp;team&amp;"*", INDIRECT(weekSheet&amp;"$B:$B"), 0), IF(ISNA(matchIdx), "-", LET(winner, INDEX(INDIRECT(weekSheet&amp;"$C:$C"), matchIdx), IF(winner="", "-", IF(winner=team, "-", 1)))))</f>
        <v>-</v>
      </c>
      <c r="Z17" s="160"/>
      <c r="AA17" s="160"/>
      <c r="AB17" s="160"/>
      <c r="AC17" s="160"/>
      <c r="AD17" s="160"/>
      <c r="AE17" s="160"/>
      <c r="AF17" s="160"/>
      <c r="AG17" s="160"/>
      <c r="AH17" s="160"/>
      <c r="AI17" s="160"/>
      <c r="AJ17" s="160"/>
      <c r="AK17" s="160"/>
      <c r="AL17" s="160"/>
      <c r="AM17" s="160"/>
      <c r="AN17" s="160"/>
      <c r="AO17" s="160"/>
      <c r="AP17" s="158">
        <f t="array" ref="AP17">LET(team, SUBSTITUTE(AP$1, " Wins", ""), IF(COUNTIF(INDIRECT("'"&amp;$A17&amp;"'!$C:$C"), team)&gt;0, 1, "-"))</f>
        <v>1</v>
      </c>
      <c r="AQ17" s="158" t="str">
        <f t="array" ref="AQ17">LET(team, SUBSTITUTE(AQ$1, " Losses", ""), weekSheet, "'"&amp;$A17&amp;"'!", matchIdx, MATCH("*"&amp;team&amp;"*", INDIRECT(weekSheet&amp;"$B:$B"), 0), IF(ISNA(matchIdx), "-", LET(winner, INDEX(INDIRECT(weekSheet&amp;"$C:$C"), matchIdx), IF(winner="", "-", IF(winner=team, "-", 1)))))</f>
        <v>-</v>
      </c>
      <c r="AR17" s="158">
        <f t="array" ref="AR17">LET(team, SUBSTITUTE(AR$1, " Wins", ""), IF(COUNTIF(INDIRECT("'"&amp;$A17&amp;"'!$C:$C"), team)&gt;0, 1, "-"))</f>
        <v>1</v>
      </c>
      <c r="AS17" s="158" t="str">
        <f t="array" ref="AS17">LET(team, SUBSTITUTE(AS$1, " Losses", ""), weekSheet, "'"&amp;$A17&amp;"'!", matchIdx, MATCH("*"&amp;team&amp;"*", INDIRECT(weekSheet&amp;"$B:$B"), 0), IF(ISNA(matchIdx), "-", LET(winner, INDEX(INDIRECT(weekSheet&amp;"$C:$C"), matchIdx), IF(winner="", "-", IF(winner=team, "-", 1)))))</f>
        <v>-</v>
      </c>
      <c r="AT17" s="160"/>
      <c r="AU17" s="160"/>
      <c r="AV17" s="160"/>
      <c r="AW17" s="160"/>
      <c r="AX17" s="160"/>
      <c r="AY17" s="160"/>
      <c r="AZ17" s="160"/>
      <c r="BA17" s="160"/>
      <c r="BB17" s="160"/>
      <c r="BC17" s="160"/>
      <c r="BD17" s="160"/>
      <c r="BE17" s="160"/>
      <c r="BF17" s="160"/>
      <c r="BG17" s="160"/>
      <c r="BH17" s="160"/>
      <c r="BI17" s="160"/>
      <c r="BJ17" s="160"/>
      <c r="BK17" s="160"/>
      <c r="BL17" s="160"/>
      <c r="BM17" s="160"/>
    </row>
    <row r="18">
      <c r="A18" s="157" t="s">
        <v>206</v>
      </c>
      <c r="B18" s="160"/>
      <c r="C18" s="160"/>
      <c r="D18" s="160"/>
      <c r="E18" s="160"/>
      <c r="F18" s="160"/>
      <c r="G18" s="160"/>
      <c r="H18" s="160"/>
      <c r="I18" s="160"/>
      <c r="J18" s="160"/>
      <c r="K18" s="160"/>
      <c r="L18" s="160"/>
      <c r="M18" s="160"/>
      <c r="N18" s="160"/>
      <c r="O18" s="160"/>
      <c r="P18" s="160"/>
      <c r="Q18" s="160"/>
      <c r="R18" s="160"/>
      <c r="S18" s="160"/>
      <c r="T18" s="158" t="str">
        <f t="array" ref="T18">LET(team, SUBSTITUTE(T$1, " Wins", ""), IF(COUNTIF(INDIRECT("'"&amp;$A18&amp;"'!$C:$C"), team)&gt;0, 1, "-"))</f>
        <v>-</v>
      </c>
      <c r="U18" s="158">
        <f t="array" ref="U18">LET(team, SUBSTITUTE(U$1, " Losses", ""), weekSheet, "'"&amp;$A18&amp;"'!", matchIdx, MATCH("*"&amp;team&amp;"*", INDIRECT(weekSheet&amp;"$B:$B"), 0), IF(ISNA(matchIdx), "-", LET(winner, INDEX(INDIRECT(weekSheet&amp;"$C:$C"), matchIdx), IF(winner="", "-", IF(winner=team, "-", 1)))))</f>
        <v>1</v>
      </c>
      <c r="V18" s="158" t="str">
        <f t="array" ref="V18">LET(team, SUBSTITUTE(V$1, " Wins", ""), IF(COUNTIF(INDIRECT("'"&amp;$A18&amp;"'!$C:$C"), team)&gt;0, 1, "-"))</f>
        <v>-</v>
      </c>
      <c r="W18" s="158">
        <f t="array" ref="W18">LET(team, SUBSTITUTE(W$1, " Losses", ""), weekSheet, "'"&amp;$A18&amp;"'!", matchIdx, MATCH("*"&amp;team&amp;"*", INDIRECT(weekSheet&amp;"$B:$B"), 0), IF(ISNA(matchIdx), "-", LET(winner, INDEX(INDIRECT(weekSheet&amp;"$C:$C"), matchIdx), IF(winner="", "-", IF(winner=team, "-", 1)))))</f>
        <v>1</v>
      </c>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58" t="str">
        <f t="array" ref="AV18">LET(team, SUBSTITUTE(AV$1, " Wins", ""), IF(COUNTIF(INDIRECT("'"&amp;$A18&amp;"'!$C:$C"), team)&gt;0, 1, "-"))</f>
        <v>-</v>
      </c>
      <c r="AW18" s="158">
        <f t="array" ref="AW18">LET(team, SUBSTITUTE(AW$1, " Losses", ""), weekSheet, "'"&amp;$A18&amp;"'!", matchIdx, MATCH("*"&amp;team&amp;"*", INDIRECT(weekSheet&amp;"$B:$B"), 0), IF(ISNA(matchIdx), "-", LET(winner, INDEX(INDIRECT(weekSheet&amp;"$C:$C"), matchIdx), IF(winner="", "-", IF(winner=team, "-", 1)))))</f>
        <v>1</v>
      </c>
      <c r="AX18" s="160"/>
      <c r="AY18" s="160"/>
      <c r="AZ18" s="158" t="str">
        <f t="array" ref="AZ18">LET(team, SUBSTITUTE(AZ$1, " Wins", ""), IF(COUNTIF(INDIRECT("'"&amp;$A18&amp;"'!$C:$C"), team)&gt;0, 1, "-"))</f>
        <v>-</v>
      </c>
      <c r="BA18" s="158">
        <f t="array" ref="BA18">LET(team, SUBSTITUTE(BA$1, " Losses", ""), weekSheet, "'"&amp;$A18&amp;"'!", matchIdx, MATCH("*"&amp;team&amp;"*", INDIRECT(weekSheet&amp;"$B:$B"), 0), IF(ISNA(matchIdx), "-", LET(winner, INDEX(INDIRECT(weekSheet&amp;"$C:$C"), matchIdx), IF(winner="", "-", IF(winner=team, "-", 1)))))</f>
        <v>1</v>
      </c>
      <c r="BB18" s="160"/>
      <c r="BC18" s="160"/>
      <c r="BD18" s="160"/>
      <c r="BE18" s="160"/>
      <c r="BF18" s="160"/>
      <c r="BG18" s="160"/>
      <c r="BH18" s="160"/>
      <c r="BI18" s="160"/>
      <c r="BJ18" s="160"/>
      <c r="BK18" s="160"/>
      <c r="BL18" s="160"/>
      <c r="BM18" s="160"/>
    </row>
    <row r="19">
      <c r="A19" s="157" t="s">
        <v>207</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58">
        <f t="array" ref="Z19">LET(team, SUBSTITUTE(Z$1, " Wins", ""), IF(COUNTIF(INDIRECT("'"&amp;$A19&amp;"'!$C:$C"), team)&gt;0, 1, "-"))</f>
        <v>1</v>
      </c>
      <c r="AA19" s="158" t="str">
        <f t="array" ref="AA19">LET(team, SUBSTITUTE(AA$1, " Losses", ""), weekSheet, "'"&amp;$A19&amp;"'!", matchIdx, MATCH("*"&amp;team&amp;"*", INDIRECT(weekSheet&amp;"$B:$B"), 0), IF(ISNA(matchIdx), "-", LET(winner, INDEX(INDIRECT(weekSheet&amp;"$C:$C"), matchIdx), IF(winner="", "-", IF(winner=team, "-", 1)))))</f>
        <v>-</v>
      </c>
      <c r="AB19" s="158">
        <f t="array" ref="AB19">LET(team, SUBSTITUTE(AB$1, " Wins", ""), IF(COUNTIF(INDIRECT("'"&amp;$A19&amp;"'!$C:$C"), team)&gt;0, 1, "-"))</f>
        <v>1</v>
      </c>
      <c r="AC19" s="158" t="str">
        <f t="array" ref="AC19">LET(team, SUBSTITUTE(AC$1, " Losses", ""), weekSheet, "'"&amp;$A19&amp;"'!", matchIdx, MATCH("*"&amp;team&amp;"*", INDIRECT(weekSheet&amp;"$B:$B"), 0), IF(ISNA(matchIdx), "-", LET(winner, INDEX(INDIRECT(weekSheet&amp;"$C:$C"), matchIdx), IF(winner="", "-", IF(winner=team, "-", 1)))))</f>
        <v>-</v>
      </c>
      <c r="AD19" s="158" t="str">
        <f t="array" ref="AD19">LET(team, SUBSTITUTE(AD$1, " Wins", ""), IF(COUNTIF(INDIRECT("'"&amp;$A19&amp;"'!$C:$C"), team)&gt;0, 1, "-"))</f>
        <v>-</v>
      </c>
      <c r="AE19" s="158">
        <f t="array" ref="AE19">LET(team, SUBSTITUTE(AE$1, " Losses", ""), weekSheet, "'"&amp;$A19&amp;"'!", matchIdx, MATCH("*"&amp;team&amp;"*", INDIRECT(weekSheet&amp;"$B:$B"), 0), IF(ISNA(matchIdx), "-", LET(winner, INDEX(INDIRECT(weekSheet&amp;"$C:$C"), matchIdx), IF(winner="", "-", IF(winner=team, "-", 1)))))</f>
        <v>1</v>
      </c>
      <c r="AF19" s="158" t="str">
        <f t="array" ref="AF19">LET(team, SUBSTITUTE(AF$1, " Wins", ""), IF(COUNTIF(INDIRECT("'"&amp;$A19&amp;"'!$C:$C"), team)&gt;0, 1, "-"))</f>
        <v>-</v>
      </c>
      <c r="AG19" s="158">
        <f t="array" ref="AG19">LET(team, SUBSTITUTE(AG$1, " Losses", ""), weekSheet, "'"&amp;$A19&amp;"'!", matchIdx, MATCH("*"&amp;team&amp;"*", INDIRECT(weekSheet&amp;"$B:$B"), 0), IF(ISNA(matchIdx), "-", LET(winner, INDEX(INDIRECT(weekSheet&amp;"$C:$C"), matchIdx), IF(winner="", "-", IF(winner=team, "-", 1)))))</f>
        <v>1</v>
      </c>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row>
    <row r="20">
      <c r="A20" s="227" t="s">
        <v>705</v>
      </c>
      <c r="B20" s="229">
        <f t="shared" ref="B20:BM20" si="11">SUM(B2:B19)</f>
        <v>0</v>
      </c>
      <c r="C20" s="229">
        <f t="shared" si="11"/>
        <v>1</v>
      </c>
      <c r="D20" s="230">
        <f t="shared" si="11"/>
        <v>1</v>
      </c>
      <c r="E20" s="230">
        <f t="shared" si="11"/>
        <v>0</v>
      </c>
      <c r="F20" s="231">
        <f t="shared" si="11"/>
        <v>1</v>
      </c>
      <c r="G20" s="231">
        <f t="shared" si="11"/>
        <v>0</v>
      </c>
      <c r="H20" s="232">
        <f t="shared" si="11"/>
        <v>1</v>
      </c>
      <c r="I20" s="232">
        <f t="shared" si="11"/>
        <v>0</v>
      </c>
      <c r="J20" s="233">
        <f t="shared" si="11"/>
        <v>1</v>
      </c>
      <c r="K20" s="233">
        <f t="shared" si="11"/>
        <v>0</v>
      </c>
      <c r="L20" s="234">
        <f t="shared" si="11"/>
        <v>1</v>
      </c>
      <c r="M20" s="234">
        <f t="shared" si="11"/>
        <v>0</v>
      </c>
      <c r="N20" s="235">
        <f t="shared" si="11"/>
        <v>0</v>
      </c>
      <c r="O20" s="235">
        <f t="shared" si="11"/>
        <v>1</v>
      </c>
      <c r="P20" s="236">
        <f t="shared" si="11"/>
        <v>1</v>
      </c>
      <c r="Q20" s="236">
        <f t="shared" si="11"/>
        <v>0</v>
      </c>
      <c r="R20" s="237">
        <f t="shared" si="11"/>
        <v>4</v>
      </c>
      <c r="S20" s="237">
        <f t="shared" si="11"/>
        <v>0</v>
      </c>
      <c r="T20" s="238">
        <f t="shared" si="11"/>
        <v>2</v>
      </c>
      <c r="U20" s="238">
        <f t="shared" si="11"/>
        <v>2</v>
      </c>
      <c r="V20" s="239">
        <f t="shared" si="11"/>
        <v>1</v>
      </c>
      <c r="W20" s="239">
        <f t="shared" si="11"/>
        <v>3</v>
      </c>
      <c r="X20" s="240">
        <f t="shared" si="11"/>
        <v>2</v>
      </c>
      <c r="Y20" s="240">
        <f t="shared" si="11"/>
        <v>2</v>
      </c>
      <c r="Z20" s="241">
        <f t="shared" si="11"/>
        <v>5</v>
      </c>
      <c r="AA20" s="241">
        <f t="shared" si="11"/>
        <v>1</v>
      </c>
      <c r="AB20" s="242">
        <f t="shared" si="11"/>
        <v>5</v>
      </c>
      <c r="AC20" s="242">
        <f t="shared" si="11"/>
        <v>1</v>
      </c>
      <c r="AD20" s="243">
        <f t="shared" si="11"/>
        <v>2</v>
      </c>
      <c r="AE20" s="243">
        <f t="shared" si="11"/>
        <v>4</v>
      </c>
      <c r="AF20" s="244">
        <f t="shared" si="11"/>
        <v>0</v>
      </c>
      <c r="AG20" s="244">
        <f t="shared" si="11"/>
        <v>6</v>
      </c>
      <c r="AH20" s="245">
        <f t="shared" si="11"/>
        <v>0</v>
      </c>
      <c r="AI20" s="245">
        <f t="shared" si="11"/>
        <v>0</v>
      </c>
      <c r="AJ20" s="246">
        <f t="shared" si="11"/>
        <v>0</v>
      </c>
      <c r="AK20" s="246">
        <f t="shared" si="11"/>
        <v>0</v>
      </c>
      <c r="AL20" s="247">
        <f t="shared" si="11"/>
        <v>0</v>
      </c>
      <c r="AM20" s="247">
        <f t="shared" si="11"/>
        <v>0</v>
      </c>
      <c r="AN20" s="248">
        <f t="shared" si="11"/>
        <v>0</v>
      </c>
      <c r="AO20" s="248">
        <f t="shared" si="11"/>
        <v>0</v>
      </c>
      <c r="AP20" s="249">
        <f t="shared" si="11"/>
        <v>2</v>
      </c>
      <c r="AQ20" s="249">
        <f t="shared" si="11"/>
        <v>2</v>
      </c>
      <c r="AR20" s="250">
        <f t="shared" si="11"/>
        <v>3</v>
      </c>
      <c r="AS20" s="250">
        <f t="shared" si="11"/>
        <v>1</v>
      </c>
      <c r="AT20" s="251">
        <f t="shared" si="11"/>
        <v>2</v>
      </c>
      <c r="AU20" s="251">
        <f t="shared" si="11"/>
        <v>2</v>
      </c>
      <c r="AV20" s="252">
        <f t="shared" si="11"/>
        <v>2</v>
      </c>
      <c r="AW20" s="252">
        <f t="shared" si="11"/>
        <v>2</v>
      </c>
      <c r="AX20" s="253">
        <f t="shared" si="11"/>
        <v>1</v>
      </c>
      <c r="AY20" s="253">
        <f t="shared" si="11"/>
        <v>0</v>
      </c>
      <c r="AZ20" s="254">
        <f t="shared" si="11"/>
        <v>0</v>
      </c>
      <c r="BA20" s="254">
        <f t="shared" si="11"/>
        <v>1</v>
      </c>
      <c r="BB20" s="255">
        <f t="shared" si="11"/>
        <v>1</v>
      </c>
      <c r="BC20" s="255">
        <f t="shared" si="11"/>
        <v>0</v>
      </c>
      <c r="BD20" s="256">
        <f t="shared" si="11"/>
        <v>0</v>
      </c>
      <c r="BE20" s="256">
        <f t="shared" si="11"/>
        <v>1</v>
      </c>
      <c r="BF20" s="257">
        <f t="shared" si="11"/>
        <v>0</v>
      </c>
      <c r="BG20" s="257">
        <f t="shared" si="11"/>
        <v>0</v>
      </c>
      <c r="BH20" s="258">
        <f t="shared" si="11"/>
        <v>0</v>
      </c>
      <c r="BI20" s="258">
        <f t="shared" si="11"/>
        <v>0</v>
      </c>
      <c r="BJ20" s="259">
        <f t="shared" si="11"/>
        <v>0</v>
      </c>
      <c r="BK20" s="259">
        <f t="shared" si="11"/>
        <v>0</v>
      </c>
      <c r="BL20" s="260">
        <f t="shared" si="11"/>
        <v>0</v>
      </c>
      <c r="BM20" s="260">
        <f t="shared" si="11"/>
        <v>0</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263" t="s">
        <v>598</v>
      </c>
      <c r="AI1" s="263"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58">
        <f t="array" ref="H2">LET(team, SUBSTITUTE(H$1, " Wins", ""), IF(COUNTIF(INDIRECT("'"&amp;$A2&amp;"'!$C:$C"), team)&gt;0, 1, "-"))</f>
        <v>1</v>
      </c>
      <c r="I2" s="158" t="str">
        <f t="array" ref="I2">LET(team, SUBSTITUTE(I$1, " Losses", ""), weekSheet, "'"&amp;$A2&amp;"'!", matchIdx, MATCH("*"&amp;team&amp;"*", INDIRECT(weekSheet&amp;"$B:$B"), 0), IF(ISNA(matchIdx), "-", LET(winner, INDEX(INDIRECT(weekSheet&amp;"$C:$C"), matchIdx), IF(winner="", "-", IF(winner=team, "-", 1)))))</f>
        <v>-</v>
      </c>
      <c r="J2" s="160"/>
      <c r="K2" s="160"/>
      <c r="L2" s="160"/>
      <c r="M2" s="160"/>
      <c r="N2" s="160"/>
      <c r="O2" s="160"/>
      <c r="P2" s="158" t="str">
        <f t="array" ref="P2">LET(team, SUBSTITUTE(P$1, " Wins", ""), IF(COUNTIF(INDIRECT("'"&amp;$A2&amp;"'!$C:$C"), team)&gt;0, 1, "-"))</f>
        <v>-</v>
      </c>
      <c r="Q2" s="158">
        <f t="array" ref="Q2">LET(team, SUBSTITUTE(Q$1, " Losses", ""), weekSheet, "'"&amp;$A2&amp;"'!", matchIdx, MATCH("*"&amp;team&amp;"*", INDIRECT(weekSheet&amp;"$B:$B"), 0), IF(ISNA(matchIdx), "-", LET(winner, INDEX(INDIRECT(weekSheet&amp;"$C:$C"), matchIdx), IF(winner="", "-", IF(winner=team, "-", 1)))))</f>
        <v>1</v>
      </c>
      <c r="R2" s="160"/>
      <c r="S2" s="160"/>
      <c r="T2" s="160"/>
      <c r="U2" s="160"/>
      <c r="V2" s="160"/>
      <c r="W2" s="160"/>
      <c r="X2" s="160"/>
      <c r="Y2" s="160"/>
      <c r="Z2" s="160"/>
      <c r="AA2" s="160"/>
      <c r="AB2" s="160"/>
      <c r="AC2" s="160"/>
      <c r="AD2" s="160"/>
      <c r="AE2" s="160"/>
      <c r="AF2" s="160"/>
      <c r="AG2" s="160"/>
      <c r="AH2" s="158" t="str">
        <f t="array" ref="AH2">LET(team, SUBSTITUTE(AH$1, " Wins", ""), IF(COUNTIF(INDIRECT("'"&amp;$A2&amp;"'!$C:$C"), team)&gt;0, 1, "-"))</f>
        <v>-</v>
      </c>
      <c r="AI2" s="158">
        <f t="array" ref="AI2">LET(team, SUBSTITUTE(AI$1, " Losses", ""), weekSheet, "'"&amp;$A2&amp;"'!", matchIdx, MATCH("*"&amp;team&amp;"*", INDIRECT(weekSheet&amp;"$B:$B"), 0), IF(ISNA(matchIdx), "-", LET(winner, INDEX(INDIRECT(weekSheet&amp;"$C:$C"), matchIdx), IF(winner="", "-", IF(winner=team, "-", 1)))))</f>
        <v>1</v>
      </c>
      <c r="AJ2" s="158">
        <f t="array" ref="AJ2">LET(team, SUBSTITUTE(AJ$1, " Wins", ""), IF(COUNTIF(INDIRECT("'"&amp;$A2&amp;"'!$C:$C"), team)&gt;0, 1, "-"))</f>
        <v>1</v>
      </c>
      <c r="AK2" s="158" t="str">
        <f t="array" ref="AK2">LET(team, SUBSTITUTE(AK$1, " Losses", ""), weekSheet, "'"&amp;$A2&amp;"'!", matchIdx, MATCH("*"&amp;team&amp;"*", INDIRECT(weekSheet&amp;"$B:$B"), 0), IF(ISNA(matchIdx), "-", LET(winner, INDEX(INDIRECT(weekSheet&amp;"$C:$C"), matchIdx), IF(winner="", "-", IF(winner=team, "-", 1)))))</f>
        <v>-</v>
      </c>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row>
    <row r="3">
      <c r="A3" s="157" t="s">
        <v>119</v>
      </c>
      <c r="B3" s="160"/>
      <c r="C3" s="160"/>
      <c r="D3" s="160"/>
      <c r="E3" s="160"/>
      <c r="F3" s="160"/>
      <c r="G3" s="160"/>
      <c r="H3" s="160"/>
      <c r="I3" s="160"/>
      <c r="J3" s="160"/>
      <c r="K3" s="160"/>
      <c r="L3" s="158" t="str">
        <f t="array" ref="L3">LET(team, SUBSTITUTE(L$1, " Wins", ""), IF(COUNTIF(INDIRECT("'"&amp;$A3&amp;"'!$C:$C"), team)&gt;0, 1, "-"))</f>
        <v>-</v>
      </c>
      <c r="M3" s="158">
        <f t="array" ref="M3">LET(team, SUBSTITUTE(M$1, " Losses", ""), weekSheet, "'"&amp;$A3&amp;"'!", matchIdx, MATCH("*"&amp;team&amp;"*", INDIRECT(weekSheet&amp;"$B:$B"), 0), IF(ISNA(matchIdx), "-", LET(winner, INDEX(INDIRECT(weekSheet&amp;"$C:$C"), matchIdx), IF(winner="", "-", IF(winner=team, "-", 1)))))</f>
        <v>1</v>
      </c>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58">
        <f t="array" ref="AL3">LET(team, SUBSTITUTE(AL$1, " Wins", ""), IF(COUNTIF(INDIRECT("'"&amp;$A3&amp;"'!$C:$C"), team)&gt;0, 1, "-"))</f>
        <v>1</v>
      </c>
      <c r="AM3" s="158" t="str">
        <f t="array" ref="AM3">LET(team, SUBSTITUTE(AM$1, " Losses", ""), weekSheet, "'"&amp;$A3&amp;"'!", matchIdx, MATCH("*"&amp;team&amp;"*", INDIRECT(weekSheet&amp;"$B:$B"), 0), IF(ISNA(matchIdx), "-", LET(winner, INDEX(INDIRECT(weekSheet&amp;"$C:$C"), matchIdx), IF(winner="", "-", IF(winner=team, "-", 1)))))</f>
        <v>-</v>
      </c>
      <c r="AN3" s="158" t="str">
        <f t="shared" ref="AN3:AN4" si="1">LET(team, SUBSTITUTE(AN$1, " Wins", ""), IF(COUNTIF(INDIRECT("'"&amp;$A3&amp;"'!$C:$C"), team)&gt;0, 1, "-"))</f>
        <v>-</v>
      </c>
      <c r="AO3" s="158">
        <f t="shared" ref="AO3:AO4" si="2">LET(team, SUBSTITUTE(AO$1, " Losses", ""), weekSheet, "'"&amp;$A3&amp;"'!", matchIdx, MATCH("*"&amp;team&amp;"*", INDIRECT(weekSheet&amp;"$B:$B"), 0), IF(ISNA(matchIdx), "-", LET(winner, INDEX(INDIRECT(weekSheet&amp;"$C:$C"), matchIdx), IF(winner="", "-", IF(winner=team, "-", 1)))))</f>
        <v>1</v>
      </c>
      <c r="AP3" s="160"/>
      <c r="AQ3" s="160"/>
      <c r="AR3" s="160"/>
      <c r="AS3" s="160"/>
      <c r="AT3" s="158" t="str">
        <f t="array" ref="AT3">LET(team, SUBSTITUTE(AT$1, " Wins", ""), IF(COUNTIF(INDIRECT("'"&amp;$A3&amp;"'!$C:$C"), team)&gt;0, 1, "-"))</f>
        <v>-</v>
      </c>
      <c r="AU3" s="158">
        <f t="array" ref="AU3">LET(team, SUBSTITUTE(AU$1, " Losses", ""), weekSheet, "'"&amp;$A3&amp;"'!", matchIdx, MATCH("*"&amp;team&amp;"*", INDIRECT(weekSheet&amp;"$B:$B"), 0), IF(ISNA(matchIdx), "-", LET(winner, INDEX(INDIRECT(weekSheet&amp;"$C:$C"), matchIdx), IF(winner="", "-", IF(winner=team, "-", 1)))))</f>
        <v>1</v>
      </c>
      <c r="AV3" s="160"/>
      <c r="AW3" s="160"/>
      <c r="AX3" s="160"/>
      <c r="AY3" s="160"/>
      <c r="AZ3" s="160"/>
      <c r="BA3" s="160"/>
      <c r="BB3" s="160"/>
      <c r="BC3" s="160"/>
      <c r="BD3" s="160"/>
      <c r="BE3" s="160"/>
      <c r="BF3" s="160"/>
      <c r="BG3" s="160"/>
      <c r="BH3" s="160"/>
      <c r="BI3" s="160"/>
      <c r="BJ3" s="160"/>
      <c r="BK3" s="160"/>
      <c r="BL3" s="160"/>
      <c r="BM3" s="160"/>
    </row>
    <row r="4">
      <c r="A4" s="157" t="s">
        <v>130</v>
      </c>
      <c r="B4" s="160"/>
      <c r="C4" s="160"/>
      <c r="D4" s="160"/>
      <c r="E4" s="160"/>
      <c r="F4" s="158">
        <f t="shared" ref="F4:F5" si="3">LET(team, SUBSTITUTE(F$1, " Wins", ""), IF(COUNTIF(INDIRECT("'"&amp;$A4&amp;"'!$C:$C"), team)&gt;0, 1, "-"))</f>
        <v>1</v>
      </c>
      <c r="G4" s="158" t="str">
        <f t="shared" ref="G4:G5" si="4">LET(team, SUBSTITUTE(G$1, " Losses", ""), weekSheet, "'"&amp;$A4&amp;"'!", matchIdx, MATCH("*"&amp;team&amp;"*", INDIRECT(weekSheet&amp;"$B:$B"), 0), IF(ISNA(matchIdx), "-", LET(winner, INDEX(INDIRECT(weekSheet&amp;"$C:$C"), matchIdx), IF(winner="", "-", IF(winner=team, "-", 1)))))</f>
        <v>-</v>
      </c>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58">
        <f t="array" ref="AH4">LET(team, SUBSTITUTE(AH$1, " Wins", ""), IF(COUNTIF(INDIRECT("'"&amp;$A4&amp;"'!$C:$C"), team)&gt;0, 1, "-"))</f>
        <v>1</v>
      </c>
      <c r="AI4" s="158" t="str">
        <f t="array" ref="AI4">LET(team, SUBSTITUTE(AI$1, " Losses", ""), weekSheet, "'"&amp;$A4&amp;"'!", matchIdx, MATCH("*"&amp;team&amp;"*", INDIRECT(weekSheet&amp;"$B:$B"), 0), IF(ISNA(matchIdx), "-", LET(winner, INDEX(INDIRECT(weekSheet&amp;"$C:$C"), matchIdx), IF(winner="", "-", IF(winner=team, "-", 1)))))</f>
        <v>-</v>
      </c>
      <c r="AJ4" s="160"/>
      <c r="AK4" s="160"/>
      <c r="AL4" s="160"/>
      <c r="AM4" s="160"/>
      <c r="AN4" s="158" t="str">
        <f t="shared" si="1"/>
        <v>-</v>
      </c>
      <c r="AO4" s="158">
        <f t="shared" si="2"/>
        <v>1</v>
      </c>
      <c r="AP4" s="160"/>
      <c r="AQ4" s="160"/>
      <c r="AR4" s="160"/>
      <c r="AS4" s="160"/>
      <c r="AT4" s="160"/>
      <c r="AU4" s="160"/>
      <c r="AV4" s="158" t="str">
        <f t="array" ref="AV4">LET(team, SUBSTITUTE(AV$1, " Wins", ""), IF(COUNTIF(INDIRECT("'"&amp;$A4&amp;"'!$C:$C"), team)&gt;0, 1, "-"))</f>
        <v>-</v>
      </c>
      <c r="AW4" s="158">
        <f t="array" ref="AW4">LET(team, SUBSTITUTE(AW$1, " Losses", ""), weekSheet, "'"&amp;$A4&amp;"'!", matchIdx, MATCH("*"&amp;team&amp;"*", INDIRECT(weekSheet&amp;"$B:$B"), 0), IF(ISNA(matchIdx), "-", LET(winner, INDEX(INDIRECT(weekSheet&amp;"$C:$C"), matchIdx), IF(winner="", "-", IF(winner=team, "-", 1)))))</f>
        <v>1</v>
      </c>
      <c r="AX4" s="160"/>
      <c r="AY4" s="160"/>
      <c r="AZ4" s="160"/>
      <c r="BA4" s="160"/>
      <c r="BB4" s="160"/>
      <c r="BC4" s="160"/>
      <c r="BD4" s="160"/>
      <c r="BE4" s="160"/>
      <c r="BF4" s="160"/>
      <c r="BG4" s="160"/>
      <c r="BH4" s="160"/>
      <c r="BI4" s="160"/>
      <c r="BJ4" s="160"/>
      <c r="BK4" s="160"/>
      <c r="BL4" s="160"/>
      <c r="BM4" s="160"/>
    </row>
    <row r="5">
      <c r="A5" s="157" t="s">
        <v>141</v>
      </c>
      <c r="B5" s="160"/>
      <c r="C5" s="160"/>
      <c r="D5" s="160"/>
      <c r="E5" s="160"/>
      <c r="F5" s="158" t="str">
        <f t="shared" si="3"/>
        <v>-</v>
      </c>
      <c r="G5" s="158">
        <f t="shared" si="4"/>
        <v>1</v>
      </c>
      <c r="H5" s="158" t="str">
        <f t="array" ref="H5">LET(team, SUBSTITUTE(H$1, " Wins", ""), IF(COUNTIF(INDIRECT("'"&amp;$A5&amp;"'!$C:$C"), team)&gt;0, 1, "-"))</f>
        <v>-</v>
      </c>
      <c r="I5" s="158">
        <f t="array" ref="I5">LET(team, SUBSTITUTE(I$1, " Losses", ""), weekSheet, "'"&amp;$A5&amp;"'!", matchIdx, MATCH("*"&amp;team&amp;"*", INDIRECT(weekSheet&amp;"$B:$B"), 0), IF(ISNA(matchIdx), "-", LET(winner, INDEX(INDIRECT(weekSheet&amp;"$C:$C"), matchIdx), IF(winner="", "-", IF(winner=team, "-", 1)))))</f>
        <v>1</v>
      </c>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58" t="str">
        <f t="array" ref="AR5">LET(team, SUBSTITUTE(AR$1, " Wins", ""), IF(COUNTIF(INDIRECT("'"&amp;$A5&amp;"'!$C:$C"), team)&gt;0, 1, "-"))</f>
        <v>-</v>
      </c>
      <c r="AS5" s="158">
        <f t="array" ref="AS5">LET(team, SUBSTITUTE(AS$1, " Losses", ""), weekSheet, "'"&amp;$A5&amp;"'!", matchIdx, MATCH("*"&amp;team&amp;"*", INDIRECT(weekSheet&amp;"$B:$B"), 0), IF(ISNA(matchIdx), "-", LET(winner, INDEX(INDIRECT(weekSheet&amp;"$C:$C"), matchIdx), IF(winner="", "-", IF(winner=team, "-", 1)))))</f>
        <v>1</v>
      </c>
      <c r="AT5" s="158">
        <f t="array" ref="AT5">LET(team, SUBSTITUTE(AT$1, " Wins", ""), IF(COUNTIF(INDIRECT("'"&amp;$A5&amp;"'!$C:$C"), team)&gt;0, 1, "-"))</f>
        <v>1</v>
      </c>
      <c r="AU5" s="158" t="str">
        <f t="array" ref="AU5">LET(team, SUBSTITUTE(AU$1, " Losses", ""), weekSheet, "'"&amp;$A5&amp;"'!", matchIdx, MATCH("*"&amp;team&amp;"*", INDIRECT(weekSheet&amp;"$B:$B"), 0), IF(ISNA(matchIdx), "-", LET(winner, INDEX(INDIRECT(weekSheet&amp;"$C:$C"), matchIdx), IF(winner="", "-", IF(winner=team, "-", 1)))))</f>
        <v>-</v>
      </c>
      <c r="AV5" s="160"/>
      <c r="AW5" s="160"/>
      <c r="AX5" s="160"/>
      <c r="AY5" s="160"/>
      <c r="AZ5" s="160"/>
      <c r="BA5" s="160"/>
      <c r="BB5" s="160"/>
      <c r="BC5" s="160"/>
      <c r="BD5" s="160"/>
      <c r="BE5" s="160"/>
      <c r="BF5" s="160"/>
      <c r="BG5" s="160"/>
      <c r="BH5" s="160"/>
      <c r="BI5" s="160"/>
      <c r="BJ5" s="160"/>
      <c r="BK5" s="160"/>
      <c r="BL5" s="160"/>
      <c r="BM5" s="160"/>
    </row>
    <row r="6">
      <c r="A6" s="157" t="s">
        <v>145</v>
      </c>
      <c r="B6" s="160"/>
      <c r="C6" s="160"/>
      <c r="D6" s="160"/>
      <c r="E6" s="160"/>
      <c r="F6" s="160"/>
      <c r="G6" s="160"/>
      <c r="H6" s="160"/>
      <c r="I6" s="160"/>
      <c r="J6" s="158" t="str">
        <f t="array" ref="J6">LET(team, SUBSTITUTE(J$1, " Wins", ""), IF(COUNTIF(INDIRECT("'"&amp;$A6&amp;"'!$C:$C"), team)&gt;0, 1, "-"))</f>
        <v>-</v>
      </c>
      <c r="K6" s="158">
        <f t="array" ref="K6">LET(team, SUBSTITUTE(K$1, " Losses", ""), weekSheet, "'"&amp;$A6&amp;"'!", matchIdx, MATCH("*"&amp;team&amp;"*", INDIRECT(weekSheet&amp;"$B:$B"), 0), IF(ISNA(matchIdx), "-", LET(winner, INDEX(INDIRECT(weekSheet&amp;"$C:$C"), matchIdx), IF(winner="", "-", IF(winner=team, "-", 1)))))</f>
        <v>1</v>
      </c>
      <c r="L6" s="160"/>
      <c r="M6" s="160"/>
      <c r="N6" s="160"/>
      <c r="O6" s="160"/>
      <c r="P6" s="160"/>
      <c r="Q6" s="160"/>
      <c r="R6" s="160"/>
      <c r="S6" s="160"/>
      <c r="T6" s="160"/>
      <c r="U6" s="160"/>
      <c r="V6" s="160"/>
      <c r="W6" s="160"/>
      <c r="X6" s="160"/>
      <c r="Y6" s="160"/>
      <c r="Z6" s="160"/>
      <c r="AA6" s="160"/>
      <c r="AB6" s="160"/>
      <c r="AC6" s="160"/>
      <c r="AD6" s="160"/>
      <c r="AE6" s="160"/>
      <c r="AF6" s="160"/>
      <c r="AG6" s="160"/>
      <c r="AH6" s="158" t="str">
        <f t="array" ref="AH6">LET(team, SUBSTITUTE(AH$1, " Wins", ""), IF(COUNTIF(INDIRECT("'"&amp;$A6&amp;"'!$C:$C"), team)&gt;0, 1, "-"))</f>
        <v>-</v>
      </c>
      <c r="AI6" s="158">
        <f t="array" ref="AI6">LET(team, SUBSTITUTE(AI$1, " Losses", ""), weekSheet, "'"&amp;$A6&amp;"'!", matchIdx, MATCH("*"&amp;team&amp;"*", INDIRECT(weekSheet&amp;"$B:$B"), 0), IF(ISNA(matchIdx), "-", LET(winner, INDEX(INDIRECT(weekSheet&amp;"$C:$C"), matchIdx), IF(winner="", "-", IF(winner=team, "-", 1)))))</f>
        <v>1</v>
      </c>
      <c r="AJ6" s="160"/>
      <c r="AK6" s="160"/>
      <c r="AL6" s="158">
        <f t="array" ref="AL6">LET(team, SUBSTITUTE(AL$1, " Wins", ""), IF(COUNTIF(INDIRECT("'"&amp;$A6&amp;"'!$C:$C"), team)&gt;0, 1, "-"))</f>
        <v>1</v>
      </c>
      <c r="AM6" s="158" t="str">
        <f t="array" ref="AM6">LET(team, SUBSTITUTE(AM$1, " Losses", ""), weekSheet, "'"&amp;$A6&amp;"'!", matchIdx, MATCH("*"&amp;team&amp;"*", INDIRECT(weekSheet&amp;"$B:$B"), 0), IF(ISNA(matchIdx), "-", LET(winner, INDEX(INDIRECT(weekSheet&amp;"$C:$C"), matchIdx), IF(winner="", "-", IF(winner=team, "-", 1)))))</f>
        <v>-</v>
      </c>
      <c r="AN6" s="160"/>
      <c r="AO6" s="160"/>
      <c r="AP6" s="160"/>
      <c r="AQ6" s="160"/>
      <c r="AR6" s="160"/>
      <c r="AS6" s="160"/>
      <c r="AT6" s="160"/>
      <c r="AU6" s="160"/>
      <c r="AV6" s="160"/>
      <c r="AW6" s="160"/>
      <c r="AX6" s="45">
        <f t="array" ref="AX6">LET(team, SUBSTITUTE(AX$1, " Wins", ""), IF(COUNTIF(INDIRECT("'"&amp;$A6&amp;"'!$C:$C"), team)&gt;0, 1, "-"))</f>
        <v>1</v>
      </c>
      <c r="AY6" s="45" t="str">
        <f t="array" ref="AY6">LET(team, SUBSTITUTE(AY$1, " Losses", ""), weekSheet, "'"&amp;$A6&amp;"'!", matchIdx, MATCH("*"&amp;team&amp;"*", INDIRECT(weekSheet&amp;"$B:$B"), 0), IF(ISNA(matchIdx), "-", LET(winner, INDEX(INDIRECT(weekSheet&amp;"$C:$C"), matchIdx), IF(winner="", "-", IF(winner=team, "-", 1)))))</f>
        <v>-</v>
      </c>
      <c r="AZ6" s="160"/>
      <c r="BA6" s="160"/>
      <c r="BB6" s="160"/>
      <c r="BC6" s="160"/>
      <c r="BD6" s="160"/>
      <c r="BE6" s="160"/>
      <c r="BF6" s="160"/>
      <c r="BG6" s="160"/>
      <c r="BH6" s="160"/>
      <c r="BI6" s="160"/>
      <c r="BJ6" s="160"/>
      <c r="BK6" s="160"/>
      <c r="BL6" s="160"/>
      <c r="BM6" s="160"/>
    </row>
    <row r="7">
      <c r="A7" s="157" t="s">
        <v>156</v>
      </c>
      <c r="B7" s="160"/>
      <c r="C7" s="160"/>
      <c r="D7" s="160"/>
      <c r="E7" s="160"/>
      <c r="F7" s="158">
        <f t="shared" ref="F7:F8" si="5">LET(team, SUBSTITUTE(F$1, " Wins", ""), IF(COUNTIF(INDIRECT("'"&amp;$A7&amp;"'!$C:$C"), team)&gt;0, 1, "-"))</f>
        <v>1</v>
      </c>
      <c r="G7" s="158" t="str">
        <f t="shared" ref="G7:G8" si="6">LET(team, SUBSTITUTE(G$1, " Losses", ""), weekSheet, "'"&amp;$A7&amp;"'!", matchIdx, MATCH("*"&amp;team&amp;"*", INDIRECT(weekSheet&amp;"$B:$B"), 0), IF(ISNA(matchIdx), "-", LET(winner, INDEX(INDIRECT(weekSheet&amp;"$C:$C"), matchIdx), IF(winner="", "-", IF(winner=team, "-", 1)))))</f>
        <v>-</v>
      </c>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45">
        <f t="array" ref="AJ7">LET(team, SUBSTITUTE(AJ$1, " Wins", ""), IF(COUNTIF(INDIRECT("'"&amp;$A7&amp;"'!$C:$C"), team)&gt;0, 1, "-"))</f>
        <v>1</v>
      </c>
      <c r="AK7" s="45" t="str">
        <f t="array" ref="AK7">LET(team, SUBSTITUTE(AK$1, " Losses", ""), weekSheet, "'"&amp;$A7&amp;"'!", matchIdx, MATCH("*"&amp;team&amp;"*", INDIRECT(weekSheet&amp;"$B:$B"), 0), IF(ISNA(matchIdx), "-", LET(winner, INDEX(INDIRECT(weekSheet&amp;"$C:$C"), matchIdx), IF(winner="", "-", IF(winner=team, "-", 1)))))</f>
        <v>-</v>
      </c>
      <c r="AL7" s="160"/>
      <c r="AM7" s="160"/>
      <c r="AN7" s="158" t="str">
        <f t="array" ref="AN7">LET(team, SUBSTITUTE(AN$1, " Wins", ""), IF(COUNTIF(INDIRECT("'"&amp;$A7&amp;"'!$C:$C"), team)&gt;0, 1, "-"))</f>
        <v>-</v>
      </c>
      <c r="AO7" s="158">
        <f t="array" ref="AO7">LET(team, SUBSTITUTE(AO$1, " Losses", ""), weekSheet, "'"&amp;$A7&amp;"'!", matchIdx, MATCH("*"&amp;team&amp;"*", INDIRECT(weekSheet&amp;"$B:$B"), 0), IF(ISNA(matchIdx), "-", LET(winner, INDEX(INDIRECT(weekSheet&amp;"$C:$C"), matchIdx), IF(winner="", "-", IF(winner=team, "-", 1)))))</f>
        <v>1</v>
      </c>
      <c r="AP7" s="160"/>
      <c r="AQ7" s="160"/>
      <c r="AR7" s="160"/>
      <c r="AS7" s="160"/>
      <c r="AT7" s="160"/>
      <c r="AU7" s="160"/>
      <c r="AV7" s="158">
        <f t="array" ref="AV7">LET(team, SUBSTITUTE(AV$1, " Wins", ""), IF(COUNTIF(INDIRECT("'"&amp;$A7&amp;"'!$C:$C"), team)&gt;0, 1, "-"))</f>
        <v>1</v>
      </c>
      <c r="AW7" s="158" t="str">
        <f t="array" ref="AW7">LET(team, SUBSTITUTE(AW$1, " Losses", ""), weekSheet, "'"&amp;$A7&amp;"'!", matchIdx, MATCH("*"&amp;team&amp;"*", INDIRECT(weekSheet&amp;"$B:$B"), 0), IF(ISNA(matchIdx), "-", LET(winner, INDEX(INDIRECT(weekSheet&amp;"$C:$C"), matchIdx), IF(winner="", "-", IF(winner=team, "-", 1)))))</f>
        <v>-</v>
      </c>
      <c r="AX7" s="160"/>
      <c r="AY7" s="160"/>
      <c r="AZ7" s="160"/>
      <c r="BA7" s="160"/>
      <c r="BB7" s="160"/>
      <c r="BC7" s="160"/>
      <c r="BD7" s="160"/>
      <c r="BE7" s="160"/>
      <c r="BF7" s="160"/>
      <c r="BG7" s="160"/>
      <c r="BH7" s="160"/>
      <c r="BI7" s="160"/>
      <c r="BJ7" s="160"/>
      <c r="BK7" s="160"/>
      <c r="BL7" s="160"/>
      <c r="BM7" s="160"/>
    </row>
    <row r="8">
      <c r="A8" s="157" t="s">
        <v>159</v>
      </c>
      <c r="B8" s="158" t="str">
        <f t="array" ref="B8">LET(team, SUBSTITUTE(B$1, " Wins", ""), IF(COUNTIF(INDIRECT("'"&amp;$A8&amp;"'!$C:$C"), team)&gt;0, 1, "-"))</f>
        <v>-</v>
      </c>
      <c r="C8" s="158">
        <f t="array" ref="C8">LET(team, SUBSTITUTE(C$1, " Losses", ""), weekSheet, "'"&amp;$A8&amp;"'!", matchIdx, MATCH("*"&amp;team&amp;"*", INDIRECT(weekSheet&amp;"$B:$B"), 0), IF(ISNA(matchIdx), "-", LET(winner, INDEX(INDIRECT(weekSheet&amp;"$C:$C"), matchIdx), IF(winner="", "-", IF(winner=team, "-", 1)))))</f>
        <v>1</v>
      </c>
      <c r="D8" s="158" t="str">
        <f t="array" ref="D8">LET(team, SUBSTITUTE(D$1, " Wins", ""), IF(COUNTIF(INDIRECT("'"&amp;$A8&amp;"'!$C:$C"), team)&gt;0, 1, "-"))</f>
        <v>-</v>
      </c>
      <c r="E8" s="158">
        <f t="array" ref="E8">LET(team, SUBSTITUTE(E$1, " Losses", ""), weekSheet, "'"&amp;$A8&amp;"'!", matchIdx, MATCH("*"&amp;team&amp;"*", INDIRECT(weekSheet&amp;"$B:$B"), 0), IF(ISNA(matchIdx), "-", LET(winner, INDEX(INDIRECT(weekSheet&amp;"$C:$C"), matchIdx), IF(winner="", "-", IF(winner=team, "-", 1)))))</f>
        <v>1</v>
      </c>
      <c r="F8" s="158">
        <f t="shared" si="5"/>
        <v>1</v>
      </c>
      <c r="G8" s="158" t="str">
        <f t="shared" si="6"/>
        <v>-</v>
      </c>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58" t="str">
        <f t="array" ref="BJ8">LET(team, SUBSTITUTE(BJ$1, " Wins", ""), IF(COUNTIF(INDIRECT("'"&amp;$A8&amp;"'!$C:$C"), team)&gt;0, 1, "-"))</f>
        <v>-</v>
      </c>
      <c r="BK8" s="158">
        <f t="array" ref="BK8">LET(team, SUBSTITUTE(BK$1, " Losses", ""), weekSheet, "'"&amp;$A8&amp;"'!", matchIdx, MATCH("*"&amp;team&amp;"*", INDIRECT(weekSheet&amp;"$B:$B"), 0), IF(ISNA(matchIdx), "-", LET(winner, INDEX(INDIRECT(weekSheet&amp;"$C:$C"), matchIdx), IF(winner="", "-", IF(winner=team, "-", 1)))))</f>
        <v>1</v>
      </c>
      <c r="BL8" s="160"/>
      <c r="BM8" s="160"/>
    </row>
    <row r="9">
      <c r="A9" s="157" t="s">
        <v>164</v>
      </c>
      <c r="B9" s="160"/>
      <c r="C9" s="160"/>
      <c r="D9" s="160"/>
      <c r="E9" s="160"/>
      <c r="F9" s="160"/>
      <c r="G9" s="160"/>
      <c r="H9" s="158" t="str">
        <f t="array" ref="H9">LET(team, SUBSTITUTE(H$1, " Wins", ""), IF(COUNTIF(INDIRECT("'"&amp;$A9&amp;"'!$C:$C"), team)&gt;0, 1, "-"))</f>
        <v>-</v>
      </c>
      <c r="I9" s="158">
        <f t="array" ref="I9">LET(team, SUBSTITUTE(I$1, " Losses", ""), weekSheet, "'"&amp;$A9&amp;"'!", matchIdx, MATCH("*"&amp;team&amp;"*", INDIRECT(weekSheet&amp;"$B:$B"), 0), IF(ISNA(matchIdx), "-", LET(winner, INDEX(INDIRECT(weekSheet&amp;"$C:$C"), matchIdx), IF(winner="", "-", IF(winner=team, "-", 1)))))</f>
        <v>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58" t="str">
        <f t="array" ref="AP9">LET(team, SUBSTITUTE(AP$1, " Wins", ""), IF(COUNTIF(INDIRECT("'"&amp;$A9&amp;"'!$C:$C"), team)&gt;0, 1, "-"))</f>
        <v>-</v>
      </c>
      <c r="AQ9" s="158">
        <f t="array" ref="AQ9">LET(team, SUBSTITUTE(AQ$1, " Losses", ""), weekSheet, "'"&amp;$A9&amp;"'!", matchIdx, MATCH("*"&amp;team&amp;"*", INDIRECT(weekSheet&amp;"$B:$B"), 0), IF(ISNA(matchIdx), "-", LET(winner, INDEX(INDIRECT(weekSheet&amp;"$C:$C"), matchIdx), IF(winner="", "-", IF(winner=team, "-", 1)))))</f>
        <v>1</v>
      </c>
      <c r="AR9" s="160"/>
      <c r="AS9" s="160"/>
      <c r="AT9" s="160"/>
      <c r="AU9" s="160"/>
      <c r="AV9" s="160"/>
      <c r="AW9" s="160"/>
      <c r="AX9" s="160"/>
      <c r="AY9" s="160"/>
      <c r="AZ9" s="160"/>
      <c r="BA9" s="160"/>
      <c r="BB9" s="160"/>
      <c r="BC9" s="160"/>
      <c r="BD9" s="158" t="str">
        <f t="array" ref="BD9">LET(team, SUBSTITUTE(BD$1, " Wins", ""), IF(COUNTIF(INDIRECT("'"&amp;$A9&amp;"'!$C:$C"), team)&gt;0, 1, "-"))</f>
        <v>-</v>
      </c>
      <c r="BE9" s="158">
        <f t="array" ref="BE9">LET(team, SUBSTITUTE(BE$1, " Losses", ""), weekSheet, "'"&amp;$A9&amp;"'!", matchIdx, MATCH("*"&amp;team&amp;"*", INDIRECT(weekSheet&amp;"$B:$B"), 0), IF(ISNA(matchIdx), "-", LET(winner, INDEX(INDIRECT(weekSheet&amp;"$C:$C"), matchIdx), IF(winner="", "-", IF(winner=team, "-", 1)))))</f>
        <v>1</v>
      </c>
      <c r="BF9" s="160"/>
      <c r="BG9" s="160"/>
      <c r="BH9" s="160"/>
      <c r="BI9" s="160"/>
      <c r="BJ9" s="160"/>
      <c r="BK9" s="160"/>
      <c r="BL9" s="160"/>
      <c r="BM9" s="160"/>
    </row>
    <row r="10">
      <c r="A10" s="157" t="s">
        <v>170</v>
      </c>
      <c r="B10" s="160"/>
      <c r="C10" s="160"/>
      <c r="D10" s="158" t="str">
        <f t="shared" ref="D10:D11" si="7">LET(team, SUBSTITUTE(D$1, " Wins", ""), IF(COUNTIF(INDIRECT("'"&amp;$A10&amp;"'!$C:$C"), team)&gt;0, 1, "-"))</f>
        <v>-</v>
      </c>
      <c r="E10" s="158">
        <f t="shared" ref="E10:E11" si="8">LET(team, SUBSTITUTE(E$1, " Losses", ""), weekSheet, "'"&amp;$A10&amp;"'!", matchIdx, MATCH("*"&amp;team&amp;"*", INDIRECT(weekSheet&amp;"$B:$B"), 0), IF(ISNA(matchIdx), "-", LET(winner, INDEX(INDIRECT(weekSheet&amp;"$C:$C"), matchIdx), IF(winner="", "-", IF(winner=team, "-", 1)))))</f>
        <v>1</v>
      </c>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58">
        <f t="array" ref="AL10">LET(team, SUBSTITUTE(AL$1, " Wins", ""), IF(COUNTIF(INDIRECT("'"&amp;$A10&amp;"'!$C:$C"), team)&gt;0, 1, "-"))</f>
        <v>1</v>
      </c>
      <c r="AM10" s="158" t="str">
        <f t="array" ref="AM10">LET(team, SUBSTITUTE(AM$1, " Losses", ""), weekSheet, "'"&amp;$A10&amp;"'!", matchIdx, MATCH("*"&amp;team&amp;"*", INDIRECT(weekSheet&amp;"$B:$B"), 0), IF(ISNA(matchIdx), "-", LET(winner, INDEX(INDIRECT(weekSheet&amp;"$C:$C"), matchIdx), IF(winner="", "-", IF(winner=team, "-", 1)))))</f>
        <v>-</v>
      </c>
      <c r="AN10" s="158" t="str">
        <f t="shared" ref="AN10:AN11" si="9">LET(team, SUBSTITUTE(AN$1, " Wins", ""), IF(COUNTIF(INDIRECT("'"&amp;$A10&amp;"'!$C:$C"), team)&gt;0, 1, "-"))</f>
        <v>-</v>
      </c>
      <c r="AO10" s="158">
        <f t="shared" ref="AO10:AO11" si="10">LET(team, SUBSTITUTE(AO$1, " Losses", ""), weekSheet, "'"&amp;$A10&amp;"'!", matchIdx, MATCH("*"&amp;team&amp;"*", INDIRECT(weekSheet&amp;"$B:$B"), 0), IF(ISNA(matchIdx), "-", LET(winner, INDEX(INDIRECT(weekSheet&amp;"$C:$C"), matchIdx), IF(winner="", "-", IF(winner=team, "-", 1)))))</f>
        <v>1</v>
      </c>
      <c r="AP10" s="160"/>
      <c r="AQ10" s="160"/>
      <c r="AR10" s="160"/>
      <c r="AS10" s="160"/>
      <c r="AT10" s="160"/>
      <c r="AU10" s="160"/>
      <c r="AV10" s="158" t="str">
        <f t="array" ref="AV10">LET(team, SUBSTITUTE(AV$1, " Wins", ""), IF(COUNTIF(INDIRECT("'"&amp;$A10&amp;"'!$C:$C"), team)&gt;0, 1, "-"))</f>
        <v>-</v>
      </c>
      <c r="AW10" s="158">
        <f t="array" ref="AW10">LET(team, SUBSTITUTE(AW$1, " Losses", ""), weekSheet, "'"&amp;$A10&amp;"'!", matchIdx, MATCH("*"&amp;team&amp;"*", INDIRECT(weekSheet&amp;"$B:$B"), 0), IF(ISNA(matchIdx), "-", LET(winner, INDEX(INDIRECT(weekSheet&amp;"$C:$C"), matchIdx), IF(winner="", "-", IF(winner=team, "-", 1)))))</f>
        <v>1</v>
      </c>
      <c r="AX10" s="160"/>
      <c r="AY10" s="160"/>
      <c r="AZ10" s="160"/>
      <c r="BA10" s="160"/>
      <c r="BB10" s="160"/>
      <c r="BC10" s="160"/>
      <c r="BD10" s="160"/>
      <c r="BE10" s="160"/>
      <c r="BF10" s="160"/>
      <c r="BG10" s="160"/>
      <c r="BH10" s="160"/>
      <c r="BI10" s="160"/>
      <c r="BJ10" s="160"/>
      <c r="BK10" s="160"/>
      <c r="BL10" s="160"/>
      <c r="BM10" s="160"/>
    </row>
    <row r="11">
      <c r="A11" s="157" t="s">
        <v>175</v>
      </c>
      <c r="B11" s="160"/>
      <c r="C11" s="160"/>
      <c r="D11" s="45">
        <f t="shared" si="7"/>
        <v>1</v>
      </c>
      <c r="E11" s="45" t="str">
        <f t="shared" si="8"/>
        <v>-</v>
      </c>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58" t="str">
        <f t="array" ref="AJ11">LET(team, SUBSTITUTE(AJ$1, " Wins", ""), IF(COUNTIF(INDIRECT("'"&amp;$A11&amp;"'!$C:$C"), team)&gt;0, 1, "-"))</f>
        <v>-</v>
      </c>
      <c r="AK11" s="158">
        <f t="array" ref="AK11">LET(team, SUBSTITUTE(AK$1, " Losses", ""), weekSheet, "'"&amp;$A11&amp;"'!", matchIdx, MATCH("*"&amp;team&amp;"*", INDIRECT(weekSheet&amp;"$B:$B"), 0), IF(ISNA(matchIdx), "-", LET(winner, INDEX(INDIRECT(weekSheet&amp;"$C:$C"), matchIdx), IF(winner="", "-", IF(winner=team, "-", 1)))))</f>
        <v>1</v>
      </c>
      <c r="AL11" s="160"/>
      <c r="AM11" s="160"/>
      <c r="AN11" s="158">
        <f t="shared" si="9"/>
        <v>1</v>
      </c>
      <c r="AO11" s="158" t="str">
        <f t="shared" si="10"/>
        <v>-</v>
      </c>
      <c r="AP11" s="45">
        <f t="array" ref="AP11">LET(team, SUBSTITUTE(AP$1, " Wins", ""), IF(COUNTIF(INDIRECT("'"&amp;$A11&amp;"'!$C:$C"), team)&gt;0, 1, "-"))</f>
        <v>1</v>
      </c>
      <c r="AQ11" s="45" t="str">
        <f t="array" ref="AQ11">LET(team, SUBSTITUTE(AQ$1, " Losses", ""), weekSheet, "'"&amp;$A11&amp;"'!", matchIdx, MATCH("*"&amp;team&amp;"*", INDIRECT(weekSheet&amp;"$B:$B"), 0), IF(ISNA(matchIdx), "-", LET(winner, INDEX(INDIRECT(weekSheet&amp;"$C:$C"), matchIdx), IF(winner="", "-", IF(winner=team, "-", 1)))))</f>
        <v>-</v>
      </c>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row>
    <row r="12">
      <c r="A12" s="157" t="s">
        <v>179</v>
      </c>
      <c r="B12" s="158">
        <f t="array" ref="B12">LET(team, SUBSTITUTE(B$1, " Wins", ""), IF(COUNTIF(INDIRECT("'"&amp;$A12&amp;"'!$C:$C"), team)&gt;0, 1, "-"))</f>
        <v>1</v>
      </c>
      <c r="C12" s="158" t="str">
        <f t="array" ref="C12">LET(team, SUBSTITUTE(C$1, " Losses", ""), weekSheet, "'"&amp;$A12&amp;"'!", matchIdx, MATCH("*"&amp;team&amp;"*", INDIRECT(weekSheet&amp;"$B:$B"), 0), IF(ISNA(matchIdx), "-", LET(winner, INDEX(INDIRECT(weekSheet&amp;"$C:$C"), matchIdx), IF(winner="", "-", IF(winner=team, "-", 1)))))</f>
        <v>-</v>
      </c>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58">
        <f t="array" ref="BB12">LET(team, SUBSTITUTE(BB$1, " Wins", ""), IF(COUNTIF(INDIRECT("'"&amp;$A12&amp;"'!$C:$C"), team)&gt;0, 1, "-"))</f>
        <v>1</v>
      </c>
      <c r="BC12" s="158" t="str">
        <f t="array" ref="BC12">LET(team, SUBSTITUTE(BC$1, " Losses", ""), weekSheet, "'"&amp;$A12&amp;"'!", matchIdx, MATCH("*"&amp;team&amp;"*", INDIRECT(weekSheet&amp;"$B:$B"), 0), IF(ISNA(matchIdx), "-", LET(winner, INDEX(INDIRECT(weekSheet&amp;"$C:$C"), matchIdx), IF(winner="", "-", IF(winner=team, "-", 1)))))</f>
        <v>-</v>
      </c>
      <c r="BD12" s="160"/>
      <c r="BE12" s="160"/>
      <c r="BF12" s="160"/>
      <c r="BG12" s="160"/>
      <c r="BH12" s="160"/>
      <c r="BI12" s="160"/>
      <c r="BJ12" s="160"/>
      <c r="BK12" s="160"/>
      <c r="BL12" s="160"/>
      <c r="BM12" s="160"/>
    </row>
    <row r="13">
      <c r="A13" s="157" t="s">
        <v>185</v>
      </c>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58">
        <f t="array" ref="AH13">LET(team, SUBSTITUTE(AH$1, " Wins", ""), IF(COUNTIF(INDIRECT("'"&amp;$A13&amp;"'!$C:$C"), team)&gt;0, 1, "-"))</f>
        <v>1</v>
      </c>
      <c r="AI13" s="158" t="str">
        <f t="array" ref="AI13">LET(team, SUBSTITUTE(AI$1, " Losses", ""), weekSheet, "'"&amp;$A13&amp;"'!", matchIdx, MATCH("*"&amp;team&amp;"*", INDIRECT(weekSheet&amp;"$B:$B"), 0), IF(ISNA(matchIdx), "-", LET(winner, INDEX(INDIRECT(weekSheet&amp;"$C:$C"), matchIdx), IF(winner="", "-", IF(winner=team, "-", 1)))))</f>
        <v>-</v>
      </c>
      <c r="AJ13" s="160"/>
      <c r="AK13" s="160"/>
      <c r="AL13" s="158" t="str">
        <f t="array" ref="AL13">LET(team, SUBSTITUTE(AL$1, " Wins", ""), IF(COUNTIF(INDIRECT("'"&amp;$A13&amp;"'!$C:$C"), team)&gt;0, 1, "-"))</f>
        <v>-</v>
      </c>
      <c r="AM13" s="158">
        <f t="array" ref="AM13">LET(team, SUBSTITUTE(AM$1, " Losses", ""), weekSheet, "'"&amp;$A13&amp;"'!", matchIdx, MATCH("*"&amp;team&amp;"*", INDIRECT(weekSheet&amp;"$B:$B"), 0), IF(ISNA(matchIdx), "-", LET(winner, INDEX(INDIRECT(weekSheet&amp;"$C:$C"), matchIdx), IF(winner="", "-", IF(winner=team, "-", 1)))))</f>
        <v>1</v>
      </c>
      <c r="AN13" s="160"/>
      <c r="AO13" s="160"/>
      <c r="AP13" s="160"/>
      <c r="AQ13" s="160"/>
      <c r="AR13" s="160"/>
      <c r="AS13" s="160"/>
      <c r="AT13" s="160"/>
      <c r="AU13" s="160"/>
      <c r="AV13" s="45" t="str">
        <f t="array" ref="AV13">LET(team, SUBSTITUTE(AV$1, " Wins", ""), IF(COUNTIF(INDIRECT("'"&amp;$A13&amp;"'!$C:$C"), team)&gt;0, 1, "-"))</f>
        <v>-</v>
      </c>
      <c r="AW13" s="45">
        <f t="array" ref="AW13">LET(team, SUBSTITUTE(AW$1, " Losses", ""), weekSheet, "'"&amp;$A13&amp;"'!", matchIdx, MATCH("*"&amp;team&amp;"*", INDIRECT(weekSheet&amp;"$B:$B"), 0), IF(ISNA(matchIdx), "-", LET(winner, INDEX(INDIRECT(weekSheet&amp;"$C:$C"), matchIdx), IF(winner="", "-", IF(winner=team, "-", 1)))))</f>
        <v>1</v>
      </c>
      <c r="AX13" s="160"/>
      <c r="AY13" s="160"/>
      <c r="AZ13" s="158" t="str">
        <f t="array" ref="AZ13">LET(team, SUBSTITUTE(AZ$1, " Wins", ""), IF(COUNTIF(INDIRECT("'"&amp;$A13&amp;"'!$C:$C"), team)&gt;0, 1, "-"))</f>
        <v>-</v>
      </c>
      <c r="BA13" s="158">
        <f t="array" ref="BA13">LET(team, SUBSTITUTE(BA$1, " Losses", ""), weekSheet, "'"&amp;$A13&amp;"'!", matchIdx, MATCH("*"&amp;team&amp;"*", INDIRECT(weekSheet&amp;"$B:$B"), 0), IF(ISNA(matchIdx), "-", LET(winner, INDEX(INDIRECT(weekSheet&amp;"$C:$C"), matchIdx), IF(winner="", "-", IF(winner=team, "-", 1)))))</f>
        <v>1</v>
      </c>
      <c r="BB13" s="160"/>
      <c r="BC13" s="160"/>
      <c r="BD13" s="160"/>
      <c r="BE13" s="160"/>
      <c r="BF13" s="160"/>
      <c r="BG13" s="160"/>
      <c r="BH13" s="160"/>
      <c r="BI13" s="160"/>
      <c r="BJ13" s="160"/>
      <c r="BK13" s="160"/>
      <c r="BL13" s="160"/>
      <c r="BM13" s="160"/>
    </row>
    <row r="14">
      <c r="A14" s="157" t="s">
        <v>191</v>
      </c>
      <c r="B14" s="158" t="str">
        <f t="array" ref="B14">LET(team, SUBSTITUTE(B$1, " Wins", ""), IF(COUNTIF(INDIRECT("'"&amp;$A14&amp;"'!$C:$C"), team)&gt;0, 1, "-"))</f>
        <v>-</v>
      </c>
      <c r="C14" s="158">
        <f t="array" ref="C14">LET(team, SUBSTITUTE(C$1, " Losses", ""), weekSheet, "'"&amp;$A14&amp;"'!", matchIdx, MATCH("*"&amp;team&amp;"*", INDIRECT(weekSheet&amp;"$B:$B"), 0), IF(ISNA(matchIdx), "-", LET(winner, INDEX(INDIRECT(weekSheet&amp;"$C:$C"), matchIdx), IF(winner="", "-", IF(winner=team, "-", 1)))))</f>
        <v>1</v>
      </c>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58" t="str">
        <f t="array" ref="AP14">LET(team, SUBSTITUTE(AP$1, " Wins", ""), IF(COUNTIF(INDIRECT("'"&amp;$A14&amp;"'!$C:$C"), team)&gt;0, 1, "-"))</f>
        <v>-</v>
      </c>
      <c r="AQ14" s="158">
        <f t="array" ref="AQ14">LET(team, SUBSTITUTE(AQ$1, " Losses", ""), weekSheet, "'"&amp;$A14&amp;"'!", matchIdx, MATCH("*"&amp;team&amp;"*", INDIRECT(weekSheet&amp;"$B:$B"), 0), IF(ISNA(matchIdx), "-", LET(winner, INDEX(INDIRECT(weekSheet&amp;"$C:$C"), matchIdx), IF(winner="", "-", IF(winner=team, "-", 1)))))</f>
        <v>1</v>
      </c>
      <c r="AR14" s="158">
        <f t="array" ref="AR14">LET(team, SUBSTITUTE(AR$1, " Wins", ""), IF(COUNTIF(INDIRECT("'"&amp;$A14&amp;"'!$C:$C"), team)&gt;0, 1, "-"))</f>
        <v>1</v>
      </c>
      <c r="AS14" s="158" t="str">
        <f t="array" ref="AS14">LET(team, SUBSTITUTE(AS$1, " Losses", ""), weekSheet, "'"&amp;$A14&amp;"'!", matchIdx, MATCH("*"&amp;team&amp;"*", INDIRECT(weekSheet&amp;"$B:$B"), 0), IF(ISNA(matchIdx), "-", LET(winner, INDEX(INDIRECT(weekSheet&amp;"$C:$C"), matchIdx), IF(winner="", "-", IF(winner=team, "-", 1)))))</f>
        <v>-</v>
      </c>
      <c r="AT14" s="158" t="str">
        <f t="shared" ref="AT14:AT15" si="11">LET(team, SUBSTITUTE(AT$1, " Wins", ""), IF(COUNTIF(INDIRECT("'"&amp;$A14&amp;"'!$C:$C"), team)&gt;0, 1, "-"))</f>
        <v>-</v>
      </c>
      <c r="AU14" s="158">
        <f t="shared" ref="AU14:AU15" si="12">LET(team, SUBSTITUTE(AU$1, " Losses", ""), weekSheet, "'"&amp;$A14&amp;"'!", matchIdx, MATCH("*"&amp;team&amp;"*", INDIRECT(weekSheet&amp;"$B:$B"), 0), IF(ISNA(matchIdx), "-", LET(winner, INDEX(INDIRECT(weekSheet&amp;"$C:$C"), matchIdx), IF(winner="", "-", IF(winner=team, "-", 1)))))</f>
        <v>1</v>
      </c>
      <c r="AV14" s="160"/>
      <c r="AW14" s="160"/>
      <c r="AX14" s="160"/>
      <c r="AY14" s="160"/>
      <c r="AZ14" s="160"/>
      <c r="BA14" s="160"/>
      <c r="BB14" s="160"/>
      <c r="BC14" s="160"/>
      <c r="BD14" s="160"/>
      <c r="BE14" s="160"/>
      <c r="BF14" s="160"/>
      <c r="BG14" s="160"/>
      <c r="BH14" s="160"/>
      <c r="BI14" s="160"/>
      <c r="BJ14" s="160"/>
      <c r="BK14" s="160"/>
      <c r="BL14" s="160"/>
      <c r="BM14" s="160"/>
    </row>
    <row r="15">
      <c r="A15" s="157" t="s">
        <v>194</v>
      </c>
      <c r="B15" s="160"/>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45">
        <f t="array" ref="AH15">LET(team, SUBSTITUTE(AH$1, " Wins", ""), IF(COUNTIF(INDIRECT("'"&amp;$A15&amp;"'!$C:$C"), team)&gt;0, 1, "-"))</f>
        <v>1</v>
      </c>
      <c r="AI15" s="45" t="str">
        <f t="array" ref="AI15">LET(team, SUBSTITUTE(AI$1, " Losses", ""), weekSheet, "'"&amp;$A15&amp;"'!", matchIdx, MATCH("*"&amp;team&amp;"*", INDIRECT(weekSheet&amp;"$B:$B"), 0), IF(ISNA(matchIdx), "-", LET(winner, INDEX(INDIRECT(weekSheet&amp;"$C:$C"), matchIdx), IF(winner="", "-", IF(winner=team, "-", 1)))))</f>
        <v>-</v>
      </c>
      <c r="AJ15" s="158" t="str">
        <f t="array" ref="AJ15">LET(team, SUBSTITUTE(AJ$1, " Wins", ""), IF(COUNTIF(INDIRECT("'"&amp;$A15&amp;"'!$C:$C"), team)&gt;0, 1, "-"))</f>
        <v>-</v>
      </c>
      <c r="AK15" s="158">
        <f t="array" ref="AK15">LET(team, SUBSTITUTE(AK$1, " Losses", ""), weekSheet, "'"&amp;$A15&amp;"'!", matchIdx, MATCH("*"&amp;team&amp;"*", INDIRECT(weekSheet&amp;"$B:$B"), 0), IF(ISNA(matchIdx), "-", LET(winner, INDEX(INDIRECT(weekSheet&amp;"$C:$C"), matchIdx), IF(winner="", "-", IF(winner=team, "-", 1)))))</f>
        <v>1</v>
      </c>
      <c r="AL15" s="160"/>
      <c r="AM15" s="160"/>
      <c r="AN15" s="160"/>
      <c r="AO15" s="160"/>
      <c r="AP15" s="160"/>
      <c r="AQ15" s="160"/>
      <c r="AR15" s="160"/>
      <c r="AS15" s="160"/>
      <c r="AT15" s="45" t="str">
        <f t="shared" si="11"/>
        <v>-</v>
      </c>
      <c r="AU15" s="45">
        <f t="shared" si="12"/>
        <v>1</v>
      </c>
      <c r="AV15" s="160"/>
      <c r="AW15" s="160"/>
      <c r="AX15" s="160"/>
      <c r="AY15" s="160"/>
      <c r="AZ15" s="160"/>
      <c r="BA15" s="160"/>
      <c r="BB15" s="160"/>
      <c r="BC15" s="160"/>
      <c r="BD15" s="160"/>
      <c r="BE15" s="160"/>
      <c r="BF15" s="160"/>
      <c r="BG15" s="160"/>
      <c r="BH15" s="160"/>
      <c r="BI15" s="160"/>
      <c r="BJ15" s="160"/>
      <c r="BK15" s="160"/>
      <c r="BL15" s="160"/>
      <c r="BM15" s="160"/>
    </row>
    <row r="16">
      <c r="A16" s="157" t="s">
        <v>198</v>
      </c>
      <c r="B16" s="160"/>
      <c r="C16" s="160"/>
      <c r="D16" s="160"/>
      <c r="E16" s="160"/>
      <c r="F16" s="160"/>
      <c r="G16" s="160"/>
      <c r="H16" s="158">
        <f t="array" ref="H16">LET(team, SUBSTITUTE(H$1, " Wins", ""), IF(COUNTIF(INDIRECT("'"&amp;$A16&amp;"'!$C:$C"), team)&gt;0, 1, "-"))</f>
        <v>1</v>
      </c>
      <c r="I16" s="158" t="str">
        <f t="array" ref="I16">LET(team, SUBSTITUTE(I$1, " Losses", ""), weekSheet, "'"&amp;$A16&amp;"'!", matchIdx, MATCH("*"&amp;team&amp;"*", INDIRECT(weekSheet&amp;"$B:$B"), 0), IF(ISNA(matchIdx), "-", LET(winner, INDEX(INDIRECT(weekSheet&amp;"$C:$C"), matchIdx), IF(winner="", "-", IF(winner=team, "-", 1)))))</f>
        <v>-</v>
      </c>
      <c r="J16" s="160"/>
      <c r="K16" s="160"/>
      <c r="L16" s="160"/>
      <c r="M16" s="160"/>
      <c r="N16" s="158" t="str">
        <f t="array" ref="N16">LET(team, SUBSTITUTE(N$1, " Wins", ""), IF(COUNTIF(INDIRECT("'"&amp;$A16&amp;"'!$C:$C"), team)&gt;0, 1, "-"))</f>
        <v>-</v>
      </c>
      <c r="O16" s="158">
        <f t="array" ref="O16">LET(team, SUBSTITUTE(O$1, " Losses", ""), weekSheet, "'"&amp;$A16&amp;"'!", matchIdx, MATCH("*"&amp;team&amp;"*", INDIRECT(weekSheet&amp;"$B:$B"), 0), IF(ISNA(matchIdx), "-", LET(winner, INDEX(INDIRECT(weekSheet&amp;"$C:$C"), matchIdx), IF(winner="", "-", IF(winner=team, "-", 1)))))</f>
        <v>1</v>
      </c>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58" t="str">
        <f t="array" ref="AP16">LET(team, SUBSTITUTE(AP$1, " Wins", ""), IF(COUNTIF(INDIRECT("'"&amp;$A16&amp;"'!$C:$C"), team)&gt;0, 1, "-"))</f>
        <v>-</v>
      </c>
      <c r="AQ16" s="158">
        <f t="array" ref="AQ16">LET(team, SUBSTITUTE(AQ$1, " Losses", ""), weekSheet, "'"&amp;$A16&amp;"'!", matchIdx, MATCH("*"&amp;team&amp;"*", INDIRECT(weekSheet&amp;"$B:$B"), 0), IF(ISNA(matchIdx), "-", LET(winner, INDEX(INDIRECT(weekSheet&amp;"$C:$C"), matchIdx), IF(winner="", "-", IF(winner=team, "-", 1)))))</f>
        <v>1</v>
      </c>
      <c r="AR16" s="158">
        <f t="array" ref="AR16">LET(team, SUBSTITUTE(AR$1, " Wins", ""), IF(COUNTIF(INDIRECT("'"&amp;$A16&amp;"'!$C:$C"), team)&gt;0, 1, "-"))</f>
        <v>1</v>
      </c>
      <c r="AS16" s="158" t="str">
        <f t="array" ref="AS16">LET(team, SUBSTITUTE(AS$1, " Losses", ""), weekSheet, "'"&amp;$A16&amp;"'!", matchIdx, MATCH("*"&amp;team&amp;"*", INDIRECT(weekSheet&amp;"$B:$B"), 0), IF(ISNA(matchIdx), "-", LET(winner, INDEX(INDIRECT(weekSheet&amp;"$C:$C"), matchIdx), IF(winner="", "-", IF(winner=team, "-", 1)))))</f>
        <v>-</v>
      </c>
      <c r="AT16" s="160"/>
      <c r="AU16" s="160"/>
      <c r="AV16" s="160"/>
      <c r="AW16" s="160"/>
      <c r="AX16" s="160"/>
      <c r="AY16" s="160"/>
      <c r="AZ16" s="160"/>
      <c r="BA16" s="160"/>
      <c r="BB16" s="160"/>
      <c r="BC16" s="160"/>
      <c r="BD16" s="160"/>
      <c r="BE16" s="160"/>
      <c r="BF16" s="160"/>
      <c r="BG16" s="160"/>
      <c r="BH16" s="160"/>
      <c r="BI16" s="160"/>
      <c r="BJ16" s="160"/>
      <c r="BK16" s="160"/>
      <c r="BL16" s="160"/>
      <c r="BM16" s="160"/>
    </row>
    <row r="17">
      <c r="A17" s="157" t="s">
        <v>202</v>
      </c>
      <c r="B17" s="158">
        <f t="array" ref="B17">LET(team, SUBSTITUTE(B$1, " Wins", ""), IF(COUNTIF(INDIRECT("'"&amp;$A17&amp;"'!$C:$C"), team)&gt;0, 1, "-"))</f>
        <v>1</v>
      </c>
      <c r="C17" s="158" t="str">
        <f t="array" ref="C17">LET(team, SUBSTITUTE(C$1, " Losses", ""), weekSheet, "'"&amp;$A17&amp;"'!", matchIdx, MATCH("*"&amp;team&amp;"*", INDIRECT(weekSheet&amp;"$B:$B"), 0), IF(ISNA(matchIdx), "-", LET(winner, INDEX(INDIRECT(weekSheet&amp;"$C:$C"), matchIdx), IF(winner="", "-", IF(winner=team, "-", 1)))))</f>
        <v>-</v>
      </c>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58">
        <f t="array" ref="AJ17">LET(team, SUBSTITUTE(AJ$1, " Wins", ""), IF(COUNTIF(INDIRECT("'"&amp;$A17&amp;"'!$C:$C"), team)&gt;0, 1, "-"))</f>
        <v>1</v>
      </c>
      <c r="AK17" s="158" t="str">
        <f t="array" ref="AK17">LET(team, SUBSTITUTE(AK$1, " Losses", ""), weekSheet, "'"&amp;$A17&amp;"'!", matchIdx, MATCH("*"&amp;team&amp;"*", INDIRECT(weekSheet&amp;"$B:$B"), 0), IF(ISNA(matchIdx), "-", LET(winner, INDEX(INDIRECT(weekSheet&amp;"$C:$C"), matchIdx), IF(winner="", "-", IF(winner=team, "-", 1)))))</f>
        <v>-</v>
      </c>
      <c r="AL17" s="158" t="str">
        <f t="array" ref="AL17">LET(team, SUBSTITUTE(AL$1, " Wins", ""), IF(COUNTIF(INDIRECT("'"&amp;$A17&amp;"'!$C:$C"), team)&gt;0, 1, "-"))</f>
        <v>-</v>
      </c>
      <c r="AM17" s="158">
        <f t="array" ref="AM17">LET(team, SUBSTITUTE(AM$1, " Losses", ""), weekSheet, "'"&amp;$A17&amp;"'!", matchIdx, MATCH("*"&amp;team&amp;"*", INDIRECT(weekSheet&amp;"$B:$B"), 0), IF(ISNA(matchIdx), "-", LET(winner, INDEX(INDIRECT(weekSheet&amp;"$C:$C"), matchIdx), IF(winner="", "-", IF(winner=team, "-", 1)))))</f>
        <v>1</v>
      </c>
      <c r="AN17" s="160"/>
      <c r="AO17" s="160"/>
      <c r="AP17" s="160"/>
      <c r="AQ17" s="160"/>
      <c r="AR17" s="160"/>
      <c r="AS17" s="160"/>
      <c r="AT17" s="160"/>
      <c r="AU17" s="160"/>
      <c r="AV17" s="160"/>
      <c r="AW17" s="160"/>
      <c r="AX17" s="160"/>
      <c r="AY17" s="160"/>
      <c r="AZ17" s="160"/>
      <c r="BA17" s="160"/>
      <c r="BB17" s="160"/>
      <c r="BC17" s="160"/>
      <c r="BD17" s="160"/>
      <c r="BE17" s="160"/>
      <c r="BF17" s="160"/>
      <c r="BG17" s="160"/>
      <c r="BH17" s="158">
        <f t="array" ref="BH17">LET(team, SUBSTITUTE(BH$1, " Wins", ""), IF(COUNTIF(INDIRECT("'"&amp;$A17&amp;"'!$C:$C"), team)&gt;0, 1, "-"))</f>
        <v>1</v>
      </c>
      <c r="BI17" s="158" t="str">
        <f t="array" ref="BI17">LET(team, SUBSTITUTE(BI$1, " Losses", ""), weekSheet, "'"&amp;$A17&amp;"'!", matchIdx, MATCH("*"&amp;team&amp;"*", INDIRECT(weekSheet&amp;"$B:$B"), 0), IF(ISNA(matchIdx), "-", LET(winner, INDEX(INDIRECT(weekSheet&amp;"$C:$C"), matchIdx), IF(winner="", "-", IF(winner=team, "-", 1)))))</f>
        <v>-</v>
      </c>
      <c r="BJ17" s="160"/>
      <c r="BK17" s="160"/>
      <c r="BL17" s="160"/>
      <c r="BM17" s="160"/>
    </row>
    <row r="18">
      <c r="A18" s="157" t="s">
        <v>206</v>
      </c>
      <c r="B18" s="160"/>
      <c r="C18" s="160"/>
      <c r="D18" s="158" t="str">
        <f t="array" ref="D18">LET(team, SUBSTITUTE(D$1, " Wins", ""), IF(COUNTIF(INDIRECT("'"&amp;$A18&amp;"'!$C:$C"), team)&gt;0, 1, "-"))</f>
        <v>-</v>
      </c>
      <c r="E18" s="158">
        <f t="array" ref="E18">LET(team, SUBSTITUTE(E$1, " Losses", ""), weekSheet, "'"&amp;$A18&amp;"'!", matchIdx, MATCH("*"&amp;team&amp;"*", INDIRECT(weekSheet&amp;"$B:$B"), 0), IF(ISNA(matchIdx), "-", LET(winner, INDEX(INDIRECT(weekSheet&amp;"$C:$C"), matchIdx), IF(winner="", "-", IF(winner=team, "-", 1)))))</f>
        <v>1</v>
      </c>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58" t="str">
        <f t="array" ref="AR18">LET(team, SUBSTITUTE(AR$1, " Wins", ""), IF(COUNTIF(INDIRECT("'"&amp;$A18&amp;"'!$C:$C"), team)&gt;0, 1, "-"))</f>
        <v>-</v>
      </c>
      <c r="AS18" s="158">
        <f t="array" ref="AS18">LET(team, SUBSTITUTE(AS$1, " Losses", ""), weekSheet, "'"&amp;$A18&amp;"'!", matchIdx, MATCH("*"&amp;team&amp;"*", INDIRECT(weekSheet&amp;"$B:$B"), 0), IF(ISNA(matchIdx), "-", LET(winner, INDEX(INDIRECT(weekSheet&amp;"$C:$C"), matchIdx), IF(winner="", "-", IF(winner=team, "-", 1)))))</f>
        <v>1</v>
      </c>
      <c r="AT18" s="160"/>
      <c r="AU18" s="160"/>
      <c r="AV18" s="160"/>
      <c r="AW18" s="160"/>
      <c r="AX18" s="160"/>
      <c r="AY18" s="160"/>
      <c r="AZ18" s="160"/>
      <c r="BA18" s="160"/>
      <c r="BB18" s="160"/>
      <c r="BC18" s="160"/>
      <c r="BD18" s="160"/>
      <c r="BE18" s="160"/>
      <c r="BF18" s="158" t="str">
        <f t="array" ref="BF18">LET(team, SUBSTITUTE(BF$1, " Wins", ""), IF(COUNTIF(INDIRECT("'"&amp;$A18&amp;"'!$C:$C"), team)&gt;0, 1, "-"))</f>
        <v>-</v>
      </c>
      <c r="BG18" s="158">
        <f t="array" ref="BG18">LET(team, SUBSTITUTE(BG$1, " Losses", ""), weekSheet, "'"&amp;$A18&amp;"'!", matchIdx, MATCH("*"&amp;team&amp;"*", INDIRECT(weekSheet&amp;"$B:$B"), 0), IF(ISNA(matchIdx), "-", LET(winner, INDEX(INDIRECT(weekSheet&amp;"$C:$C"), matchIdx), IF(winner="", "-", IF(winner=team, "-", 1)))))</f>
        <v>1</v>
      </c>
      <c r="BH18" s="160"/>
      <c r="BI18" s="160"/>
      <c r="BJ18" s="160"/>
      <c r="BK18" s="160"/>
      <c r="BL18" s="158" t="str">
        <f t="array" ref="BL18">LET(team, SUBSTITUTE(BL$1, " Wins", ""), IF(COUNTIF(INDIRECT("'"&amp;$A18&amp;"'!$C:$C"), team)&gt;0, 1, "-"))</f>
        <v>-</v>
      </c>
      <c r="BM18" s="158">
        <f t="array" ref="BM18">LET(team, SUBSTITUTE(BM$1, " Losses", ""), weekSheet, "'"&amp;$A18&amp;"'!", matchIdx, MATCH("*"&amp;team&amp;"*", INDIRECT(weekSheet&amp;"$B:$B"), 0), IF(ISNA(matchIdx), "-", LET(winner, INDEX(INDIRECT(weekSheet&amp;"$C:$C"), matchIdx), IF(winner="", "-", IF(winner=team, "-", 1)))))</f>
        <v>1</v>
      </c>
    </row>
    <row r="19">
      <c r="A19" s="157" t="s">
        <v>207</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58">
        <f t="array" ref="AH19">LET(team, SUBSTITUTE(AH$1, " Wins", ""), IF(COUNTIF(INDIRECT("'"&amp;$A19&amp;"'!$C:$C"), team)&gt;0, 1, "-"))</f>
        <v>1</v>
      </c>
      <c r="AI19" s="158" t="str">
        <f t="array" ref="AI19">LET(team, SUBSTITUTE(AI$1, " Losses", ""), weekSheet, "'"&amp;$A19&amp;"'!", matchIdx, MATCH("*"&amp;team&amp;"*", INDIRECT(weekSheet&amp;"$B:$B"), 0), IF(ISNA(matchIdx), "-", LET(winner, INDEX(INDIRECT(weekSheet&amp;"$C:$C"), matchIdx), IF(winner="", "-", IF(winner=team, "-", 1)))))</f>
        <v>-</v>
      </c>
      <c r="AJ19" s="158" t="str">
        <f t="array" ref="AJ19">LET(team, SUBSTITUTE(AJ$1, " Wins", ""), IF(COUNTIF(INDIRECT("'"&amp;$A19&amp;"'!$C:$C"), team)&gt;0, 1, "-"))</f>
        <v>-</v>
      </c>
      <c r="AK19" s="158">
        <f t="array" ref="AK19">LET(team, SUBSTITUTE(AK$1, " Losses", ""), weekSheet, "'"&amp;$A19&amp;"'!", matchIdx, MATCH("*"&amp;team&amp;"*", INDIRECT(weekSheet&amp;"$B:$B"), 0), IF(ISNA(matchIdx), "-", LET(winner, INDEX(INDIRECT(weekSheet&amp;"$C:$C"), matchIdx), IF(winner="", "-", IF(winner=team, "-", 1)))))</f>
        <v>1</v>
      </c>
      <c r="AL19" s="158">
        <f t="array" ref="AL19">LET(team, SUBSTITUTE(AL$1, " Wins", ""), IF(COUNTIF(INDIRECT("'"&amp;$A19&amp;"'!$C:$C"), team)&gt;0, 1, "-"))</f>
        <v>1</v>
      </c>
      <c r="AM19" s="158" t="str">
        <f t="array" ref="AM19">LET(team, SUBSTITUTE(AM$1, " Losses", ""), weekSheet, "'"&amp;$A19&amp;"'!", matchIdx, MATCH("*"&amp;team&amp;"*", INDIRECT(weekSheet&amp;"$B:$B"), 0), IF(ISNA(matchIdx), "-", LET(winner, INDEX(INDIRECT(weekSheet&amp;"$C:$C"), matchIdx), IF(winner="", "-", IF(winner=team, "-", 1)))))</f>
        <v>-</v>
      </c>
      <c r="AN19" s="158" t="str">
        <f t="array" ref="AN19">LET(team, SUBSTITUTE(AN$1, " Wins", ""), IF(COUNTIF(INDIRECT("'"&amp;$A19&amp;"'!$C:$C"), team)&gt;0, 1, "-"))</f>
        <v>-</v>
      </c>
      <c r="AO19" s="158">
        <f t="array" ref="AO19">LET(team, SUBSTITUTE(AO$1, " Losses", ""), weekSheet, "'"&amp;$A19&amp;"'!", matchIdx, MATCH("*"&amp;team&amp;"*", INDIRECT(weekSheet&amp;"$B:$B"), 0), IF(ISNA(matchIdx), "-", LET(winner, INDEX(INDIRECT(weekSheet&amp;"$C:$C"), matchIdx), IF(winner="", "-", IF(winner=team, "-", 1)))))</f>
        <v>1</v>
      </c>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row>
    <row r="20">
      <c r="A20" s="227" t="s">
        <v>705</v>
      </c>
      <c r="B20" s="229">
        <f t="shared" ref="B20:BM20" si="13">SUM(B2:B19)</f>
        <v>2</v>
      </c>
      <c r="C20" s="229">
        <f t="shared" si="13"/>
        <v>2</v>
      </c>
      <c r="D20" s="230">
        <f t="shared" si="13"/>
        <v>1</v>
      </c>
      <c r="E20" s="230">
        <f t="shared" si="13"/>
        <v>3</v>
      </c>
      <c r="F20" s="231">
        <f t="shared" si="13"/>
        <v>3</v>
      </c>
      <c r="G20" s="231">
        <f t="shared" si="13"/>
        <v>1</v>
      </c>
      <c r="H20" s="232">
        <f t="shared" si="13"/>
        <v>2</v>
      </c>
      <c r="I20" s="232">
        <f t="shared" si="13"/>
        <v>2</v>
      </c>
      <c r="J20" s="233">
        <f t="shared" si="13"/>
        <v>0</v>
      </c>
      <c r="K20" s="233">
        <f t="shared" si="13"/>
        <v>1</v>
      </c>
      <c r="L20" s="234">
        <f t="shared" si="13"/>
        <v>0</v>
      </c>
      <c r="M20" s="234">
        <f t="shared" si="13"/>
        <v>1</v>
      </c>
      <c r="N20" s="235">
        <f t="shared" si="13"/>
        <v>0</v>
      </c>
      <c r="O20" s="235">
        <f t="shared" si="13"/>
        <v>1</v>
      </c>
      <c r="P20" s="236">
        <f t="shared" si="13"/>
        <v>0</v>
      </c>
      <c r="Q20" s="236">
        <f t="shared" si="13"/>
        <v>1</v>
      </c>
      <c r="R20" s="237">
        <f t="shared" si="13"/>
        <v>0</v>
      </c>
      <c r="S20" s="237">
        <f t="shared" si="13"/>
        <v>0</v>
      </c>
      <c r="T20" s="238">
        <f t="shared" si="13"/>
        <v>0</v>
      </c>
      <c r="U20" s="238">
        <f t="shared" si="13"/>
        <v>0</v>
      </c>
      <c r="V20" s="239">
        <f t="shared" si="13"/>
        <v>0</v>
      </c>
      <c r="W20" s="239">
        <f t="shared" si="13"/>
        <v>0</v>
      </c>
      <c r="X20" s="240">
        <f t="shared" si="13"/>
        <v>0</v>
      </c>
      <c r="Y20" s="240">
        <f t="shared" si="13"/>
        <v>0</v>
      </c>
      <c r="Z20" s="241">
        <f t="shared" si="13"/>
        <v>0</v>
      </c>
      <c r="AA20" s="241">
        <f t="shared" si="13"/>
        <v>0</v>
      </c>
      <c r="AB20" s="242">
        <f t="shared" si="13"/>
        <v>0</v>
      </c>
      <c r="AC20" s="242">
        <f t="shared" si="13"/>
        <v>0</v>
      </c>
      <c r="AD20" s="243">
        <f t="shared" si="13"/>
        <v>0</v>
      </c>
      <c r="AE20" s="243">
        <f t="shared" si="13"/>
        <v>0</v>
      </c>
      <c r="AF20" s="244">
        <f t="shared" si="13"/>
        <v>0</v>
      </c>
      <c r="AG20" s="244">
        <f t="shared" si="13"/>
        <v>0</v>
      </c>
      <c r="AH20" s="245">
        <f t="shared" si="13"/>
        <v>4</v>
      </c>
      <c r="AI20" s="245">
        <f t="shared" si="13"/>
        <v>2</v>
      </c>
      <c r="AJ20" s="246">
        <f t="shared" si="13"/>
        <v>3</v>
      </c>
      <c r="AK20" s="246">
        <f t="shared" si="13"/>
        <v>3</v>
      </c>
      <c r="AL20" s="247">
        <f t="shared" si="13"/>
        <v>4</v>
      </c>
      <c r="AM20" s="247">
        <f t="shared" si="13"/>
        <v>2</v>
      </c>
      <c r="AN20" s="248">
        <f t="shared" si="13"/>
        <v>1</v>
      </c>
      <c r="AO20" s="248">
        <f t="shared" si="13"/>
        <v>5</v>
      </c>
      <c r="AP20" s="249">
        <f t="shared" si="13"/>
        <v>1</v>
      </c>
      <c r="AQ20" s="249">
        <f t="shared" si="13"/>
        <v>3</v>
      </c>
      <c r="AR20" s="250">
        <f t="shared" si="13"/>
        <v>2</v>
      </c>
      <c r="AS20" s="250">
        <f t="shared" si="13"/>
        <v>2</v>
      </c>
      <c r="AT20" s="251">
        <f t="shared" si="13"/>
        <v>1</v>
      </c>
      <c r="AU20" s="251">
        <f t="shared" si="13"/>
        <v>3</v>
      </c>
      <c r="AV20" s="252">
        <f t="shared" si="13"/>
        <v>1</v>
      </c>
      <c r="AW20" s="252">
        <f t="shared" si="13"/>
        <v>3</v>
      </c>
      <c r="AX20" s="253">
        <f t="shared" si="13"/>
        <v>1</v>
      </c>
      <c r="AY20" s="253">
        <f t="shared" si="13"/>
        <v>0</v>
      </c>
      <c r="AZ20" s="254">
        <f t="shared" si="13"/>
        <v>0</v>
      </c>
      <c r="BA20" s="254">
        <f t="shared" si="13"/>
        <v>1</v>
      </c>
      <c r="BB20" s="255">
        <f t="shared" si="13"/>
        <v>1</v>
      </c>
      <c r="BC20" s="255">
        <f t="shared" si="13"/>
        <v>0</v>
      </c>
      <c r="BD20" s="256">
        <f t="shared" si="13"/>
        <v>0</v>
      </c>
      <c r="BE20" s="256">
        <f t="shared" si="13"/>
        <v>1</v>
      </c>
      <c r="BF20" s="257">
        <f t="shared" si="13"/>
        <v>0</v>
      </c>
      <c r="BG20" s="257">
        <f t="shared" si="13"/>
        <v>1</v>
      </c>
      <c r="BH20" s="258">
        <f t="shared" si="13"/>
        <v>1</v>
      </c>
      <c r="BI20" s="258">
        <f t="shared" si="13"/>
        <v>0</v>
      </c>
      <c r="BJ20" s="259">
        <f t="shared" si="13"/>
        <v>0</v>
      </c>
      <c r="BK20" s="259">
        <f t="shared" si="13"/>
        <v>1</v>
      </c>
      <c r="BL20" s="260">
        <f t="shared" si="13"/>
        <v>0</v>
      </c>
      <c r="BM20" s="260">
        <f t="shared" si="13"/>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58">
        <f t="shared" ref="AP2:AP3" si="1">LET(team, SUBSTITUTE(AP$1, " Wins", ""), IF(COUNTIF(INDIRECT("'"&amp;$A2&amp;"'!$C:$C"), team)&gt;0, 1, "-"))</f>
        <v>1</v>
      </c>
      <c r="AQ2" s="158" t="str">
        <f t="shared" ref="AQ2:AQ3" si="2">LET(team, SUBSTITUTE(AQ$1, " Losses", ""), weekSheet, "'"&amp;$A2&amp;"'!", matchIdx, MATCH("*"&amp;team&amp;"*", INDIRECT(weekSheet&amp;"$B:$B"), 0), IF(ISNA(matchIdx), "-", LET(winner, INDEX(INDIRECT(weekSheet&amp;"$C:$C"), matchIdx), IF(winner="", "-", IF(winner=team, "-", 1)))))</f>
        <v>-</v>
      </c>
      <c r="AR2" s="158">
        <f t="array" ref="AR2">LET(team, SUBSTITUTE(AR$1, " Wins", ""), IF(COUNTIF(INDIRECT("'"&amp;$A2&amp;"'!$C:$C"), team)&gt;0, 1, "-"))</f>
        <v>1</v>
      </c>
      <c r="AS2" s="158" t="str">
        <f t="array" ref="AS2">LET(team, SUBSTITUTE(AS$1, " Losses", ""), weekSheet, "'"&amp;$A2&amp;"'!", matchIdx, MATCH("*"&amp;team&amp;"*", INDIRECT(weekSheet&amp;"$B:$B"), 0), IF(ISNA(matchIdx), "-", LET(winner, INDEX(INDIRECT(weekSheet&amp;"$C:$C"), matchIdx), IF(winner="", "-", IF(winner=team, "-", 1)))))</f>
        <v>-</v>
      </c>
      <c r="AT2" s="158" t="str">
        <f t="array" ref="AT2">LET(team, SUBSTITUTE(AT$1, " Wins", ""), IF(COUNTIF(INDIRECT("'"&amp;$A2&amp;"'!$C:$C"), team)&gt;0, 1, "-"))</f>
        <v>-</v>
      </c>
      <c r="AU2" s="158">
        <f t="array" ref="AU2">LET(team, SUBSTITUTE(AU$1, " Losses", ""), weekSheet, "'"&amp;$A2&amp;"'!", matchIdx, MATCH("*"&amp;team&amp;"*", INDIRECT(weekSheet&amp;"$B:$B"), 0), IF(ISNA(matchIdx), "-", LET(winner, INDEX(INDIRECT(weekSheet&amp;"$C:$C"), matchIdx), IF(winner="", "-", IF(winner=team, "-", 1)))))</f>
        <v>1</v>
      </c>
      <c r="AV2" s="158" t="str">
        <f t="shared" ref="AV2:AV3" si="3">LET(team, SUBSTITUTE(AV$1, " Wins", ""), IF(COUNTIF(INDIRECT("'"&amp;$A2&amp;"'!$C:$C"), team)&gt;0, 1, "-"))</f>
        <v>-</v>
      </c>
      <c r="AW2" s="158">
        <f t="shared" ref="AW2:AW3" si="4">LET(team, SUBSTITUTE(AW$1, " Losses", ""), weekSheet, "'"&amp;$A2&amp;"'!", matchIdx, MATCH("*"&amp;team&amp;"*", INDIRECT(weekSheet&amp;"$B:$B"), 0), IF(ISNA(matchIdx), "-", LET(winner, INDEX(INDIRECT(weekSheet&amp;"$C:$C"), matchIdx), IF(winner="", "-", IF(winner=team, "-", 1)))))</f>
        <v>1</v>
      </c>
      <c r="AX2" s="160"/>
      <c r="AY2" s="160"/>
      <c r="AZ2" s="160"/>
      <c r="BA2" s="160"/>
      <c r="BB2" s="160"/>
      <c r="BC2" s="160"/>
      <c r="BD2" s="160"/>
      <c r="BE2" s="160"/>
      <c r="BF2" s="160"/>
      <c r="BG2" s="160"/>
      <c r="BH2" s="160"/>
      <c r="BI2" s="160"/>
      <c r="BJ2" s="160"/>
      <c r="BK2" s="160"/>
      <c r="BL2" s="160"/>
      <c r="BM2" s="160"/>
    </row>
    <row r="3">
      <c r="A3" s="157" t="s">
        <v>119</v>
      </c>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58" t="str">
        <f t="shared" ref="AF3:AF4" si="5">LET(team, SUBSTITUTE(AF$1, " Wins", ""), IF(COUNTIF(INDIRECT("'"&amp;$A3&amp;"'!$C:$C"), team)&gt;0, 1, "-"))</f>
        <v>-</v>
      </c>
      <c r="AG3" s="158">
        <f t="shared" ref="AG3:AG4" si="6">LET(team, SUBSTITUTE(AG$1, " Losses", ""), weekSheet, "'"&amp;$A3&amp;"'!", matchIdx, MATCH("*"&amp;team&amp;"*", INDIRECT(weekSheet&amp;"$B:$B"), 0), IF(ISNA(matchIdx), "-", LET(winner, INDEX(INDIRECT(weekSheet&amp;"$C:$C"), matchIdx), IF(winner="", "-", IF(winner=team, "-", 1)))))</f>
        <v>1</v>
      </c>
      <c r="AH3" s="160"/>
      <c r="AI3" s="160"/>
      <c r="AJ3" s="158">
        <f t="array" ref="AJ3">LET(team, SUBSTITUTE(AJ$1, " Wins", ""), IF(COUNTIF(INDIRECT("'"&amp;$A3&amp;"'!$C:$C"), team)&gt;0, 1, "-"))</f>
        <v>1</v>
      </c>
      <c r="AK3" s="158" t="str">
        <f t="array" ref="AK3">LET(team, SUBSTITUTE(AK$1, " Losses", ""), weekSheet, "'"&amp;$A3&amp;"'!", matchIdx, MATCH("*"&amp;team&amp;"*", INDIRECT(weekSheet&amp;"$B:$B"), 0), IF(ISNA(matchIdx), "-", LET(winner, INDEX(INDIRECT(weekSheet&amp;"$C:$C"), matchIdx), IF(winner="", "-", IF(winner=team, "-", 1)))))</f>
        <v>-</v>
      </c>
      <c r="AL3" s="160"/>
      <c r="AM3" s="160"/>
      <c r="AN3" s="160"/>
      <c r="AO3" s="160"/>
      <c r="AP3" s="158">
        <f t="shared" si="1"/>
        <v>1</v>
      </c>
      <c r="AQ3" s="158" t="str">
        <f t="shared" si="2"/>
        <v>-</v>
      </c>
      <c r="AR3" s="160"/>
      <c r="AS3" s="160"/>
      <c r="AT3" s="160"/>
      <c r="AU3" s="160"/>
      <c r="AV3" s="158" t="str">
        <f t="shared" si="3"/>
        <v>-</v>
      </c>
      <c r="AW3" s="158">
        <f t="shared" si="4"/>
        <v>1</v>
      </c>
      <c r="AX3" s="160"/>
      <c r="AY3" s="160"/>
      <c r="AZ3" s="160"/>
      <c r="BA3" s="160"/>
      <c r="BB3" s="160"/>
      <c r="BC3" s="160"/>
      <c r="BD3" s="160"/>
      <c r="BE3" s="160"/>
      <c r="BF3" s="160"/>
      <c r="BG3" s="160"/>
      <c r="BH3" s="160"/>
      <c r="BI3" s="160"/>
      <c r="BJ3" s="160"/>
      <c r="BK3" s="160"/>
      <c r="BL3" s="160"/>
      <c r="BM3" s="160"/>
    </row>
    <row r="4">
      <c r="A4" s="157" t="s">
        <v>130</v>
      </c>
      <c r="B4" s="160"/>
      <c r="C4" s="160"/>
      <c r="D4" s="160"/>
      <c r="E4" s="160"/>
      <c r="F4" s="160"/>
      <c r="G4" s="160"/>
      <c r="H4" s="160"/>
      <c r="I4" s="160"/>
      <c r="J4" s="160"/>
      <c r="K4" s="160"/>
      <c r="L4" s="160"/>
      <c r="M4" s="160"/>
      <c r="N4" s="160"/>
      <c r="O4" s="160"/>
      <c r="P4" s="160"/>
      <c r="Q4" s="160"/>
      <c r="R4" s="158" t="str">
        <f t="array" ref="R4">LET(team, SUBSTITUTE(R$1, " Wins", ""), IF(COUNTIF(INDIRECT("'"&amp;$A4&amp;"'!$C:$C"), team)&gt;0, 1, "-"))</f>
        <v>-</v>
      </c>
      <c r="S4" s="158">
        <f t="array" ref="S4">LET(team, SUBSTITUTE(S$1, " Losses", ""), weekSheet, "'"&amp;$A4&amp;"'!", matchIdx, MATCH("*"&amp;team&amp;"*", INDIRECT(weekSheet&amp;"$B:$B"), 0), IF(ISNA(matchIdx), "-", LET(winner, INDEX(INDIRECT(weekSheet&amp;"$C:$C"), matchIdx), IF(winner="", "-", IF(winner=team, "-", 1)))))</f>
        <v>1</v>
      </c>
      <c r="T4" s="160"/>
      <c r="U4" s="160"/>
      <c r="V4" s="160"/>
      <c r="W4" s="160"/>
      <c r="X4" s="160"/>
      <c r="Y4" s="160"/>
      <c r="Z4" s="160"/>
      <c r="AA4" s="160"/>
      <c r="AB4" s="160"/>
      <c r="AC4" s="160"/>
      <c r="AD4" s="160"/>
      <c r="AE4" s="160"/>
      <c r="AF4" s="158" t="str">
        <f t="shared" si="5"/>
        <v>-</v>
      </c>
      <c r="AG4" s="158">
        <f t="shared" si="6"/>
        <v>1</v>
      </c>
      <c r="AH4" s="160"/>
      <c r="AI4" s="160"/>
      <c r="AJ4" s="160"/>
      <c r="AK4" s="160"/>
      <c r="AL4" s="158">
        <f t="array" ref="AL4">LET(team, SUBSTITUTE(AL$1, " Wins", ""), IF(COUNTIF(INDIRECT("'"&amp;$A4&amp;"'!$C:$C"), team)&gt;0, 1, "-"))</f>
        <v>1</v>
      </c>
      <c r="AM4" s="158" t="str">
        <f t="array" ref="AM4">LET(team, SUBSTITUTE(AM$1, " Losses", ""), weekSheet, "'"&amp;$A4&amp;"'!", matchIdx, MATCH("*"&amp;team&amp;"*", INDIRECT(weekSheet&amp;"$B:$B"), 0), IF(ISNA(matchIdx), "-", LET(winner, INDEX(INDIRECT(weekSheet&amp;"$C:$C"), matchIdx), IF(winner="", "-", IF(winner=team, "-", 1)))))</f>
        <v>-</v>
      </c>
      <c r="AN4" s="160"/>
      <c r="AO4" s="160"/>
      <c r="AP4" s="160"/>
      <c r="AQ4" s="160"/>
      <c r="AR4" s="160"/>
      <c r="AS4" s="160"/>
      <c r="AT4" s="160"/>
      <c r="AU4" s="160"/>
      <c r="AV4" s="160"/>
      <c r="AW4" s="160"/>
      <c r="AX4" s="160"/>
      <c r="AY4" s="160"/>
      <c r="AZ4" s="160"/>
      <c r="BA4" s="160"/>
      <c r="BB4" s="160"/>
      <c r="BC4" s="160"/>
      <c r="BD4" s="158" t="str">
        <f t="array" ref="BD4">LET(team, SUBSTITUTE(BD$1, " Wins", ""), IF(COUNTIF(INDIRECT("'"&amp;$A4&amp;"'!$C:$C"), team)&gt;0, 1, "-"))</f>
        <v>-</v>
      </c>
      <c r="BE4" s="158">
        <f t="array" ref="BE4">LET(team, SUBSTITUTE(BE$1, " Losses", ""), weekSheet, "'"&amp;$A4&amp;"'!", matchIdx, MATCH("*"&amp;team&amp;"*", INDIRECT(weekSheet&amp;"$B:$B"), 0), IF(ISNA(matchIdx), "-", LET(winner, INDEX(INDIRECT(weekSheet&amp;"$C:$C"), matchIdx), IF(winner="", "-", IF(winner=team, "-", 1)))))</f>
        <v>1</v>
      </c>
      <c r="BF4" s="160"/>
      <c r="BG4" s="160"/>
      <c r="BH4" s="160"/>
      <c r="BI4" s="160"/>
      <c r="BJ4" s="160"/>
      <c r="BK4" s="160"/>
      <c r="BL4" s="160"/>
      <c r="BM4" s="160"/>
    </row>
    <row r="5">
      <c r="A5" s="157" t="s">
        <v>141</v>
      </c>
      <c r="B5" s="160"/>
      <c r="C5" s="160"/>
      <c r="D5" s="160"/>
      <c r="E5" s="160"/>
      <c r="F5" s="160"/>
      <c r="G5" s="160"/>
      <c r="H5" s="160"/>
      <c r="I5" s="160"/>
      <c r="J5" s="160"/>
      <c r="K5" s="160"/>
      <c r="L5" s="160"/>
      <c r="M5" s="160"/>
      <c r="N5" s="160"/>
      <c r="O5" s="160"/>
      <c r="P5" s="160"/>
      <c r="Q5" s="160"/>
      <c r="R5" s="160"/>
      <c r="S5" s="160"/>
      <c r="T5" s="160"/>
      <c r="U5" s="160"/>
      <c r="V5" s="160"/>
      <c r="W5" s="160"/>
      <c r="X5" s="160"/>
      <c r="Y5" s="160"/>
      <c r="Z5" s="158">
        <f t="array" ref="Z5">LET(team, SUBSTITUTE(Z$1, " Wins", ""), IF(COUNTIF(INDIRECT("'"&amp;$A5&amp;"'!$C:$C"), team)&gt;0, 1, "-"))</f>
        <v>1</v>
      </c>
      <c r="AA5" s="158" t="str">
        <f t="array" ref="AA5">LET(team, SUBSTITUTE(AA$1, " Losses", ""), weekSheet, "'"&amp;$A5&amp;"'!", matchIdx, MATCH("*"&amp;team&amp;"*", INDIRECT(weekSheet&amp;"$B:$B"), 0), IF(ISNA(matchIdx), "-", LET(winner, INDEX(INDIRECT(weekSheet&amp;"$C:$C"), matchIdx), IF(winner="", "-", IF(winner=team, "-", 1)))))</f>
        <v>-</v>
      </c>
      <c r="AB5" s="160"/>
      <c r="AC5" s="160"/>
      <c r="AD5" s="158" t="str">
        <f t="array" ref="AD5">LET(team, SUBSTITUTE(AD$1, " Wins", ""), IF(COUNTIF(INDIRECT("'"&amp;$A5&amp;"'!$C:$C"), team)&gt;0, 1, "-"))</f>
        <v>-</v>
      </c>
      <c r="AE5" s="158">
        <f t="array" ref="AE5">LET(team, SUBSTITUTE(AE$1, " Losses", ""), weekSheet, "'"&amp;$A5&amp;"'!", matchIdx, MATCH("*"&amp;team&amp;"*", INDIRECT(weekSheet&amp;"$B:$B"), 0), IF(ISNA(matchIdx), "-", LET(winner, INDEX(INDIRECT(weekSheet&amp;"$C:$C"), matchIdx), IF(winner="", "-", IF(winner=team, "-", 1)))))</f>
        <v>1</v>
      </c>
      <c r="AF5" s="160"/>
      <c r="AG5" s="160"/>
      <c r="AH5" s="160"/>
      <c r="AI5" s="160"/>
      <c r="AJ5" s="158">
        <f t="array" ref="AJ5">LET(team, SUBSTITUTE(AJ$1, " Wins", ""), IF(COUNTIF(INDIRECT("'"&amp;$A5&amp;"'!$C:$C"), team)&gt;0, 1, "-"))</f>
        <v>1</v>
      </c>
      <c r="AK5" s="158" t="str">
        <f t="array" ref="AK5">LET(team, SUBSTITUTE(AK$1, " Losses", ""), weekSheet, "'"&amp;$A5&amp;"'!", matchIdx, MATCH("*"&amp;team&amp;"*", INDIRECT(weekSheet&amp;"$B:$B"), 0), IF(ISNA(matchIdx), "-", LET(winner, INDEX(INDIRECT(weekSheet&amp;"$C:$C"), matchIdx), IF(winner="", "-", IF(winner=team, "-", 1)))))</f>
        <v>-</v>
      </c>
      <c r="AL5" s="160"/>
      <c r="AM5" s="160"/>
      <c r="AN5" s="158" t="str">
        <f t="array" ref="AN5">LET(team, SUBSTITUTE(AN$1, " Wins", ""), IF(COUNTIF(INDIRECT("'"&amp;$A5&amp;"'!$C:$C"), team)&gt;0, 1, "-"))</f>
        <v>-</v>
      </c>
      <c r="AO5" s="158">
        <f t="array" ref="AO5">LET(team, SUBSTITUTE(AO$1, " Losses", ""), weekSheet, "'"&amp;$A5&amp;"'!", matchIdx, MATCH("*"&amp;team&amp;"*", INDIRECT(weekSheet&amp;"$B:$B"), 0), IF(ISNA(matchIdx), "-", LET(winner, INDEX(INDIRECT(weekSheet&amp;"$C:$C"), matchIdx), IF(winner="", "-", IF(winner=team, "-", 1)))))</f>
        <v>1</v>
      </c>
      <c r="AP5" s="160"/>
      <c r="AQ5" s="160"/>
      <c r="AR5" s="160"/>
      <c r="AS5" s="160"/>
      <c r="AT5" s="160"/>
      <c r="AU5" s="160"/>
      <c r="AV5" s="160"/>
      <c r="AW5" s="160"/>
      <c r="AX5" s="160"/>
      <c r="AY5" s="160"/>
      <c r="AZ5" s="160"/>
      <c r="BA5" s="160"/>
      <c r="BB5" s="160"/>
      <c r="BC5" s="160"/>
      <c r="BD5" s="160"/>
      <c r="BE5" s="160"/>
      <c r="BF5" s="160"/>
      <c r="BG5" s="160"/>
      <c r="BH5" s="160"/>
      <c r="BI5" s="160"/>
      <c r="BJ5" s="160"/>
      <c r="BK5" s="160"/>
      <c r="BL5" s="160"/>
      <c r="BM5" s="160"/>
    </row>
    <row r="6">
      <c r="A6" s="157" t="s">
        <v>145</v>
      </c>
      <c r="B6" s="16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58">
        <f t="array" ref="AB6">LET(team, SUBSTITUTE(AB$1, " Wins", ""), IF(COUNTIF(INDIRECT("'"&amp;$A6&amp;"'!$C:$C"), team)&gt;0, 1, "-"))</f>
        <v>1</v>
      </c>
      <c r="AC6" s="158" t="str">
        <f t="array" ref="AC6">LET(team, SUBSTITUTE(AC$1, " Losses", ""), weekSheet, "'"&amp;$A6&amp;"'!", matchIdx, MATCH("*"&amp;team&amp;"*", INDIRECT(weekSheet&amp;"$B:$B"), 0), IF(ISNA(matchIdx), "-", LET(winner, INDEX(INDIRECT(weekSheet&amp;"$C:$C"), matchIdx), IF(winner="", "-", IF(winner=team, "-", 1)))))</f>
        <v>-</v>
      </c>
      <c r="AD6" s="160"/>
      <c r="AE6" s="160"/>
      <c r="AF6" s="160"/>
      <c r="AG6" s="160"/>
      <c r="AH6" s="160"/>
      <c r="AI6" s="160"/>
      <c r="AJ6" s="160"/>
      <c r="AK6" s="160"/>
      <c r="AL6" s="160"/>
      <c r="AM6" s="160"/>
      <c r="AN6" s="160"/>
      <c r="AO6" s="160"/>
      <c r="AP6" s="160"/>
      <c r="AQ6" s="160"/>
      <c r="AR6" s="160"/>
      <c r="AS6" s="160"/>
      <c r="AT6" s="158" t="str">
        <f t="array" ref="AT6">LET(team, SUBSTITUTE(AT$1, " Wins", ""), IF(COUNTIF(INDIRECT("'"&amp;$A6&amp;"'!$C:$C"), team)&gt;0, 1, "-"))</f>
        <v>-</v>
      </c>
      <c r="AU6" s="158">
        <f t="array" ref="AU6">LET(team, SUBSTITUTE(AU$1, " Losses", ""), weekSheet, "'"&amp;$A6&amp;"'!", matchIdx, MATCH("*"&amp;team&amp;"*", INDIRECT(weekSheet&amp;"$B:$B"), 0), IF(ISNA(matchIdx), "-", LET(winner, INDEX(INDIRECT(weekSheet&amp;"$C:$C"), matchIdx), IF(winner="", "-", IF(winner=team, "-", 1)))))</f>
        <v>1</v>
      </c>
      <c r="AV6" s="158">
        <f t="array" ref="AV6">LET(team, SUBSTITUTE(AV$1, " Wins", ""), IF(COUNTIF(INDIRECT("'"&amp;$A6&amp;"'!$C:$C"), team)&gt;0, 1, "-"))</f>
        <v>1</v>
      </c>
      <c r="AW6" s="158" t="str">
        <f t="array" ref="AW6">LET(team, SUBSTITUTE(AW$1, " Losses", ""), weekSheet, "'"&amp;$A6&amp;"'!", matchIdx, MATCH("*"&amp;team&amp;"*", INDIRECT(weekSheet&amp;"$B:$B"), 0), IF(ISNA(matchIdx), "-", LET(winner, INDEX(INDIRECT(weekSheet&amp;"$C:$C"), matchIdx), IF(winner="", "-", IF(winner=team, "-", 1)))))</f>
        <v>-</v>
      </c>
      <c r="AX6" s="160"/>
      <c r="AY6" s="160"/>
      <c r="AZ6" s="160"/>
      <c r="BA6" s="160"/>
      <c r="BB6" s="160"/>
      <c r="BC6" s="160"/>
      <c r="BD6" s="160"/>
      <c r="BE6" s="160"/>
      <c r="BF6" s="158" t="str">
        <f t="array" ref="BF6">LET(team, SUBSTITUTE(BF$1, " Wins", ""), IF(COUNTIF(INDIRECT("'"&amp;$A6&amp;"'!$C:$C"), team)&gt;0, 1, "-"))</f>
        <v>-</v>
      </c>
      <c r="BG6" s="158">
        <f t="array" ref="BG6">LET(team, SUBSTITUTE(BG$1, " Losses", ""), weekSheet, "'"&amp;$A6&amp;"'!", matchIdx, MATCH("*"&amp;team&amp;"*", INDIRECT(weekSheet&amp;"$B:$B"), 0), IF(ISNA(matchIdx), "-", LET(winner, INDEX(INDIRECT(weekSheet&amp;"$C:$C"), matchIdx), IF(winner="", "-", IF(winner=team, "-", 1)))))</f>
        <v>1</v>
      </c>
      <c r="BH6" s="160"/>
      <c r="BI6" s="160"/>
      <c r="BJ6" s="160"/>
      <c r="BK6" s="160"/>
      <c r="BL6" s="160"/>
      <c r="BM6" s="160"/>
    </row>
    <row r="7">
      <c r="A7" s="157" t="s">
        <v>156</v>
      </c>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58" t="str">
        <f t="array" ref="AH7">LET(team, SUBSTITUTE(AH$1, " Wins", ""), IF(COUNTIF(INDIRECT("'"&amp;$A7&amp;"'!$C:$C"), team)&gt;0, 1, "-"))</f>
        <v>-</v>
      </c>
      <c r="AI7" s="158">
        <f t="array" ref="AI7">LET(team, SUBSTITUTE(AI$1, " Losses", ""), weekSheet, "'"&amp;$A7&amp;"'!", matchIdx, MATCH("*"&amp;team&amp;"*", INDIRECT(weekSheet&amp;"$B:$B"), 0), IF(ISNA(matchIdx), "-", LET(winner, INDEX(INDIRECT(weekSheet&amp;"$C:$C"), matchIdx), IF(winner="", "-", IF(winner=team, "-", 1)))))</f>
        <v>1</v>
      </c>
      <c r="AJ7" s="160"/>
      <c r="AK7" s="160"/>
      <c r="AL7" s="160"/>
      <c r="AM7" s="160"/>
      <c r="AN7" s="160"/>
      <c r="AO7" s="160"/>
      <c r="AP7" s="160"/>
      <c r="AQ7" s="160"/>
      <c r="AR7" s="160"/>
      <c r="AS7" s="160"/>
      <c r="AT7" s="160"/>
      <c r="AU7" s="160"/>
      <c r="AV7" s="160"/>
      <c r="AW7" s="160"/>
      <c r="AX7" s="160"/>
      <c r="AY7" s="160"/>
      <c r="AZ7" s="158" t="str">
        <f t="array" ref="AZ7">LET(team, SUBSTITUTE(AZ$1, " Wins", ""), IF(COUNTIF(INDIRECT("'"&amp;$A7&amp;"'!$C:$C"), team)&gt;0, 1, "-"))</f>
        <v>-</v>
      </c>
      <c r="BA7" s="158">
        <f t="array" ref="BA7">LET(team, SUBSTITUTE(BA$1, " Losses", ""), weekSheet, "'"&amp;$A7&amp;"'!", matchIdx, MATCH("*"&amp;team&amp;"*", INDIRECT(weekSheet&amp;"$B:$B"), 0), IF(ISNA(matchIdx), "-", LET(winner, INDEX(INDIRECT(weekSheet&amp;"$C:$C"), matchIdx), IF(winner="", "-", IF(winner=team, "-", 1)))))</f>
        <v>1</v>
      </c>
      <c r="BB7" s="160"/>
      <c r="BC7" s="160"/>
      <c r="BD7" s="160"/>
      <c r="BE7" s="160"/>
      <c r="BF7" s="160"/>
      <c r="BG7" s="160"/>
      <c r="BH7" s="158">
        <f t="array" ref="BH7">LET(team, SUBSTITUTE(BH$1, " Wins", ""), IF(COUNTIF(INDIRECT("'"&amp;$A7&amp;"'!$C:$C"), team)&gt;0, 1, "-"))</f>
        <v>1</v>
      </c>
      <c r="BI7" s="158" t="str">
        <f t="array" ref="BI7">LET(team, SUBSTITUTE(BI$1, " Losses", ""), weekSheet, "'"&amp;$A7&amp;"'!", matchIdx, MATCH("*"&amp;team&amp;"*", INDIRECT(weekSheet&amp;"$B:$B"), 0), IF(ISNA(matchIdx), "-", LET(winner, INDEX(INDIRECT(weekSheet&amp;"$C:$C"), matchIdx), IF(winner="", "-", IF(winner=team, "-", 1)))))</f>
        <v>-</v>
      </c>
      <c r="BJ7" s="160"/>
      <c r="BK7" s="160"/>
      <c r="BL7" s="158" t="str">
        <f t="array" ref="BL7">LET(team, SUBSTITUTE(BL$1, " Wins", ""), IF(COUNTIF(INDIRECT("'"&amp;$A7&amp;"'!$C:$C"), team)&gt;0, 1, "-"))</f>
        <v>-</v>
      </c>
      <c r="BM7" s="158">
        <f t="array" ref="BM7">LET(team, SUBSTITUTE(BM$1, " Losses", ""), weekSheet, "'"&amp;$A7&amp;"'!", matchIdx, MATCH("*"&amp;team&amp;"*", INDIRECT(weekSheet&amp;"$B:$B"), 0), IF(ISNA(matchIdx), "-", LET(winner, INDEX(INDIRECT(weekSheet&amp;"$C:$C"), matchIdx), IF(winner="", "-", IF(winner=team, "-", 1)))))</f>
        <v>1</v>
      </c>
    </row>
    <row r="8">
      <c r="A8" s="157" t="s">
        <v>159</v>
      </c>
      <c r="B8" s="160"/>
      <c r="C8" s="160"/>
      <c r="D8" s="160"/>
      <c r="E8" s="160"/>
      <c r="F8" s="160"/>
      <c r="G8" s="160"/>
      <c r="H8" s="160"/>
      <c r="I8" s="160"/>
      <c r="J8" s="160"/>
      <c r="K8" s="160"/>
      <c r="L8" s="160"/>
      <c r="M8" s="160"/>
      <c r="N8" s="160"/>
      <c r="O8" s="160"/>
      <c r="P8" s="160"/>
      <c r="Q8" s="160"/>
      <c r="R8" s="160"/>
      <c r="S8" s="160"/>
      <c r="T8" s="160"/>
      <c r="U8" s="160"/>
      <c r="V8" s="160"/>
      <c r="W8" s="160"/>
      <c r="X8" s="160"/>
      <c r="Y8" s="160"/>
      <c r="Z8" s="158">
        <f t="array" ref="Z8">LET(team, SUBSTITUTE(Z$1, " Wins", ""), IF(COUNTIF(INDIRECT("'"&amp;$A8&amp;"'!$C:$C"), team)&gt;0, 1, "-"))</f>
        <v>1</v>
      </c>
      <c r="AA8" s="158" t="str">
        <f t="array" ref="AA8">LET(team, SUBSTITUTE(AA$1, " Losses", ""), weekSheet, "'"&amp;$A8&amp;"'!", matchIdx, MATCH("*"&amp;team&amp;"*", INDIRECT(weekSheet&amp;"$B:$B"), 0), IF(ISNA(matchIdx), "-", LET(winner, INDEX(INDIRECT(weekSheet&amp;"$C:$C"), matchIdx), IF(winner="", "-", IF(winner=team, "-", 1)))))</f>
        <v>-</v>
      </c>
      <c r="AB8" s="160"/>
      <c r="AC8" s="160"/>
      <c r="AD8" s="160"/>
      <c r="AE8" s="160"/>
      <c r="AF8" s="160"/>
      <c r="AG8" s="160"/>
      <c r="AH8" s="160"/>
      <c r="AI8" s="160"/>
      <c r="AJ8" s="160"/>
      <c r="AK8" s="160"/>
      <c r="AL8" s="160"/>
      <c r="AM8" s="160"/>
      <c r="AN8" s="160"/>
      <c r="AO8" s="160"/>
      <c r="AP8" s="45">
        <f t="array" ref="AP8">LET(team, SUBSTITUTE(AP$1, " Wins", ""), IF(COUNTIF(INDIRECT("'"&amp;$A8&amp;"'!$C:$C"), team)&gt;0, 1, "-"))</f>
        <v>1</v>
      </c>
      <c r="AQ8" s="45" t="str">
        <f t="array" ref="AQ8">LET(team, SUBSTITUTE(AQ$1, " Losses", ""), weekSheet, "'"&amp;$A8&amp;"'!", matchIdx, MATCH("*"&amp;team&amp;"*", INDIRECT(weekSheet&amp;"$B:$B"), 0), IF(ISNA(matchIdx), "-", LET(winner, INDEX(INDIRECT(weekSheet&amp;"$C:$C"), matchIdx), IF(winner="", "-", IF(winner=team, "-", 1)))))</f>
        <v>-</v>
      </c>
      <c r="AR8" s="158" t="str">
        <f t="shared" ref="AR8:AR10" si="7">LET(team, SUBSTITUTE(AR$1, " Wins", ""), IF(COUNTIF(INDIRECT("'"&amp;$A8&amp;"'!$C:$C"), team)&gt;0, 1, "-"))</f>
        <v>-</v>
      </c>
      <c r="AS8" s="158">
        <f t="shared" ref="AS8:AS10" si="8">LET(team, SUBSTITUTE(AS$1, " Losses", ""), weekSheet, "'"&amp;$A8&amp;"'!", matchIdx, MATCH("*"&amp;team&amp;"*", INDIRECT(weekSheet&amp;"$B:$B"), 0), IF(ISNA(matchIdx), "-", LET(winner, INDEX(INDIRECT(weekSheet&amp;"$C:$C"), matchIdx), IF(winner="", "-", IF(winner=team, "-", 1)))))</f>
        <v>1</v>
      </c>
      <c r="AT8" s="160"/>
      <c r="AU8" s="160"/>
      <c r="AV8" s="160"/>
      <c r="AW8" s="160"/>
      <c r="AX8" s="160"/>
      <c r="AY8" s="160"/>
      <c r="AZ8" s="160"/>
      <c r="BA8" s="160"/>
      <c r="BB8" s="160"/>
      <c r="BC8" s="160"/>
      <c r="BD8" s="160"/>
      <c r="BE8" s="160"/>
      <c r="BF8" s="160"/>
      <c r="BG8" s="160"/>
      <c r="BH8" s="160"/>
      <c r="BI8" s="160"/>
      <c r="BJ8" s="160"/>
      <c r="BK8" s="160"/>
      <c r="BL8" s="160"/>
      <c r="BM8" s="160"/>
    </row>
    <row r="9">
      <c r="A9" s="157" t="s">
        <v>164</v>
      </c>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45">
        <f t="array" ref="AN9">LET(team, SUBSTITUTE(AN$1, " Wins", ""), IF(COUNTIF(INDIRECT("'"&amp;$A9&amp;"'!$C:$C"), team)&gt;0, 1, "-"))</f>
        <v>1</v>
      </c>
      <c r="AO9" s="45" t="str">
        <f t="array" ref="AO9">LET(team, SUBSTITUTE(AO$1, " Losses", ""), weekSheet, "'"&amp;$A9&amp;"'!", matchIdx, MATCH("*"&amp;team&amp;"*", INDIRECT(weekSheet&amp;"$B:$B"), 0), IF(ISNA(matchIdx), "-", LET(winner, INDEX(INDIRECT(weekSheet&amp;"$C:$C"), matchIdx), IF(winner="", "-", IF(winner=team, "-", 1)))))</f>
        <v>-</v>
      </c>
      <c r="AP9" s="160"/>
      <c r="AQ9" s="160"/>
      <c r="AR9" s="158">
        <f t="shared" si="7"/>
        <v>1</v>
      </c>
      <c r="AS9" s="158" t="str">
        <f t="shared" si="8"/>
        <v>-</v>
      </c>
      <c r="AT9" s="160"/>
      <c r="AU9" s="160"/>
      <c r="AV9" s="158" t="str">
        <f t="array" ref="AV9">LET(team, SUBSTITUTE(AV$1, " Wins", ""), IF(COUNTIF(INDIRECT("'"&amp;$A9&amp;"'!$C:$C"), team)&gt;0, 1, "-"))</f>
        <v>-</v>
      </c>
      <c r="AW9" s="158">
        <f t="array" ref="AW9">LET(team, SUBSTITUTE(AW$1, " Losses", ""), weekSheet, "'"&amp;$A9&amp;"'!", matchIdx, MATCH("*"&amp;team&amp;"*", INDIRECT(weekSheet&amp;"$B:$B"), 0), IF(ISNA(matchIdx), "-", LET(winner, INDEX(INDIRECT(weekSheet&amp;"$C:$C"), matchIdx), IF(winner="", "-", IF(winner=team, "-", 1)))))</f>
        <v>1</v>
      </c>
      <c r="AX9" s="160"/>
      <c r="AY9" s="160"/>
      <c r="AZ9" s="160"/>
      <c r="BA9" s="160"/>
      <c r="BB9" s="160"/>
      <c r="BC9" s="160"/>
      <c r="BD9" s="160"/>
      <c r="BE9" s="160"/>
      <c r="BF9" s="160"/>
      <c r="BG9" s="160"/>
      <c r="BH9" s="160"/>
      <c r="BI9" s="160"/>
      <c r="BJ9" s="160"/>
      <c r="BK9" s="160"/>
      <c r="BL9" s="160"/>
      <c r="BM9" s="160"/>
    </row>
    <row r="10">
      <c r="A10" s="157" t="s">
        <v>170</v>
      </c>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58">
        <f t="array" ref="AD10">LET(team, SUBSTITUTE(AD$1, " Wins", ""), IF(COUNTIF(INDIRECT("'"&amp;$A10&amp;"'!$C:$C"), team)&gt;0, 1, "-"))</f>
        <v>1</v>
      </c>
      <c r="AE10" s="158" t="str">
        <f t="array" ref="AE10">LET(team, SUBSTITUTE(AE$1, " Losses", ""), weekSheet, "'"&amp;$A10&amp;"'!", matchIdx, MATCH("*"&amp;team&amp;"*", INDIRECT(weekSheet&amp;"$B:$B"), 0), IF(ISNA(matchIdx), "-", LET(winner, INDEX(INDIRECT(weekSheet&amp;"$C:$C"), matchIdx), IF(winner="", "-", IF(winner=team, "-", 1)))))</f>
        <v>-</v>
      </c>
      <c r="AF10" s="160"/>
      <c r="AG10" s="160"/>
      <c r="AH10" s="160"/>
      <c r="AI10" s="160"/>
      <c r="AJ10" s="158">
        <f t="array" ref="AJ10">LET(team, SUBSTITUTE(AJ$1, " Wins", ""), IF(COUNTIF(INDIRECT("'"&amp;$A10&amp;"'!$C:$C"), team)&gt;0, 1, "-"))</f>
        <v>1</v>
      </c>
      <c r="AK10" s="158" t="str">
        <f t="array" ref="AK10">LET(team, SUBSTITUTE(AK$1, " Losses", ""), weekSheet, "'"&amp;$A10&amp;"'!", matchIdx, MATCH("*"&amp;team&amp;"*", INDIRECT(weekSheet&amp;"$B:$B"), 0), IF(ISNA(matchIdx), "-", LET(winner, INDEX(INDIRECT(weekSheet&amp;"$C:$C"), matchIdx), IF(winner="", "-", IF(winner=team, "-", 1)))))</f>
        <v>-</v>
      </c>
      <c r="AL10" s="160"/>
      <c r="AM10" s="160"/>
      <c r="AN10" s="160"/>
      <c r="AO10" s="160"/>
      <c r="AP10" s="160"/>
      <c r="AQ10" s="160"/>
      <c r="AR10" s="45">
        <f t="shared" si="7"/>
        <v>1</v>
      </c>
      <c r="AS10" s="45" t="str">
        <f t="shared" si="8"/>
        <v>-</v>
      </c>
      <c r="AT10" s="158" t="str">
        <f t="shared" ref="AT10:AT11" si="9">LET(team, SUBSTITUTE(AT$1, " Wins", ""), IF(COUNTIF(INDIRECT("'"&amp;$A10&amp;"'!$C:$C"), team)&gt;0, 1, "-"))</f>
        <v>-</v>
      </c>
      <c r="AU10" s="158">
        <f t="shared" ref="AU10:AU11" si="10">LET(team, SUBSTITUTE(AU$1, " Losses", ""), weekSheet, "'"&amp;$A10&amp;"'!", matchIdx, MATCH("*"&amp;team&amp;"*", INDIRECT(weekSheet&amp;"$B:$B"), 0), IF(ISNA(matchIdx), "-", LET(winner, INDEX(INDIRECT(weekSheet&amp;"$C:$C"), matchIdx), IF(winner="", "-", IF(winner=team, "-", 1)))))</f>
        <v>1</v>
      </c>
      <c r="AV10" s="160"/>
      <c r="AW10" s="160"/>
      <c r="AX10" s="160"/>
      <c r="AY10" s="160"/>
      <c r="AZ10" s="160"/>
      <c r="BA10" s="160"/>
      <c r="BB10" s="160"/>
      <c r="BC10" s="160"/>
      <c r="BD10" s="160"/>
      <c r="BE10" s="160"/>
      <c r="BF10" s="160"/>
      <c r="BG10" s="160"/>
      <c r="BH10" s="160"/>
      <c r="BI10" s="160"/>
      <c r="BJ10" s="160"/>
      <c r="BK10" s="160"/>
      <c r="BL10" s="160"/>
      <c r="BM10" s="160"/>
    </row>
    <row r="11">
      <c r="A11" s="157" t="s">
        <v>175</v>
      </c>
      <c r="B11" s="160"/>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58" t="str">
        <f t="array" ref="AH11">LET(team, SUBSTITUTE(AH$1, " Wins", ""), IF(COUNTIF(INDIRECT("'"&amp;$A11&amp;"'!$C:$C"), team)&gt;0, 1, "-"))</f>
        <v>-</v>
      </c>
      <c r="AI11" s="158">
        <f t="array" ref="AI11">LET(team, SUBSTITUTE(AI$1, " Losses", ""), weekSheet, "'"&amp;$A11&amp;"'!", matchIdx, MATCH("*"&amp;team&amp;"*", INDIRECT(weekSheet&amp;"$B:$B"), 0), IF(ISNA(matchIdx), "-", LET(winner, INDEX(INDIRECT(weekSheet&amp;"$C:$C"), matchIdx), IF(winner="", "-", IF(winner=team, "-", 1)))))</f>
        <v>1</v>
      </c>
      <c r="AJ11" s="160"/>
      <c r="AK11" s="160"/>
      <c r="AL11" s="160"/>
      <c r="AM11" s="160"/>
      <c r="AN11" s="160"/>
      <c r="AO11" s="160"/>
      <c r="AP11" s="160"/>
      <c r="AQ11" s="160"/>
      <c r="AR11" s="160"/>
      <c r="AS11" s="160"/>
      <c r="AT11" s="158" t="str">
        <f t="shared" si="9"/>
        <v>-</v>
      </c>
      <c r="AU11" s="158">
        <f t="shared" si="10"/>
        <v>1</v>
      </c>
      <c r="AV11" s="158">
        <f t="array" ref="AV11">LET(team, SUBSTITUTE(AV$1, " Wins", ""), IF(COUNTIF(INDIRECT("'"&amp;$A11&amp;"'!$C:$C"), team)&gt;0, 1, "-"))</f>
        <v>1</v>
      </c>
      <c r="AW11" s="158" t="str">
        <f t="array" ref="AW11">LET(team, SUBSTITUTE(AW$1, " Losses", ""), weekSheet, "'"&amp;$A11&amp;"'!", matchIdx, MATCH("*"&amp;team&amp;"*", INDIRECT(weekSheet&amp;"$B:$B"), 0), IF(ISNA(matchIdx), "-", LET(winner, INDEX(INDIRECT(weekSheet&amp;"$C:$C"), matchIdx), IF(winner="", "-", IF(winner=team, "-", 1)))))</f>
        <v>-</v>
      </c>
      <c r="AX11" s="160"/>
      <c r="AY11" s="160"/>
      <c r="AZ11" s="160"/>
      <c r="BA11" s="160"/>
      <c r="BB11" s="160"/>
      <c r="BC11" s="160"/>
      <c r="BD11" s="160"/>
      <c r="BE11" s="160"/>
      <c r="BF11" s="160"/>
      <c r="BG11" s="160"/>
      <c r="BH11" s="160"/>
      <c r="BI11" s="160"/>
      <c r="BJ11" s="160"/>
      <c r="BK11" s="160"/>
      <c r="BL11" s="160"/>
      <c r="BM11" s="160"/>
    </row>
    <row r="12">
      <c r="A12" s="157" t="s">
        <v>179</v>
      </c>
      <c r="B12" s="160"/>
      <c r="C12" s="160"/>
      <c r="D12" s="160"/>
      <c r="E12" s="160"/>
      <c r="F12" s="160"/>
      <c r="G12" s="160"/>
      <c r="H12" s="160"/>
      <c r="I12" s="160"/>
      <c r="J12" s="160"/>
      <c r="K12" s="160"/>
      <c r="L12" s="160"/>
      <c r="M12" s="160"/>
      <c r="N12" s="160"/>
      <c r="O12" s="160"/>
      <c r="P12" s="160"/>
      <c r="Q12" s="160"/>
      <c r="R12" s="160"/>
      <c r="S12" s="160"/>
      <c r="T12" s="160"/>
      <c r="U12" s="160"/>
      <c r="V12" s="158" t="str">
        <f t="array" ref="V12">LET(team, SUBSTITUTE(V$1, " Wins", ""), IF(COUNTIF(INDIRECT("'"&amp;$A12&amp;"'!$C:$C"), team)&gt;0, 1, "-"))</f>
        <v>-</v>
      </c>
      <c r="W12" s="158">
        <f t="array" ref="W12">LET(team, SUBSTITUTE(W$1, " Losses", ""), weekSheet, "'"&amp;$A12&amp;"'!", matchIdx, MATCH("*"&amp;team&amp;"*", INDIRECT(weekSheet&amp;"$B:$B"), 0), IF(ISNA(matchIdx), "-", LET(winner, INDEX(INDIRECT(weekSheet&amp;"$C:$C"), matchIdx), IF(winner="", "-", IF(winner=team, "-", 1)))))</f>
        <v>1</v>
      </c>
      <c r="X12" s="158" t="str">
        <f t="array" ref="X12">LET(team, SUBSTITUTE(X$1, " Wins", ""), IF(COUNTIF(INDIRECT("'"&amp;$A12&amp;"'!$C:$C"), team)&gt;0, 1, "-"))</f>
        <v>-</v>
      </c>
      <c r="Y12" s="158">
        <f t="array" ref="Y12">LET(team, SUBSTITUTE(Y$1, " Losses", ""), weekSheet, "'"&amp;$A12&amp;"'!", matchIdx, MATCH("*"&amp;team&amp;"*", INDIRECT(weekSheet&amp;"$B:$B"), 0), IF(ISNA(matchIdx), "-", LET(winner, INDEX(INDIRECT(weekSheet&amp;"$C:$C"), matchIdx), IF(winner="", "-", IF(winner=team, "-", 1)))))</f>
        <v>1</v>
      </c>
      <c r="Z12" s="160"/>
      <c r="AA12" s="160"/>
      <c r="AB12" s="158" t="str">
        <f t="array" ref="AB12">LET(team, SUBSTITUTE(AB$1, " Wins", ""), IF(COUNTIF(INDIRECT("'"&amp;$A12&amp;"'!$C:$C"), team)&gt;0, 1, "-"))</f>
        <v>-</v>
      </c>
      <c r="AC12" s="158">
        <f t="array" ref="AC12">LET(team, SUBSTITUTE(AC$1, " Losses", ""), weekSheet, "'"&amp;$A12&amp;"'!", matchIdx, MATCH("*"&amp;team&amp;"*", INDIRECT(weekSheet&amp;"$B:$B"), 0), IF(ISNA(matchIdx), "-", LET(winner, INDEX(INDIRECT(weekSheet&amp;"$C:$C"), matchIdx), IF(winner="", "-", IF(winner=team, "-", 1)))))</f>
        <v>1</v>
      </c>
      <c r="AD12" s="160"/>
      <c r="AE12" s="160"/>
      <c r="AF12" s="158" t="str">
        <f t="array" ref="AF12">LET(team, SUBSTITUTE(AF$1, " Wins", ""), IF(COUNTIF(INDIRECT("'"&amp;$A12&amp;"'!$C:$C"), team)&gt;0, 1, "-"))</f>
        <v>-</v>
      </c>
      <c r="AG12" s="158">
        <f t="array" ref="AG12">LET(team, SUBSTITUTE(AG$1, " Losses", ""), weekSheet, "'"&amp;$A12&amp;"'!", matchIdx, MATCH("*"&amp;team&amp;"*", INDIRECT(weekSheet&amp;"$B:$B"), 0), IF(ISNA(matchIdx), "-", LET(winner, INDEX(INDIRECT(weekSheet&amp;"$C:$C"), matchIdx), IF(winner="", "-", IF(winner=team, "-", 1)))))</f>
        <v>1</v>
      </c>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row>
    <row r="13">
      <c r="A13" s="157" t="s">
        <v>185</v>
      </c>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58">
        <f t="array" ref="AD13">LET(team, SUBSTITUTE(AD$1, " Wins", ""), IF(COUNTIF(INDIRECT("'"&amp;$A13&amp;"'!$C:$C"), team)&gt;0, 1, "-"))</f>
        <v>1</v>
      </c>
      <c r="AE13" s="158" t="str">
        <f t="array" ref="AE13">LET(team, SUBSTITUTE(AE$1, " Losses", ""), weekSheet, "'"&amp;$A13&amp;"'!", matchIdx, MATCH("*"&amp;team&amp;"*", INDIRECT(weekSheet&amp;"$B:$B"), 0), IF(ISNA(matchIdx), "-", LET(winner, INDEX(INDIRECT(weekSheet&amp;"$C:$C"), matchIdx), IF(winner="", "-", IF(winner=team, "-", 1)))))</f>
        <v>-</v>
      </c>
      <c r="AF13" s="160"/>
      <c r="AG13" s="160"/>
      <c r="AH13" s="160"/>
      <c r="AI13" s="160"/>
      <c r="AJ13" s="160"/>
      <c r="AK13" s="160"/>
      <c r="AL13" s="160"/>
      <c r="AM13" s="160"/>
      <c r="AN13" s="158">
        <f t="shared" ref="AN13:AN14" si="11">LET(team, SUBSTITUTE(AN$1, " Wins", ""), IF(COUNTIF(INDIRECT("'"&amp;$A13&amp;"'!$C:$C"), team)&gt;0, 1, "-"))</f>
        <v>1</v>
      </c>
      <c r="AO13" s="158" t="str">
        <f t="shared" ref="AO13:AO14" si="12">LET(team, SUBSTITUTE(AO$1, " Losses", ""), weekSheet, "'"&amp;$A13&amp;"'!", matchIdx, MATCH("*"&amp;team&amp;"*", INDIRECT(weekSheet&amp;"$B:$B"), 0), IF(ISNA(matchIdx), "-", LET(winner, INDEX(INDIRECT(weekSheet&amp;"$C:$C"), matchIdx), IF(winner="", "-", IF(winner=team, "-", 1)))))</f>
        <v>-</v>
      </c>
      <c r="AP13" s="158" t="str">
        <f t="array" ref="AP13">LET(team, SUBSTITUTE(AP$1, " Wins", ""), IF(COUNTIF(INDIRECT("'"&amp;$A13&amp;"'!$C:$C"), team)&gt;0, 1, "-"))</f>
        <v>-</v>
      </c>
      <c r="AQ13" s="158">
        <f t="array" ref="AQ13">LET(team, SUBSTITUTE(AQ$1, " Losses", ""), weekSheet, "'"&amp;$A13&amp;"'!", matchIdx, MATCH("*"&amp;team&amp;"*", INDIRECT(weekSheet&amp;"$B:$B"), 0), IF(ISNA(matchIdx), "-", LET(winner, INDEX(INDIRECT(weekSheet&amp;"$C:$C"), matchIdx), IF(winner="", "-", IF(winner=team, "-", 1)))))</f>
        <v>1</v>
      </c>
      <c r="AR13" s="158">
        <f t="array" ref="AR13">LET(team, SUBSTITUTE(AR$1, " Wins", ""), IF(COUNTIF(INDIRECT("'"&amp;$A13&amp;"'!$C:$C"), team)&gt;0, 1, "-"))</f>
        <v>1</v>
      </c>
      <c r="AS13" s="158" t="str">
        <f t="array" ref="AS13">LET(team, SUBSTITUTE(AS$1, " Losses", ""), weekSheet, "'"&amp;$A13&amp;"'!", matchIdx, MATCH("*"&amp;team&amp;"*", INDIRECT(weekSheet&amp;"$B:$B"), 0), IF(ISNA(matchIdx), "-", LET(winner, INDEX(INDIRECT(weekSheet&amp;"$C:$C"), matchIdx), IF(winner="", "-", IF(winner=team, "-", 1)))))</f>
        <v>-</v>
      </c>
      <c r="AT13" s="160"/>
      <c r="AU13" s="160"/>
      <c r="AV13" s="160"/>
      <c r="AW13" s="160"/>
      <c r="AX13" s="160"/>
      <c r="AY13" s="160"/>
      <c r="AZ13" s="160"/>
      <c r="BA13" s="160"/>
      <c r="BB13" s="160"/>
      <c r="BC13" s="160"/>
      <c r="BD13" s="160"/>
      <c r="BE13" s="160"/>
      <c r="BF13" s="160"/>
      <c r="BG13" s="160"/>
      <c r="BH13" s="160"/>
      <c r="BI13" s="160"/>
      <c r="BJ13" s="160"/>
      <c r="BK13" s="160"/>
      <c r="BL13" s="160"/>
      <c r="BM13" s="160"/>
    </row>
    <row r="14">
      <c r="A14" s="157" t="s">
        <v>191</v>
      </c>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58">
        <f t="array" ref="AF14">LET(team, SUBSTITUTE(AF$1, " Wins", ""), IF(COUNTIF(INDIRECT("'"&amp;$A14&amp;"'!$C:$C"), team)&gt;0, 1, "-"))</f>
        <v>1</v>
      </c>
      <c r="AG14" s="158" t="str">
        <f t="array" ref="AG14">LET(team, SUBSTITUTE(AG$1, " Losses", ""), weekSheet, "'"&amp;$A14&amp;"'!", matchIdx, MATCH("*"&amp;team&amp;"*", INDIRECT(weekSheet&amp;"$B:$B"), 0), IF(ISNA(matchIdx), "-", LET(winner, INDEX(INDIRECT(weekSheet&amp;"$C:$C"), matchIdx), IF(winner="", "-", IF(winner=team, "-", 1)))))</f>
        <v>-</v>
      </c>
      <c r="AH14" s="158">
        <f t="array" ref="AH14">LET(team, SUBSTITUTE(AH$1, " Wins", ""), IF(COUNTIF(INDIRECT("'"&amp;$A14&amp;"'!$C:$C"), team)&gt;0, 1, "-"))</f>
        <v>1</v>
      </c>
      <c r="AI14" s="158" t="str">
        <f t="array" ref="AI14">LET(team, SUBSTITUTE(AI$1, " Losses", ""), weekSheet, "'"&amp;$A14&amp;"'!", matchIdx, MATCH("*"&amp;team&amp;"*", INDIRECT(weekSheet&amp;"$B:$B"), 0), IF(ISNA(matchIdx), "-", LET(winner, INDEX(INDIRECT(weekSheet&amp;"$C:$C"), matchIdx), IF(winner="", "-", IF(winner=team, "-", 1)))))</f>
        <v>-</v>
      </c>
      <c r="AJ14" s="160"/>
      <c r="AK14" s="160"/>
      <c r="AL14" s="158">
        <f t="shared" ref="AL14:AL16" si="13">LET(team, SUBSTITUTE(AL$1, " Wins", ""), IF(COUNTIF(INDIRECT("'"&amp;$A14&amp;"'!$C:$C"), team)&gt;0, 1, "-"))</f>
        <v>1</v>
      </c>
      <c r="AM14" s="158" t="str">
        <f t="shared" ref="AM14:AM16" si="14">LET(team, SUBSTITUTE(AM$1, " Losses", ""), weekSheet, "'"&amp;$A14&amp;"'!", matchIdx, MATCH("*"&amp;team&amp;"*", INDIRECT(weekSheet&amp;"$B:$B"), 0), IF(ISNA(matchIdx), "-", LET(winner, INDEX(INDIRECT(weekSheet&amp;"$C:$C"), matchIdx), IF(winner="", "-", IF(winner=team, "-", 1)))))</f>
        <v>-</v>
      </c>
      <c r="AN14" s="158" t="str">
        <f t="shared" si="11"/>
        <v>-</v>
      </c>
      <c r="AO14" s="158">
        <f t="shared" si="12"/>
        <v>1</v>
      </c>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row>
    <row r="15">
      <c r="A15" s="157" t="s">
        <v>194</v>
      </c>
      <c r="B15" s="160"/>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45" t="str">
        <f t="array" ref="Z15">LET(team, SUBSTITUTE(Z$1, " Wins", ""), IF(COUNTIF(INDIRECT("'"&amp;$A15&amp;"'!$C:$C"), team)&gt;0, 1, "-"))</f>
        <v>-</v>
      </c>
      <c r="AA15" s="45">
        <f t="array" ref="AA15">LET(team, SUBSTITUTE(AA$1, " Losses", ""), weekSheet, "'"&amp;$A15&amp;"'!", matchIdx, MATCH("*"&amp;team&amp;"*", INDIRECT(weekSheet&amp;"$B:$B"), 0), IF(ISNA(matchIdx), "-", LET(winner, INDEX(INDIRECT(weekSheet&amp;"$C:$C"), matchIdx), IF(winner="", "-", IF(winner=team, "-", 1)))))</f>
        <v>1</v>
      </c>
      <c r="AB15" s="160"/>
      <c r="AC15" s="160"/>
      <c r="AD15" s="45" t="str">
        <f t="array" ref="AD15">LET(team, SUBSTITUTE(AD$1, " Wins", ""), IF(COUNTIF(INDIRECT("'"&amp;$A15&amp;"'!$C:$C"), team)&gt;0, 1, "-"))</f>
        <v>-</v>
      </c>
      <c r="AE15" s="45">
        <f t="array" ref="AE15">LET(team, SUBSTITUTE(AE$1, " Losses", ""), weekSheet, "'"&amp;$A15&amp;"'!", matchIdx, MATCH("*"&amp;team&amp;"*", INDIRECT(weekSheet&amp;"$B:$B"), 0), IF(ISNA(matchIdx), "-", LET(winner, INDEX(INDIRECT(weekSheet&amp;"$C:$C"), matchIdx), IF(winner="", "-", IF(winner=team, "-", 1)))))</f>
        <v>1</v>
      </c>
      <c r="AF15" s="160"/>
      <c r="AG15" s="160"/>
      <c r="AH15" s="160"/>
      <c r="AI15" s="160"/>
      <c r="AJ15" s="160"/>
      <c r="AK15" s="160"/>
      <c r="AL15" s="158">
        <f t="shared" si="13"/>
        <v>1</v>
      </c>
      <c r="AM15" s="158" t="str">
        <f t="shared" si="14"/>
        <v>-</v>
      </c>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row>
    <row r="16">
      <c r="A16" s="157" t="s">
        <v>198</v>
      </c>
      <c r="B16" s="160"/>
      <c r="C16" s="160"/>
      <c r="D16" s="160"/>
      <c r="E16" s="160"/>
      <c r="F16" s="160"/>
      <c r="G16" s="160"/>
      <c r="H16" s="160"/>
      <c r="I16" s="160"/>
      <c r="J16" s="160"/>
      <c r="K16" s="160"/>
      <c r="L16" s="160"/>
      <c r="M16" s="160"/>
      <c r="N16" s="160"/>
      <c r="O16" s="160"/>
      <c r="P16" s="160"/>
      <c r="Q16" s="160"/>
      <c r="R16" s="160"/>
      <c r="S16" s="160"/>
      <c r="T16" s="158" t="str">
        <f t="array" ref="T16">LET(team, SUBSTITUTE(T$1, " Wins", ""), IF(COUNTIF(INDIRECT("'"&amp;$A16&amp;"'!$C:$C"), team)&gt;0, 1, "-"))</f>
        <v>-</v>
      </c>
      <c r="U16" s="158">
        <f t="array" ref="U16">LET(team, SUBSTITUTE(U$1, " Losses", ""), weekSheet, "'"&amp;$A16&amp;"'!", matchIdx, MATCH("*"&amp;team&amp;"*", INDIRECT(weekSheet&amp;"$B:$B"), 0), IF(ISNA(matchIdx), "-", LET(winner, INDEX(INDIRECT(weekSheet&amp;"$C:$C"), matchIdx), IF(winner="", "-", IF(winner=team, "-", 1)))))</f>
        <v>1</v>
      </c>
      <c r="V16" s="160"/>
      <c r="W16" s="160"/>
      <c r="X16" s="160"/>
      <c r="Y16" s="160"/>
      <c r="Z16" s="160"/>
      <c r="AA16" s="160"/>
      <c r="AB16" s="160"/>
      <c r="AC16" s="160"/>
      <c r="AD16" s="160"/>
      <c r="AE16" s="160"/>
      <c r="AF16" s="160"/>
      <c r="AG16" s="160"/>
      <c r="AH16" s="160"/>
      <c r="AI16" s="160"/>
      <c r="AJ16" s="158">
        <f t="array" ref="AJ16">LET(team, SUBSTITUTE(AJ$1, " Wins", ""), IF(COUNTIF(INDIRECT("'"&amp;$A16&amp;"'!$C:$C"), team)&gt;0, 1, "-"))</f>
        <v>1</v>
      </c>
      <c r="AK16" s="158" t="str">
        <f t="array" ref="AK16">LET(team, SUBSTITUTE(AK$1, " Losses", ""), weekSheet, "'"&amp;$A16&amp;"'!", matchIdx, MATCH("*"&amp;team&amp;"*", INDIRECT(weekSheet&amp;"$B:$B"), 0), IF(ISNA(matchIdx), "-", LET(winner, INDEX(INDIRECT(weekSheet&amp;"$C:$C"), matchIdx), IF(winner="", "-", IF(winner=team, "-", 1)))))</f>
        <v>-</v>
      </c>
      <c r="AL16" s="158" t="str">
        <f t="shared" si="13"/>
        <v>-</v>
      </c>
      <c r="AM16" s="158">
        <f t="shared" si="14"/>
        <v>1</v>
      </c>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58">
        <f t="array" ref="BJ16">LET(team, SUBSTITUTE(BJ$1, " Wins", ""), IF(COUNTIF(INDIRECT("'"&amp;$A16&amp;"'!$C:$C"), team)&gt;0, 1, "-"))</f>
        <v>1</v>
      </c>
      <c r="BK16" s="158" t="str">
        <f t="array" ref="BK16">LET(team, SUBSTITUTE(BK$1, " Losses", ""), weekSheet, "'"&amp;$A16&amp;"'!", matchIdx, MATCH("*"&amp;team&amp;"*", INDIRECT(weekSheet&amp;"$B:$B"), 0), IF(ISNA(matchIdx), "-", LET(winner, INDEX(INDIRECT(weekSheet&amp;"$C:$C"), matchIdx), IF(winner="", "-", IF(winner=team, "-", 1)))))</f>
        <v>-</v>
      </c>
      <c r="BL16" s="160"/>
      <c r="BM16" s="160"/>
    </row>
    <row r="17">
      <c r="A17" s="157" t="s">
        <v>202</v>
      </c>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58" t="str">
        <f t="array" ref="Z17">LET(team, SUBSTITUTE(Z$1, " Wins", ""), IF(COUNTIF(INDIRECT("'"&amp;$A17&amp;"'!$C:$C"), team)&gt;0, 1, "-"))</f>
        <v>-</v>
      </c>
      <c r="AA17" s="158">
        <f t="array" ref="AA17">LET(team, SUBSTITUTE(AA$1, " Losses", ""), weekSheet, "'"&amp;$A17&amp;"'!", matchIdx, MATCH("*"&amp;team&amp;"*", INDIRECT(weekSheet&amp;"$B:$B"), 0), IF(ISNA(matchIdx), "-", LET(winner, INDEX(INDIRECT(weekSheet&amp;"$C:$C"), matchIdx), IF(winner="", "-", IF(winner=team, "-", 1)))))</f>
        <v>1</v>
      </c>
      <c r="AB17" s="158" t="str">
        <f t="shared" ref="AB17:AB18" si="15">LET(team, SUBSTITUTE(AB$1, " Wins", ""), IF(COUNTIF(INDIRECT("'"&amp;$A17&amp;"'!$C:$C"), team)&gt;0, 1, "-"))</f>
        <v>-</v>
      </c>
      <c r="AC17" s="158">
        <f t="shared" ref="AC17:AC18" si="16">LET(team, SUBSTITUTE(AC$1, " Losses", ""), weekSheet, "'"&amp;$A17&amp;"'!", matchIdx, MATCH("*"&amp;team&amp;"*", INDIRECT(weekSheet&amp;"$B:$B"), 0), IF(ISNA(matchIdx), "-", LET(winner, INDEX(INDIRECT(weekSheet&amp;"$C:$C"), matchIdx), IF(winner="", "-", IF(winner=team, "-", 1)))))</f>
        <v>1</v>
      </c>
      <c r="AD17" s="160"/>
      <c r="AE17" s="160"/>
      <c r="AF17" s="160"/>
      <c r="AG17" s="160"/>
      <c r="AH17" s="160"/>
      <c r="AI17" s="160"/>
      <c r="AJ17" s="160"/>
      <c r="AK17" s="160"/>
      <c r="AL17" s="160"/>
      <c r="AM17" s="160"/>
      <c r="AN17" s="160"/>
      <c r="AO17" s="160"/>
      <c r="AP17" s="160"/>
      <c r="AQ17" s="160"/>
      <c r="AR17" s="160"/>
      <c r="AS17" s="160"/>
      <c r="AT17" s="160"/>
      <c r="AU17" s="160"/>
      <c r="AV17" s="160"/>
      <c r="AW17" s="160"/>
      <c r="AX17" s="158">
        <f t="array" ref="AX17">LET(team, SUBSTITUTE(AX$1, " Wins", ""), IF(COUNTIF(INDIRECT("'"&amp;$A17&amp;"'!$C:$C"), team)&gt;0, 1, "-"))</f>
        <v>1</v>
      </c>
      <c r="AY17" s="158" t="str">
        <f t="array" ref="AY17">LET(team, SUBSTITUTE(AY$1, " Losses", ""), weekSheet, "'"&amp;$A17&amp;"'!", matchIdx, MATCH("*"&amp;team&amp;"*", INDIRECT(weekSheet&amp;"$B:$B"), 0), IF(ISNA(matchIdx), "-", LET(winner, INDEX(INDIRECT(weekSheet&amp;"$C:$C"), matchIdx), IF(winner="", "-", IF(winner=team, "-", 1)))))</f>
        <v>-</v>
      </c>
      <c r="AZ17" s="160"/>
      <c r="BA17" s="160"/>
      <c r="BB17" s="158">
        <f t="array" ref="BB17">LET(team, SUBSTITUTE(BB$1, " Wins", ""), IF(COUNTIF(INDIRECT("'"&amp;$A17&amp;"'!$C:$C"), team)&gt;0, 1, "-"))</f>
        <v>1</v>
      </c>
      <c r="BC17" s="158" t="str">
        <f t="array" ref="BC17">LET(team, SUBSTITUTE(BC$1, " Losses", ""), weekSheet, "'"&amp;$A17&amp;"'!", matchIdx, MATCH("*"&amp;team&amp;"*", INDIRECT(weekSheet&amp;"$B:$B"), 0), IF(ISNA(matchIdx), "-", LET(winner, INDEX(INDIRECT(weekSheet&amp;"$C:$C"), matchIdx), IF(winner="", "-", IF(winner=team, "-", 1)))))</f>
        <v>-</v>
      </c>
      <c r="BD17" s="160"/>
      <c r="BE17" s="160"/>
      <c r="BF17" s="160"/>
      <c r="BG17" s="160"/>
      <c r="BH17" s="160"/>
      <c r="BI17" s="160"/>
      <c r="BJ17" s="160"/>
      <c r="BK17" s="160"/>
      <c r="BL17" s="160"/>
      <c r="BM17" s="160"/>
    </row>
    <row r="18">
      <c r="A18" s="157" t="s">
        <v>206</v>
      </c>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58">
        <f t="shared" si="15"/>
        <v>1</v>
      </c>
      <c r="AC18" s="158" t="str">
        <f t="shared" si="16"/>
        <v>-</v>
      </c>
      <c r="AD18" s="160"/>
      <c r="AE18" s="160"/>
      <c r="AF18" s="160"/>
      <c r="AG18" s="160"/>
      <c r="AH18" s="158">
        <f t="array" ref="AH18">LET(team, SUBSTITUTE(AH$1, " Wins", ""), IF(COUNTIF(INDIRECT("'"&amp;$A18&amp;"'!$C:$C"), team)&gt;0, 1, "-"))</f>
        <v>1</v>
      </c>
      <c r="AI18" s="158" t="str">
        <f t="array" ref="AI18">LET(team, SUBSTITUTE(AI$1, " Losses", ""), weekSheet, "'"&amp;$A18&amp;"'!", matchIdx, MATCH("*"&amp;team&amp;"*", INDIRECT(weekSheet&amp;"$B:$B"), 0), IF(ISNA(matchIdx), "-", LET(winner, INDEX(INDIRECT(weekSheet&amp;"$C:$C"), matchIdx), IF(winner="", "-", IF(winner=team, "-", 1)))))</f>
        <v>-</v>
      </c>
      <c r="AJ18" s="160"/>
      <c r="AK18" s="160"/>
      <c r="AL18" s="160"/>
      <c r="AM18" s="160"/>
      <c r="AN18" s="160"/>
      <c r="AO18" s="160"/>
      <c r="AP18" s="158">
        <f t="shared" ref="AP18:AP19" si="17">LET(team, SUBSTITUTE(AP$1, " Wins", ""), IF(COUNTIF(INDIRECT("'"&amp;$A18&amp;"'!$C:$C"), team)&gt;0, 1, "-"))</f>
        <v>1</v>
      </c>
      <c r="AQ18" s="158" t="str">
        <f t="shared" ref="AQ18:AQ19" si="18">LET(team, SUBSTITUTE(AQ$1, " Losses", ""), weekSheet, "'"&amp;$A18&amp;"'!", matchIdx, MATCH("*"&amp;team&amp;"*", INDIRECT(weekSheet&amp;"$B:$B"), 0), IF(ISNA(matchIdx), "-", LET(winner, INDEX(INDIRECT(weekSheet&amp;"$C:$C"), matchIdx), IF(winner="", "-", IF(winner=team, "-", 1)))))</f>
        <v>-</v>
      </c>
      <c r="AR18" s="160"/>
      <c r="AS18" s="160"/>
      <c r="AT18" s="158" t="str">
        <f t="shared" ref="AT18:AT19" si="19">LET(team, SUBSTITUTE(AT$1, " Wins", ""), IF(COUNTIF(INDIRECT("'"&amp;$A18&amp;"'!$C:$C"), team)&gt;0, 1, "-"))</f>
        <v>-</v>
      </c>
      <c r="AU18" s="158">
        <f t="shared" ref="AU18:AU19" si="20">LET(team, SUBSTITUTE(AU$1, " Losses", ""), weekSheet, "'"&amp;$A18&amp;"'!", matchIdx, MATCH("*"&amp;team&amp;"*", INDIRECT(weekSheet&amp;"$B:$B"), 0), IF(ISNA(matchIdx), "-", LET(winner, INDEX(INDIRECT(weekSheet&amp;"$C:$C"), matchIdx), IF(winner="", "-", IF(winner=team, "-", 1)))))</f>
        <v>1</v>
      </c>
      <c r="AV18" s="160"/>
      <c r="AW18" s="160"/>
      <c r="AX18" s="160"/>
      <c r="AY18" s="160"/>
      <c r="AZ18" s="160"/>
      <c r="BA18" s="160"/>
      <c r="BB18" s="160"/>
      <c r="BC18" s="160"/>
      <c r="BD18" s="160"/>
      <c r="BE18" s="160"/>
      <c r="BF18" s="160"/>
      <c r="BG18" s="160"/>
      <c r="BH18" s="160"/>
      <c r="BI18" s="160"/>
      <c r="BJ18" s="160"/>
      <c r="BK18" s="160"/>
      <c r="BL18" s="160"/>
      <c r="BM18" s="160"/>
    </row>
    <row r="19">
      <c r="A19" s="157" t="s">
        <v>207</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58">
        <f t="shared" si="17"/>
        <v>1</v>
      </c>
      <c r="AQ19" s="158" t="str">
        <f t="shared" si="18"/>
        <v>-</v>
      </c>
      <c r="AR19" s="158">
        <f t="array" ref="AR19">LET(team, SUBSTITUTE(AR$1, " Wins", ""), IF(COUNTIF(INDIRECT("'"&amp;$A19&amp;"'!$C:$C"), team)&gt;0, 1, "-"))</f>
        <v>1</v>
      </c>
      <c r="AS19" s="158" t="str">
        <f t="array" ref="AS19">LET(team, SUBSTITUTE(AS$1, " Losses", ""), weekSheet, "'"&amp;$A19&amp;"'!", matchIdx, MATCH("*"&amp;team&amp;"*", INDIRECT(weekSheet&amp;"$B:$B"), 0), IF(ISNA(matchIdx), "-", LET(winner, INDEX(INDIRECT(weekSheet&amp;"$C:$C"), matchIdx), IF(winner="", "-", IF(winner=team, "-", 1)))))</f>
        <v>-</v>
      </c>
      <c r="AT19" s="158" t="str">
        <f t="shared" si="19"/>
        <v>-</v>
      </c>
      <c r="AU19" s="158">
        <f t="shared" si="20"/>
        <v>1</v>
      </c>
      <c r="AV19" s="158" t="str">
        <f t="array" ref="AV19">LET(team, SUBSTITUTE(AV$1, " Wins", ""), IF(COUNTIF(INDIRECT("'"&amp;$A19&amp;"'!$C:$C"), team)&gt;0, 1, "-"))</f>
        <v>-</v>
      </c>
      <c r="AW19" s="158">
        <f t="array" ref="AW19">LET(team, SUBSTITUTE(AW$1, " Losses", ""), weekSheet, "'"&amp;$A19&amp;"'!", matchIdx, MATCH("*"&amp;team&amp;"*", INDIRECT(weekSheet&amp;"$B:$B"), 0), IF(ISNA(matchIdx), "-", LET(winner, INDEX(INDIRECT(weekSheet&amp;"$C:$C"), matchIdx), IF(winner="", "-", IF(winner=team, "-", 1)))))</f>
        <v>1</v>
      </c>
      <c r="AX19" s="160"/>
      <c r="AY19" s="160"/>
      <c r="AZ19" s="160"/>
      <c r="BA19" s="160"/>
      <c r="BB19" s="160"/>
      <c r="BC19" s="160"/>
      <c r="BD19" s="160"/>
      <c r="BE19" s="160"/>
      <c r="BF19" s="160"/>
      <c r="BG19" s="160"/>
      <c r="BH19" s="160"/>
      <c r="BI19" s="160"/>
      <c r="BJ19" s="160"/>
      <c r="BK19" s="160"/>
      <c r="BL19" s="160"/>
      <c r="BM19" s="160"/>
    </row>
    <row r="20">
      <c r="A20" s="227" t="s">
        <v>705</v>
      </c>
      <c r="B20" s="229">
        <f t="shared" ref="B20:BM20" si="21">SUM(B2:B19)</f>
        <v>0</v>
      </c>
      <c r="C20" s="229">
        <f t="shared" si="21"/>
        <v>0</v>
      </c>
      <c r="D20" s="230">
        <f t="shared" si="21"/>
        <v>0</v>
      </c>
      <c r="E20" s="230">
        <f t="shared" si="21"/>
        <v>0</v>
      </c>
      <c r="F20" s="231">
        <f t="shared" si="21"/>
        <v>0</v>
      </c>
      <c r="G20" s="231">
        <f t="shared" si="21"/>
        <v>0</v>
      </c>
      <c r="H20" s="232">
        <f t="shared" si="21"/>
        <v>0</v>
      </c>
      <c r="I20" s="232">
        <f t="shared" si="21"/>
        <v>0</v>
      </c>
      <c r="J20" s="233">
        <f t="shared" si="21"/>
        <v>0</v>
      </c>
      <c r="K20" s="233">
        <f t="shared" si="21"/>
        <v>0</v>
      </c>
      <c r="L20" s="234">
        <f t="shared" si="21"/>
        <v>0</v>
      </c>
      <c r="M20" s="234">
        <f t="shared" si="21"/>
        <v>0</v>
      </c>
      <c r="N20" s="235">
        <f t="shared" si="21"/>
        <v>0</v>
      </c>
      <c r="O20" s="235">
        <f t="shared" si="21"/>
        <v>0</v>
      </c>
      <c r="P20" s="236">
        <f t="shared" si="21"/>
        <v>0</v>
      </c>
      <c r="Q20" s="236">
        <f t="shared" si="21"/>
        <v>0</v>
      </c>
      <c r="R20" s="237">
        <f t="shared" si="21"/>
        <v>0</v>
      </c>
      <c r="S20" s="237">
        <f t="shared" si="21"/>
        <v>1</v>
      </c>
      <c r="T20" s="238">
        <f t="shared" si="21"/>
        <v>0</v>
      </c>
      <c r="U20" s="238">
        <f t="shared" si="21"/>
        <v>1</v>
      </c>
      <c r="V20" s="239">
        <f t="shared" si="21"/>
        <v>0</v>
      </c>
      <c r="W20" s="239">
        <f t="shared" si="21"/>
        <v>1</v>
      </c>
      <c r="X20" s="240">
        <f t="shared" si="21"/>
        <v>0</v>
      </c>
      <c r="Y20" s="240">
        <f t="shared" si="21"/>
        <v>1</v>
      </c>
      <c r="Z20" s="241">
        <f t="shared" si="21"/>
        <v>2</v>
      </c>
      <c r="AA20" s="241">
        <f t="shared" si="21"/>
        <v>2</v>
      </c>
      <c r="AB20" s="242">
        <f t="shared" si="21"/>
        <v>2</v>
      </c>
      <c r="AC20" s="242">
        <f t="shared" si="21"/>
        <v>2</v>
      </c>
      <c r="AD20" s="243">
        <f t="shared" si="21"/>
        <v>2</v>
      </c>
      <c r="AE20" s="243">
        <f t="shared" si="21"/>
        <v>2</v>
      </c>
      <c r="AF20" s="244">
        <f t="shared" si="21"/>
        <v>1</v>
      </c>
      <c r="AG20" s="244">
        <f t="shared" si="21"/>
        <v>3</v>
      </c>
      <c r="AH20" s="245">
        <f t="shared" si="21"/>
        <v>2</v>
      </c>
      <c r="AI20" s="245">
        <f t="shared" si="21"/>
        <v>2</v>
      </c>
      <c r="AJ20" s="246">
        <f t="shared" si="21"/>
        <v>4</v>
      </c>
      <c r="AK20" s="246">
        <f t="shared" si="21"/>
        <v>0</v>
      </c>
      <c r="AL20" s="247">
        <f t="shared" si="21"/>
        <v>3</v>
      </c>
      <c r="AM20" s="247">
        <f t="shared" si="21"/>
        <v>1</v>
      </c>
      <c r="AN20" s="248">
        <f t="shared" si="21"/>
        <v>2</v>
      </c>
      <c r="AO20" s="248">
        <f t="shared" si="21"/>
        <v>2</v>
      </c>
      <c r="AP20" s="249">
        <f t="shared" si="21"/>
        <v>5</v>
      </c>
      <c r="AQ20" s="249">
        <f t="shared" si="21"/>
        <v>1</v>
      </c>
      <c r="AR20" s="250">
        <f t="shared" si="21"/>
        <v>5</v>
      </c>
      <c r="AS20" s="250">
        <f t="shared" si="21"/>
        <v>1</v>
      </c>
      <c r="AT20" s="251">
        <f t="shared" si="21"/>
        <v>0</v>
      </c>
      <c r="AU20" s="251">
        <f t="shared" si="21"/>
        <v>6</v>
      </c>
      <c r="AV20" s="252">
        <f t="shared" si="21"/>
        <v>2</v>
      </c>
      <c r="AW20" s="252">
        <f t="shared" si="21"/>
        <v>4</v>
      </c>
      <c r="AX20" s="253">
        <f t="shared" si="21"/>
        <v>1</v>
      </c>
      <c r="AY20" s="253">
        <f t="shared" si="21"/>
        <v>0</v>
      </c>
      <c r="AZ20" s="254">
        <f t="shared" si="21"/>
        <v>0</v>
      </c>
      <c r="BA20" s="254">
        <f t="shared" si="21"/>
        <v>1</v>
      </c>
      <c r="BB20" s="255">
        <f t="shared" si="21"/>
        <v>1</v>
      </c>
      <c r="BC20" s="255">
        <f t="shared" si="21"/>
        <v>0</v>
      </c>
      <c r="BD20" s="256">
        <f t="shared" si="21"/>
        <v>0</v>
      </c>
      <c r="BE20" s="256">
        <f t="shared" si="21"/>
        <v>1</v>
      </c>
      <c r="BF20" s="257">
        <f t="shared" si="21"/>
        <v>0</v>
      </c>
      <c r="BG20" s="257">
        <f t="shared" si="21"/>
        <v>1</v>
      </c>
      <c r="BH20" s="258">
        <f t="shared" si="21"/>
        <v>1</v>
      </c>
      <c r="BI20" s="258">
        <f t="shared" si="21"/>
        <v>0</v>
      </c>
      <c r="BJ20" s="259">
        <f t="shared" si="21"/>
        <v>1</v>
      </c>
      <c r="BK20" s="259">
        <f t="shared" si="21"/>
        <v>0</v>
      </c>
      <c r="BL20" s="260">
        <f t="shared" si="21"/>
        <v>0</v>
      </c>
      <c r="BM20" s="260">
        <f t="shared" si="21"/>
        <v>1</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58" t="str">
        <f t="array" ref="AZ2">LET(team, SUBSTITUTE(AZ$1, " Wins", ""), IF(COUNTIF(INDIRECT("'"&amp;$A2&amp;"'!$C:$C"), team)&gt;0, 1, "-"))</f>
        <v>-</v>
      </c>
      <c r="BA2" s="158">
        <f t="array" ref="BA2">LET(team, SUBSTITUTE(BA$1, " Losses", ""), weekSheet, "'"&amp;$A2&amp;"'!", matchIdx, MATCH("*"&amp;team&amp;"*", INDIRECT(weekSheet&amp;"$B:$B"), 0), IF(ISNA(matchIdx), "-", LET(winner, INDEX(INDIRECT(weekSheet&amp;"$C:$C"), matchIdx), IF(winner="", "-", IF(winner=team, "-", 1)))))</f>
        <v>1</v>
      </c>
      <c r="BB2" s="158">
        <f t="shared" ref="BB2:BB3" si="1">LET(team, SUBSTITUTE(BB$1, " Wins", ""), IF(COUNTIF(INDIRECT("'"&amp;$A2&amp;"'!$C:$C"), team)&gt;0, 1, "-"))</f>
        <v>1</v>
      </c>
      <c r="BC2" s="158" t="str">
        <f t="shared" ref="BC2:BC3" si="2">LET(team, SUBSTITUTE(BC$1, " Losses", ""), weekSheet, "'"&amp;$A2&amp;"'!", matchIdx, MATCH("*"&amp;team&amp;"*", INDIRECT(weekSheet&amp;"$B:$B"), 0), IF(ISNA(matchIdx), "-", LET(winner, INDEX(INDIRECT(weekSheet&amp;"$C:$C"), matchIdx), IF(winner="", "-", IF(winner=team, "-", 1)))))</f>
        <v>-</v>
      </c>
      <c r="BD2" s="160"/>
      <c r="BE2" s="160"/>
      <c r="BF2" s="160"/>
      <c r="BG2" s="160"/>
      <c r="BH2" s="158" t="str">
        <f t="array" ref="BH2">LET(team, SUBSTITUTE(BH$1, " Wins", ""), IF(COUNTIF(INDIRECT("'"&amp;$A2&amp;"'!$C:$C"), team)&gt;0, 1, "-"))</f>
        <v>-</v>
      </c>
      <c r="BI2" s="158">
        <f t="array" ref="BI2">LET(team, SUBSTITUTE(BI$1, " Losses", ""), weekSheet, "'"&amp;$A2&amp;"'!", matchIdx, MATCH("*"&amp;team&amp;"*", INDIRECT(weekSheet&amp;"$B:$B"), 0), IF(ISNA(matchIdx), "-", LET(winner, INDEX(INDIRECT(weekSheet&amp;"$C:$C"), matchIdx), IF(winner="", "-", IF(winner=team, "-", 1)))))</f>
        <v>1</v>
      </c>
      <c r="BJ2" s="160"/>
      <c r="BK2" s="160"/>
      <c r="BL2" s="158" t="str">
        <f t="array" ref="BL2">LET(team, SUBSTITUTE(BL$1, " Wins", ""), IF(COUNTIF(INDIRECT("'"&amp;$A2&amp;"'!$C:$C"), team)&gt;0, 1, "-"))</f>
        <v>-</v>
      </c>
      <c r="BM2" s="158">
        <f t="array" ref="BM2">LET(team, SUBSTITUTE(BM$1, " Losses", ""), weekSheet, "'"&amp;$A2&amp;"'!", matchIdx, MATCH("*"&amp;team&amp;"*", INDIRECT(weekSheet&amp;"$B:$B"), 0), IF(ISNA(matchIdx), "-", LET(winner, INDEX(INDIRECT(weekSheet&amp;"$C:$C"), matchIdx), IF(winner="", "-", IF(winner=team, "-", 1)))))</f>
        <v>1</v>
      </c>
    </row>
    <row r="3">
      <c r="A3" s="157" t="s">
        <v>119</v>
      </c>
      <c r="B3" s="160"/>
      <c r="C3" s="160"/>
      <c r="D3" s="160"/>
      <c r="E3" s="160"/>
      <c r="F3" s="160"/>
      <c r="G3" s="160"/>
      <c r="H3" s="160"/>
      <c r="I3" s="160"/>
      <c r="J3" s="158">
        <f t="array" ref="J3">LET(team, SUBSTITUTE(J$1, " Wins", ""), IF(COUNTIF(INDIRECT("'"&amp;$A3&amp;"'!$C:$C"), team)&gt;0, 1, "-"))</f>
        <v>1</v>
      </c>
      <c r="K3" s="158" t="str">
        <f t="array" ref="K3">LET(team, SUBSTITUTE(K$1, " Losses", ""), weekSheet, "'"&amp;$A3&amp;"'!", matchIdx, MATCH("*"&amp;team&amp;"*", INDIRECT(weekSheet&amp;"$B:$B"), 0), IF(ISNA(matchIdx), "-", LET(winner, INDEX(INDIRECT(weekSheet&amp;"$C:$C"), matchIdx), IF(winner="", "-", IF(winner=team, "-", 1)))))</f>
        <v>-</v>
      </c>
      <c r="L3" s="160"/>
      <c r="M3" s="160"/>
      <c r="N3" s="158" t="str">
        <f t="shared" ref="N3:N5" si="3">LET(team, SUBSTITUTE(N$1, " Wins", ""), IF(COUNTIF(INDIRECT("'"&amp;$A3&amp;"'!$C:$C"), team)&gt;0, 1, "-"))</f>
        <v>-</v>
      </c>
      <c r="O3" s="158">
        <f t="shared" ref="O3:O5" si="4">LET(team, SUBSTITUTE(O$1, " Losses", ""), weekSheet, "'"&amp;$A3&amp;"'!", matchIdx, MATCH("*"&amp;team&amp;"*", INDIRECT(weekSheet&amp;"$B:$B"), 0), IF(ISNA(matchIdx), "-", LET(winner, INDEX(INDIRECT(weekSheet&amp;"$C:$C"), matchIdx), IF(winner="", "-", IF(winner=team, "-", 1)))))</f>
        <v>1</v>
      </c>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58" t="str">
        <f t="shared" si="1"/>
        <v>-</v>
      </c>
      <c r="BC3" s="158">
        <f t="shared" si="2"/>
        <v>1</v>
      </c>
      <c r="BD3" s="158">
        <f t="array" ref="BD3">LET(team, SUBSTITUTE(BD$1, " Wins", ""), IF(COUNTIF(INDIRECT("'"&amp;$A3&amp;"'!$C:$C"), team)&gt;0, 1, "-"))</f>
        <v>1</v>
      </c>
      <c r="BE3" s="158" t="str">
        <f t="array" ref="BE3">LET(team, SUBSTITUTE(BE$1, " Losses", ""), weekSheet, "'"&amp;$A3&amp;"'!", matchIdx, MATCH("*"&amp;team&amp;"*", INDIRECT(weekSheet&amp;"$B:$B"), 0), IF(ISNA(matchIdx), "-", LET(winner, INDEX(INDIRECT(weekSheet&amp;"$C:$C"), matchIdx), IF(winner="", "-", IF(winner=team, "-", 1)))))</f>
        <v>-</v>
      </c>
      <c r="BF3" s="160"/>
      <c r="BG3" s="160"/>
      <c r="BH3" s="160"/>
      <c r="BI3" s="160"/>
      <c r="BJ3" s="160"/>
      <c r="BK3" s="160"/>
      <c r="BL3" s="160"/>
      <c r="BM3" s="160"/>
    </row>
    <row r="4">
      <c r="A4" s="157" t="s">
        <v>130</v>
      </c>
      <c r="B4" s="160"/>
      <c r="C4" s="160"/>
      <c r="D4" s="160"/>
      <c r="E4" s="160"/>
      <c r="F4" s="160"/>
      <c r="G4" s="160"/>
      <c r="H4" s="160"/>
      <c r="I4" s="160"/>
      <c r="J4" s="160"/>
      <c r="K4" s="160"/>
      <c r="L4" s="160"/>
      <c r="M4" s="160"/>
      <c r="N4" s="158" t="str">
        <f t="shared" si="3"/>
        <v>-</v>
      </c>
      <c r="O4" s="158">
        <f t="shared" si="4"/>
        <v>1</v>
      </c>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58">
        <f t="array" ref="AR4">LET(team, SUBSTITUTE(AR$1, " Wins", ""), IF(COUNTIF(INDIRECT("'"&amp;$A4&amp;"'!$C:$C"), team)&gt;0, 1, "-"))</f>
        <v>1</v>
      </c>
      <c r="AS4" s="158" t="str">
        <f t="array" ref="AS4">LET(team, SUBSTITUTE(AS$1, " Losses", ""), weekSheet, "'"&amp;$A4&amp;"'!", matchIdx, MATCH("*"&amp;team&amp;"*", INDIRECT(weekSheet&amp;"$B:$B"), 0), IF(ISNA(matchIdx), "-", LET(winner, INDEX(INDIRECT(weekSheet&amp;"$C:$C"), matchIdx), IF(winner="", "-", IF(winner=team, "-", 1)))))</f>
        <v>-</v>
      </c>
      <c r="AT4" s="160"/>
      <c r="AU4" s="160"/>
      <c r="AV4" s="160"/>
      <c r="AW4" s="160"/>
      <c r="AX4" s="160"/>
      <c r="AY4" s="160"/>
      <c r="AZ4" s="160"/>
      <c r="BA4" s="160"/>
      <c r="BB4" s="160"/>
      <c r="BC4" s="160"/>
      <c r="BD4" s="160"/>
      <c r="BE4" s="160"/>
      <c r="BF4" s="158" t="str">
        <f t="shared" ref="BF4:BF5" si="5">LET(team, SUBSTITUTE(BF$1, " Wins", ""), IF(COUNTIF(INDIRECT("'"&amp;$A4&amp;"'!$C:$C"), team)&gt;0, 1, "-"))</f>
        <v>-</v>
      </c>
      <c r="BG4" s="158">
        <f t="shared" ref="BG4:BG5" si="6">LET(team, SUBSTITUTE(BG$1, " Losses", ""), weekSheet, "'"&amp;$A4&amp;"'!", matchIdx, MATCH("*"&amp;team&amp;"*", INDIRECT(weekSheet&amp;"$B:$B"), 0), IF(ISNA(matchIdx), "-", LET(winner, INDEX(INDIRECT(weekSheet&amp;"$C:$C"), matchIdx), IF(winner="", "-", IF(winner=team, "-", 1)))))</f>
        <v>1</v>
      </c>
      <c r="BH4" s="160"/>
      <c r="BI4" s="160"/>
      <c r="BJ4" s="158" t="str">
        <f t="array" ref="BJ4">LET(team, SUBSTITUTE(BJ$1, " Wins", ""), IF(COUNTIF(INDIRECT("'"&amp;$A4&amp;"'!$C:$C"), team)&gt;0, 1, "-"))</f>
        <v>-</v>
      </c>
      <c r="BK4" s="158">
        <f t="array" ref="BK4">LET(team, SUBSTITUTE(BK$1, " Losses", ""), weekSheet, "'"&amp;$A4&amp;"'!", matchIdx, MATCH("*"&amp;team&amp;"*", INDIRECT(weekSheet&amp;"$B:$B"), 0), IF(ISNA(matchIdx), "-", LET(winner, INDEX(INDIRECT(weekSheet&amp;"$C:$C"), matchIdx), IF(winner="", "-", IF(winner=team, "-", 1)))))</f>
        <v>1</v>
      </c>
      <c r="BL4" s="160"/>
      <c r="BM4" s="160"/>
    </row>
    <row r="5">
      <c r="A5" s="157" t="s">
        <v>141</v>
      </c>
      <c r="B5" s="160"/>
      <c r="C5" s="160"/>
      <c r="D5" s="160"/>
      <c r="E5" s="160"/>
      <c r="F5" s="160"/>
      <c r="G5" s="160"/>
      <c r="H5" s="160"/>
      <c r="I5" s="160"/>
      <c r="J5" s="160"/>
      <c r="K5" s="160"/>
      <c r="L5" s="158" t="str">
        <f t="array" ref="L5">LET(team, SUBSTITUTE(L$1, " Wins", ""), IF(COUNTIF(INDIRECT("'"&amp;$A5&amp;"'!$C:$C"), team)&gt;0, 1, "-"))</f>
        <v>-</v>
      </c>
      <c r="M5" s="158">
        <f t="array" ref="M5">LET(team, SUBSTITUTE(M$1, " Losses", ""), weekSheet, "'"&amp;$A5&amp;"'!", matchIdx, MATCH("*"&amp;team&amp;"*", INDIRECT(weekSheet&amp;"$B:$B"), 0), IF(ISNA(matchIdx), "-", LET(winner, INDEX(INDIRECT(weekSheet&amp;"$C:$C"), matchIdx), IF(winner="", "-", IF(winner=team, "-", 1)))))</f>
        <v>1</v>
      </c>
      <c r="N5" s="158" t="str">
        <f t="shared" si="3"/>
        <v>-</v>
      </c>
      <c r="O5" s="158">
        <f t="shared" si="4"/>
        <v>1</v>
      </c>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58">
        <f t="shared" si="5"/>
        <v>1</v>
      </c>
      <c r="BG5" s="158" t="str">
        <f t="shared" si="6"/>
        <v>-</v>
      </c>
      <c r="BH5" s="160"/>
      <c r="BI5" s="160"/>
      <c r="BJ5" s="160"/>
      <c r="BK5" s="160"/>
      <c r="BL5" s="158" t="str">
        <f t="array" ref="BL5">LET(team, SUBSTITUTE(BL$1, " Wins", ""), IF(COUNTIF(INDIRECT("'"&amp;$A5&amp;"'!$C:$C"), team)&gt;0, 1, "-"))</f>
        <v>-</v>
      </c>
      <c r="BM5" s="158">
        <f t="array" ref="BM5">LET(team, SUBSTITUTE(BM$1, " Losses", ""), weekSheet, "'"&amp;$A5&amp;"'!", matchIdx, MATCH("*"&amp;team&amp;"*", INDIRECT(weekSheet&amp;"$B:$B"), 0), IF(ISNA(matchIdx), "-", LET(winner, INDEX(INDIRECT(weekSheet&amp;"$C:$C"), matchIdx), IF(winner="", "-", IF(winner=team, "-", 1)))))</f>
        <v>1</v>
      </c>
    </row>
    <row r="6">
      <c r="A6" s="157" t="s">
        <v>145</v>
      </c>
      <c r="B6" s="16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58" t="str">
        <f t="array" ref="AN6">LET(team, SUBSTITUTE(AN$1, " Wins", ""), IF(COUNTIF(INDIRECT("'"&amp;$A6&amp;"'!$C:$C"), team)&gt;0, 1, "-"))</f>
        <v>-</v>
      </c>
      <c r="AO6" s="158">
        <f t="array" ref="AO6">LET(team, SUBSTITUTE(AO$1, " Losses", ""), weekSheet, "'"&amp;$A6&amp;"'!", matchIdx, MATCH("*"&amp;team&amp;"*", INDIRECT(weekSheet&amp;"$B:$B"), 0), IF(ISNA(matchIdx), "-", LET(winner, INDEX(INDIRECT(weekSheet&amp;"$C:$C"), matchIdx), IF(winner="", "-", IF(winner=team, "-", 1)))))</f>
        <v>1</v>
      </c>
      <c r="AP6" s="160"/>
      <c r="AQ6" s="160"/>
      <c r="AR6" s="160"/>
      <c r="AS6" s="160"/>
      <c r="AT6" s="160"/>
      <c r="AU6" s="160"/>
      <c r="AV6" s="160"/>
      <c r="AW6" s="160"/>
      <c r="AX6" s="160"/>
      <c r="AY6" s="160"/>
      <c r="AZ6" s="45">
        <f t="array" ref="AZ6">LET(team, SUBSTITUTE(AZ$1, " Wins", ""), IF(COUNTIF(INDIRECT("'"&amp;$A6&amp;"'!$C:$C"), team)&gt;0, 1, "-"))</f>
        <v>1</v>
      </c>
      <c r="BA6" s="45" t="str">
        <f t="array" ref="BA6">LET(team, SUBSTITUTE(BA$1, " Losses", ""), weekSheet, "'"&amp;$A6&amp;"'!", matchIdx, MATCH("*"&amp;team&amp;"*", INDIRECT(weekSheet&amp;"$B:$B"), 0), IF(ISNA(matchIdx), "-", LET(winner, INDEX(INDIRECT(weekSheet&amp;"$C:$C"), matchIdx), IF(winner="", "-", IF(winner=team, "-", 1)))))</f>
        <v>-</v>
      </c>
      <c r="BB6" s="160"/>
      <c r="BC6" s="160"/>
      <c r="BD6" s="45" t="str">
        <f t="array" ref="BD6">LET(team, SUBSTITUTE(BD$1, " Wins", ""), IF(COUNTIF(INDIRECT("'"&amp;$A6&amp;"'!$C:$C"), team)&gt;0, 1, "-"))</f>
        <v>-</v>
      </c>
      <c r="BE6" s="45">
        <f t="array" ref="BE6">LET(team, SUBSTITUTE(BE$1, " Losses", ""), weekSheet, "'"&amp;$A6&amp;"'!", matchIdx, MATCH("*"&amp;team&amp;"*", INDIRECT(weekSheet&amp;"$B:$B"), 0), IF(ISNA(matchIdx), "-", LET(winner, INDEX(INDIRECT(weekSheet&amp;"$C:$C"), matchIdx), IF(winner="", "-", IF(winner=team, "-", 1)))))</f>
        <v>1</v>
      </c>
      <c r="BF6" s="160"/>
      <c r="BG6" s="160"/>
      <c r="BH6" s="158" t="str">
        <f t="array" ref="BH6">LET(team, SUBSTITUTE(BH$1, " Wins", ""), IF(COUNTIF(INDIRECT("'"&amp;$A6&amp;"'!$C:$C"), team)&gt;0, 1, "-"))</f>
        <v>-</v>
      </c>
      <c r="BI6" s="158">
        <f t="array" ref="BI6">LET(team, SUBSTITUTE(BI$1, " Losses", ""), weekSheet, "'"&amp;$A6&amp;"'!", matchIdx, MATCH("*"&amp;team&amp;"*", INDIRECT(weekSheet&amp;"$B:$B"), 0), IF(ISNA(matchIdx), "-", LET(winner, INDEX(INDIRECT(weekSheet&amp;"$C:$C"), matchIdx), IF(winner="", "-", IF(winner=team, "-", 1)))))</f>
        <v>1</v>
      </c>
      <c r="BJ6" s="160"/>
      <c r="BK6" s="160"/>
      <c r="BL6" s="160"/>
      <c r="BM6" s="160"/>
    </row>
    <row r="7">
      <c r="A7" s="157" t="s">
        <v>156</v>
      </c>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58">
        <f t="array" ref="AP7">LET(team, SUBSTITUTE(AP$1, " Wins", ""), IF(COUNTIF(INDIRECT("'"&amp;$A7&amp;"'!$C:$C"), team)&gt;0, 1, "-"))</f>
        <v>1</v>
      </c>
      <c r="AQ7" s="158" t="str">
        <f t="array" ref="AQ7">LET(team, SUBSTITUTE(AQ$1, " Losses", ""), weekSheet, "'"&amp;$A7&amp;"'!", matchIdx, MATCH("*"&amp;team&amp;"*", INDIRECT(weekSheet&amp;"$B:$B"), 0), IF(ISNA(matchIdx), "-", LET(winner, INDEX(INDIRECT(weekSheet&amp;"$C:$C"), matchIdx), IF(winner="", "-", IF(winner=team, "-", 1)))))</f>
        <v>-</v>
      </c>
      <c r="AR7" s="160"/>
      <c r="AS7" s="160"/>
      <c r="AT7" s="160"/>
      <c r="AU7" s="160"/>
      <c r="AV7" s="160"/>
      <c r="AW7" s="160"/>
      <c r="AX7" s="160"/>
      <c r="AY7" s="160"/>
      <c r="AZ7" s="160"/>
      <c r="BA7" s="160"/>
      <c r="BB7" s="160"/>
      <c r="BC7" s="160"/>
      <c r="BD7" s="160"/>
      <c r="BE7" s="160"/>
      <c r="BF7" s="160"/>
      <c r="BG7" s="160"/>
      <c r="BH7" s="160"/>
      <c r="BI7" s="160"/>
      <c r="BJ7" s="158" t="str">
        <f t="array" ref="BJ7">LET(team, SUBSTITUTE(BJ$1, " Wins", ""), IF(COUNTIF(INDIRECT("'"&amp;$A7&amp;"'!$C:$C"), team)&gt;0, 1, "-"))</f>
        <v>-</v>
      </c>
      <c r="BK7" s="158">
        <f t="array" ref="BK7">LET(team, SUBSTITUTE(BK$1, " Losses", ""), weekSheet, "'"&amp;$A7&amp;"'!", matchIdx, MATCH("*"&amp;team&amp;"*", INDIRECT(weekSheet&amp;"$B:$B"), 0), IF(ISNA(matchIdx), "-", LET(winner, INDEX(INDIRECT(weekSheet&amp;"$C:$C"), matchIdx), IF(winner="", "-", IF(winner=team, "-", 1)))))</f>
        <v>1</v>
      </c>
      <c r="BL7" s="160"/>
      <c r="BM7" s="160"/>
    </row>
    <row r="8">
      <c r="A8" s="157" t="s">
        <v>159</v>
      </c>
      <c r="B8" s="160"/>
      <c r="C8" s="160"/>
      <c r="D8" s="160"/>
      <c r="E8" s="160"/>
      <c r="F8" s="160"/>
      <c r="G8" s="160"/>
      <c r="H8" s="160"/>
      <c r="I8" s="160"/>
      <c r="J8" s="160"/>
      <c r="K8" s="160"/>
      <c r="L8" s="160"/>
      <c r="M8" s="160"/>
      <c r="N8" s="160"/>
      <c r="O8" s="160"/>
      <c r="P8" s="158">
        <f t="array" ref="P8">LET(team, SUBSTITUTE(P$1, " Wins", ""), IF(COUNTIF(INDIRECT("'"&amp;$A8&amp;"'!$C:$C"), team)&gt;0, 1, "-"))</f>
        <v>1</v>
      </c>
      <c r="Q8" s="158" t="str">
        <f t="array" ref="Q8">LET(team, SUBSTITUTE(Q$1, " Losses", ""), weekSheet, "'"&amp;$A8&amp;"'!", matchIdx, MATCH("*"&amp;team&amp;"*", INDIRECT(weekSheet&amp;"$B:$B"), 0), IF(ISNA(matchIdx), "-", LET(winner, INDEX(INDIRECT(weekSheet&amp;"$C:$C"), matchIdx), IF(winner="", "-", IF(winner=team, "-", 1)))))</f>
        <v>-</v>
      </c>
      <c r="R8" s="160"/>
      <c r="S8" s="160"/>
      <c r="T8" s="160"/>
      <c r="U8" s="160"/>
      <c r="V8" s="160"/>
      <c r="W8" s="160"/>
      <c r="X8" s="160"/>
      <c r="Y8" s="160"/>
      <c r="Z8" s="160"/>
      <c r="AA8" s="160"/>
      <c r="AB8" s="160"/>
      <c r="AC8" s="160"/>
      <c r="AD8" s="158" t="str">
        <f t="array" ref="AD8">LET(team, SUBSTITUTE(AD$1, " Wins", ""), IF(COUNTIF(INDIRECT("'"&amp;$A8&amp;"'!$C:$C"), team)&gt;0, 1, "-"))</f>
        <v>-</v>
      </c>
      <c r="AE8" s="158">
        <f t="array" ref="AE8">LET(team, SUBSTITUTE(AE$1, " Losses", ""), weekSheet, "'"&amp;$A8&amp;"'!", matchIdx, MATCH("*"&amp;team&amp;"*", INDIRECT(weekSheet&amp;"$B:$B"), 0), IF(ISNA(matchIdx), "-", LET(winner, INDEX(INDIRECT(weekSheet&amp;"$C:$C"), matchIdx), IF(winner="", "-", IF(winner=team, "-", 1)))))</f>
        <v>1</v>
      </c>
      <c r="AF8" s="160"/>
      <c r="AG8" s="160"/>
      <c r="AH8" s="160"/>
      <c r="AI8" s="160"/>
      <c r="AJ8" s="160"/>
      <c r="AK8" s="160"/>
      <c r="AL8" s="160"/>
      <c r="AM8" s="160"/>
      <c r="AN8" s="160"/>
      <c r="AO8" s="160"/>
      <c r="AP8" s="160"/>
      <c r="AQ8" s="160"/>
      <c r="AR8" s="160"/>
      <c r="AS8" s="160"/>
      <c r="AT8" s="160"/>
      <c r="AU8" s="160"/>
      <c r="AV8" s="160"/>
      <c r="AW8" s="160"/>
      <c r="AX8" s="158" t="str">
        <f t="shared" ref="AX8:AX9" si="7">LET(team, SUBSTITUTE(AX$1, " Wins", ""), IF(COUNTIF(INDIRECT("'"&amp;$A8&amp;"'!$C:$C"), team)&gt;0, 1, "-"))</f>
        <v>-</v>
      </c>
      <c r="AY8" s="158">
        <f t="shared" ref="AY8:AY9" si="8">LET(team, SUBSTITUTE(AY$1, " Losses", ""), weekSheet, "'"&amp;$A8&amp;"'!", matchIdx, MATCH("*"&amp;team&amp;"*", INDIRECT(weekSheet&amp;"$B:$B"), 0), IF(ISNA(matchIdx), "-", LET(winner, INDEX(INDIRECT(weekSheet&amp;"$C:$C"), matchIdx), IF(winner="", "-", IF(winner=team, "-", 1)))))</f>
        <v>1</v>
      </c>
      <c r="AZ8" s="158">
        <f t="array" ref="AZ8">LET(team, SUBSTITUTE(AZ$1, " Wins", ""), IF(COUNTIF(INDIRECT("'"&amp;$A8&amp;"'!$C:$C"), team)&gt;0, 1, "-"))</f>
        <v>1</v>
      </c>
      <c r="BA8" s="158" t="str">
        <f t="array" ref="BA8">LET(team, SUBSTITUTE(BA$1, " Losses", ""), weekSheet, "'"&amp;$A8&amp;"'!", matchIdx, MATCH("*"&amp;team&amp;"*", INDIRECT(weekSheet&amp;"$B:$B"), 0), IF(ISNA(matchIdx), "-", LET(winner, INDEX(INDIRECT(weekSheet&amp;"$C:$C"), matchIdx), IF(winner="", "-", IF(winner=team, "-", 1)))))</f>
        <v>-</v>
      </c>
      <c r="BB8" s="160"/>
      <c r="BC8" s="160"/>
      <c r="BD8" s="160"/>
      <c r="BE8" s="160"/>
      <c r="BF8" s="160"/>
      <c r="BG8" s="160"/>
      <c r="BH8" s="160"/>
      <c r="BI8" s="160"/>
      <c r="BJ8" s="160"/>
      <c r="BK8" s="160"/>
      <c r="BL8" s="160"/>
      <c r="BM8" s="160"/>
    </row>
    <row r="9">
      <c r="A9" s="157" t="s">
        <v>164</v>
      </c>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45">
        <f t="array" ref="AL9">LET(team, SUBSTITUTE(AL$1, " Wins", ""), IF(COUNTIF(INDIRECT("'"&amp;$A9&amp;"'!$C:$C"), team)&gt;0, 1, "-"))</f>
        <v>1</v>
      </c>
      <c r="AM9" s="45" t="str">
        <f t="array" ref="AM9">LET(team, SUBSTITUTE(AM$1, " Losses", ""), weekSheet, "'"&amp;$A9&amp;"'!", matchIdx, MATCH("*"&amp;team&amp;"*", INDIRECT(weekSheet&amp;"$B:$B"), 0), IF(ISNA(matchIdx), "-", LET(winner, INDEX(INDIRECT(weekSheet&amp;"$C:$C"), matchIdx), IF(winner="", "-", IF(winner=team, "-", 1)))))</f>
        <v>-</v>
      </c>
      <c r="AN9" s="160"/>
      <c r="AO9" s="160"/>
      <c r="AP9" s="160"/>
      <c r="AQ9" s="160"/>
      <c r="AR9" s="160"/>
      <c r="AS9" s="160"/>
      <c r="AT9" s="160"/>
      <c r="AU9" s="160"/>
      <c r="AV9" s="160"/>
      <c r="AW9" s="160"/>
      <c r="AX9" s="45">
        <f t="shared" si="7"/>
        <v>1</v>
      </c>
      <c r="AY9" s="45" t="str">
        <f t="shared" si="8"/>
        <v>-</v>
      </c>
      <c r="AZ9" s="160"/>
      <c r="BA9" s="160"/>
      <c r="BB9" s="158" t="str">
        <f t="array" ref="BB9">LET(team, SUBSTITUTE(BB$1, " Wins", ""), IF(COUNTIF(INDIRECT("'"&amp;$A9&amp;"'!$C:$C"), team)&gt;0, 1, "-"))</f>
        <v>-</v>
      </c>
      <c r="BC9" s="158">
        <f t="array" ref="BC9">LET(team, SUBSTITUTE(BC$1, " Losses", ""), weekSheet, "'"&amp;$A9&amp;"'!", matchIdx, MATCH("*"&amp;team&amp;"*", INDIRECT(weekSheet&amp;"$B:$B"), 0), IF(ISNA(matchIdx), "-", LET(winner, INDEX(INDIRECT(weekSheet&amp;"$C:$C"), matchIdx), IF(winner="", "-", IF(winner=team, "-", 1)))))</f>
        <v>1</v>
      </c>
      <c r="BD9" s="160"/>
      <c r="BE9" s="160"/>
      <c r="BF9" s="160"/>
      <c r="BG9" s="160"/>
      <c r="BH9" s="160"/>
      <c r="BI9" s="160"/>
      <c r="BJ9" s="160"/>
      <c r="BK9" s="160"/>
      <c r="BL9" s="158" t="str">
        <f t="array" ref="BL9">LET(team, SUBSTITUTE(BL$1, " Wins", ""), IF(COUNTIF(INDIRECT("'"&amp;$A9&amp;"'!$C:$C"), team)&gt;0, 1, "-"))</f>
        <v>-</v>
      </c>
      <c r="BM9" s="158">
        <f t="array" ref="BM9">LET(team, SUBSTITUTE(BM$1, " Losses", ""), weekSheet, "'"&amp;$A9&amp;"'!", matchIdx, MATCH("*"&amp;team&amp;"*", INDIRECT(weekSheet&amp;"$B:$B"), 0), IF(ISNA(matchIdx), "-", LET(winner, INDEX(INDIRECT(weekSheet&amp;"$C:$C"), matchIdx), IF(winner="", "-", IF(winner=team, "-", 1)))))</f>
        <v>1</v>
      </c>
    </row>
    <row r="10">
      <c r="A10" s="157" t="s">
        <v>170</v>
      </c>
      <c r="B10" s="160"/>
      <c r="C10" s="160"/>
      <c r="D10" s="160"/>
      <c r="E10" s="160"/>
      <c r="F10" s="160"/>
      <c r="G10" s="160"/>
      <c r="H10" s="160"/>
      <c r="I10" s="160"/>
      <c r="J10" s="158">
        <f t="array" ref="J10">LET(team, SUBSTITUTE(J$1, " Wins", ""), IF(COUNTIF(INDIRECT("'"&amp;$A10&amp;"'!$C:$C"), team)&gt;0, 1, "-"))</f>
        <v>1</v>
      </c>
      <c r="K10" s="158" t="str">
        <f t="array" ref="K10">LET(team, SUBSTITUTE(K$1, " Losses", ""), weekSheet, "'"&amp;$A10&amp;"'!", matchIdx, MATCH("*"&amp;team&amp;"*", INDIRECT(weekSheet&amp;"$B:$B"), 0), IF(ISNA(matchIdx), "-", LET(winner, INDEX(INDIRECT(weekSheet&amp;"$C:$C"), matchIdx), IF(winner="", "-", IF(winner=team, "-", 1)))))</f>
        <v>-</v>
      </c>
      <c r="L10" s="158" t="str">
        <f t="array" ref="L10">LET(team, SUBSTITUTE(L$1, " Wins", ""), IF(COUNTIF(INDIRECT("'"&amp;$A10&amp;"'!$C:$C"), team)&gt;0, 1, "-"))</f>
        <v>-</v>
      </c>
      <c r="M10" s="158">
        <f t="array" ref="M10">LET(team, SUBSTITUTE(M$1, " Losses", ""), weekSheet, "'"&amp;$A10&amp;"'!", matchIdx, MATCH("*"&amp;team&amp;"*", INDIRECT(weekSheet&amp;"$B:$B"), 0), IF(ISNA(matchIdx), "-", LET(winner, INDEX(INDIRECT(weekSheet&amp;"$C:$C"), matchIdx), IF(winner="", "-", IF(winner=team, "-", 1)))))</f>
        <v>1</v>
      </c>
      <c r="N10" s="160"/>
      <c r="O10" s="160"/>
      <c r="P10" s="158">
        <f t="shared" ref="P10:P11" si="9">LET(team, SUBSTITUTE(P$1, " Wins", ""), IF(COUNTIF(INDIRECT("'"&amp;$A10&amp;"'!$C:$C"), team)&gt;0, 1, "-"))</f>
        <v>1</v>
      </c>
      <c r="Q10" s="158" t="str">
        <f t="shared" ref="Q10:Q11" si="10">LET(team, SUBSTITUTE(Q$1, " Losses", ""), weekSheet, "'"&amp;$A10&amp;"'!", matchIdx, MATCH("*"&amp;team&amp;"*", INDIRECT(weekSheet&amp;"$B:$B"), 0), IF(ISNA(matchIdx), "-", LET(winner, INDEX(INDIRECT(weekSheet&amp;"$C:$C"), matchIdx), IF(winner="", "-", IF(winner=team, "-", 1)))))</f>
        <v>-</v>
      </c>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45" t="str">
        <f t="array" ref="BF10">LET(team, SUBSTITUTE(BF$1, " Wins", ""), IF(COUNTIF(INDIRECT("'"&amp;$A10&amp;"'!$C:$C"), team)&gt;0, 1, "-"))</f>
        <v>-</v>
      </c>
      <c r="BG10" s="45">
        <f t="array" ref="BG10">LET(team, SUBSTITUTE(BG$1, " Losses", ""), weekSheet, "'"&amp;$A10&amp;"'!", matchIdx, MATCH("*"&amp;team&amp;"*", INDIRECT(weekSheet&amp;"$B:$B"), 0), IF(ISNA(matchIdx), "-", LET(winner, INDEX(INDIRECT(weekSheet&amp;"$C:$C"), matchIdx), IF(winner="", "-", IF(winner=team, "-", 1)))))</f>
        <v>1</v>
      </c>
      <c r="BH10" s="160"/>
      <c r="BI10" s="160"/>
      <c r="BJ10" s="160"/>
      <c r="BK10" s="160"/>
      <c r="BL10" s="160"/>
      <c r="BM10" s="160"/>
    </row>
    <row r="11">
      <c r="A11" s="157" t="s">
        <v>175</v>
      </c>
      <c r="B11" s="160"/>
      <c r="C11" s="160"/>
      <c r="D11" s="160"/>
      <c r="E11" s="160"/>
      <c r="F11" s="160"/>
      <c r="G11" s="160"/>
      <c r="H11" s="160"/>
      <c r="I11" s="160"/>
      <c r="J11" s="160"/>
      <c r="K11" s="160"/>
      <c r="L11" s="160"/>
      <c r="M11" s="160"/>
      <c r="N11" s="160"/>
      <c r="O11" s="160"/>
      <c r="P11" s="158">
        <f t="shared" si="9"/>
        <v>1</v>
      </c>
      <c r="Q11" s="158" t="str">
        <f t="shared" si="10"/>
        <v>-</v>
      </c>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45">
        <f t="array" ref="AZ11">LET(team, SUBSTITUTE(AZ$1, " Wins", ""), IF(COUNTIF(INDIRECT("'"&amp;$A11&amp;"'!$C:$C"), team)&gt;0, 1, "-"))</f>
        <v>1</v>
      </c>
      <c r="BA11" s="45" t="str">
        <f t="array" ref="BA11">LET(team, SUBSTITUTE(BA$1, " Losses", ""), weekSheet, "'"&amp;$A11&amp;"'!", matchIdx, MATCH("*"&amp;team&amp;"*", INDIRECT(weekSheet&amp;"$B:$B"), 0), IF(ISNA(matchIdx), "-", LET(winner, INDEX(INDIRECT(weekSheet&amp;"$C:$C"), matchIdx), IF(winner="", "-", IF(winner=team, "-", 1)))))</f>
        <v>-</v>
      </c>
      <c r="BB11" s="158" t="str">
        <f t="array" ref="BB11">LET(team, SUBSTITUTE(BB$1, " Wins", ""), IF(COUNTIF(INDIRECT("'"&amp;$A11&amp;"'!$C:$C"), team)&gt;0, 1, "-"))</f>
        <v>-</v>
      </c>
      <c r="BC11" s="158">
        <f t="array" ref="BC11">LET(team, SUBSTITUTE(BC$1, " Losses", ""), weekSheet, "'"&amp;$A11&amp;"'!", matchIdx, MATCH("*"&amp;team&amp;"*", INDIRECT(weekSheet&amp;"$B:$B"), 0), IF(ISNA(matchIdx), "-", LET(winner, INDEX(INDIRECT(weekSheet&amp;"$C:$C"), matchIdx), IF(winner="", "-", IF(winner=team, "-", 1)))))</f>
        <v>1</v>
      </c>
      <c r="BD11" s="160"/>
      <c r="BE11" s="160"/>
      <c r="BF11" s="160"/>
      <c r="BG11" s="160"/>
      <c r="BH11" s="160"/>
      <c r="BI11" s="160"/>
      <c r="BJ11" s="160"/>
      <c r="BK11" s="160"/>
      <c r="BL11" s="160"/>
      <c r="BM11" s="160"/>
    </row>
    <row r="12">
      <c r="A12" s="157" t="s">
        <v>179</v>
      </c>
      <c r="B12" s="160"/>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58" t="str">
        <f t="array" ref="AH12">LET(team, SUBSTITUTE(AH$1, " Wins", ""), IF(COUNTIF(INDIRECT("'"&amp;$A12&amp;"'!$C:$C"), team)&gt;0, 1, "-"))</f>
        <v>-</v>
      </c>
      <c r="AI12" s="158">
        <f t="array" ref="AI12">LET(team, SUBSTITUTE(AI$1, " Losses", ""), weekSheet, "'"&amp;$A12&amp;"'!", matchIdx, MATCH("*"&amp;team&amp;"*", INDIRECT(weekSheet&amp;"$B:$B"), 0), IF(ISNA(matchIdx), "-", LET(winner, INDEX(INDIRECT(weekSheet&amp;"$C:$C"), matchIdx), IF(winner="", "-", IF(winner=team, "-", 1)))))</f>
        <v>1</v>
      </c>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45">
        <f t="array" ref="BF12">LET(team, SUBSTITUTE(BF$1, " Wins", ""), IF(COUNTIF(INDIRECT("'"&amp;$A12&amp;"'!$C:$C"), team)&gt;0, 1, "-"))</f>
        <v>1</v>
      </c>
      <c r="BG12" s="45" t="str">
        <f t="array" ref="BG12">LET(team, SUBSTITUTE(BG$1, " Losses", ""), weekSheet, "'"&amp;$A12&amp;"'!", matchIdx, MATCH("*"&amp;team&amp;"*", INDIRECT(weekSheet&amp;"$B:$B"), 0), IF(ISNA(matchIdx), "-", LET(winner, INDEX(INDIRECT(weekSheet&amp;"$C:$C"), matchIdx), IF(winner="", "-", IF(winner=team, "-", 1)))))</f>
        <v>-</v>
      </c>
      <c r="BH12" s="45" t="str">
        <f t="array" ref="BH12">LET(team, SUBSTITUTE(BH$1, " Wins", ""), IF(COUNTIF(INDIRECT("'"&amp;$A12&amp;"'!$C:$C"), team)&gt;0, 1, "-"))</f>
        <v>-</v>
      </c>
      <c r="BI12" s="45">
        <f t="array" ref="BI12">LET(team, SUBSTITUTE(BI$1, " Losses", ""), weekSheet, "'"&amp;$A12&amp;"'!", matchIdx, MATCH("*"&amp;team&amp;"*", INDIRECT(weekSheet&amp;"$B:$B"), 0), IF(ISNA(matchIdx), "-", LET(winner, INDEX(INDIRECT(weekSheet&amp;"$C:$C"), matchIdx), IF(winner="", "-", IF(winner=team, "-", 1)))))</f>
        <v>1</v>
      </c>
      <c r="BJ12" s="160"/>
      <c r="BK12" s="160"/>
      <c r="BL12" s="160"/>
      <c r="BM12" s="160"/>
    </row>
    <row r="13">
      <c r="A13" s="157" t="s">
        <v>185</v>
      </c>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58">
        <f t="array" ref="AJ13">LET(team, SUBSTITUTE(AJ$1, " Wins", ""), IF(COUNTIF(INDIRECT("'"&amp;$A13&amp;"'!$C:$C"), team)&gt;0, 1, "-"))</f>
        <v>1</v>
      </c>
      <c r="AK13" s="158" t="str">
        <f t="array" ref="AK13">LET(team, SUBSTITUTE(AK$1, " Losses", ""), weekSheet, "'"&amp;$A13&amp;"'!", matchIdx, MATCH("*"&amp;team&amp;"*", INDIRECT(weekSheet&amp;"$B:$B"), 0), IF(ISNA(matchIdx), "-", LET(winner, INDEX(INDIRECT(weekSheet&amp;"$C:$C"), matchIdx), IF(winner="", "-", IF(winner=team, "-", 1)))))</f>
        <v>-</v>
      </c>
      <c r="AL13" s="160"/>
      <c r="AM13" s="160"/>
      <c r="AN13" s="160"/>
      <c r="AO13" s="160"/>
      <c r="AP13" s="160"/>
      <c r="AQ13" s="160"/>
      <c r="AR13" s="160"/>
      <c r="AS13" s="160"/>
      <c r="AT13" s="160"/>
      <c r="AU13" s="160"/>
      <c r="AV13" s="160"/>
      <c r="AW13" s="160"/>
      <c r="AX13" s="158" t="str">
        <f t="array" ref="AX13">LET(team, SUBSTITUTE(AX$1, " Wins", ""), IF(COUNTIF(INDIRECT("'"&amp;$A13&amp;"'!$C:$C"), team)&gt;0, 1, "-"))</f>
        <v>-</v>
      </c>
      <c r="AY13" s="158">
        <f t="array" ref="AY13">LET(team, SUBSTITUTE(AY$1, " Losses", ""), weekSheet, "'"&amp;$A13&amp;"'!", matchIdx, MATCH("*"&amp;team&amp;"*", INDIRECT(weekSheet&amp;"$B:$B"), 0), IF(ISNA(matchIdx), "-", LET(winner, INDEX(INDIRECT(weekSheet&amp;"$C:$C"), matchIdx), IF(winner="", "-", IF(winner=team, "-", 1)))))</f>
        <v>1</v>
      </c>
      <c r="AZ13" s="160"/>
      <c r="BA13" s="160"/>
      <c r="BB13" s="160"/>
      <c r="BC13" s="160"/>
      <c r="BD13" s="158">
        <f t="array" ref="BD13">LET(team, SUBSTITUTE(BD$1, " Wins", ""), IF(COUNTIF(INDIRECT("'"&amp;$A13&amp;"'!$C:$C"), team)&gt;0, 1, "-"))</f>
        <v>1</v>
      </c>
      <c r="BE13" s="158" t="str">
        <f t="array" ref="BE13">LET(team, SUBSTITUTE(BE$1, " Losses", ""), weekSheet, "'"&amp;$A13&amp;"'!", matchIdx, MATCH("*"&amp;team&amp;"*", INDIRECT(weekSheet&amp;"$B:$B"), 0), IF(ISNA(matchIdx), "-", LET(winner, INDEX(INDIRECT(weekSheet&amp;"$C:$C"), matchIdx), IF(winner="", "-", IF(winner=team, "-", 1)))))</f>
        <v>-</v>
      </c>
      <c r="BF13" s="160"/>
      <c r="BG13" s="160"/>
      <c r="BH13" s="160"/>
      <c r="BI13" s="160"/>
      <c r="BJ13" s="45">
        <f t="shared" ref="BJ13:BJ14" si="11">LET(team, SUBSTITUTE(BJ$1, " Wins", ""), IF(COUNTIF(INDIRECT("'"&amp;$A13&amp;"'!$C:$C"), team)&gt;0, 1, "-"))</f>
        <v>1</v>
      </c>
      <c r="BK13" s="45" t="str">
        <f t="shared" ref="BK13:BK14" si="12">LET(team, SUBSTITUTE(BK$1, " Losses", ""), weekSheet, "'"&amp;$A13&amp;"'!", matchIdx, MATCH("*"&amp;team&amp;"*", INDIRECT(weekSheet&amp;"$B:$B"), 0), IF(ISNA(matchIdx), "-", LET(winner, INDEX(INDIRECT(weekSheet&amp;"$C:$C"), matchIdx), IF(winner="", "-", IF(winner=team, "-", 1)))))</f>
        <v>-</v>
      </c>
      <c r="BL13" s="160"/>
      <c r="BM13" s="160"/>
    </row>
    <row r="14">
      <c r="A14" s="157" t="s">
        <v>191</v>
      </c>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58">
        <f t="array" ref="AB14">LET(team, SUBSTITUTE(AB$1, " Wins", ""), IF(COUNTIF(INDIRECT("'"&amp;$A14&amp;"'!$C:$C"), team)&gt;0, 1, "-"))</f>
        <v>1</v>
      </c>
      <c r="AC14" s="158" t="str">
        <f t="array" ref="AC14">LET(team, SUBSTITUTE(AC$1, " Losses", ""), weekSheet, "'"&amp;$A14&amp;"'!", matchIdx, MATCH("*"&amp;team&amp;"*", INDIRECT(weekSheet&amp;"$B:$B"), 0), IF(ISNA(matchIdx), "-", LET(winner, INDEX(INDIRECT(weekSheet&amp;"$C:$C"), matchIdx), IF(winner="", "-", IF(winner=team, "-", 1)))))</f>
        <v>-</v>
      </c>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58" t="str">
        <f t="array" ref="BH14">LET(team, SUBSTITUTE(BH$1, " Wins", ""), IF(COUNTIF(INDIRECT("'"&amp;$A14&amp;"'!$C:$C"), team)&gt;0, 1, "-"))</f>
        <v>-</v>
      </c>
      <c r="BI14" s="158">
        <f t="array" ref="BI14">LET(team, SUBSTITUTE(BI$1, " Losses", ""), weekSheet, "'"&amp;$A14&amp;"'!", matchIdx, MATCH("*"&amp;team&amp;"*", INDIRECT(weekSheet&amp;"$B:$B"), 0), IF(ISNA(matchIdx), "-", LET(winner, INDEX(INDIRECT(weekSheet&amp;"$C:$C"), matchIdx), IF(winner="", "-", IF(winner=team, "-", 1)))))</f>
        <v>1</v>
      </c>
      <c r="BJ14" s="158" t="str">
        <f t="shared" si="11"/>
        <v>-</v>
      </c>
      <c r="BK14" s="158">
        <f t="shared" si="12"/>
        <v>1</v>
      </c>
      <c r="BL14" s="158" t="str">
        <f t="array" ref="BL14">LET(team, SUBSTITUTE(BL$1, " Wins", ""), IF(COUNTIF(INDIRECT("'"&amp;$A14&amp;"'!$C:$C"), team)&gt;0, 1, "-"))</f>
        <v>-</v>
      </c>
      <c r="BM14" s="158">
        <f t="array" ref="BM14">LET(team, SUBSTITUTE(BM$1, " Losses", ""), weekSheet, "'"&amp;$A14&amp;"'!", matchIdx, MATCH("*"&amp;team&amp;"*", INDIRECT(weekSheet&amp;"$B:$B"), 0), IF(ISNA(matchIdx), "-", LET(winner, INDEX(INDIRECT(weekSheet&amp;"$C:$C"), matchIdx), IF(winner="", "-", IF(winner=team, "-", 1)))))</f>
        <v>1</v>
      </c>
    </row>
    <row r="15">
      <c r="A15" s="157" t="s">
        <v>194</v>
      </c>
      <c r="B15" s="160"/>
      <c r="C15" s="160"/>
      <c r="D15" s="160"/>
      <c r="E15" s="160"/>
      <c r="F15" s="160"/>
      <c r="G15" s="160"/>
      <c r="H15" s="160"/>
      <c r="I15" s="160"/>
      <c r="J15" s="158" t="str">
        <f t="shared" ref="J15:J16" si="13">LET(team, SUBSTITUTE(J$1, " Wins", ""), IF(COUNTIF(INDIRECT("'"&amp;$A15&amp;"'!$C:$C"), team)&gt;0, 1, "-"))</f>
        <v>-</v>
      </c>
      <c r="K15" s="158">
        <f t="shared" ref="K15:K16" si="14">LET(team, SUBSTITUTE(K$1, " Losses", ""), weekSheet, "'"&amp;$A15&amp;"'!", matchIdx, MATCH("*"&amp;team&amp;"*", INDIRECT(weekSheet&amp;"$B:$B"), 0), IF(ISNA(matchIdx), "-", LET(winner, INDEX(INDIRECT(weekSheet&amp;"$C:$C"), matchIdx), IF(winner="", "-", IF(winner=team, "-", 1)))))</f>
        <v>1</v>
      </c>
      <c r="L15" s="158">
        <f t="shared" ref="L15:L16" si="15">LET(team, SUBSTITUTE(L$1, " Wins", ""), IF(COUNTIF(INDIRECT("'"&amp;$A15&amp;"'!$C:$C"), team)&gt;0, 1, "-"))</f>
        <v>1</v>
      </c>
      <c r="M15" s="158" t="str">
        <f t="shared" ref="M15:M16" si="16">LET(team, SUBSTITUTE(M$1, " Losses", ""), weekSheet, "'"&amp;$A15&amp;"'!", matchIdx, MATCH("*"&amp;team&amp;"*", INDIRECT(weekSheet&amp;"$B:$B"), 0), IF(ISNA(matchIdx), "-", LET(winner, INDEX(INDIRECT(weekSheet&amp;"$C:$C"), matchIdx), IF(winner="", "-", IF(winner=team, "-", 1)))))</f>
        <v>-</v>
      </c>
      <c r="N15" s="160"/>
      <c r="O15" s="160"/>
      <c r="P15" s="45">
        <f t="array" ref="P15">LET(team, SUBSTITUTE(P$1, " Wins", ""), IF(COUNTIF(INDIRECT("'"&amp;$A15&amp;"'!$C:$C"), team)&gt;0, 1, "-"))</f>
        <v>1</v>
      </c>
      <c r="Q15" s="45" t="str">
        <f t="array" ref="Q15">LET(team, SUBSTITUTE(Q$1, " Losses", ""), weekSheet, "'"&amp;$A15&amp;"'!", matchIdx, MATCH("*"&amp;team&amp;"*", INDIRECT(weekSheet&amp;"$B:$B"), 0), IF(ISNA(matchIdx), "-", LET(winner, INDEX(INDIRECT(weekSheet&amp;"$C:$C"), matchIdx), IF(winner="", "-", IF(winner=team, "-", 1)))))</f>
        <v>-</v>
      </c>
      <c r="R15" s="160"/>
      <c r="S15" s="160"/>
      <c r="T15" s="160"/>
      <c r="U15" s="160"/>
      <c r="V15" s="160"/>
      <c r="W15" s="160"/>
      <c r="X15" s="160"/>
      <c r="Y15" s="160"/>
      <c r="Z15" s="160"/>
      <c r="AA15" s="160"/>
      <c r="AB15" s="160"/>
      <c r="AC15" s="160"/>
      <c r="AD15" s="160"/>
      <c r="AE15" s="160"/>
      <c r="AF15" s="158" t="str">
        <f t="array" ref="AF15">LET(team, SUBSTITUTE(AF$1, " Wins", ""), IF(COUNTIF(INDIRECT("'"&amp;$A15&amp;"'!$C:$C"), team)&gt;0, 1, "-"))</f>
        <v>-</v>
      </c>
      <c r="AG15" s="158">
        <f t="array" ref="AG15">LET(team, SUBSTITUTE(AG$1, " Losses", ""), weekSheet, "'"&amp;$A15&amp;"'!", matchIdx, MATCH("*"&amp;team&amp;"*", INDIRECT(weekSheet&amp;"$B:$B"), 0), IF(ISNA(matchIdx), "-", LET(winner, INDEX(INDIRECT(weekSheet&amp;"$C:$C"), matchIdx), IF(winner="", "-", IF(winner=team, "-", 1)))))</f>
        <v>1</v>
      </c>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row>
    <row r="16">
      <c r="A16" s="157" t="s">
        <v>198</v>
      </c>
      <c r="B16" s="160"/>
      <c r="C16" s="160"/>
      <c r="D16" s="160"/>
      <c r="E16" s="160"/>
      <c r="F16" s="160"/>
      <c r="G16" s="160"/>
      <c r="H16" s="160"/>
      <c r="I16" s="160"/>
      <c r="J16" s="158">
        <f t="shared" si="13"/>
        <v>1</v>
      </c>
      <c r="K16" s="158" t="str">
        <f t="shared" si="14"/>
        <v>-</v>
      </c>
      <c r="L16" s="158" t="str">
        <f t="shared" si="15"/>
        <v>-</v>
      </c>
      <c r="M16" s="158">
        <f t="shared" si="16"/>
        <v>1</v>
      </c>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58">
        <f t="array" ref="AX16">LET(team, SUBSTITUTE(AX$1, " Wins", ""), IF(COUNTIF(INDIRECT("'"&amp;$A16&amp;"'!$C:$C"), team)&gt;0, 1, "-"))</f>
        <v>1</v>
      </c>
      <c r="AY16" s="158" t="str">
        <f t="array" ref="AY16">LET(team, SUBSTITUTE(AY$1, " Losses", ""), weekSheet, "'"&amp;$A16&amp;"'!", matchIdx, MATCH("*"&amp;team&amp;"*", INDIRECT(weekSheet&amp;"$B:$B"), 0), IF(ISNA(matchIdx), "-", LET(winner, INDEX(INDIRECT(weekSheet&amp;"$C:$C"), matchIdx), IF(winner="", "-", IF(winner=team, "-", 1)))))</f>
        <v>-</v>
      </c>
      <c r="AZ16" s="160"/>
      <c r="BA16" s="160"/>
      <c r="BB16" s="158" t="str">
        <f t="array" ref="BB16">LET(team, SUBSTITUTE(BB$1, " Wins", ""), IF(COUNTIF(INDIRECT("'"&amp;$A16&amp;"'!$C:$C"), team)&gt;0, 1, "-"))</f>
        <v>-</v>
      </c>
      <c r="BC16" s="158">
        <f t="array" ref="BC16">LET(team, SUBSTITUTE(BC$1, " Losses", ""), weekSheet, "'"&amp;$A16&amp;"'!", matchIdx, MATCH("*"&amp;team&amp;"*", INDIRECT(weekSheet&amp;"$B:$B"), 0), IF(ISNA(matchIdx), "-", LET(winner, INDEX(INDIRECT(weekSheet&amp;"$C:$C"), matchIdx), IF(winner="", "-", IF(winner=team, "-", 1)))))</f>
        <v>1</v>
      </c>
      <c r="BD16" s="160"/>
      <c r="BE16" s="160"/>
      <c r="BF16" s="160"/>
      <c r="BG16" s="160"/>
      <c r="BH16" s="160"/>
      <c r="BI16" s="160"/>
      <c r="BJ16" s="160"/>
      <c r="BK16" s="160"/>
      <c r="BL16" s="160"/>
      <c r="BM16" s="160"/>
    </row>
    <row r="17">
      <c r="A17" s="157" t="s">
        <v>202</v>
      </c>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58" t="str">
        <f t="array" ref="AT17">LET(team, SUBSTITUTE(AT$1, " Wins", ""), IF(COUNTIF(INDIRECT("'"&amp;$A17&amp;"'!$C:$C"), team)&gt;0, 1, "-"))</f>
        <v>-</v>
      </c>
      <c r="AU17" s="158">
        <f t="array" ref="AU17">LET(team, SUBSTITUTE(AU$1, " Losses", ""), weekSheet, "'"&amp;$A17&amp;"'!", matchIdx, MATCH("*"&amp;team&amp;"*", INDIRECT(weekSheet&amp;"$B:$B"), 0), IF(ISNA(matchIdx), "-", LET(winner, INDEX(INDIRECT(weekSheet&amp;"$C:$C"), matchIdx), IF(winner="", "-", IF(winner=team, "-", 1)))))</f>
        <v>1</v>
      </c>
      <c r="AV17" s="158" t="str">
        <f t="array" ref="AV17">LET(team, SUBSTITUTE(AV$1, " Wins", ""), IF(COUNTIF(INDIRECT("'"&amp;$A17&amp;"'!$C:$C"), team)&gt;0, 1, "-"))</f>
        <v>-</v>
      </c>
      <c r="AW17" s="158">
        <f t="array" ref="AW17">LET(team, SUBSTITUTE(AW$1, " Losses", ""), weekSheet, "'"&amp;$A17&amp;"'!", matchIdx, MATCH("*"&amp;team&amp;"*", INDIRECT(weekSheet&amp;"$B:$B"), 0), IF(ISNA(matchIdx), "-", LET(winner, INDEX(INDIRECT(weekSheet&amp;"$C:$C"), matchIdx), IF(winner="", "-", IF(winner=team, "-", 1)))))</f>
        <v>1</v>
      </c>
      <c r="AX17" s="160"/>
      <c r="AY17" s="160"/>
      <c r="AZ17" s="158" t="str">
        <f t="array" ref="AZ17">LET(team, SUBSTITUTE(AZ$1, " Wins", ""), IF(COUNTIF(INDIRECT("'"&amp;$A17&amp;"'!$C:$C"), team)&gt;0, 1, "-"))</f>
        <v>-</v>
      </c>
      <c r="BA17" s="158">
        <f t="array" ref="BA17">LET(team, SUBSTITUTE(BA$1, " Losses", ""), weekSheet, "'"&amp;$A17&amp;"'!", matchIdx, MATCH("*"&amp;team&amp;"*", INDIRECT(weekSheet&amp;"$B:$B"), 0), IF(ISNA(matchIdx), "-", LET(winner, INDEX(INDIRECT(weekSheet&amp;"$C:$C"), matchIdx), IF(winner="", "-", IF(winner=team, "-", 1)))))</f>
        <v>1</v>
      </c>
      <c r="BB17" s="160"/>
      <c r="BC17" s="160"/>
      <c r="BD17" s="158">
        <f t="shared" ref="BD17:BD19" si="17">LET(team, SUBSTITUTE(BD$1, " Wins", ""), IF(COUNTIF(INDIRECT("'"&amp;$A17&amp;"'!$C:$C"), team)&gt;0, 1, "-"))</f>
        <v>1</v>
      </c>
      <c r="BE17" s="158" t="str">
        <f t="shared" ref="BE17:BE19" si="18">LET(team, SUBSTITUTE(BE$1, " Losses", ""), weekSheet, "'"&amp;$A17&amp;"'!", matchIdx, MATCH("*"&amp;team&amp;"*", INDIRECT(weekSheet&amp;"$B:$B"), 0), IF(ISNA(matchIdx), "-", LET(winner, INDEX(INDIRECT(weekSheet&amp;"$C:$C"), matchIdx), IF(winner="", "-", IF(winner=team, "-", 1)))))</f>
        <v>-</v>
      </c>
      <c r="BF17" s="160"/>
      <c r="BG17" s="160"/>
      <c r="BH17" s="160"/>
      <c r="BI17" s="160"/>
      <c r="BJ17" s="160"/>
      <c r="BK17" s="160"/>
      <c r="BL17" s="160"/>
      <c r="BM17" s="160"/>
    </row>
    <row r="18">
      <c r="A18" s="157" t="s">
        <v>206</v>
      </c>
      <c r="B18" s="160"/>
      <c r="C18" s="160"/>
      <c r="D18" s="160"/>
      <c r="E18" s="160"/>
      <c r="F18" s="160"/>
      <c r="G18" s="160"/>
      <c r="H18" s="160"/>
      <c r="I18" s="160"/>
      <c r="J18" s="160"/>
      <c r="K18" s="160"/>
      <c r="L18" s="160"/>
      <c r="M18" s="160"/>
      <c r="N18" s="158">
        <f t="array" ref="N18">LET(team, SUBSTITUTE(N$1, " Wins", ""), IF(COUNTIF(INDIRECT("'"&amp;$A18&amp;"'!$C:$C"), team)&gt;0, 1, "-"))</f>
        <v>1</v>
      </c>
      <c r="O18" s="158" t="str">
        <f t="array" ref="O18">LET(team, SUBSTITUTE(O$1, " Losses", ""), weekSheet, "'"&amp;$A18&amp;"'!", matchIdx, MATCH("*"&amp;team&amp;"*", INDIRECT(weekSheet&amp;"$B:$B"), 0), IF(ISNA(matchIdx), "-", LET(winner, INDEX(INDIRECT(weekSheet&amp;"$C:$C"), matchIdx), IF(winner="", "-", IF(winner=team, "-", 1)))))</f>
        <v>-</v>
      </c>
      <c r="P18" s="160"/>
      <c r="Q18" s="160"/>
      <c r="R18" s="160"/>
      <c r="S18" s="160"/>
      <c r="T18" s="160"/>
      <c r="U18" s="160"/>
      <c r="V18" s="160"/>
      <c r="W18" s="160"/>
      <c r="X18" s="160"/>
      <c r="Y18" s="160"/>
      <c r="Z18" s="158">
        <f t="array" ref="Z18">LET(team, SUBSTITUTE(Z$1, " Wins", ""), IF(COUNTIF(INDIRECT("'"&amp;$A18&amp;"'!$C:$C"), team)&gt;0, 1, "-"))</f>
        <v>1</v>
      </c>
      <c r="AA18" s="158" t="str">
        <f t="array" ref="AA18">LET(team, SUBSTITUTE(AA$1, " Losses", ""), weekSheet, "'"&amp;$A18&amp;"'!", matchIdx, MATCH("*"&amp;team&amp;"*", INDIRECT(weekSheet&amp;"$B:$B"), 0), IF(ISNA(matchIdx), "-", LET(winner, INDEX(INDIRECT(weekSheet&amp;"$C:$C"), matchIdx), IF(winner="", "-", IF(winner=team, "-", 1)))))</f>
        <v>-</v>
      </c>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58" t="str">
        <f t="shared" ref="AX18:AX19" si="19">LET(team, SUBSTITUTE(AX$1, " Wins", ""), IF(COUNTIF(INDIRECT("'"&amp;$A18&amp;"'!$C:$C"), team)&gt;0, 1, "-"))</f>
        <v>-</v>
      </c>
      <c r="AY18" s="158">
        <f t="shared" ref="AY18:AY19" si="20">LET(team, SUBSTITUTE(AY$1, " Losses", ""), weekSheet, "'"&amp;$A18&amp;"'!", matchIdx, MATCH("*"&amp;team&amp;"*", INDIRECT(weekSheet&amp;"$B:$B"), 0), IF(ISNA(matchIdx), "-", LET(winner, INDEX(INDIRECT(weekSheet&amp;"$C:$C"), matchIdx), IF(winner="", "-", IF(winner=team, "-", 1)))))</f>
        <v>1</v>
      </c>
      <c r="AZ18" s="160"/>
      <c r="BA18" s="160"/>
      <c r="BB18" s="160"/>
      <c r="BC18" s="160"/>
      <c r="BD18" s="158">
        <f t="shared" si="17"/>
        <v>1</v>
      </c>
      <c r="BE18" s="158" t="str">
        <f t="shared" si="18"/>
        <v>-</v>
      </c>
      <c r="BF18" s="160"/>
      <c r="BG18" s="160"/>
      <c r="BH18" s="160"/>
      <c r="BI18" s="160"/>
      <c r="BJ18" s="160"/>
      <c r="BK18" s="160"/>
      <c r="BL18" s="160"/>
      <c r="BM18" s="160"/>
    </row>
    <row r="19">
      <c r="A19" s="157" t="s">
        <v>207</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58">
        <f t="shared" si="19"/>
        <v>1</v>
      </c>
      <c r="AY19" s="158" t="str">
        <f t="shared" si="20"/>
        <v>-</v>
      </c>
      <c r="AZ19" s="158" t="str">
        <f t="array" ref="AZ19">LET(team, SUBSTITUTE(AZ$1, " Wins", ""), IF(COUNTIF(INDIRECT("'"&amp;$A19&amp;"'!$C:$C"), team)&gt;0, 1, "-"))</f>
        <v>-</v>
      </c>
      <c r="BA19" s="158">
        <f t="array" ref="BA19">LET(team, SUBSTITUTE(BA$1, " Losses", ""), weekSheet, "'"&amp;$A19&amp;"'!", matchIdx, MATCH("*"&amp;team&amp;"*", INDIRECT(weekSheet&amp;"$B:$B"), 0), IF(ISNA(matchIdx), "-", LET(winner, INDEX(INDIRECT(weekSheet&amp;"$C:$C"), matchIdx), IF(winner="", "-", IF(winner=team, "-", 1)))))</f>
        <v>1</v>
      </c>
      <c r="BB19" s="158" t="str">
        <f t="array" ref="BB19">LET(team, SUBSTITUTE(BB$1, " Wins", ""), IF(COUNTIF(INDIRECT("'"&amp;$A19&amp;"'!$C:$C"), team)&gt;0, 1, "-"))</f>
        <v>-</v>
      </c>
      <c r="BC19" s="158">
        <f t="array" ref="BC19">LET(team, SUBSTITUTE(BC$1, " Losses", ""), weekSheet, "'"&amp;$A19&amp;"'!", matchIdx, MATCH("*"&amp;team&amp;"*", INDIRECT(weekSheet&amp;"$B:$B"), 0), IF(ISNA(matchIdx), "-", LET(winner, INDEX(INDIRECT(weekSheet&amp;"$C:$C"), matchIdx), IF(winner="", "-", IF(winner=team, "-", 1)))))</f>
        <v>1</v>
      </c>
      <c r="BD19" s="158">
        <f t="shared" si="17"/>
        <v>1</v>
      </c>
      <c r="BE19" s="158" t="str">
        <f t="shared" si="18"/>
        <v>-</v>
      </c>
      <c r="BF19" s="160"/>
      <c r="BG19" s="160"/>
      <c r="BH19" s="160"/>
      <c r="BI19" s="160"/>
      <c r="BJ19" s="160"/>
      <c r="BK19" s="160"/>
      <c r="BL19" s="160"/>
      <c r="BM19" s="160"/>
    </row>
    <row r="20">
      <c r="A20" s="227" t="s">
        <v>705</v>
      </c>
      <c r="B20" s="229">
        <f t="shared" ref="B20:BM20" si="21">SUM(B2:B19)</f>
        <v>0</v>
      </c>
      <c r="C20" s="229">
        <f t="shared" si="21"/>
        <v>0</v>
      </c>
      <c r="D20" s="230">
        <f t="shared" si="21"/>
        <v>0</v>
      </c>
      <c r="E20" s="230">
        <f t="shared" si="21"/>
        <v>0</v>
      </c>
      <c r="F20" s="231">
        <f t="shared" si="21"/>
        <v>0</v>
      </c>
      <c r="G20" s="231">
        <f t="shared" si="21"/>
        <v>0</v>
      </c>
      <c r="H20" s="232">
        <f t="shared" si="21"/>
        <v>0</v>
      </c>
      <c r="I20" s="232">
        <f t="shared" si="21"/>
        <v>0</v>
      </c>
      <c r="J20" s="233">
        <f t="shared" si="21"/>
        <v>3</v>
      </c>
      <c r="K20" s="233">
        <f t="shared" si="21"/>
        <v>1</v>
      </c>
      <c r="L20" s="234">
        <f t="shared" si="21"/>
        <v>1</v>
      </c>
      <c r="M20" s="234">
        <f t="shared" si="21"/>
        <v>3</v>
      </c>
      <c r="N20" s="235">
        <f t="shared" si="21"/>
        <v>1</v>
      </c>
      <c r="O20" s="235">
        <f t="shared" si="21"/>
        <v>3</v>
      </c>
      <c r="P20" s="236">
        <f t="shared" si="21"/>
        <v>4</v>
      </c>
      <c r="Q20" s="236">
        <f t="shared" si="21"/>
        <v>0</v>
      </c>
      <c r="R20" s="237">
        <f t="shared" si="21"/>
        <v>0</v>
      </c>
      <c r="S20" s="237">
        <f t="shared" si="21"/>
        <v>0</v>
      </c>
      <c r="T20" s="238">
        <f t="shared" si="21"/>
        <v>0</v>
      </c>
      <c r="U20" s="238">
        <f t="shared" si="21"/>
        <v>0</v>
      </c>
      <c r="V20" s="239">
        <f t="shared" si="21"/>
        <v>0</v>
      </c>
      <c r="W20" s="239">
        <f t="shared" si="21"/>
        <v>0</v>
      </c>
      <c r="X20" s="240">
        <f t="shared" si="21"/>
        <v>0</v>
      </c>
      <c r="Y20" s="240">
        <f t="shared" si="21"/>
        <v>0</v>
      </c>
      <c r="Z20" s="241">
        <f t="shared" si="21"/>
        <v>1</v>
      </c>
      <c r="AA20" s="241">
        <f t="shared" si="21"/>
        <v>0</v>
      </c>
      <c r="AB20" s="242">
        <f t="shared" si="21"/>
        <v>1</v>
      </c>
      <c r="AC20" s="242">
        <f t="shared" si="21"/>
        <v>0</v>
      </c>
      <c r="AD20" s="243">
        <f t="shared" si="21"/>
        <v>0</v>
      </c>
      <c r="AE20" s="243">
        <f t="shared" si="21"/>
        <v>1</v>
      </c>
      <c r="AF20" s="244">
        <f t="shared" si="21"/>
        <v>0</v>
      </c>
      <c r="AG20" s="244">
        <f t="shared" si="21"/>
        <v>1</v>
      </c>
      <c r="AH20" s="245">
        <f t="shared" si="21"/>
        <v>0</v>
      </c>
      <c r="AI20" s="245">
        <f t="shared" si="21"/>
        <v>1</v>
      </c>
      <c r="AJ20" s="246">
        <f t="shared" si="21"/>
        <v>1</v>
      </c>
      <c r="AK20" s="246">
        <f t="shared" si="21"/>
        <v>0</v>
      </c>
      <c r="AL20" s="247">
        <f t="shared" si="21"/>
        <v>1</v>
      </c>
      <c r="AM20" s="247">
        <f t="shared" si="21"/>
        <v>0</v>
      </c>
      <c r="AN20" s="248">
        <f t="shared" si="21"/>
        <v>0</v>
      </c>
      <c r="AO20" s="248">
        <f t="shared" si="21"/>
        <v>1</v>
      </c>
      <c r="AP20" s="249">
        <f t="shared" si="21"/>
        <v>1</v>
      </c>
      <c r="AQ20" s="249">
        <f t="shared" si="21"/>
        <v>0</v>
      </c>
      <c r="AR20" s="250">
        <f t="shared" si="21"/>
        <v>1</v>
      </c>
      <c r="AS20" s="250">
        <f t="shared" si="21"/>
        <v>0</v>
      </c>
      <c r="AT20" s="251">
        <f t="shared" si="21"/>
        <v>0</v>
      </c>
      <c r="AU20" s="251">
        <f t="shared" si="21"/>
        <v>1</v>
      </c>
      <c r="AV20" s="252">
        <f t="shared" si="21"/>
        <v>0</v>
      </c>
      <c r="AW20" s="252">
        <f t="shared" si="21"/>
        <v>1</v>
      </c>
      <c r="AX20" s="253">
        <f t="shared" si="21"/>
        <v>3</v>
      </c>
      <c r="AY20" s="253">
        <f t="shared" si="21"/>
        <v>3</v>
      </c>
      <c r="AZ20" s="254">
        <f t="shared" si="21"/>
        <v>3</v>
      </c>
      <c r="BA20" s="254">
        <f t="shared" si="21"/>
        <v>3</v>
      </c>
      <c r="BB20" s="255">
        <f t="shared" si="21"/>
        <v>1</v>
      </c>
      <c r="BC20" s="255">
        <f t="shared" si="21"/>
        <v>5</v>
      </c>
      <c r="BD20" s="256">
        <f t="shared" si="21"/>
        <v>5</v>
      </c>
      <c r="BE20" s="256">
        <f t="shared" si="21"/>
        <v>1</v>
      </c>
      <c r="BF20" s="257">
        <f t="shared" si="21"/>
        <v>2</v>
      </c>
      <c r="BG20" s="257">
        <f t="shared" si="21"/>
        <v>2</v>
      </c>
      <c r="BH20" s="258">
        <f t="shared" si="21"/>
        <v>0</v>
      </c>
      <c r="BI20" s="258">
        <f t="shared" si="21"/>
        <v>4</v>
      </c>
      <c r="BJ20" s="259">
        <f t="shared" si="21"/>
        <v>1</v>
      </c>
      <c r="BK20" s="259">
        <f t="shared" si="21"/>
        <v>3</v>
      </c>
      <c r="BL20" s="260">
        <f t="shared" si="21"/>
        <v>0</v>
      </c>
      <c r="BM20" s="260">
        <f t="shared" si="21"/>
        <v>4</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54"/>
      <c r="B1" s="161" t="s">
        <v>562</v>
      </c>
      <c r="C1" s="161" t="s">
        <v>563</v>
      </c>
      <c r="D1" s="162" t="s">
        <v>564</v>
      </c>
      <c r="E1" s="162" t="s">
        <v>565</v>
      </c>
      <c r="F1" s="163" t="s">
        <v>566</v>
      </c>
      <c r="G1" s="163" t="s">
        <v>567</v>
      </c>
      <c r="H1" s="164" t="s">
        <v>568</v>
      </c>
      <c r="I1" s="164" t="s">
        <v>569</v>
      </c>
      <c r="J1" s="165" t="s">
        <v>571</v>
      </c>
      <c r="K1" s="165" t="s">
        <v>572</v>
      </c>
      <c r="L1" s="166" t="s">
        <v>573</v>
      </c>
      <c r="M1" s="166" t="s">
        <v>575</v>
      </c>
      <c r="N1" s="167" t="s">
        <v>576</v>
      </c>
      <c r="O1" s="167" t="s">
        <v>577</v>
      </c>
      <c r="P1" s="168" t="s">
        <v>578</v>
      </c>
      <c r="Q1" s="168" t="s">
        <v>579</v>
      </c>
      <c r="R1" s="169" t="s">
        <v>580</v>
      </c>
      <c r="S1" s="169" t="s">
        <v>581</v>
      </c>
      <c r="T1" s="170" t="s">
        <v>582</v>
      </c>
      <c r="U1" s="170" t="s">
        <v>583</v>
      </c>
      <c r="V1" s="171" t="s">
        <v>584</v>
      </c>
      <c r="W1" s="171" t="s">
        <v>585</v>
      </c>
      <c r="X1" s="172" t="s">
        <v>586</v>
      </c>
      <c r="Y1" s="172" t="s">
        <v>587</v>
      </c>
      <c r="Z1" s="173" t="s">
        <v>588</v>
      </c>
      <c r="AA1" s="173" t="s">
        <v>589</v>
      </c>
      <c r="AB1" s="174" t="s">
        <v>590</v>
      </c>
      <c r="AC1" s="174" t="s">
        <v>591</v>
      </c>
      <c r="AD1" s="175" t="s">
        <v>592</v>
      </c>
      <c r="AE1" s="175" t="s">
        <v>595</v>
      </c>
      <c r="AF1" s="176" t="s">
        <v>596</v>
      </c>
      <c r="AG1" s="176" t="s">
        <v>597</v>
      </c>
      <c r="AH1" s="177" t="s">
        <v>598</v>
      </c>
      <c r="AI1" s="177" t="s">
        <v>600</v>
      </c>
      <c r="AJ1" s="178" t="s">
        <v>601</v>
      </c>
      <c r="AK1" s="178" t="s">
        <v>602</v>
      </c>
      <c r="AL1" s="179" t="s">
        <v>603</v>
      </c>
      <c r="AM1" s="179" t="s">
        <v>604</v>
      </c>
      <c r="AN1" s="180" t="s">
        <v>605</v>
      </c>
      <c r="AO1" s="180" t="s">
        <v>606</v>
      </c>
      <c r="AP1" s="181" t="s">
        <v>607</v>
      </c>
      <c r="AQ1" s="181" t="s">
        <v>608</v>
      </c>
      <c r="AR1" s="182" t="s">
        <v>609</v>
      </c>
      <c r="AS1" s="182" t="s">
        <v>610</v>
      </c>
      <c r="AT1" s="184" t="s">
        <v>611</v>
      </c>
      <c r="AU1" s="184" t="s">
        <v>612</v>
      </c>
      <c r="AV1" s="185" t="s">
        <v>613</v>
      </c>
      <c r="AW1" s="185" t="s">
        <v>614</v>
      </c>
      <c r="AX1" s="186" t="s">
        <v>616</v>
      </c>
      <c r="AY1" s="186" t="s">
        <v>617</v>
      </c>
      <c r="AZ1" s="187" t="s">
        <v>618</v>
      </c>
      <c r="BA1" s="187" t="s">
        <v>619</v>
      </c>
      <c r="BB1" s="188" t="s">
        <v>620</v>
      </c>
      <c r="BC1" s="188" t="s">
        <v>621</v>
      </c>
      <c r="BD1" s="189" t="s">
        <v>622</v>
      </c>
      <c r="BE1" s="189" t="s">
        <v>623</v>
      </c>
      <c r="BF1" s="190" t="s">
        <v>624</v>
      </c>
      <c r="BG1" s="190" t="s">
        <v>625</v>
      </c>
      <c r="BH1" s="191" t="s">
        <v>627</v>
      </c>
      <c r="BI1" s="191" t="s">
        <v>628</v>
      </c>
      <c r="BJ1" s="192" t="s">
        <v>629</v>
      </c>
      <c r="BK1" s="192" t="s">
        <v>630</v>
      </c>
      <c r="BL1" s="193" t="s">
        <v>631</v>
      </c>
      <c r="BM1" s="193" t="s">
        <v>632</v>
      </c>
    </row>
    <row r="2">
      <c r="A2" s="157" t="s">
        <v>123</v>
      </c>
      <c r="B2" s="160"/>
      <c r="C2" s="160"/>
      <c r="D2" s="160"/>
      <c r="E2" s="160"/>
      <c r="F2" s="160"/>
      <c r="G2" s="160"/>
      <c r="H2" s="160"/>
      <c r="I2" s="160"/>
      <c r="J2" s="160"/>
      <c r="K2" s="160"/>
      <c r="L2" s="160"/>
      <c r="M2" s="160"/>
      <c r="N2" s="160"/>
      <c r="O2" s="160"/>
      <c r="P2" s="160"/>
      <c r="Q2" s="160"/>
      <c r="R2" s="160"/>
      <c r="S2" s="160"/>
      <c r="T2" s="160"/>
      <c r="U2" s="160"/>
      <c r="V2" s="158">
        <f t="array" ref="V2">LET(team, SUBSTITUTE(V$1, " Wins", ""), IF(COUNTIF(INDIRECT("'"&amp;$A2&amp;"'!$C:$C"), team)&gt;0, 1, "-"))</f>
        <v>1</v>
      </c>
      <c r="W2" s="158" t="str">
        <f t="array" ref="W2">LET(team, SUBSTITUTE(W$1, " Losses", ""), weekSheet, "'"&amp;$A2&amp;"'!", matchIdx, MATCH("*"&amp;team&amp;"*", INDIRECT(weekSheet&amp;"$B:$B"), 0), IF(ISNA(matchIdx), "-", LET(winner, INDEX(INDIRECT(weekSheet&amp;"$C:$C"), matchIdx), IF(winner="", "-", IF(winner=team, "-", 1)))))</f>
        <v>-</v>
      </c>
      <c r="X2" s="158">
        <f t="array" ref="X2">LET(team, SUBSTITUTE(X$1, " Wins", ""), IF(COUNTIF(INDIRECT("'"&amp;$A2&amp;"'!$C:$C"), team)&gt;0, 1, "-"))</f>
        <v>1</v>
      </c>
      <c r="Y2" s="158" t="str">
        <f t="array" ref="Y2">LET(team, SUBSTITUTE(Y$1, " Losses", ""), weekSheet, "'"&amp;$A2&amp;"'!", matchIdx, MATCH("*"&amp;team&amp;"*", INDIRECT(weekSheet&amp;"$B:$B"), 0), IF(ISNA(matchIdx), "-", LET(winner, INDEX(INDIRECT(weekSheet&amp;"$C:$C"), matchIdx), IF(winner="", "-", IF(winner=team, "-", 1)))))</f>
        <v>-</v>
      </c>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58">
        <f t="array" ref="AX2">LET(team, SUBSTITUTE(AX$1, " Wins", ""), IF(COUNTIF(INDIRECT("'"&amp;$A2&amp;"'!$C:$C"), team)&gt;0, 1, "-"))</f>
        <v>1</v>
      </c>
      <c r="AY2" s="158" t="str">
        <f t="array" ref="AY2">LET(team, SUBSTITUTE(AY$1, " Losses", ""), weekSheet, "'"&amp;$A2&amp;"'!", matchIdx, MATCH("*"&amp;team&amp;"*", INDIRECT(weekSheet&amp;"$B:$B"), 0), IF(ISNA(matchIdx), "-", LET(winner, INDEX(INDIRECT(weekSheet&amp;"$C:$C"), matchIdx), IF(winner="", "-", IF(winner=team, "-", 1)))))</f>
        <v>-</v>
      </c>
      <c r="AZ2" s="160"/>
      <c r="BA2" s="160"/>
      <c r="BB2" s="160"/>
      <c r="BC2" s="160"/>
      <c r="BD2" s="158">
        <f t="array" ref="BD2">LET(team, SUBSTITUTE(BD$1, " Wins", ""), IF(COUNTIF(INDIRECT("'"&amp;$A2&amp;"'!$C:$C"), team)&gt;0, 1, "-"))</f>
        <v>1</v>
      </c>
      <c r="BE2" s="158" t="str">
        <f t="array" ref="BE2">LET(team, SUBSTITUTE(BE$1, " Losses", ""), weekSheet, "'"&amp;$A2&amp;"'!", matchIdx, MATCH("*"&amp;team&amp;"*", INDIRECT(weekSheet&amp;"$B:$B"), 0), IF(ISNA(matchIdx), "-", LET(winner, INDEX(INDIRECT(weekSheet&amp;"$C:$C"), matchIdx), IF(winner="", "-", IF(winner=team, "-", 1)))))</f>
        <v>-</v>
      </c>
      <c r="BF2" s="160"/>
      <c r="BG2" s="160"/>
      <c r="BH2" s="160"/>
      <c r="BI2" s="160"/>
      <c r="BJ2" s="160"/>
      <c r="BK2" s="160"/>
      <c r="BL2" s="160"/>
      <c r="BM2" s="160"/>
    </row>
    <row r="3">
      <c r="A3" s="157" t="s">
        <v>119</v>
      </c>
      <c r="B3" s="160"/>
      <c r="C3" s="160"/>
      <c r="D3" s="160"/>
      <c r="E3" s="160"/>
      <c r="F3" s="160"/>
      <c r="G3" s="160"/>
      <c r="H3" s="160"/>
      <c r="I3" s="160"/>
      <c r="J3" s="160"/>
      <c r="K3" s="160"/>
      <c r="L3" s="160"/>
      <c r="M3" s="160"/>
      <c r="N3" s="160"/>
      <c r="O3" s="160"/>
      <c r="P3" s="160"/>
      <c r="Q3" s="160"/>
      <c r="R3" s="158">
        <f t="array" ref="R3">LET(team, SUBSTITUTE(R$1, " Wins", ""), IF(COUNTIF(INDIRECT("'"&amp;$A3&amp;"'!$C:$C"), team)&gt;0, 1, "-"))</f>
        <v>1</v>
      </c>
      <c r="S3" s="158" t="str">
        <f t="array" ref="S3">LET(team, SUBSTITUTE(S$1, " Losses", ""), weekSheet, "'"&amp;$A3&amp;"'!", matchIdx, MATCH("*"&amp;team&amp;"*", INDIRECT(weekSheet&amp;"$B:$B"), 0), IF(ISNA(matchIdx), "-", LET(winner, INDEX(INDIRECT(weekSheet&amp;"$C:$C"), matchIdx), IF(winner="", "-", IF(winner=team, "-", 1)))))</f>
        <v>-</v>
      </c>
      <c r="T3" s="158" t="str">
        <f t="shared" ref="T3:T4" si="1">LET(team, SUBSTITUTE(T$1, " Wins", ""), IF(COUNTIF(INDIRECT("'"&amp;$A3&amp;"'!$C:$C"), team)&gt;0, 1, "-"))</f>
        <v>-</v>
      </c>
      <c r="U3" s="158">
        <f t="shared" ref="U3:U4" si="2">LET(team, SUBSTITUTE(U$1, " Losses", ""), weekSheet, "'"&amp;$A3&amp;"'!", matchIdx, MATCH("*"&amp;team&amp;"*", INDIRECT(weekSheet&amp;"$B:$B"), 0), IF(ISNA(matchIdx), "-", LET(winner, INDEX(INDIRECT(weekSheet&amp;"$C:$C"), matchIdx), IF(winner="", "-", IF(winner=team, "-", 1)))))</f>
        <v>1</v>
      </c>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c r="BF3" s="160"/>
      <c r="BG3" s="160"/>
      <c r="BH3" s="160"/>
      <c r="BI3" s="160"/>
      <c r="BJ3" s="158">
        <f t="array" ref="BJ3">LET(team, SUBSTITUTE(BJ$1, " Wins", ""), IF(COUNTIF(INDIRECT("'"&amp;$A3&amp;"'!$C:$C"), team)&gt;0, 1, "-"))</f>
        <v>1</v>
      </c>
      <c r="BK3" s="158" t="str">
        <f t="array" ref="BK3">LET(team, SUBSTITUTE(BK$1, " Losses", ""), weekSheet, "'"&amp;$A3&amp;"'!", matchIdx, MATCH("*"&amp;team&amp;"*", INDIRECT(weekSheet&amp;"$B:$B"), 0), IF(ISNA(matchIdx), "-", LET(winner, INDEX(INDIRECT(weekSheet&amp;"$C:$C"), matchIdx), IF(winner="", "-", IF(winner=team, "-", 1)))))</f>
        <v>-</v>
      </c>
      <c r="BL3" s="158" t="str">
        <f t="array" ref="BL3">LET(team, SUBSTITUTE(BL$1, " Wins", ""), IF(COUNTIF(INDIRECT("'"&amp;$A3&amp;"'!$C:$C"), team)&gt;0, 1, "-"))</f>
        <v>-</v>
      </c>
      <c r="BM3" s="158">
        <f t="array" ref="BM3">LET(team, SUBSTITUTE(BM$1, " Losses", ""), weekSheet, "'"&amp;$A3&amp;"'!", matchIdx, MATCH("*"&amp;team&amp;"*", INDIRECT(weekSheet&amp;"$B:$B"), 0), IF(ISNA(matchIdx), "-", LET(winner, INDEX(INDIRECT(weekSheet&amp;"$C:$C"), matchIdx), IF(winner="", "-", IF(winner=team, "-", 1)))))</f>
        <v>1</v>
      </c>
    </row>
    <row r="4">
      <c r="A4" s="157" t="s">
        <v>130</v>
      </c>
      <c r="B4" s="160"/>
      <c r="C4" s="160"/>
      <c r="D4" s="158" t="str">
        <f t="array" ref="D4">LET(team, SUBSTITUTE(D$1, " Wins", ""), IF(COUNTIF(INDIRECT("'"&amp;$A4&amp;"'!$C:$C"), team)&gt;0, 1, "-"))</f>
        <v>-</v>
      </c>
      <c r="E4" s="158">
        <f t="array" ref="E4">LET(team, SUBSTITUTE(E$1, " Losses", ""), weekSheet, "'"&amp;$A4&amp;"'!", matchIdx, MATCH("*"&amp;team&amp;"*", INDIRECT(weekSheet&amp;"$B:$B"), 0), IF(ISNA(matchIdx), "-", LET(winner, INDEX(INDIRECT(weekSheet&amp;"$C:$C"), matchIdx), IF(winner="", "-", IF(winner=team, "-", 1)))))</f>
        <v>1</v>
      </c>
      <c r="F4" s="160"/>
      <c r="G4" s="160"/>
      <c r="H4" s="160"/>
      <c r="I4" s="160"/>
      <c r="J4" s="160"/>
      <c r="K4" s="160"/>
      <c r="L4" s="160"/>
      <c r="M4" s="160"/>
      <c r="N4" s="160"/>
      <c r="O4" s="160"/>
      <c r="P4" s="160"/>
      <c r="Q4" s="160"/>
      <c r="R4" s="160"/>
      <c r="S4" s="160"/>
      <c r="T4" s="158" t="str">
        <f t="shared" si="1"/>
        <v>-</v>
      </c>
      <c r="U4" s="158">
        <f t="shared" si="2"/>
        <v>1</v>
      </c>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58">
        <f t="shared" ref="AZ4:AZ5" si="3">LET(team, SUBSTITUTE(AZ$1, " Wins", ""), IF(COUNTIF(INDIRECT("'"&amp;$A4&amp;"'!$C:$C"), team)&gt;0, 1, "-"))</f>
        <v>1</v>
      </c>
      <c r="BA4" s="158" t="str">
        <f t="shared" ref="BA4:BA5" si="4">LET(team, SUBSTITUTE(BA$1, " Losses", ""), weekSheet, "'"&amp;$A4&amp;"'!", matchIdx, MATCH("*"&amp;team&amp;"*", INDIRECT(weekSheet&amp;"$B:$B"), 0), IF(ISNA(matchIdx), "-", LET(winner, INDEX(INDIRECT(weekSheet&amp;"$C:$C"), matchIdx), IF(winner="", "-", IF(winner=team, "-", 1)))))</f>
        <v>-</v>
      </c>
      <c r="BB4" s="158">
        <f t="array" ref="BB4">LET(team, SUBSTITUTE(BB$1, " Wins", ""), IF(COUNTIF(INDIRECT("'"&amp;$A4&amp;"'!$C:$C"), team)&gt;0, 1, "-"))</f>
        <v>1</v>
      </c>
      <c r="BC4" s="158" t="str">
        <f t="array" ref="BC4">LET(team, SUBSTITUTE(BC$1, " Losses", ""), weekSheet, "'"&amp;$A4&amp;"'!", matchIdx, MATCH("*"&amp;team&amp;"*", INDIRECT(weekSheet&amp;"$B:$B"), 0), IF(ISNA(matchIdx), "-", LET(winner, INDEX(INDIRECT(weekSheet&amp;"$C:$C"), matchIdx), IF(winner="", "-", IF(winner=team, "-", 1)))))</f>
        <v>-</v>
      </c>
      <c r="BD4" s="160"/>
      <c r="BE4" s="160"/>
      <c r="BF4" s="160"/>
      <c r="BG4" s="160"/>
      <c r="BH4" s="160"/>
      <c r="BI4" s="160"/>
      <c r="BJ4" s="160"/>
      <c r="BK4" s="160"/>
      <c r="BL4" s="160"/>
      <c r="BM4" s="160"/>
    </row>
    <row r="5">
      <c r="A5" s="157" t="s">
        <v>141</v>
      </c>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58">
        <f t="array" ref="AX5">LET(team, SUBSTITUTE(AX$1, " Wins", ""), IF(COUNTIF(INDIRECT("'"&amp;$A5&amp;"'!$C:$C"), team)&gt;0, 1, "-"))</f>
        <v>1</v>
      </c>
      <c r="AY5" s="158" t="str">
        <f t="array" ref="AY5">LET(team, SUBSTITUTE(AY$1, " Losses", ""), weekSheet, "'"&amp;$A5&amp;"'!", matchIdx, MATCH("*"&amp;team&amp;"*", INDIRECT(weekSheet&amp;"$B:$B"), 0), IF(ISNA(matchIdx), "-", LET(winner, INDEX(INDIRECT(weekSheet&amp;"$C:$C"), matchIdx), IF(winner="", "-", IF(winner=team, "-", 1)))))</f>
        <v>-</v>
      </c>
      <c r="AZ5" s="158" t="str">
        <f t="shared" si="3"/>
        <v>-</v>
      </c>
      <c r="BA5" s="158">
        <f t="shared" si="4"/>
        <v>1</v>
      </c>
      <c r="BB5" s="160"/>
      <c r="BC5" s="160"/>
      <c r="BD5" s="160"/>
      <c r="BE5" s="160"/>
      <c r="BF5" s="160"/>
      <c r="BG5" s="160"/>
      <c r="BH5" s="158" t="str">
        <f t="array" ref="BH5">LET(team, SUBSTITUTE(BH$1, " Wins", ""), IF(COUNTIF(INDIRECT("'"&amp;$A5&amp;"'!$C:$C"), team)&gt;0, 1, "-"))</f>
        <v>-</v>
      </c>
      <c r="BI5" s="158">
        <f t="array" ref="BI5">LET(team, SUBSTITUTE(BI$1, " Losses", ""), weekSheet, "'"&amp;$A5&amp;"'!", matchIdx, MATCH("*"&amp;team&amp;"*", INDIRECT(weekSheet&amp;"$B:$B"), 0), IF(ISNA(matchIdx), "-", LET(winner, INDEX(INDIRECT(weekSheet&amp;"$C:$C"), matchIdx), IF(winner="", "-", IF(winner=team, "-", 1)))))</f>
        <v>1</v>
      </c>
      <c r="BJ5" s="158">
        <f t="array" ref="BJ5">LET(team, SUBSTITUTE(BJ$1, " Wins", ""), IF(COUNTIF(INDIRECT("'"&amp;$A5&amp;"'!$C:$C"), team)&gt;0, 1, "-"))</f>
        <v>1</v>
      </c>
      <c r="BK5" s="158" t="str">
        <f t="array" ref="BK5">LET(team, SUBSTITUTE(BK$1, " Losses", ""), weekSheet, "'"&amp;$A5&amp;"'!", matchIdx, MATCH("*"&amp;team&amp;"*", INDIRECT(weekSheet&amp;"$B:$B"), 0), IF(ISNA(matchIdx), "-", LET(winner, INDEX(INDIRECT(weekSheet&amp;"$C:$C"), matchIdx), IF(winner="", "-", IF(winner=team, "-", 1)))))</f>
        <v>-</v>
      </c>
      <c r="BL5" s="160"/>
      <c r="BM5" s="160"/>
    </row>
    <row r="6">
      <c r="A6" s="157" t="s">
        <v>145</v>
      </c>
      <c r="B6" s="160"/>
      <c r="C6" s="160"/>
      <c r="D6" s="160"/>
      <c r="E6" s="160"/>
      <c r="F6" s="160"/>
      <c r="G6" s="160"/>
      <c r="H6" s="160"/>
      <c r="I6" s="160"/>
      <c r="J6" s="160"/>
      <c r="K6" s="160"/>
      <c r="L6" s="160"/>
      <c r="M6" s="160"/>
      <c r="N6" s="160"/>
      <c r="O6" s="160"/>
      <c r="P6" s="160"/>
      <c r="Q6" s="160"/>
      <c r="R6" s="158" t="str">
        <f t="array" ref="R6">LET(team, SUBSTITUTE(R$1, " Wins", ""), IF(COUNTIF(INDIRECT("'"&amp;$A6&amp;"'!$C:$C"), team)&gt;0, 1, "-"))</f>
        <v>-</v>
      </c>
      <c r="S6" s="158">
        <f t="array" ref="S6">LET(team, SUBSTITUTE(S$1, " Losses", ""), weekSheet, "'"&amp;$A6&amp;"'!", matchIdx, MATCH("*"&amp;team&amp;"*", INDIRECT(weekSheet&amp;"$B:$B"), 0), IF(ISNA(matchIdx), "-", LET(winner, INDEX(INDIRECT(weekSheet&amp;"$C:$C"), matchIdx), IF(winner="", "-", IF(winner=team, "-", 1)))))</f>
        <v>1</v>
      </c>
      <c r="T6" s="160"/>
      <c r="U6" s="160"/>
      <c r="V6" s="160"/>
      <c r="W6" s="160"/>
      <c r="X6" s="160"/>
      <c r="Y6" s="160"/>
      <c r="Z6" s="160"/>
      <c r="AA6" s="160"/>
      <c r="AB6" s="160"/>
      <c r="AC6" s="160"/>
      <c r="AD6" s="160"/>
      <c r="AE6" s="160"/>
      <c r="AF6" s="160"/>
      <c r="AG6" s="160"/>
      <c r="AH6" s="160"/>
      <c r="AI6" s="160"/>
      <c r="AJ6" s="160"/>
      <c r="AK6" s="160"/>
      <c r="AL6" s="160"/>
      <c r="AM6" s="160"/>
      <c r="AN6" s="160"/>
      <c r="AO6" s="160"/>
      <c r="AP6" s="158">
        <f t="array" ref="AP6">LET(team, SUBSTITUTE(AP$1, " Wins", ""), IF(COUNTIF(INDIRECT("'"&amp;$A6&amp;"'!$C:$C"), team)&gt;0, 1, "-"))</f>
        <v>1</v>
      </c>
      <c r="AQ6" s="158" t="str">
        <f t="array" ref="AQ6">LET(team, SUBSTITUTE(AQ$1, " Losses", ""), weekSheet, "'"&amp;$A6&amp;"'!", matchIdx, MATCH("*"&amp;team&amp;"*", INDIRECT(weekSheet&amp;"$B:$B"), 0), IF(ISNA(matchIdx), "-", LET(winner, INDEX(INDIRECT(weekSheet&amp;"$C:$C"), matchIdx), IF(winner="", "-", IF(winner=team, "-", 1)))))</f>
        <v>-</v>
      </c>
      <c r="AR6" s="160"/>
      <c r="AS6" s="160"/>
      <c r="AT6" s="160"/>
      <c r="AU6" s="160"/>
      <c r="AV6" s="160"/>
      <c r="AW6" s="160"/>
      <c r="AX6" s="160"/>
      <c r="AY6" s="160"/>
      <c r="AZ6" s="160"/>
      <c r="BA6" s="160"/>
      <c r="BB6" s="158">
        <f t="array" ref="BB6">LET(team, SUBSTITUTE(BB$1, " Wins", ""), IF(COUNTIF(INDIRECT("'"&amp;$A6&amp;"'!$C:$C"), team)&gt;0, 1, "-"))</f>
        <v>1</v>
      </c>
      <c r="BC6" s="158" t="str">
        <f t="array" ref="BC6">LET(team, SUBSTITUTE(BC$1, " Losses", ""), weekSheet, "'"&amp;$A6&amp;"'!", matchIdx, MATCH("*"&amp;team&amp;"*", INDIRECT(weekSheet&amp;"$B:$B"), 0), IF(ISNA(matchIdx), "-", LET(winner, INDEX(INDIRECT(weekSheet&amp;"$C:$C"), matchIdx), IF(winner="", "-", IF(winner=team, "-", 1)))))</f>
        <v>-</v>
      </c>
      <c r="BD6" s="160"/>
      <c r="BE6" s="160"/>
      <c r="BF6" s="160"/>
      <c r="BG6" s="160"/>
      <c r="BH6" s="160"/>
      <c r="BI6" s="160"/>
      <c r="BJ6" s="160"/>
      <c r="BK6" s="160"/>
      <c r="BL6" s="160"/>
      <c r="BM6" s="160"/>
    </row>
    <row r="7">
      <c r="A7" s="157" t="s">
        <v>156</v>
      </c>
      <c r="B7" s="160"/>
      <c r="C7" s="160"/>
      <c r="D7" s="160"/>
      <c r="E7" s="160"/>
      <c r="F7" s="160"/>
      <c r="G7" s="160"/>
      <c r="H7" s="160"/>
      <c r="I7" s="160"/>
      <c r="J7" s="160"/>
      <c r="K7" s="160"/>
      <c r="L7" s="160"/>
      <c r="M7" s="160"/>
      <c r="N7" s="160"/>
      <c r="O7" s="160"/>
      <c r="P7" s="160"/>
      <c r="Q7" s="160"/>
      <c r="R7" s="160"/>
      <c r="S7" s="160"/>
      <c r="T7" s="160"/>
      <c r="U7" s="160"/>
      <c r="V7" s="158" t="str">
        <f t="shared" ref="V7:V8" si="5">LET(team, SUBSTITUTE(V$1, " Wins", ""), IF(COUNTIF(INDIRECT("'"&amp;$A7&amp;"'!$C:$C"), team)&gt;0, 1, "-"))</f>
        <v>-</v>
      </c>
      <c r="W7" s="158">
        <f t="shared" ref="W7:W8" si="6">LET(team, SUBSTITUTE(W$1, " Losses", ""), weekSheet, "'"&amp;$A7&amp;"'!", matchIdx, MATCH("*"&amp;team&amp;"*", INDIRECT(weekSheet&amp;"$B:$B"), 0), IF(ISNA(matchIdx), "-", LET(winner, INDEX(INDIRECT(weekSheet&amp;"$C:$C"), matchIdx), IF(winner="", "-", IF(winner=team, "-", 1)))))</f>
        <v>1</v>
      </c>
      <c r="X7" s="160"/>
      <c r="Y7" s="160"/>
      <c r="Z7" s="160"/>
      <c r="AA7" s="160"/>
      <c r="AB7" s="160"/>
      <c r="AC7" s="160"/>
      <c r="AD7" s="160"/>
      <c r="AE7" s="160"/>
      <c r="AF7" s="160"/>
      <c r="AG7" s="160"/>
      <c r="AH7" s="160"/>
      <c r="AI7" s="160"/>
      <c r="AJ7" s="160"/>
      <c r="AK7" s="160"/>
      <c r="AL7" s="160"/>
      <c r="AM7" s="160"/>
      <c r="AN7" s="160"/>
      <c r="AO7" s="160"/>
      <c r="AP7" s="160"/>
      <c r="AQ7" s="160"/>
      <c r="AR7" s="158">
        <f t="array" ref="AR7">LET(team, SUBSTITUTE(AR$1, " Wins", ""), IF(COUNTIF(INDIRECT("'"&amp;$A7&amp;"'!$C:$C"), team)&gt;0, 1, "-"))</f>
        <v>1</v>
      </c>
      <c r="AS7" s="158" t="str">
        <f t="array" ref="AS7">LET(team, SUBSTITUTE(AS$1, " Losses", ""), weekSheet, "'"&amp;$A7&amp;"'!", matchIdx, MATCH("*"&amp;team&amp;"*", INDIRECT(weekSheet&amp;"$B:$B"), 0), IF(ISNA(matchIdx), "-", LET(winner, INDEX(INDIRECT(weekSheet&amp;"$C:$C"), matchIdx), IF(winner="", "-", IF(winner=team, "-", 1)))))</f>
        <v>-</v>
      </c>
      <c r="AT7" s="158" t="str">
        <f t="array" ref="AT7">LET(team, SUBSTITUTE(AT$1, " Wins", ""), IF(COUNTIF(INDIRECT("'"&amp;$A7&amp;"'!$C:$C"), team)&gt;0, 1, "-"))</f>
        <v>-</v>
      </c>
      <c r="AU7" s="158">
        <f t="array" ref="AU7">LET(team, SUBSTITUTE(AU$1, " Losses", ""), weekSheet, "'"&amp;$A7&amp;"'!", matchIdx, MATCH("*"&amp;team&amp;"*", INDIRECT(weekSheet&amp;"$B:$B"), 0), IF(ISNA(matchIdx), "-", LET(winner, INDEX(INDIRECT(weekSheet&amp;"$C:$C"), matchIdx), IF(winner="", "-", IF(winner=team, "-", 1)))))</f>
        <v>1</v>
      </c>
      <c r="AV7" s="160"/>
      <c r="AW7" s="160"/>
      <c r="AX7" s="160"/>
      <c r="AY7" s="160"/>
      <c r="AZ7" s="160"/>
      <c r="BA7" s="160"/>
      <c r="BB7" s="160"/>
      <c r="BC7" s="160"/>
      <c r="BD7" s="158">
        <f t="array" ref="BD7">LET(team, SUBSTITUTE(BD$1, " Wins", ""), IF(COUNTIF(INDIRECT("'"&amp;$A7&amp;"'!$C:$C"), team)&gt;0, 1, "-"))</f>
        <v>1</v>
      </c>
      <c r="BE7" s="158" t="str">
        <f t="array" ref="BE7">LET(team, SUBSTITUTE(BE$1, " Losses", ""), weekSheet, "'"&amp;$A7&amp;"'!", matchIdx, MATCH("*"&amp;team&amp;"*", INDIRECT(weekSheet&amp;"$B:$B"), 0), IF(ISNA(matchIdx), "-", LET(winner, INDEX(INDIRECT(weekSheet&amp;"$C:$C"), matchIdx), IF(winner="", "-", IF(winner=team, "-", 1)))))</f>
        <v>-</v>
      </c>
      <c r="BF7" s="160"/>
      <c r="BG7" s="160"/>
      <c r="BH7" s="160"/>
      <c r="BI7" s="160"/>
      <c r="BJ7" s="160"/>
      <c r="BK7" s="160"/>
      <c r="BL7" s="160"/>
      <c r="BM7" s="160"/>
    </row>
    <row r="8">
      <c r="A8" s="157" t="s">
        <v>159</v>
      </c>
      <c r="B8" s="160"/>
      <c r="C8" s="160"/>
      <c r="D8" s="160"/>
      <c r="E8" s="160"/>
      <c r="F8" s="160"/>
      <c r="G8" s="160"/>
      <c r="H8" s="160"/>
      <c r="I8" s="160"/>
      <c r="J8" s="160"/>
      <c r="K8" s="160"/>
      <c r="L8" s="160"/>
      <c r="M8" s="160"/>
      <c r="N8" s="160"/>
      <c r="O8" s="160"/>
      <c r="P8" s="160"/>
      <c r="Q8" s="160"/>
      <c r="R8" s="160"/>
      <c r="S8" s="160"/>
      <c r="T8" s="160"/>
      <c r="U8" s="160"/>
      <c r="V8" s="158" t="str">
        <f t="shared" si="5"/>
        <v>-</v>
      </c>
      <c r="W8" s="158">
        <f t="shared" si="6"/>
        <v>1</v>
      </c>
      <c r="X8" s="160"/>
      <c r="Y8" s="160"/>
      <c r="Z8" s="160"/>
      <c r="AA8" s="160"/>
      <c r="AB8" s="160"/>
      <c r="AC8" s="160"/>
      <c r="AD8" s="160"/>
      <c r="AE8" s="160"/>
      <c r="AF8" s="160"/>
      <c r="AG8" s="160"/>
      <c r="AH8" s="158">
        <f t="array" ref="AH8">LET(team, SUBSTITUTE(AH$1, " Wins", ""), IF(COUNTIF(INDIRECT("'"&amp;$A8&amp;"'!$C:$C"), team)&gt;0, 1, "-"))</f>
        <v>1</v>
      </c>
      <c r="AI8" s="158" t="str">
        <f t="array" ref="AI8">LET(team, SUBSTITUTE(AI$1, " Losses", ""), weekSheet, "'"&amp;$A8&amp;"'!", matchIdx, MATCH("*"&amp;team&amp;"*", INDIRECT(weekSheet&amp;"$B:$B"), 0), IF(ISNA(matchIdx), "-", LET(winner, INDEX(INDIRECT(weekSheet&amp;"$C:$C"), matchIdx), IF(winner="", "-", IF(winner=team, "-", 1)))))</f>
        <v>-</v>
      </c>
      <c r="AJ8" s="160"/>
      <c r="AK8" s="160"/>
      <c r="AL8" s="160"/>
      <c r="AM8" s="160"/>
      <c r="AN8" s="160"/>
      <c r="AO8" s="160"/>
      <c r="AP8" s="160"/>
      <c r="AQ8" s="160"/>
      <c r="AR8" s="160"/>
      <c r="AS8" s="160"/>
      <c r="AT8" s="160"/>
      <c r="AU8" s="160"/>
      <c r="AV8" s="160"/>
      <c r="AW8" s="160"/>
      <c r="AX8" s="160"/>
      <c r="AY8" s="160"/>
      <c r="AZ8" s="160"/>
      <c r="BA8" s="160"/>
      <c r="BB8" s="160"/>
      <c r="BC8" s="160"/>
      <c r="BD8" s="160"/>
      <c r="BE8" s="160"/>
      <c r="BF8" s="158" t="str">
        <f t="shared" ref="BF8:BF9" si="7">LET(team, SUBSTITUTE(BF$1, " Wins", ""), IF(COUNTIF(INDIRECT("'"&amp;$A8&amp;"'!$C:$C"), team)&gt;0, 1, "-"))</f>
        <v>-</v>
      </c>
      <c r="BG8" s="158">
        <f t="shared" ref="BG8:BG9" si="8">LET(team, SUBSTITUTE(BG$1, " Losses", ""), weekSheet, "'"&amp;$A8&amp;"'!", matchIdx, MATCH("*"&amp;team&amp;"*", INDIRECT(weekSheet&amp;"$B:$B"), 0), IF(ISNA(matchIdx), "-", LET(winner, INDEX(INDIRECT(weekSheet&amp;"$C:$C"), matchIdx), IF(winner="", "-", IF(winner=team, "-", 1)))))</f>
        <v>1</v>
      </c>
      <c r="BH8" s="160"/>
      <c r="BI8" s="160"/>
      <c r="BJ8" s="160"/>
      <c r="BK8" s="160"/>
      <c r="BL8" s="158">
        <f t="array" ref="BL8">LET(team, SUBSTITUTE(BL$1, " Wins", ""), IF(COUNTIF(INDIRECT("'"&amp;$A8&amp;"'!$C:$C"), team)&gt;0, 1, "-"))</f>
        <v>1</v>
      </c>
      <c r="BM8" s="158" t="str">
        <f t="array" ref="BM8">LET(team, SUBSTITUTE(BM$1, " Losses", ""), weekSheet, "'"&amp;$A8&amp;"'!", matchIdx, MATCH("*"&amp;team&amp;"*", INDIRECT(weekSheet&amp;"$B:$B"), 0), IF(ISNA(matchIdx), "-", LET(winner, INDEX(INDIRECT(weekSheet&amp;"$C:$C"), matchIdx), IF(winner="", "-", IF(winner=team, "-", 1)))))</f>
        <v>-</v>
      </c>
    </row>
    <row r="9">
      <c r="A9" s="157" t="s">
        <v>164</v>
      </c>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58">
        <f t="array" ref="AZ9">LET(team, SUBSTITUTE(AZ$1, " Wins", ""), IF(COUNTIF(INDIRECT("'"&amp;$A9&amp;"'!$C:$C"), team)&gt;0, 1, "-"))</f>
        <v>1</v>
      </c>
      <c r="BA9" s="158" t="str">
        <f t="array" ref="BA9">LET(team, SUBSTITUTE(BA$1, " Losses", ""), weekSheet, "'"&amp;$A9&amp;"'!", matchIdx, MATCH("*"&amp;team&amp;"*", INDIRECT(weekSheet&amp;"$B:$B"), 0), IF(ISNA(matchIdx), "-", LET(winner, INDEX(INDIRECT(weekSheet&amp;"$C:$C"), matchIdx), IF(winner="", "-", IF(winner=team, "-", 1)))))</f>
        <v>-</v>
      </c>
      <c r="BB9" s="160"/>
      <c r="BC9" s="160"/>
      <c r="BD9" s="160"/>
      <c r="BE9" s="160"/>
      <c r="BF9" s="158">
        <f t="shared" si="7"/>
        <v>1</v>
      </c>
      <c r="BG9" s="158" t="str">
        <f t="shared" si="8"/>
        <v>-</v>
      </c>
      <c r="BH9" s="160"/>
      <c r="BI9" s="160"/>
      <c r="BJ9" s="158" t="str">
        <f t="array" ref="BJ9">LET(team, SUBSTITUTE(BJ$1, " Wins", ""), IF(COUNTIF(INDIRECT("'"&amp;$A9&amp;"'!$C:$C"), team)&gt;0, 1, "-"))</f>
        <v>-</v>
      </c>
      <c r="BK9" s="158">
        <f t="array" ref="BK9">LET(team, SUBSTITUTE(BK$1, " Losses", ""), weekSheet, "'"&amp;$A9&amp;"'!", matchIdx, MATCH("*"&amp;team&amp;"*", INDIRECT(weekSheet&amp;"$B:$B"), 0), IF(ISNA(matchIdx), "-", LET(winner, INDEX(INDIRECT(weekSheet&amp;"$C:$C"), matchIdx), IF(winner="", "-", IF(winner=team, "-", 1)))))</f>
        <v>1</v>
      </c>
      <c r="BL9" s="160"/>
      <c r="BM9" s="160"/>
    </row>
    <row r="10">
      <c r="A10" s="157" t="s">
        <v>170</v>
      </c>
      <c r="B10" s="160"/>
      <c r="C10" s="160"/>
      <c r="D10" s="160"/>
      <c r="E10" s="160"/>
      <c r="F10" s="158">
        <f t="array" ref="F10">LET(team, SUBSTITUTE(F$1, " Wins", ""), IF(COUNTIF(INDIRECT("'"&amp;$A10&amp;"'!$C:$C"), team)&gt;0, 1, "-"))</f>
        <v>1</v>
      </c>
      <c r="G10" s="158" t="str">
        <f t="array" ref="G10">LET(team, SUBSTITUTE(G$1, " Losses", ""), weekSheet, "'"&amp;$A10&amp;"'!", matchIdx, MATCH("*"&amp;team&amp;"*", INDIRECT(weekSheet&amp;"$B:$B"), 0), IF(ISNA(matchIdx), "-", LET(winner, INDEX(INDIRECT(weekSheet&amp;"$C:$C"), matchIdx), IF(winner="", "-", IF(winner=team, "-", 1)))))</f>
        <v>-</v>
      </c>
      <c r="H10" s="160"/>
      <c r="I10" s="160"/>
      <c r="J10" s="160"/>
      <c r="K10" s="160"/>
      <c r="L10" s="160"/>
      <c r="M10" s="160"/>
      <c r="N10" s="160"/>
      <c r="O10" s="160"/>
      <c r="P10" s="160"/>
      <c r="Q10" s="160"/>
      <c r="R10" s="160"/>
      <c r="S10" s="160"/>
      <c r="T10" s="45" t="str">
        <f t="array" ref="T10">LET(team, SUBSTITUTE(T$1, " Wins", ""), IF(COUNTIF(INDIRECT("'"&amp;$A10&amp;"'!$C:$C"), team)&gt;0, 1, "-"))</f>
        <v>-</v>
      </c>
      <c r="U10" s="45">
        <f t="array" ref="U10">LET(team, SUBSTITUTE(U$1, " Losses", ""), weekSheet, "'"&amp;$A10&amp;"'!", matchIdx, MATCH("*"&amp;team&amp;"*", INDIRECT(weekSheet&amp;"$B:$B"), 0), IF(ISNA(matchIdx), "-", LET(winner, INDEX(INDIRECT(weekSheet&amp;"$C:$C"), matchIdx), IF(winner="", "-", IF(winner=team, "-", 1)))))</f>
        <v>1</v>
      </c>
      <c r="V10" s="160"/>
      <c r="W10" s="160"/>
      <c r="X10" s="158" t="str">
        <f t="array" ref="X10">LET(team, SUBSTITUTE(X$1, " Wins", ""), IF(COUNTIF(INDIRECT("'"&amp;$A10&amp;"'!$C:$C"), team)&gt;0, 1, "-"))</f>
        <v>-</v>
      </c>
      <c r="Y10" s="158">
        <f t="array" ref="Y10">LET(team, SUBSTITUTE(Y$1, " Losses", ""), weekSheet, "'"&amp;$A10&amp;"'!", matchIdx, MATCH("*"&amp;team&amp;"*", INDIRECT(weekSheet&amp;"$B:$B"), 0), IF(ISNA(matchIdx), "-", LET(winner, INDEX(INDIRECT(weekSheet&amp;"$C:$C"), matchIdx), IF(winner="", "-", IF(winner=team, "-", 1)))))</f>
        <v>1</v>
      </c>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58">
        <f t="array" ref="BD10">LET(team, SUBSTITUTE(BD$1, " Wins", ""), IF(COUNTIF(INDIRECT("'"&amp;$A10&amp;"'!$C:$C"), team)&gt;0, 1, "-"))</f>
        <v>1</v>
      </c>
      <c r="BE10" s="158" t="str">
        <f t="array" ref="BE10">LET(team, SUBSTITUTE(BE$1, " Losses", ""), weekSheet, "'"&amp;$A10&amp;"'!", matchIdx, MATCH("*"&amp;team&amp;"*", INDIRECT(weekSheet&amp;"$B:$B"), 0), IF(ISNA(matchIdx), "-", LET(winner, INDEX(INDIRECT(weekSheet&amp;"$C:$C"), matchIdx), IF(winner="", "-", IF(winner=team, "-", 1)))))</f>
        <v>-</v>
      </c>
      <c r="BF10" s="160"/>
      <c r="BG10" s="160"/>
      <c r="BH10" s="160"/>
      <c r="BI10" s="160"/>
      <c r="BJ10" s="160"/>
      <c r="BK10" s="160"/>
      <c r="BL10" s="160"/>
      <c r="BM10" s="160"/>
    </row>
    <row r="11">
      <c r="A11" s="157" t="s">
        <v>175</v>
      </c>
      <c r="B11" s="45">
        <f t="array" ref="B11">LET(team, SUBSTITUTE(B$1, " Wins", ""), IF(COUNTIF(INDIRECT("'"&amp;$A11&amp;"'!$C:$C"), team)&gt;0, 1, "-"))</f>
        <v>1</v>
      </c>
      <c r="C11" s="45" t="str">
        <f t="array" ref="C11">LET(team, SUBSTITUTE(C$1, " Losses", ""), weekSheet, "'"&amp;$A11&amp;"'!", matchIdx, MATCH("*"&amp;team&amp;"*", INDIRECT(weekSheet&amp;"$B:$B"), 0), IF(ISNA(matchIdx), "-", LET(winner, INDEX(INDIRECT(weekSheet&amp;"$C:$C"), matchIdx), IF(winner="", "-", IF(winner=team, "-", 1)))))</f>
        <v>-</v>
      </c>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58">
        <f t="array" ref="BH11">LET(team, SUBSTITUTE(BH$1, " Wins", ""), IF(COUNTIF(INDIRECT("'"&amp;$A11&amp;"'!$C:$C"), team)&gt;0, 1, "-"))</f>
        <v>1</v>
      </c>
      <c r="BI11" s="158" t="str">
        <f t="array" ref="BI11">LET(team, SUBSTITUTE(BI$1, " Losses", ""), weekSheet, "'"&amp;$A11&amp;"'!", matchIdx, MATCH("*"&amp;team&amp;"*", INDIRECT(weekSheet&amp;"$B:$B"), 0), IF(ISNA(matchIdx), "-", LET(winner, INDEX(INDIRECT(weekSheet&amp;"$C:$C"), matchIdx), IF(winner="", "-", IF(winner=team, "-", 1)))))</f>
        <v>-</v>
      </c>
      <c r="BJ11" s="160"/>
      <c r="BK11" s="160"/>
      <c r="BL11" s="158" t="str">
        <f t="array" ref="BL11">LET(team, SUBSTITUTE(BL$1, " Wins", ""), IF(COUNTIF(INDIRECT("'"&amp;$A11&amp;"'!$C:$C"), team)&gt;0, 1, "-"))</f>
        <v>-</v>
      </c>
      <c r="BM11" s="158">
        <f t="array" ref="BM11">LET(team, SUBSTITUTE(BM$1, " Losses", ""), weekSheet, "'"&amp;$A11&amp;"'!", matchIdx, MATCH("*"&amp;team&amp;"*", INDIRECT(weekSheet&amp;"$B:$B"), 0), IF(ISNA(matchIdx), "-", LET(winner, INDEX(INDIRECT(weekSheet&amp;"$C:$C"), matchIdx), IF(winner="", "-", IF(winner=team, "-", 1)))))</f>
        <v>1</v>
      </c>
    </row>
    <row r="12">
      <c r="A12" s="157" t="s">
        <v>179</v>
      </c>
      <c r="B12" s="160"/>
      <c r="C12" s="160"/>
      <c r="D12" s="160"/>
      <c r="E12" s="160"/>
      <c r="F12" s="160"/>
      <c r="G12" s="160"/>
      <c r="H12" s="160"/>
      <c r="I12" s="160"/>
      <c r="J12" s="160"/>
      <c r="K12" s="160"/>
      <c r="L12" s="160"/>
      <c r="M12" s="160"/>
      <c r="N12" s="160"/>
      <c r="O12" s="160"/>
      <c r="P12" s="160"/>
      <c r="Q12" s="160"/>
      <c r="R12" s="158" t="str">
        <f t="array" ref="R12">LET(team, SUBSTITUTE(R$1, " Wins", ""), IF(COUNTIF(INDIRECT("'"&amp;$A12&amp;"'!$C:$C"), team)&gt;0, 1, "-"))</f>
        <v>-</v>
      </c>
      <c r="S12" s="158">
        <f t="array" ref="S12">LET(team, SUBSTITUTE(S$1, " Losses", ""), weekSheet, "'"&amp;$A12&amp;"'!", matchIdx, MATCH("*"&amp;team&amp;"*", INDIRECT(weekSheet&amp;"$B:$B"), 0), IF(ISNA(matchIdx), "-", LET(winner, INDEX(INDIRECT(weekSheet&amp;"$C:$C"), matchIdx), IF(winner="", "-", IF(winner=team, "-", 1)))))</f>
        <v>1</v>
      </c>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58" t="str">
        <f t="array" ref="AX12">LET(team, SUBSTITUTE(AX$1, " Wins", ""), IF(COUNTIF(INDIRECT("'"&amp;$A12&amp;"'!$C:$C"), team)&gt;0, 1, "-"))</f>
        <v>-</v>
      </c>
      <c r="AY12" s="158">
        <f t="array" ref="AY12">LET(team, SUBSTITUTE(AY$1, " Losses", ""), weekSheet, "'"&amp;$A12&amp;"'!", matchIdx, MATCH("*"&amp;team&amp;"*", INDIRECT(weekSheet&amp;"$B:$B"), 0), IF(ISNA(matchIdx), "-", LET(winner, INDEX(INDIRECT(weekSheet&amp;"$C:$C"), matchIdx), IF(winner="", "-", IF(winner=team, "-", 1)))))</f>
        <v>1</v>
      </c>
      <c r="AZ12" s="160"/>
      <c r="BA12" s="160"/>
      <c r="BB12" s="160"/>
      <c r="BC12" s="160"/>
      <c r="BD12" s="158">
        <f t="array" ref="BD12">LET(team, SUBSTITUTE(BD$1, " Wins", ""), IF(COUNTIF(INDIRECT("'"&amp;$A12&amp;"'!$C:$C"), team)&gt;0, 1, "-"))</f>
        <v>1</v>
      </c>
      <c r="BE12" s="158" t="str">
        <f t="array" ref="BE12">LET(team, SUBSTITUTE(BE$1, " Losses", ""), weekSheet, "'"&amp;$A12&amp;"'!", matchIdx, MATCH("*"&amp;team&amp;"*", INDIRECT(weekSheet&amp;"$B:$B"), 0), IF(ISNA(matchIdx), "-", LET(winner, INDEX(INDIRECT(weekSheet&amp;"$C:$C"), matchIdx), IF(winner="", "-", IF(winner=team, "-", 1)))))</f>
        <v>-</v>
      </c>
      <c r="BF12" s="160"/>
      <c r="BG12" s="160"/>
      <c r="BH12" s="160"/>
      <c r="BI12" s="160"/>
      <c r="BJ12" s="160"/>
      <c r="BK12" s="160"/>
      <c r="BL12" s="160"/>
      <c r="BM12" s="160"/>
    </row>
    <row r="13">
      <c r="A13" s="157" t="s">
        <v>185</v>
      </c>
      <c r="B13" s="160"/>
      <c r="C13" s="160"/>
      <c r="D13" s="160"/>
      <c r="E13" s="160"/>
      <c r="F13" s="160"/>
      <c r="G13" s="160"/>
      <c r="H13" s="160"/>
      <c r="I13" s="160"/>
      <c r="J13" s="160"/>
      <c r="K13" s="160"/>
      <c r="L13" s="160"/>
      <c r="M13" s="160"/>
      <c r="N13" s="160"/>
      <c r="O13" s="160"/>
      <c r="P13" s="160"/>
      <c r="Q13" s="160"/>
      <c r="R13" s="160"/>
      <c r="S13" s="160"/>
      <c r="T13" s="160"/>
      <c r="U13" s="160"/>
      <c r="V13" s="160"/>
      <c r="W13" s="160"/>
      <c r="X13" s="45">
        <f t="array" ref="X13">LET(team, SUBSTITUTE(X$1, " Wins", ""), IF(COUNTIF(INDIRECT("'"&amp;$A13&amp;"'!$C:$C"), team)&gt;0, 1, "-"))</f>
        <v>1</v>
      </c>
      <c r="Y13" s="45" t="str">
        <f t="array" ref="Y13">LET(team, SUBSTITUTE(Y$1, " Losses", ""), weekSheet, "'"&amp;$A13&amp;"'!", matchIdx, MATCH("*"&amp;team&amp;"*", INDIRECT(weekSheet&amp;"$B:$B"), 0), IF(ISNA(matchIdx), "-", LET(winner, INDEX(INDIRECT(weekSheet&amp;"$C:$C"), matchIdx), IF(winner="", "-", IF(winner=team, "-", 1)))))</f>
        <v>-</v>
      </c>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58" t="str">
        <f t="shared" ref="BB13:BB14" si="9">LET(team, SUBSTITUTE(BB$1, " Wins", ""), IF(COUNTIF(INDIRECT("'"&amp;$A13&amp;"'!$C:$C"), team)&gt;0, 1, "-"))</f>
        <v>-</v>
      </c>
      <c r="BC13" s="158">
        <f t="shared" ref="BC13:BC14" si="10">LET(team, SUBSTITUTE(BC$1, " Losses", ""), weekSheet, "'"&amp;$A13&amp;"'!", matchIdx, MATCH("*"&amp;team&amp;"*", INDIRECT(weekSheet&amp;"$B:$B"), 0), IF(ISNA(matchIdx), "-", LET(winner, INDEX(INDIRECT(weekSheet&amp;"$C:$C"), matchIdx), IF(winner="", "-", IF(winner=team, "-", 1)))))</f>
        <v>1</v>
      </c>
      <c r="BD13" s="160"/>
      <c r="BE13" s="160"/>
      <c r="BF13" s="158">
        <f t="array" ref="BF13">LET(team, SUBSTITUTE(BF$1, " Wins", ""), IF(COUNTIF(INDIRECT("'"&amp;$A13&amp;"'!$C:$C"), team)&gt;0, 1, "-"))</f>
        <v>1</v>
      </c>
      <c r="BG13" s="158" t="str">
        <f t="array" ref="BG13">LET(team, SUBSTITUTE(BG$1, " Losses", ""), weekSheet, "'"&amp;$A13&amp;"'!", matchIdx, MATCH("*"&amp;team&amp;"*", INDIRECT(weekSheet&amp;"$B:$B"), 0), IF(ISNA(matchIdx), "-", LET(winner, INDEX(INDIRECT(weekSheet&amp;"$C:$C"), matchIdx), IF(winner="", "-", IF(winner=team, "-", 1)))))</f>
        <v>-</v>
      </c>
      <c r="BH13" s="160"/>
      <c r="BI13" s="160"/>
      <c r="BJ13" s="160"/>
      <c r="BK13" s="160"/>
      <c r="BL13" s="158" t="str">
        <f t="array" ref="BL13">LET(team, SUBSTITUTE(BL$1, " Wins", ""), IF(COUNTIF(INDIRECT("'"&amp;$A13&amp;"'!$C:$C"), team)&gt;0, 1, "-"))</f>
        <v>-</v>
      </c>
      <c r="BM13" s="158">
        <f t="array" ref="BM13">LET(team, SUBSTITUTE(BM$1, " Losses", ""), weekSheet, "'"&amp;$A13&amp;"'!", matchIdx, MATCH("*"&amp;team&amp;"*", INDIRECT(weekSheet&amp;"$B:$B"), 0), IF(ISNA(matchIdx), "-", LET(winner, INDEX(INDIRECT(weekSheet&amp;"$C:$C"), matchIdx), IF(winner="", "-", IF(winner=team, "-", 1)))))</f>
        <v>1</v>
      </c>
    </row>
    <row r="14">
      <c r="A14" s="157" t="s">
        <v>191</v>
      </c>
      <c r="B14" s="160"/>
      <c r="C14" s="160"/>
      <c r="D14" s="160"/>
      <c r="E14" s="160"/>
      <c r="F14" s="160"/>
      <c r="G14" s="160"/>
      <c r="H14" s="158" t="str">
        <f t="array" ref="H14">LET(team, SUBSTITUTE(H$1, " Wins", ""), IF(COUNTIF(INDIRECT("'"&amp;$A14&amp;"'!$C:$C"), team)&gt;0, 1, "-"))</f>
        <v>-</v>
      </c>
      <c r="I14" s="158">
        <f t="array" ref="I14">LET(team, SUBSTITUTE(I$1, " Losses", ""), weekSheet, "'"&amp;$A14&amp;"'!", matchIdx, MATCH("*"&amp;team&amp;"*", INDIRECT(weekSheet&amp;"$B:$B"), 0), IF(ISNA(matchIdx), "-", LET(winner, INDEX(INDIRECT(weekSheet&amp;"$C:$C"), matchIdx), IF(winner="", "-", IF(winner=team, "-", 1)))))</f>
        <v>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58">
        <f t="array" ref="AX14">LET(team, SUBSTITUTE(AX$1, " Wins", ""), IF(COUNTIF(INDIRECT("'"&amp;$A14&amp;"'!$C:$C"), team)&gt;0, 1, "-"))</f>
        <v>1</v>
      </c>
      <c r="AY14" s="158" t="str">
        <f t="array" ref="AY14">LET(team, SUBSTITUTE(AY$1, " Losses", ""), weekSheet, "'"&amp;$A14&amp;"'!", matchIdx, MATCH("*"&amp;team&amp;"*", INDIRECT(weekSheet&amp;"$B:$B"), 0), IF(ISNA(matchIdx), "-", LET(winner, INDEX(INDIRECT(weekSheet&amp;"$C:$C"), matchIdx), IF(winner="", "-", IF(winner=team, "-", 1)))))</f>
        <v>-</v>
      </c>
      <c r="AZ14" s="158">
        <f t="array" ref="AZ14">LET(team, SUBSTITUTE(AZ$1, " Wins", ""), IF(COUNTIF(INDIRECT("'"&amp;$A14&amp;"'!$C:$C"), team)&gt;0, 1, "-"))</f>
        <v>1</v>
      </c>
      <c r="BA14" s="158" t="str">
        <f t="array" ref="BA14">LET(team, SUBSTITUTE(BA$1, " Losses", ""), weekSheet, "'"&amp;$A14&amp;"'!", matchIdx, MATCH("*"&amp;team&amp;"*", INDIRECT(weekSheet&amp;"$B:$B"), 0), IF(ISNA(matchIdx), "-", LET(winner, INDEX(INDIRECT(weekSheet&amp;"$C:$C"), matchIdx), IF(winner="", "-", IF(winner=team, "-", 1)))))</f>
        <v>-</v>
      </c>
      <c r="BB14" s="158">
        <f t="shared" si="9"/>
        <v>1</v>
      </c>
      <c r="BC14" s="158" t="str">
        <f t="shared" si="10"/>
        <v>-</v>
      </c>
      <c r="BD14" s="160"/>
      <c r="BE14" s="160"/>
      <c r="BF14" s="160"/>
      <c r="BG14" s="160"/>
      <c r="BH14" s="160"/>
      <c r="BI14" s="160"/>
      <c r="BJ14" s="160"/>
      <c r="BK14" s="160"/>
      <c r="BL14" s="160"/>
      <c r="BM14" s="160"/>
    </row>
    <row r="15">
      <c r="A15" s="157" t="s">
        <v>194</v>
      </c>
      <c r="B15" s="160"/>
      <c r="C15" s="160"/>
      <c r="D15" s="160"/>
      <c r="E15" s="160"/>
      <c r="F15" s="160"/>
      <c r="G15" s="160"/>
      <c r="H15" s="160"/>
      <c r="I15" s="160"/>
      <c r="J15" s="160"/>
      <c r="K15" s="160"/>
      <c r="L15" s="160"/>
      <c r="M15" s="160"/>
      <c r="N15" s="160"/>
      <c r="O15" s="160"/>
      <c r="P15" s="160"/>
      <c r="Q15" s="160"/>
      <c r="R15" s="45">
        <f t="array" ref="R15">LET(team, SUBSTITUTE(R$1, " Wins", ""), IF(COUNTIF(INDIRECT("'"&amp;$A15&amp;"'!$C:$C"), team)&gt;0, 1, "-"))</f>
        <v>1</v>
      </c>
      <c r="S15" s="45" t="str">
        <f t="array" ref="S15">LET(team, SUBSTITUTE(S$1, " Losses", ""), weekSheet, "'"&amp;$A15&amp;"'!", matchIdx, MATCH("*"&amp;team&amp;"*", INDIRECT(weekSheet&amp;"$B:$B"), 0), IF(ISNA(matchIdx), "-", LET(winner, INDEX(INDIRECT(weekSheet&amp;"$C:$C"), matchIdx), IF(winner="", "-", IF(winner=team, "-", 1)))))</f>
        <v>-</v>
      </c>
      <c r="T15" s="158">
        <f t="array" ref="T15">LET(team, SUBSTITUTE(T$1, " Wins", ""), IF(COUNTIF(INDIRECT("'"&amp;$A15&amp;"'!$C:$C"), team)&gt;0, 1, "-"))</f>
        <v>1</v>
      </c>
      <c r="U15" s="158" t="str">
        <f t="array" ref="U15">LET(team, SUBSTITUTE(U$1, " Losses", ""), weekSheet, "'"&amp;$A15&amp;"'!", matchIdx, MATCH("*"&amp;team&amp;"*", INDIRECT(weekSheet&amp;"$B:$B"), 0), IF(ISNA(matchIdx), "-", LET(winner, INDEX(INDIRECT(weekSheet&amp;"$C:$C"), matchIdx), IF(winner="", "-", IF(winner=team, "-", 1)))))</f>
        <v>-</v>
      </c>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58">
        <f t="shared" ref="BH15:BH16" si="11">LET(team, SUBSTITUTE(BH$1, " Wins", ""), IF(COUNTIF(INDIRECT("'"&amp;$A15&amp;"'!$C:$C"), team)&gt;0, 1, "-"))</f>
        <v>1</v>
      </c>
      <c r="BI15" s="158" t="str">
        <f t="shared" ref="BI15:BI16" si="12">LET(team, SUBSTITUTE(BI$1, " Losses", ""), weekSheet, "'"&amp;$A15&amp;"'!", matchIdx, MATCH("*"&amp;team&amp;"*", INDIRECT(weekSheet&amp;"$B:$B"), 0), IF(ISNA(matchIdx), "-", LET(winner, INDEX(INDIRECT(weekSheet&amp;"$C:$C"), matchIdx), IF(winner="", "-", IF(winner=team, "-", 1)))))</f>
        <v>-</v>
      </c>
      <c r="BJ15" s="160"/>
      <c r="BK15" s="160"/>
      <c r="BL15" s="45" t="str">
        <f t="array" ref="BL15">LET(team, SUBSTITUTE(BL$1, " Wins", ""), IF(COUNTIF(INDIRECT("'"&amp;$A15&amp;"'!$C:$C"), team)&gt;0, 1, "-"))</f>
        <v>-</v>
      </c>
      <c r="BM15" s="45">
        <f t="array" ref="BM15">LET(team, SUBSTITUTE(BM$1, " Losses", ""), weekSheet, "'"&amp;$A15&amp;"'!", matchIdx, MATCH("*"&amp;team&amp;"*", INDIRECT(weekSheet&amp;"$B:$B"), 0), IF(ISNA(matchIdx), "-", LET(winner, INDEX(INDIRECT(weekSheet&amp;"$C:$C"), matchIdx), IF(winner="", "-", IF(winner=team, "-", 1)))))</f>
        <v>1</v>
      </c>
    </row>
    <row r="16">
      <c r="A16" s="157" t="s">
        <v>198</v>
      </c>
      <c r="B16" s="160"/>
      <c r="C16" s="160"/>
      <c r="D16" s="160"/>
      <c r="E16" s="160"/>
      <c r="F16" s="160"/>
      <c r="G16" s="160"/>
      <c r="H16" s="160"/>
      <c r="I16" s="160"/>
      <c r="J16" s="160"/>
      <c r="K16" s="160"/>
      <c r="L16" s="160"/>
      <c r="M16" s="160"/>
      <c r="N16" s="160"/>
      <c r="O16" s="160"/>
      <c r="P16" s="160"/>
      <c r="Q16" s="160"/>
      <c r="R16" s="160"/>
      <c r="S16" s="160"/>
      <c r="T16" s="160"/>
      <c r="U16" s="160"/>
      <c r="V16" s="160"/>
      <c r="W16" s="160"/>
      <c r="X16" s="158" t="str">
        <f t="array" ref="X16">LET(team, SUBSTITUTE(X$1, " Wins", ""), IF(COUNTIF(INDIRECT("'"&amp;$A16&amp;"'!$C:$C"), team)&gt;0, 1, "-"))</f>
        <v>-</v>
      </c>
      <c r="Y16" s="158">
        <f t="array" ref="Y16">LET(team, SUBSTITUTE(Y$1, " Losses", ""), weekSheet, "'"&amp;$A16&amp;"'!", matchIdx, MATCH("*"&amp;team&amp;"*", INDIRECT(weekSheet&amp;"$B:$B"), 0), IF(ISNA(matchIdx), "-", LET(winner, INDEX(INDIRECT(weekSheet&amp;"$C:$C"), matchIdx), IF(winner="", "-", IF(winner=team, "-", 1)))))</f>
        <v>1</v>
      </c>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58" t="str">
        <f t="array" ref="AV16">LET(team, SUBSTITUTE(AV$1, " Wins", ""), IF(COUNTIF(INDIRECT("'"&amp;$A16&amp;"'!$C:$C"), team)&gt;0, 1, "-"))</f>
        <v>-</v>
      </c>
      <c r="AW16" s="158">
        <f t="array" ref="AW16">LET(team, SUBSTITUTE(AW$1, " Losses", ""), weekSheet, "'"&amp;$A16&amp;"'!", matchIdx, MATCH("*"&amp;team&amp;"*", INDIRECT(weekSheet&amp;"$B:$B"), 0), IF(ISNA(matchIdx), "-", LET(winner, INDEX(INDIRECT(weekSheet&amp;"$C:$C"), matchIdx), IF(winner="", "-", IF(winner=team, "-", 1)))))</f>
        <v>1</v>
      </c>
      <c r="AX16" s="160"/>
      <c r="AY16" s="160"/>
      <c r="AZ16" s="160"/>
      <c r="BA16" s="160"/>
      <c r="BB16" s="160"/>
      <c r="BC16" s="160"/>
      <c r="BD16" s="160"/>
      <c r="BE16" s="160"/>
      <c r="BF16" s="158">
        <f t="shared" ref="BF16:BF17" si="13">LET(team, SUBSTITUTE(BF$1, " Wins", ""), IF(COUNTIF(INDIRECT("'"&amp;$A16&amp;"'!$C:$C"), team)&gt;0, 1, "-"))</f>
        <v>1</v>
      </c>
      <c r="BG16" s="158" t="str">
        <f t="shared" ref="BG16:BG17" si="14">LET(team, SUBSTITUTE(BG$1, " Losses", ""), weekSheet, "'"&amp;$A16&amp;"'!", matchIdx, MATCH("*"&amp;team&amp;"*", INDIRECT(weekSheet&amp;"$B:$B"), 0), IF(ISNA(matchIdx), "-", LET(winner, INDEX(INDIRECT(weekSheet&amp;"$C:$C"), matchIdx), IF(winner="", "-", IF(winner=team, "-", 1)))))</f>
        <v>-</v>
      </c>
      <c r="BH16" s="158" t="str">
        <f t="shared" si="11"/>
        <v>-</v>
      </c>
      <c r="BI16" s="158">
        <f t="shared" si="12"/>
        <v>1</v>
      </c>
      <c r="BJ16" s="160"/>
      <c r="BK16" s="160"/>
      <c r="BL16" s="160"/>
      <c r="BM16" s="160"/>
    </row>
    <row r="17">
      <c r="A17" s="157" t="s">
        <v>202</v>
      </c>
      <c r="B17" s="160"/>
      <c r="C17" s="160"/>
      <c r="D17" s="160"/>
      <c r="E17" s="160"/>
      <c r="F17" s="160"/>
      <c r="G17" s="160"/>
      <c r="H17" s="160"/>
      <c r="I17" s="160"/>
      <c r="J17" s="160"/>
      <c r="K17" s="160"/>
      <c r="L17" s="160"/>
      <c r="M17" s="160"/>
      <c r="N17" s="160"/>
      <c r="O17" s="160"/>
      <c r="P17" s="160"/>
      <c r="Q17" s="160"/>
      <c r="R17" s="160"/>
      <c r="S17" s="160"/>
      <c r="T17" s="160"/>
      <c r="U17" s="160"/>
      <c r="V17" s="158">
        <f t="array" ref="V17">LET(team, SUBSTITUTE(V$1, " Wins", ""), IF(COUNTIF(INDIRECT("'"&amp;$A17&amp;"'!$C:$C"), team)&gt;0, 1, "-"))</f>
        <v>1</v>
      </c>
      <c r="W17" s="158" t="str">
        <f t="array" ref="W17">LET(team, SUBSTITUTE(W$1, " Losses", ""), weekSheet, "'"&amp;$A17&amp;"'!", matchIdx, MATCH("*"&amp;team&amp;"*", INDIRECT(weekSheet&amp;"$B:$B"), 0), IF(ISNA(matchIdx), "-", LET(winner, INDEX(INDIRECT(weekSheet&amp;"$C:$C"), matchIdx), IF(winner="", "-", IF(winner=team, "-", 1)))))</f>
        <v>-</v>
      </c>
      <c r="X17" s="160"/>
      <c r="Y17" s="160"/>
      <c r="Z17" s="160"/>
      <c r="AA17" s="160"/>
      <c r="AB17" s="160"/>
      <c r="AC17" s="160"/>
      <c r="AD17" s="160"/>
      <c r="AE17" s="160"/>
      <c r="AF17" s="160"/>
      <c r="AG17" s="160"/>
      <c r="AH17" s="160"/>
      <c r="AI17" s="160"/>
      <c r="AJ17" s="160"/>
      <c r="AK17" s="160"/>
      <c r="AL17" s="160"/>
      <c r="AM17" s="160"/>
      <c r="AN17" s="158" t="str">
        <f t="array" ref="AN17">LET(team, SUBSTITUTE(AN$1, " Wins", ""), IF(COUNTIF(INDIRECT("'"&amp;$A17&amp;"'!$C:$C"), team)&gt;0, 1, "-"))</f>
        <v>-</v>
      </c>
      <c r="AO17" s="158">
        <f t="array" ref="AO17">LET(team, SUBSTITUTE(AO$1, " Losses", ""), weekSheet, "'"&amp;$A17&amp;"'!", matchIdx, MATCH("*"&amp;team&amp;"*", INDIRECT(weekSheet&amp;"$B:$B"), 0), IF(ISNA(matchIdx), "-", LET(winner, INDEX(INDIRECT(weekSheet&amp;"$C:$C"), matchIdx), IF(winner="", "-", IF(winner=team, "-", 1)))))</f>
        <v>1</v>
      </c>
      <c r="AP17" s="160"/>
      <c r="AQ17" s="160"/>
      <c r="AR17" s="160"/>
      <c r="AS17" s="160"/>
      <c r="AT17" s="160"/>
      <c r="AU17" s="160"/>
      <c r="AV17" s="160"/>
      <c r="AW17" s="160"/>
      <c r="AX17" s="160"/>
      <c r="AY17" s="160"/>
      <c r="AZ17" s="160"/>
      <c r="BA17" s="160"/>
      <c r="BB17" s="160"/>
      <c r="BC17" s="160"/>
      <c r="BD17" s="160"/>
      <c r="BE17" s="160"/>
      <c r="BF17" s="158" t="str">
        <f t="shared" si="13"/>
        <v>-</v>
      </c>
      <c r="BG17" s="158">
        <f t="shared" si="14"/>
        <v>1</v>
      </c>
      <c r="BH17" s="160"/>
      <c r="BI17" s="160"/>
      <c r="BJ17" s="158">
        <f t="shared" ref="BJ17:BJ19" si="15">LET(team, SUBSTITUTE(BJ$1, " Wins", ""), IF(COUNTIF(INDIRECT("'"&amp;$A17&amp;"'!$C:$C"), team)&gt;0, 1, "-"))</f>
        <v>1</v>
      </c>
      <c r="BK17" s="158" t="str">
        <f t="shared" ref="BK17:BK19" si="16">LET(team, SUBSTITUTE(BK$1, " Losses", ""), weekSheet, "'"&amp;$A17&amp;"'!", matchIdx, MATCH("*"&amp;team&amp;"*", INDIRECT(weekSheet&amp;"$B:$B"), 0), IF(ISNA(matchIdx), "-", LET(winner, INDEX(INDIRECT(weekSheet&amp;"$C:$C"), matchIdx), IF(winner="", "-", IF(winner=team, "-", 1)))))</f>
        <v>-</v>
      </c>
      <c r="BL17" s="160"/>
      <c r="BM17" s="160"/>
    </row>
    <row r="18">
      <c r="A18" s="157" t="s">
        <v>206</v>
      </c>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58">
        <f t="array" ref="AJ18">LET(team, SUBSTITUTE(AJ$1, " Wins", ""), IF(COUNTIF(INDIRECT("'"&amp;$A18&amp;"'!$C:$C"), team)&gt;0, 1, "-"))</f>
        <v>1</v>
      </c>
      <c r="AK18" s="158" t="str">
        <f t="array" ref="AK18">LET(team, SUBSTITUTE(AK$1, " Losses", ""), weekSheet, "'"&amp;$A18&amp;"'!", matchIdx, MATCH("*"&amp;team&amp;"*", INDIRECT(weekSheet&amp;"$B:$B"), 0), IF(ISNA(matchIdx), "-", LET(winner, INDEX(INDIRECT(weekSheet&amp;"$C:$C"), matchIdx), IF(winner="", "-", IF(winner=team, "-", 1)))))</f>
        <v>-</v>
      </c>
      <c r="AL18" s="158">
        <f t="array" ref="AL18">LET(team, SUBSTITUTE(AL$1, " Wins", ""), IF(COUNTIF(INDIRECT("'"&amp;$A18&amp;"'!$C:$C"), team)&gt;0, 1, "-"))</f>
        <v>1</v>
      </c>
      <c r="AM18" s="158" t="str">
        <f t="array" ref="AM18">LET(team, SUBSTITUTE(AM$1, " Losses", ""), weekSheet, "'"&amp;$A18&amp;"'!", matchIdx, MATCH("*"&amp;team&amp;"*", INDIRECT(weekSheet&amp;"$B:$B"), 0), IF(ISNA(matchIdx), "-", LET(winner, INDEX(INDIRECT(weekSheet&amp;"$C:$C"), matchIdx), IF(winner="", "-", IF(winner=team, "-", 1)))))</f>
        <v>-</v>
      </c>
      <c r="AN18" s="160"/>
      <c r="AO18" s="160"/>
      <c r="AP18" s="160"/>
      <c r="AQ18" s="160"/>
      <c r="AR18" s="160"/>
      <c r="AS18" s="160"/>
      <c r="AT18" s="160"/>
      <c r="AU18" s="160"/>
      <c r="AV18" s="160"/>
      <c r="AW18" s="160"/>
      <c r="AX18" s="160"/>
      <c r="AY18" s="160"/>
      <c r="AZ18" s="160"/>
      <c r="BA18" s="160"/>
      <c r="BB18" s="160"/>
      <c r="BC18" s="160"/>
      <c r="BD18" s="160"/>
      <c r="BE18" s="160"/>
      <c r="BF18" s="160"/>
      <c r="BG18" s="160"/>
      <c r="BH18" s="158">
        <f t="shared" ref="BH18:BH19" si="17">LET(team, SUBSTITUTE(BH$1, " Wins", ""), IF(COUNTIF(INDIRECT("'"&amp;$A18&amp;"'!$C:$C"), team)&gt;0, 1, "-"))</f>
        <v>1</v>
      </c>
      <c r="BI18" s="158" t="str">
        <f t="shared" ref="BI18:BI19" si="18">LET(team, SUBSTITUTE(BI$1, " Losses", ""), weekSheet, "'"&amp;$A18&amp;"'!", matchIdx, MATCH("*"&amp;team&amp;"*", INDIRECT(weekSheet&amp;"$B:$B"), 0), IF(ISNA(matchIdx), "-", LET(winner, INDEX(INDIRECT(weekSheet&amp;"$C:$C"), matchIdx), IF(winner="", "-", IF(winner=team, "-", 1)))))</f>
        <v>-</v>
      </c>
      <c r="BJ18" s="158" t="str">
        <f t="shared" si="15"/>
        <v>-</v>
      </c>
      <c r="BK18" s="158">
        <f t="shared" si="16"/>
        <v>1</v>
      </c>
      <c r="BL18" s="160"/>
      <c r="BM18" s="160"/>
    </row>
    <row r="19">
      <c r="A19" s="157" t="s">
        <v>207</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58" t="str">
        <f t="array" ref="BF19">LET(team, SUBSTITUTE(BF$1, " Wins", ""), IF(COUNTIF(INDIRECT("'"&amp;$A19&amp;"'!$C:$C"), team)&gt;0, 1, "-"))</f>
        <v>-</v>
      </c>
      <c r="BG19" s="158">
        <f t="array" ref="BG19">LET(team, SUBSTITUTE(BG$1, " Losses", ""), weekSheet, "'"&amp;$A19&amp;"'!", matchIdx, MATCH("*"&amp;team&amp;"*", INDIRECT(weekSheet&amp;"$B:$B"), 0), IF(ISNA(matchIdx), "-", LET(winner, INDEX(INDIRECT(weekSheet&amp;"$C:$C"), matchIdx), IF(winner="", "-", IF(winner=team, "-", 1)))))</f>
        <v>1</v>
      </c>
      <c r="BH19" s="158">
        <f t="shared" si="17"/>
        <v>1</v>
      </c>
      <c r="BI19" s="158" t="str">
        <f t="shared" si="18"/>
        <v>-</v>
      </c>
      <c r="BJ19" s="158">
        <f t="shared" si="15"/>
        <v>1</v>
      </c>
      <c r="BK19" s="158" t="str">
        <f t="shared" si="16"/>
        <v>-</v>
      </c>
      <c r="BL19" s="158" t="str">
        <f t="array" ref="BL19">LET(team, SUBSTITUTE(BL$1, " Wins", ""), IF(COUNTIF(INDIRECT("'"&amp;$A19&amp;"'!$C:$C"), team)&gt;0, 1, "-"))</f>
        <v>-</v>
      </c>
      <c r="BM19" s="158">
        <f t="array" ref="BM19">LET(team, SUBSTITUTE(BM$1, " Losses", ""), weekSheet, "'"&amp;$A19&amp;"'!", matchIdx, MATCH("*"&amp;team&amp;"*", INDIRECT(weekSheet&amp;"$B:$B"), 0), IF(ISNA(matchIdx), "-", LET(winner, INDEX(INDIRECT(weekSheet&amp;"$C:$C"), matchIdx), IF(winner="", "-", IF(winner=team, "-", 1)))))</f>
        <v>1</v>
      </c>
    </row>
    <row r="20">
      <c r="A20" s="227" t="s">
        <v>705</v>
      </c>
      <c r="B20" s="229">
        <f t="shared" ref="B20:BM20" si="19">SUM(B2:B19)</f>
        <v>1</v>
      </c>
      <c r="C20" s="229">
        <f t="shared" si="19"/>
        <v>0</v>
      </c>
      <c r="D20" s="230">
        <f t="shared" si="19"/>
        <v>0</v>
      </c>
      <c r="E20" s="230">
        <f t="shared" si="19"/>
        <v>1</v>
      </c>
      <c r="F20" s="231">
        <f t="shared" si="19"/>
        <v>1</v>
      </c>
      <c r="G20" s="231">
        <f t="shared" si="19"/>
        <v>0</v>
      </c>
      <c r="H20" s="232">
        <f t="shared" si="19"/>
        <v>0</v>
      </c>
      <c r="I20" s="232">
        <f t="shared" si="19"/>
        <v>1</v>
      </c>
      <c r="J20" s="233">
        <f t="shared" si="19"/>
        <v>0</v>
      </c>
      <c r="K20" s="233">
        <f t="shared" si="19"/>
        <v>0</v>
      </c>
      <c r="L20" s="234">
        <f t="shared" si="19"/>
        <v>0</v>
      </c>
      <c r="M20" s="234">
        <f t="shared" si="19"/>
        <v>0</v>
      </c>
      <c r="N20" s="235">
        <f t="shared" si="19"/>
        <v>0</v>
      </c>
      <c r="O20" s="235">
        <f t="shared" si="19"/>
        <v>0</v>
      </c>
      <c r="P20" s="236">
        <f t="shared" si="19"/>
        <v>0</v>
      </c>
      <c r="Q20" s="236">
        <f t="shared" si="19"/>
        <v>0</v>
      </c>
      <c r="R20" s="237">
        <f t="shared" si="19"/>
        <v>2</v>
      </c>
      <c r="S20" s="237">
        <f t="shared" si="19"/>
        <v>2</v>
      </c>
      <c r="T20" s="238">
        <f t="shared" si="19"/>
        <v>1</v>
      </c>
      <c r="U20" s="238">
        <f t="shared" si="19"/>
        <v>3</v>
      </c>
      <c r="V20" s="239">
        <f t="shared" si="19"/>
        <v>2</v>
      </c>
      <c r="W20" s="239">
        <f t="shared" si="19"/>
        <v>2</v>
      </c>
      <c r="X20" s="240">
        <f t="shared" si="19"/>
        <v>2</v>
      </c>
      <c r="Y20" s="240">
        <f t="shared" si="19"/>
        <v>2</v>
      </c>
      <c r="Z20" s="241">
        <f t="shared" si="19"/>
        <v>0</v>
      </c>
      <c r="AA20" s="241">
        <f t="shared" si="19"/>
        <v>0</v>
      </c>
      <c r="AB20" s="242">
        <f t="shared" si="19"/>
        <v>0</v>
      </c>
      <c r="AC20" s="242">
        <f t="shared" si="19"/>
        <v>0</v>
      </c>
      <c r="AD20" s="243">
        <f t="shared" si="19"/>
        <v>0</v>
      </c>
      <c r="AE20" s="243">
        <f t="shared" si="19"/>
        <v>0</v>
      </c>
      <c r="AF20" s="244">
        <f t="shared" si="19"/>
        <v>0</v>
      </c>
      <c r="AG20" s="244">
        <f t="shared" si="19"/>
        <v>0</v>
      </c>
      <c r="AH20" s="245">
        <f t="shared" si="19"/>
        <v>1</v>
      </c>
      <c r="AI20" s="245">
        <f t="shared" si="19"/>
        <v>0</v>
      </c>
      <c r="AJ20" s="246">
        <f t="shared" si="19"/>
        <v>1</v>
      </c>
      <c r="AK20" s="246">
        <f t="shared" si="19"/>
        <v>0</v>
      </c>
      <c r="AL20" s="247">
        <f t="shared" si="19"/>
        <v>1</v>
      </c>
      <c r="AM20" s="247">
        <f t="shared" si="19"/>
        <v>0</v>
      </c>
      <c r="AN20" s="248">
        <f t="shared" si="19"/>
        <v>0</v>
      </c>
      <c r="AO20" s="248">
        <f t="shared" si="19"/>
        <v>1</v>
      </c>
      <c r="AP20" s="249">
        <f t="shared" si="19"/>
        <v>1</v>
      </c>
      <c r="AQ20" s="249">
        <f t="shared" si="19"/>
        <v>0</v>
      </c>
      <c r="AR20" s="250">
        <f t="shared" si="19"/>
        <v>1</v>
      </c>
      <c r="AS20" s="250">
        <f t="shared" si="19"/>
        <v>0</v>
      </c>
      <c r="AT20" s="251">
        <f t="shared" si="19"/>
        <v>0</v>
      </c>
      <c r="AU20" s="251">
        <f t="shared" si="19"/>
        <v>1</v>
      </c>
      <c r="AV20" s="252">
        <f t="shared" si="19"/>
        <v>0</v>
      </c>
      <c r="AW20" s="252">
        <f t="shared" si="19"/>
        <v>1</v>
      </c>
      <c r="AX20" s="253">
        <f t="shared" si="19"/>
        <v>3</v>
      </c>
      <c r="AY20" s="253">
        <f t="shared" si="19"/>
        <v>1</v>
      </c>
      <c r="AZ20" s="254">
        <f t="shared" si="19"/>
        <v>3</v>
      </c>
      <c r="BA20" s="254">
        <f t="shared" si="19"/>
        <v>1</v>
      </c>
      <c r="BB20" s="255">
        <f t="shared" si="19"/>
        <v>3</v>
      </c>
      <c r="BC20" s="255">
        <f t="shared" si="19"/>
        <v>1</v>
      </c>
      <c r="BD20" s="256">
        <f t="shared" si="19"/>
        <v>4</v>
      </c>
      <c r="BE20" s="256">
        <f t="shared" si="19"/>
        <v>0</v>
      </c>
      <c r="BF20" s="257">
        <f t="shared" si="19"/>
        <v>3</v>
      </c>
      <c r="BG20" s="257">
        <f t="shared" si="19"/>
        <v>3</v>
      </c>
      <c r="BH20" s="258">
        <f t="shared" si="19"/>
        <v>4</v>
      </c>
      <c r="BI20" s="258">
        <f t="shared" si="19"/>
        <v>2</v>
      </c>
      <c r="BJ20" s="259">
        <f t="shared" si="19"/>
        <v>4</v>
      </c>
      <c r="BK20" s="259">
        <f t="shared" si="19"/>
        <v>2</v>
      </c>
      <c r="BL20" s="260">
        <f t="shared" si="19"/>
        <v>1</v>
      </c>
      <c r="BM20" s="260">
        <f t="shared" si="19"/>
        <v>5</v>
      </c>
    </row>
  </sheetData>
  <drawing r:id="rId1"/>
  <tableParts count="32">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15.88"/>
    <col customWidth="1" min="5" max="5" width="14.38"/>
    <col customWidth="1" min="7" max="7" width="14.5"/>
    <col customWidth="1" min="20" max="20" width="13.5"/>
    <col customWidth="1" min="22" max="22" width="22.25"/>
  </cols>
  <sheetData>
    <row r="1">
      <c r="A1" s="264" t="s">
        <v>707</v>
      </c>
      <c r="B1" s="264" t="s">
        <v>7</v>
      </c>
      <c r="C1" s="264" t="s">
        <v>708</v>
      </c>
      <c r="D1" s="264" t="s">
        <v>709</v>
      </c>
      <c r="E1" s="264" t="s">
        <v>710</v>
      </c>
      <c r="F1" s="265"/>
      <c r="G1" s="265"/>
      <c r="H1" s="265"/>
      <c r="I1" s="265"/>
      <c r="J1" s="265"/>
      <c r="K1" s="265"/>
      <c r="L1" s="265"/>
      <c r="M1" s="265"/>
      <c r="N1" s="265"/>
      <c r="O1" s="265"/>
      <c r="P1" s="265"/>
      <c r="Q1" s="265"/>
      <c r="R1" s="265"/>
      <c r="S1" s="265"/>
      <c r="T1" s="265"/>
      <c r="U1" s="265"/>
      <c r="V1" s="265"/>
      <c r="W1" s="265"/>
      <c r="X1" s="265"/>
      <c r="Y1" s="265"/>
      <c r="Z1" s="264"/>
      <c r="AA1" s="265"/>
      <c r="AB1" s="265"/>
      <c r="AC1" s="265"/>
      <c r="AD1" s="265"/>
      <c r="AE1" s="265"/>
      <c r="AF1" s="265"/>
      <c r="AG1" s="265"/>
      <c r="AH1" s="265"/>
      <c r="AI1" s="265"/>
      <c r="AJ1" s="265"/>
      <c r="AK1" s="265"/>
      <c r="AL1" s="265"/>
      <c r="AM1" s="265"/>
    </row>
    <row r="2">
      <c r="A2" s="266" t="s">
        <v>40</v>
      </c>
      <c r="B2" s="267">
        <f t="array" ref="B2">INDEX('More Stats'!E2,0)</f>
        <v>0.5882352941</v>
      </c>
      <c r="C2" s="268">
        <f t="array" ref="C2">INDEX('Div Record Counter'!B20,0)</f>
        <v>3</v>
      </c>
      <c r="D2" s="268" t="str">
        <f>IF(AND(B2&gt;B3,B2&gt;B4,B2&gt;B5),"KC",
IF(AND(B3&gt;B2,B3&gt;B4,B3&gt;B5),"LV",
IF(AND(B4&gt;B2,B4&gt;B3,B4&gt;B5),"DEN",
IF(AND(B5&gt;B2,B5&gt;B3,B5&gt;B4),"LAC",
IF(AND(B2&gt;B4,B2&gt;B5,B2=B3),"KC/LV",
IF(AND(B2&gt;B3,B2&gt;B5,B2=B4),"KC/DEN",
IF(AND(B2&gt;B3,B2&gt;B4,B2=B5),"KC/LAC",
IF(AND(B3&gt;B2,B3&gt;B5,B3=B4),"LV/DEN",
IF(AND(B3&gt;B2,B3&gt;B4,B3=B5),"LV/LAC",
IF(AND(B4&gt;B2,B4&gt;B3,B4=B5),"DEN/LAC",
IF(AND(B3&gt;B2,B4&gt;B2,B5&gt;B2,B3=B4,B3=B5),"LV/DEN/LAC",
IF(AND(B2&gt;B3,B4&gt;B3,B5&gt;B3,B2=B4,B2=B5),"KC/DEN/LAC",
IF(AND(B2&gt;B4,B3&gt;B4,B5&gt;B4,B2=B3,B2=B5),"KC/LV/LAC",
IF(AND(B2&gt;B5,B3&gt;B5,B4&gt;B5,B2=B3,B2=B4),"KC/LV/DEN",
IF(AND(B2=B3,B2=B4,B2=B5),"KC/LV/DEN/LAC",
"wtf")))))))))))))))</f>
        <v>DEN</v>
      </c>
      <c r="E2" s="268" t="str">
        <f>IF(D2="KC","KC",
IF(D2="LV","LV",
IF(D2="DEN","DEN",
IF(D2="LAC","LAC",
IF(AND(D2="KC/LV",'Week 4'!C16="KC",'Week 18'!C14="KC"),"KC",
IF(AND(D2="KC/LV",'Week 4'!C16="LV",'Week 18'!C14="LV"),"LV",
IF(AND(D2="KC/LV",C2&gt;C3),"KC",
IF(AND(D2="KC/LV",C2&lt;C3),"LV",
IF(AND(D2="KC/LV",C2=C3,'Conference Counter'!B21&gt;'Conference Counter'!D21),"KC",
IF(AND(D2="KC/LV",C2=C3,'Conference Counter'!B21&lt;'Conference Counter'!D21),"LV",
IF(AND(D2="KC/LV",C2=C3,'Conference Counter'!B21='Conference Counter'!D21,'More Stats'!N2&gt;'More Stats'!N3),"KC",
IF(AND(D2="KC/LV",C2=C3,'Conference Counter'!B21='Conference Counter'!D21,'More Stats'!N2&lt;'More Stats'!N3),"LV",
IF(AND(D2="KC/LV",C2=C3,'Conference Counter'!B21='Conference Counter'!D21,'More Stats'!N2='More Stats'!N3,'More Stats'!L2&gt;'More Stats'!L3),"KC",
IF(AND(D2="KC/LV",C2=C3,'Conference Counter'!B21='Conference Counter'!D21,'More Stats'!N2='More Stats'!N3,'More Stats'!L2&lt;'More Stats'!L3),"LV",
IF(AND(D2="KC/DEN",'Week 1'!C18="KC",'Week 8'!C14="KC"),"KC",
IF(AND(D2="KC/DEN",'Week 1'!C18="DEN",'Week 8'!C14="DEN"),"DEN",
IF(AND(D2="KC/DEN",C2&gt;C4),"KC",
IF(AND(D2="KC/DEN",C2&lt;C4),"DEN",
IF(AND(D2="KC/DEN",C2=C4,'Conference Counter'!B21&gt;'Conference Counter'!F21),"KC",
IF(AND(D2="KC/DEN",C2=C4,'Conference Counter'!B21&lt;'Conference Counter'!F21),"DEN",
IF(AND(D2="KC/DEN",C2=C4,'Conference Counter'!B21='Conference Counter'!F21,'More Stats'!N2&gt;'More Stats'!N4),"KC",
IF(AND(D2="KC/DEN",C2=C4,'Conference Counter'!B21='Conference Counter'!F21,'More Stats'!N2&lt;'More Stats'!N4),"DEN",
IF(AND(D2="KC/DEN",C2=C4,'Conference Counter'!B21='Conference Counter'!F21,'More Stats'!N2='More Stats'!N4,'More Stats'!L2&gt;'More Stats'!L4),"KC",
IF(AND(D2="KC/DEN",C2=C4,'Conference Counter'!B21='Conference Counter'!F21,'More Stats'!N2='More Stats'!N4,'More Stats'!L2&lt;'More Stats'!L4),"DEN",
IF(AND(D2="KC/LAC",'Week 6'!C13="KC",'Week 17'!C16="KC"),"KC",
IF(AND(D2="KC/LAC",'Week 6'!C13="LAC",'Week 17'!C16="LAC"),"LAC",
IF(AND(D2="KC/LAC",C2&gt;C5),"KC",
IF(AND(D2="KC/LAC",C2&lt;C5),"LAC",
IF(AND(D2="KC/LAC",C2=C5,'Conference Counter'!B21&gt;'Conference Counter'!H21),"KC",
IF(AND(D2="KC/LAC",C2=C5,'Conference Counter'!B21&lt;'Conference Counter'!H21),"LAC",
IF(AND(D2="KC/LAC",C2=C5,'Conference Counter'!B21='Conference Counter'!H21,'More Stats'!N2&gt;'More Stats'!N5),"KC",
IF(AND(D2="KC/LAC",C2=C5,'Conference Counter'!B21='Conference Counter'!H21,'More Stats'!N2&lt;'More Stats'!N5),"LAC",
IF(AND(D2="KC/LAC",C2=C5,'Conference Counter'!B21='Conference Counter'!H21,'More Stats'!N2='More Stats'!N5,'More Stats'!L2&gt;'More Stats'!L5),"KC",
IF(AND(D2="KC/LAC",C2=C5,'Conference Counter'!B21='Conference Counter'!H21,'More Stats'!N2='More Stats'!N5,'More Stats'!L2&lt;'More Stats'!L5),"LAC",
IF(AND(D2="LV/DEN",'Week 11'!C13="LV",'Week 15'!C16="LV"),"LV",
IF(AND(D2="LV/DEN",'Week 11'!C13="DEN",'Week 15'!C16="DEN"),"DEN",
IF(AND(D2="LV/DEN",C3&gt;C4),"LV",
IF(AND(D2="LV/DEN",C3&lt;C4),"DEN",
IF(AND(D2="LV/DEN",C3=C4,'Conference Counter'!D21&gt;'Conference Counter'!F21),"LV",
IF(AND(D2="LV/DEN",C3=C4,'Conference Counter'!D21&lt;'Conference Counter'!F21),"DEN",
IF(AND(D2="LV/DEN",C3=C4,'Conference Counter'!D21='Conference Counter'!F21,'More Stats'!N3&gt;'More Stats'!N4),"LV",
IF(AND(D2="LV/DEN",C3=C4,'Conference Counter'!D21='Conference Counter'!F21,'More Stats'!N3&lt;'More Stats'!N4),"DEN",
IF(AND(D2="LV/DEN",C3=C4,'Conference Counter'!D21='Conference Counter'!F21,'More Stats'!N3='More Stats'!N4,'More Stats'!L3&gt;'More Stats'!L4),"LV",
IF(AND(D2="LV/DEN",C3=C4,'Conference Counter'!D21='Conference Counter'!F21,'More Stats'!N3='More Stats'!N4,'More Stats'!L3&lt;'More Stats'!L4),"DEN",
IF(AND(D2="LV/LAC",'Week 2'!C13="LV",'Week 14'!C12="LV"),"LV",
IF(AND(D2="LV/LAC",'Week 2'!C13="LAC",'Week 14'!C12="LAC"),"LAC",
IF(AND(D2="LV/LAC",C3&gt;C5),"LV",
IF(AND(D2="LV/LAC",C3&lt;C5),"LAC",
IF(AND(D2="LV/LAC",C3=C4,'Conference Counter'!D21&gt;'Conference Counter'!H21),"LV",
IF(AND(D2="LV/LAC",C3=C4,'Conference Counter'!D21&lt;'Conference Counter'!H21),"LAC",
IF(AND(D2="LV/LAC",C3=C4,'Conference Counter'!D21='Conference Counter'!H21,'More Stats'!N3&gt;'More Stats'!N5),"LV",
IF(AND(D2="LV/LAC",C3=C4,'Conference Counter'!D21='Conference Counter'!H21,'More Stats'!N3&lt;'More Stats'!N5),"LAC",
IF(AND(D2="LV/LAC",C3=C4,'Conference Counter'!D21='Conference Counter'!H21,'More Stats'!N3='More Stats'!N5,'More Stats'!L3&gt;'More Stats'!L5),"LV",
IF(AND(D2="LV/LAC",C3=C4,'Conference Counter'!D21='Conference Counter'!H21,'More Stats'!N3='More Stats'!N5,'More Stats'!L3&lt;'More Stats'!L5),"LAC",
IF(AND(D2="DEN/LAC",'Week 5'!C12="DEN",'Week 18'!C10="DEN"),"DEN",
IF(AND(D2="DEN/LAC",'Week 5'!C12="LAC",'Week 18'!C10="LAC"),"LAC",
IF(AND(D2="DEN/LAC",C4&gt;C5),"DEN",
IF(AND(D2="DEN/LAC",C4&lt;C5),"LAC",
IF(AND(D2="DEN/LAC",C4=C5,'Conference Counter'!F21&gt;'Conference Counter'!H21),"DEN",
IF(AND(D2="DEN/LAC",C4=C5,'Conference Counter'!F21&lt;'Conference Counter'!H21),"LAC",
IF(AND(D2="DEN/LAC",C4=C5,'Conference Counter'!F21='Conference Counter'!H21,'More Stats'!N4&gt;'More Stats'!N5),"DEN",
IF(AND(D2="DEN/LAC",C4=C5,'Conference Counter'!F21='Conference Counter'!H21,'More Stats'!N4&lt;'More Stats'!N5),"LAC",
IF(AND(D2="DEN/LAC",C4=C5,'Conference Counter'!F21='Conference Counter'!H21,'More Stats'!N4='More Stats'!N5,'More Stats'!L4&gt;'More Stats'!L5),"DEN",
IF(AND(D2="DEN/LAC",C4=C5,'Conference Counter'!F21='Conference Counter'!H21,'More Stats'!N4='More Stats'!N5,'More Stats'!L4&lt;'More Stats'!L5),"LAC",
IF(AND(D2="LV/DEN/LAC",C3&gt;C4,C3&gt;C5),"LV",
IF(AND(D2="LV/DEN/LAC",C4&gt;C3,C4&gt;C5),"DEN",
IF(AND(D2="LV/DEN/LAC",C5&gt;C3,C5&gt;C4),"LAC",
IF(AND(D2="LV/DEN/LAC",C3=C4,C3&gt;C5,'Conference Counter'!D21&gt;'Conference Counter'!F21),"LV",
IF(AND(D2="LV/DEN/LAC",C3=C4,C3&gt;C5,'Conference Counter'!D21&lt;'Conference Counter'!F21),"DEN",
IF(AND(D2="LV/DEN/LAC",C3=C4,C3&gt;C5,'Conference Counter'!D21='Conference Counter'!F21,'More Stats'!N3&gt;'More Stats'!N4),"LV",
IF(AND(D2="LV/DEN/LAC",C3=C4,C3&gt;C5,'Conference Counter'!D21='Conference Counter'!F21,'More Stats'!N3&lt;'More Stats'!N4),"DEN",
IF(AND(D2="LV/DEN/LAC",C3=C4,C3&gt;C5,'Conference Counter'!D21='Conference Counter'!F21,'More Stats'!N3='More Stats'!N4,'More Stats'!L3&gt;'More Stats'!L4),"LV",
IF(AND(D2="LV/DEN/LAC",C3=C4,C3&gt;C5,'Conference Counter'!D21='Conference Counter'!F21,'More Stats'!N3='More Stats'!N4,'More Stats'!L3&lt;'More Stats'!L4),"DEN",
IF(AND(D2="LV/DEN/LAC",C3&gt;C4,C3=C5,'Conference Counter'!D21&gt;'Conference Counter'!H21),"LV",
IF(AND(D2="LV/DEN/LAC",C3&gt;C4,C3=C5,'Conference Counter'!D21&lt;'Conference Counter'!H21),"LAC",
IF(AND(D2="LV/DEN/LAC",C3&gt;C4,C3=C5,'Conference Counter'!D21='Conference Counter'!H21,'More Stats'!N3&gt;'More Stats'!N5),"LV",
IF(AND(D2="LV/DEN/LAC",C3&gt;C4,C3=C5,'Conference Counter'!D21='Conference Counter'!H21,'More Stats'!N3&lt;'More Stats'!N5),"LAC",
IF(AND(D2="LV/DEN/LAC",C3&gt;C4,C3=C5,'Conference Counter'!D21='Conference Counter'!H21,'More Stats'!N3='More Stats'!N5,'More Stats'!L3&gt;'More Stats'!L5),"LV",
IF(AND(D2="LV/DEN/LAC",C3&gt;C4,C3=C5,'Conference Counter'!D21='Conference Counter'!H21,'More Stats'!N3='More Stats'!N5,'More Stats'!L3&lt;'More Stats'!L5),"LAC",
IF(AND(D2="LV/DEN/LAC",C4&gt;C3,C4=C5,'Conference Counter'!F21&gt;'Conference Counter'!H21),"DEN",
IF(AND(D2="LV/DEN/LAC",C4&gt;C3,C4=C5,'Conference Counter'!F21&lt;'Conference Counter'!H21),"LAC",
IF(AND(D2="LV/DEN/LAC",C4&gt;C3,C4=C5,'Conference Counter'!F21='Conference Counter'!H21,'More Stats'!N4&gt;'More Stats'!N5),"DEN",
IF(AND(D2="LV/DEN/LAC",C4&gt;C3,C4=C5,'Conference Counter'!F21='Conference Counter'!H21,'More Stats'!N4&lt;'More Stats'!N5),"LAC",
IF(AND(D2="LV/DEN/LAC",C4&gt;C3,C4=C5,'Conference Counter'!F21='Conference Counter'!H21,'More Stats'!N4='More Stats'!N5,'More Stats'!L4&gt;'More Stats'!L5),"DEN",
IF(AND(D2="LV/DEN/LAC",C4&gt;C3,C4=C5,'Conference Counter'!F21='Conference Counter'!H21,'More Stats'!N4='More Stats'!N5,'More Stats'!L4&lt;'More Stats'!L5),"LAC",
IF(AND(D2="LV/DEN/LAC",C3=C4,C3=C5,'Conference Counter'!D21&gt;'Conference Counter'!F21,'Conference Counter'!D21&gt;'Conference Counter'!H21),"LV",
IF(AND(D2="LV/DEN/LAC",C3=C4,C3=C5,'Conference Counter'!F21&gt;'Conference Counter'!D21,'Conference Counter'!F21&gt;'Conference Counter'!H21),"DEN",
IF(AND(D2="LV/DEN/LAC",C3=C4,C3=C5,'Conference Counter'!H21&gt;'Conference Counter'!D21,'Conference Counter'!H21&gt;'Conference Counter'!F21),"LAC",
IF(AND(D2="LV/DEN/LAC",C3=C4,C3=C5,'Conference Counter'!D21='Conference Counter'!F21,'Conference Counter'!D21&gt;'Conference Counter'!H21,'More Stats'!N3&gt;'More Stats'!N4),"LV",
IF(AND(D2="LV/DEN/LAC",C3=C4,C3=C5,'Conference Counter'!D21='Conference Counter'!F21,'Conference Counter'!D21&gt;'Conference Counter'!H21,'More Stats'!N3&lt;'More Stats'!N4),"DEN",
IF(AND(D2="LV/DEN/LAC",C3=C4,C3=C5,'Conference Counter'!D21&gt;'Conference Counter'!F21,'Conference Counter'!D21='Conference Counter'!H21,'More Stats'!N3&gt;'More Stats'!N5),"LV",
IF(AND(D2="LV/DEN/LAC",C3=C4,C3=C5,'Conference Counter'!D21&gt;'Conference Counter'!F21,'Conference Counter'!D21='Conference Counter'!H21,'More Stats'!N3&lt;'More Stats'!N5),"LAC",
IF(AND(D2="LV/DEN/LAC",C3=C4,C3=C5,'Conference Counter'!F21&gt;'Conference Counter'!D21,'Conference Counter'!F21='Conference Counter'!H21,'More Stats'!N4&gt;'More Stats'!N5),"DEN",
IF(AND(D2="LV/DEN/LAC",C3=C4,C3=C5,'Conference Counter'!F21&gt;'Conference Counter'!D21,'Conference Counter'!F21='Conference Counter'!H21,'More Stats'!N4&lt;'More Stats'!N5),"LAC",
IF(AND(D2="LV/DEN/LAC",C3=C4,C3=C5,'Conference Counter'!D21='Conference Counter'!F21,'Conference Counter'!D21='Conference Counter'!H21,'More Stats'!N3&gt;'More Stats'!N4,'More Stats'!N3&gt;'More Stats'!N5),"LV",
IF(AND(D2="LV/DEN/LAC",C3=C4,C3=C5,'Conference Counter'!D21='Conference Counter'!F21,'Conference Counter'!D21='Conference Counter'!H21,'More Stats'!N4&gt;'More Stats'!N3,'More Stats'!N4&gt;'More Stats'!N5),"DEN",
IF(AND(D2="LV/DEN/LAC",C3=C4,C3=C5,'Conference Counter'!D21='Conference Counter'!F21,'Conference Counter'!D21='Conference Counter'!H21,'More Stats'!N5&gt;'More Stats'!N3,'More Stats'!N5&gt;'More Stats'!N4),"LAC",
IF(AND(D2="LV/DEN/LAC",C3=C4,C3=C5,'Conference Counter'!D21='Conference Counter'!F21,'Conference Counter'!D21='Conference Counter'!H21,'More Stats'!N3='More Stats'!N4,'More Stats'!N3&gt;'More Stats'!N5,'More Stats'!L3&gt;'More Stats'!L4),"LV",
IF(AND(D2="LV/DEN/LAC",C3=C4,C3=C5,'Conference Counter'!D21='Conference Counter'!F21,'Conference Counter'!D21='Conference Counter'!H21,'More Stats'!N3='More Stats'!N4,'More Stats'!N3&gt;'More Stats'!N5,'More Stats'!L3&lt;'More Stats'!L4),"DEN",
IF(AND(D2="LV/DEN/LAC",C3=C4,C3=C5,'Conference Counter'!D21='Conference Counter'!F21,'Conference Counter'!D21='Conference Counter'!H21,'More Stats'!N3&gt;'More Stats'!N4,'More Stats'!N3='More Stats'!N5,'More Stats'!L3&gt;'More Stats'!L5),"LV",
IF(AND(D2="LV/DEN/LAC",C3=C4,C3=C5,'Conference Counter'!D21='Conference Counter'!F21,'Conference Counter'!D21='Conference Counter'!H21,'More Stats'!N3&gt;'More Stats'!N4,'More Stats'!N3='More Stats'!N5,'More Stats'!L3&lt;'More Stats'!L5),"LAC",
IF(AND(D2="LV/DEN/LAC",C3=C4,C3=C5,'Conference Counter'!D21='Conference Counter'!F21,'Conference Counter'!D21='Conference Counter'!H21,'More Stats'!N4&gt;'More Stats'!N3,'More Stats'!N4='More Stats'!N5,'More Stats'!L4&gt;'More Stats'!L5),"DEN",
IF(AND(D2="LV/DEN/LAC",C3=C4,C3=C5,'Conference Counter'!D21='Conference Counter'!F21,'Conference Counter'!D21='Conference Counter'!H21,'More Stats'!N4&gt;'More Stats'!N3,'More Stats'!N4='More Stats'!N5,'More Stats'!L4&lt;'More Stats'!L5),"LAC",
IF(AND(D2="LV/DEN/LAC",C3=C4,C3=C5,'Conference Counter'!D21='Conference Counter'!F21,'Conference Counter'!D21='Conference Counter'!H21,'More Stats'!N3='More Stats'!N4,'More Stats'!N3='More Stats'!N5,'More Stats'!L3&gt;'More Stats'!L4,'More Stats'!L3&gt;'More Stats'!L5,),"LV",
IF(AND(D2="LV/DEN/LAC",C3=C4,C3=C5,'Conference Counter'!D21='Conference Counter'!F21,'Conference Counter'!D21='Conference Counter'!H21,'More Stats'!N3='More Stats'!N4,'More Stats'!N3='More Stats'!N5,'More Stats'!L4&gt;'More Stats'!L3,'More Stats'!L4&gt;'More Stats'!L5,),"DEN",
IF(AND(D2="LV/DEN/LAC",C3=C4,C3=C5,'Conference Counter'!D21='Conference Counter'!F21,'Conference Counter'!D21='Conference Counter'!H21,'More Stats'!N3='More Stats'!N4,'More Stats'!N3='More Stats'!N5,'More Stats'!L5&gt;'More Stats'!L3,'More Stats'!L5&gt;'More Stats'!L4,),"LAC",
IF(AND(D2="KC/DEN/LAC",C2&gt;C4,C2&gt;C5),"KC",
IF(AND(D2="KC/DEN/LAC",C4&gt;C2,C4&gt;C5),"DEN",
IF(AND(D2="KC/DEN/LAC",C5&gt;C2,C5&gt;C4),"LAC",
IF(AND(D2="KC/DEN/LAC",C2=C4,C2&gt;C5,'Conference Counter'!B21&gt;'Conference Counter'!F21),"KC",
IF(AND(D2="KC/DEN/LAC",C2=C4,C2&gt;C5,'Conference Counter'!B21&lt;'Conference Counter'!F21),"DEN",
IF(AND(D2="KC/DEN/LAC",C2=C4,C2&gt;C5,'Conference Counter'!B21='Conference Counter'!F21,'More Stats'!N2&gt;'More Stats'!N4),"KC",
IF(AND(D2="KC/DEN/LAC",C2=C4,C2&gt;C5,'Conference Counter'!B21='Conference Counter'!F21,'More Stats'!N2&lt;'More Stats'!N4),"DEN",
IF(AND(D2="KC/DEN/LAC",C2=C4,C2&gt;C5,'Conference Counter'!B21='Conference Counter'!F21,'More Stats'!N2='More Stats'!N4,'More Stats'!L2&gt;'More Stats'!L4),"KC",
IF(AND(D2="KC/DEN/LAC",C2=C4,C2&gt;C5,'Conference Counter'!B21='Conference Counter'!F21,'More Stats'!N2='More Stats'!N4,'More Stats'!L2&lt;'More Stats'!L4),"DEN",
IF(AND(D2="KC/DEN/LAC",C2&gt;C4,C2=C5,'Conference Counter'!B21&gt;'Conference Counter'!H21),"KC",
IF(AND(D2="KC/DEN/LAC",C2&gt;C4,C2=C5,'Conference Counter'!B21&lt;'Conference Counter'!H21),"LAC",
IF(AND(D2="KC/DEN/LAC",C2&gt;C4,C2=C5,'Conference Counter'!B21='Conference Counter'!H21,'More Stats'!N2&gt;'More Stats'!N4),"KC",
IF(AND(D2="KC/DEN/LAC",C2&gt;C4,C2=C5,'Conference Counter'!B21='Conference Counter'!H21,'More Stats'!N2&lt;'More Stats'!N4),"LAC",
IF(AND(D2="KC/DEN/LAC",C2&gt;C4,C2=C5,'Conference Counter'!B21='Conference Counter'!H21,'More Stats'!N2='More Stats'!N4,'More Stats'!L2&gt;'More Stats'!L4),"KC",
IF(AND(D2="KC/DEN/LAC",C2&gt;C4,C2=C5,'Conference Counter'!B21='Conference Counter'!H21,'More Stats'!N2='More Stats'!N4,'More Stats'!L2&lt;'More Stats'!L4),"LAC",
IF(AND(D2="KC/DEN/LAC",C4&gt;C2,C4=C5,'Conference Counter'!F21&gt;'Conference Counter'!H21),"DEN",
IF(AND(D2="KC/DEN/LAC",C4&gt;C2,C4=C5,'Conference Counter'!F21&lt;'Conference Counter'!H21),"LAC",
IF(AND(D2="KC/DEN/LAC",C4&gt;C2,C4=C5,'Conference Counter'!F21='Conference Counter'!H21,'More Stats'!N4&gt;'More Stats'!N5),"DEN",
IF(AND(D2="KC/DEN/LAC",C4&gt;C2,C4=C5,'Conference Counter'!F21='Conference Counter'!H21,'More Stats'!N4&lt;'More Stats'!N5),"LAC",
IF(AND(D2="KC/DEN/LAC",C4&gt;C2,C4=C5,'Conference Counter'!F21='Conference Counter'!H21,'More Stats'!N4='More Stats'!N5,'More Stats'!L4&gt;'More Stats'!L5),"DEN",
IF(AND(D2="KC/DEN/LAC",C4&gt;C2,C4=C5,'Conference Counter'!F21='Conference Counter'!H21,'More Stats'!N4='More Stats'!N5,'More Stats'!L4&lt;'More Stats'!L5),"LAC",
IF(AND(D2="KC/DEN/LAC",C2=C4,C2=C5,'Conference Counter'!B21&gt;'Conference Counter'!F21,'Conference Counter'!B21&gt;'Conference Counter'!H21),"KC",
IF(AND(D2="KC/DEN/LAC",C2=C4,C2=C5,'Conference Counter'!F21&gt;'Conference Counter'!B21,'Conference Counter'!F21&gt;'Conference Counter'!H21),"DEN",
IF(AND(D2="KC/DEN/LAC",C2=C4,C2=C5,'Conference Counter'!H21&gt;'Conference Counter'!B21,'Conference Counter'!H21&gt;'Conference Counter'!F21),"LAC",
IF(AND(D2="KC/DEN/LAC",C2=C4,C2=C5,'Conference Counter'!B21='Conference Counter'!F21,'Conference Counter'!B21&gt;'Conference Counter'!H21,'More Stats'!N2&gt;'More Stats'!N4),"KC",
IF(AND(D2="KC/DEN/LAC",C2=C4,C2=C5,'Conference Counter'!B21='Conference Counter'!F21,'Conference Counter'!B21&gt;'Conference Counter'!H21,'More Stats'!N2&lt;'More Stats'!N4),"DEN",
IF(AND(D2="KC/DEN/LAC",C2=C4,C2=C5,'Conference Counter'!B21&gt;'Conference Counter'!F21,'Conference Counter'!B21='Conference Counter'!H21,'More Stats'!N2&gt;'More Stats'!N5),"KC",
IF(AND(D2="KC/DEN/LAC",C2=C4,C2=C5,'Conference Counter'!B21&gt;'Conference Counter'!F21,'Conference Counter'!B21='Conference Counter'!H21,'More Stats'!N2&lt;'More Stats'!N5),"LAC",
IF(AND(D2="KC/DEN/LAC",C2=C4,C2=C5,'Conference Counter'!F21&gt;'Conference Counter'!B21,'Conference Counter'!F21='Conference Counter'!H21,'More Stats'!N4&gt;'More Stats'!N5),"DEN",
IF(AND(D2="KC/DEN/LAC",C2=C4,C2=C5,'Conference Counter'!F21&gt;'Conference Counter'!B21,'Conference Counter'!F21='Conference Counter'!H21,'More Stats'!N4&lt;'More Stats'!N5),"LAC",
IF(AND(D2="KC/DEN/LAC",C2=C4,C2=C5,'Conference Counter'!B21='Conference Counter'!F21,'Conference Counter'!B21='Conference Counter'!H21,'More Stats'!N2&gt;'More Stats'!N4,'More Stats'!N2&gt;'More Stats'!N5),"KC",
IF(AND(D2="KC/DEN/LAC",C2=C4,C2=C5,'Conference Counter'!B21='Conference Counter'!F21,'Conference Counter'!B21='Conference Counter'!H21,'More Stats'!N4&gt;'More Stats'!N2,'More Stats'!N4&gt;'More Stats'!N5),"DEN",
IF(AND(D2="KC/DEN/LAC",C2=C4,C2=C5,'Conference Counter'!B21='Conference Counter'!F21,'Conference Counter'!B21='Conference Counter'!H21,'More Stats'!N5&gt;'More Stats'!N2,'More Stats'!N5&gt;'More Stats'!N4),"LAC",
IF(AND(D2="KC/DEN/LAC",C2=C4,C2=C5,'Conference Counter'!B21='Conference Counter'!F21,'Conference Counter'!B21='Conference Counter'!H21,'More Stats'!N2='More Stats'!N4,'More Stats'!N2&gt;'More Stats'!N5,'More Stats'!L2&gt;'More Stats'!L4),"KC",
IF(AND(D2="KC/DEN/LAC",C2=C4,C2=C5,'Conference Counter'!B21='Conference Counter'!F21,'Conference Counter'!B21='Conference Counter'!H21,'More Stats'!N2='More Stats'!N4,'More Stats'!N2&gt;'More Stats'!N5,'More Stats'!L2&lt;'More Stats'!L4),"DEN",
IF(AND(D2="KC/DEN/LAC",C2=C4,C2=C5,'Conference Counter'!B21='Conference Counter'!F21,'Conference Counter'!B21='Conference Counter'!H21,'More Stats'!N2&gt;'More Stats'!N4,'More Stats'!N2='More Stats'!N5,'More Stats'!L2&gt;'More Stats'!L5),"KC",
IF(AND(D2="KC/DEN/LAC",C2=C4,C2=C5,'Conference Counter'!B21='Conference Counter'!F21,'Conference Counter'!B21='Conference Counter'!H21,'More Stats'!N2&gt;'More Stats'!N4,'More Stats'!N2='More Stats'!N5,'More Stats'!L2&lt;'More Stats'!L5),"LAC",
IF(AND(D2="KC/DEN/LAC",C2=C4,C2=C5,'Conference Counter'!B21='Conference Counter'!F21,'Conference Counter'!B21='Conference Counter'!H21,'More Stats'!N4&gt;'More Stats'!N2,'More Stats'!N4='More Stats'!N5,'More Stats'!L4&gt;'More Stats'!L5),"DEN",
IF(AND(D2="KC/DEN/LAC",C2=C4,C2=C5,'Conference Counter'!B21='Conference Counter'!F21,'Conference Counter'!B21='Conference Counter'!H21,'More Stats'!N4&gt;'More Stats'!N2,'More Stats'!N4='More Stats'!N5,'More Stats'!L4&lt;'More Stats'!L5),"LAC",
IF(AND(D2="KC/DEN/LAC",C2=C4,C2=C5,'Conference Counter'!B21='Conference Counter'!F21,'Conference Counter'!B21='Conference Counter'!H21,'More Stats'!N2='More Stats'!N4,'More Stats'!N2='More Stats'!N5,'More Stats'!L2&gt;'More Stats'!L4,'More Stats'!L2&gt;'More Stats'!L5,),"KC",
IF(AND(D2="KC/DEN/LAC",C2=C4,C2=C5,'Conference Counter'!B21='Conference Counter'!F21,'Conference Counter'!B21='Conference Counter'!H21,'More Stats'!N2='More Stats'!N4,'More Stats'!N2='More Stats'!N5,'More Stats'!L4&gt;'More Stats'!L2,'More Stats'!L4&gt;'More Stats'!L5,),"DEN",
IF(AND(D2="KC/DEN/LAC",C2=C4,C2=C5,'Conference Counter'!B21='Conference Counter'!F21,'Conference Counter'!B21='Conference Counter'!H21,'More Stats'!N2='More Stats'!N4,'More Stats'!N2='More Stats'!N5,'More Stats'!L5&gt;'More Stats'!L2,'More Stats'!L5&gt;'More Stats'!L4,),"LAC",
IF(AND(D2="KC/LV/LAC",C2&gt;C3,C2&gt;C5),"KC",
IF(AND(D2="KC/LV/LAC",C3&gt;C2,C3&gt;C5),"LV",
IF(AND(D2="KC/LV/LAC",C5&gt;C2,C5&gt;C3),"LAC",
IF(AND(D2="KC/LV/LAC",C2=C3,C2&gt;C5,'Conference Counter'!B21&gt;'Conference Counter'!D21),"KC",
IF(AND(D2="KC/LV/LAC",C2=C3,C2&gt;C5,'Conference Counter'!B21&lt;'Conference Counter'!D21),"LV",
IF(AND(D2="KC/LV/LAC",C2=C3,C2&gt;C5,'Conference Counter'!B21='Conference Counter'!D21,'More Stats'!N2&gt;'More Stats'!N3),"KC",
IF(AND(D2="KC/LV/LAC",C2=C3,C2&gt;C5,'Conference Counter'!B21='Conference Counter'!D21,'More Stats'!N2&lt;'More Stats'!N3),"LV",
IF(AND(D2="KC/LV/LAC",C2=C3,C2&gt;C5,'Conference Counter'!B21='Conference Counter'!D21,'More Stats'!N2='More Stats'!N3,'More Stats'!L2&gt;'More Stats'!L3),"KC",
IF(AND(D2="KC/LV/LAC",C2=C3,C2&gt;C5,'Conference Counter'!B21='Conference Counter'!D21,'More Stats'!N2='More Stats'!N3,'More Stats'!L2&lt;'More Stats'!L3),"LV",
IF(AND(D2="KC/LV/LAC",C2&gt;C3,C2=C5,'Conference Counter'!B21&gt;'Conference Counter'!H21),"KC",
IF(AND(D2="KC/LV/LAC",C2&gt;C3,C2=C5,'Conference Counter'!B21&lt;'Conference Counter'!H21),"LAC",
IF(AND(D2="KC/LV/LAC",C2&gt;C3,C2=C5,'Conference Counter'!B21='Conference Counter'!H21,'More Stats'!N2&gt;'More Stats'!N5),"KC",
IF(AND(D2="KC/LV/LAC",C2&gt;C3,C2=C5,'Conference Counter'!B21='Conference Counter'!H21,'More Stats'!N2&lt;'More Stats'!N5),"LAC",
IF(AND(D2="KC/LV/LAC",C2&gt;C3,C2=C5,'Conference Counter'!B21='Conference Counter'!H21,'More Stats'!N2='More Stats'!N5,'More Stats'!L2&gt;'More Stats'!L5),"KC",
IF(AND(D2="KC/LV/LAC",C2&gt;C3,C2=C5,'Conference Counter'!B21='Conference Counter'!H21,'More Stats'!N2='More Stats'!N5,'More Stats'!L2&lt;'More Stats'!L5),"LAC",
IF(AND(D2="KC/LV/LAC",C3&gt;C2,C3=C5,'Conference Counter'!D21&gt;'Conference Counter'!H21),"LV",
IF(AND(D2="KC/LV/LAC",C3&gt;C2,C3=C5,'Conference Counter'!D21&lt;'Conference Counter'!H21),"LAC",
IF(AND(D2="KC/LV/LAC",C3&gt;C2,C3=C5,'Conference Counter'!D21='Conference Counter'!H21,'More Stats'!N3&gt;'More Stats'!N5),"LV",
IF(AND(D2="KC/LV/LAC",C3&gt;C2,C3=C5,'Conference Counter'!D21='Conference Counter'!H21,'More Stats'!N3&lt;'More Stats'!N5),"LAC",
IF(AND(D2="KC/LV/LAC",C3&gt;C2,C3=C5,'Conference Counter'!D21='Conference Counter'!H21,'More Stats'!N3='More Stats'!N5,'More Stats'!L3&gt;'More Stats'!L5),"LV",
IF(AND(D2="KC/LV/LAC",C3&gt;C2,C3=C5,'Conference Counter'!D21='Conference Counter'!H21,'More Stats'!N3='More Stats'!N5,'More Stats'!L3&lt;'More Stats'!L5),"LAC",
IF(AND(D2="KC/LV/LAC",C2=C3,C2=C5,'Conference Counter'!B21&gt;'Conference Counter'!D21,'Conference Counter'!B21&gt;'Conference Counter'!H21),"KC",
IF(AND(D2="KC/LV/LAC",C2=C3,C2=C5,'Conference Counter'!D21&gt;'Conference Counter'!B21,'Conference Counter'!D21&gt;'Conference Counter'!H21),"LV",
IF(AND(D2="KC/LV/LAC",C2=C3,C2=C5,'Conference Counter'!H21&gt;'Conference Counter'!B21,'Conference Counter'!H21&gt;'Conference Counter'!D21),"LAC",
IF(AND(D2="KC/LV/LAC",C2=C3,C2=C5,'Conference Counter'!B21='Conference Counter'!D21,'Conference Counter'!B21&gt;'Conference Counter'!H21,'More Stats'!N2&gt;'More Stats'!N3),"KC",
IF(AND(D2="KC/LV/LAC",C2=C3,C2=C5,'Conference Counter'!B21='Conference Counter'!D21,'Conference Counter'!B21&gt;'Conference Counter'!H21,'More Stats'!N2&lt;'More Stats'!N3),"LV",
IF(AND(D2="KC/LV/LAC",C2=C3,C2=C5,'Conference Counter'!B21&gt;'Conference Counter'!D21,'Conference Counter'!B21='Conference Counter'!H21,'More Stats'!N2&gt;'More Stats'!N5),"KC",
IF(AND(D2="KC/LV/LAC",C2=C3,C2=C5,'Conference Counter'!B21&gt;'Conference Counter'!D21,'Conference Counter'!B21='Conference Counter'!H21,'More Stats'!N2&lt;'More Stats'!N5),"LAC",
IF(AND(D2="KC/LV/LAC",C2=C3,C2=C5,'Conference Counter'!D21&gt;'Conference Counter'!B21,'Conference Counter'!D21='Conference Counter'!H21,'More Stats'!N3&gt;'More Stats'!N5),"LV",
IF(AND(D2="KC/LV/LAC",C2=C3,C2=C5,'Conference Counter'!D21&gt;'Conference Counter'!B21,'Conference Counter'!D21='Conference Counter'!H21,'More Stats'!N3&lt;'More Stats'!N5),"LAC",
IF(AND(D2="KC/LV/LAC",C2=C3,C2=C5,'Conference Counter'!B21='Conference Counter'!D21,'Conference Counter'!B21='Conference Counter'!H21,'More Stats'!N2&gt;'More Stats'!N3,'More Stats'!N2&gt;'More Stats'!N5),"KC",
IF(AND(D2="KC/LV/LAC",C2=C3,C2=C5,'Conference Counter'!B21='Conference Counter'!D21,'Conference Counter'!B21='Conference Counter'!H21,'More Stats'!N3&gt;'More Stats'!N2,'More Stats'!N3&gt;'More Stats'!N5),"LV",
IF(AND(D2="KC/LV/LAC",C2=C3,C2=C5,'Conference Counter'!B21='Conference Counter'!D21,'Conference Counter'!B21='Conference Counter'!H21,'More Stats'!N5&gt;'More Stats'!N2,'More Stats'!N5&gt;'More Stats'!N3),"LAC",
IF(AND(D2="KC/LV/LAC",C2=C3,C2=C5,'Conference Counter'!B21='Conference Counter'!D21,'Conference Counter'!B21='Conference Counter'!H21,'More Stats'!N2='More Stats'!N3,'More Stats'!N2&gt;'More Stats'!N5,'More Stats'!L2&gt;'More Stats'!L3),"KC",
IF(AND(D2="KC/LV/LAC",C2=C3,C2=C5,'Conference Counter'!B21='Conference Counter'!D21,'Conference Counter'!B21='Conference Counter'!H21,'More Stats'!N2='More Stats'!N3,'More Stats'!N2&gt;'More Stats'!N5,'More Stats'!L2&lt;'More Stats'!L3),"LV",
IF(AND(D2="KC/LV/LAC",C2=C3,C2=C5,'Conference Counter'!B21='Conference Counter'!D21,'Conference Counter'!B21='Conference Counter'!H21,'More Stats'!N2&gt;'More Stats'!N3,'More Stats'!N2='More Stats'!N5,'More Stats'!L2&gt;'More Stats'!L5),"KC",
IF(AND(D2="KC/LV/LAC",C2=C3,C2=C5,'Conference Counter'!B21='Conference Counter'!D21,'Conference Counter'!B21='Conference Counter'!H21,'More Stats'!N2&gt;'More Stats'!N3,'More Stats'!N2='More Stats'!N5,'More Stats'!L2&lt;'More Stats'!L5),"LAC",
IF(AND(D2="KC/LV/LAC",C2=C3,C2=C5,'Conference Counter'!B21='Conference Counter'!D21,'Conference Counter'!B21='Conference Counter'!H21,'More Stats'!N3&gt;'More Stats'!N2,'More Stats'!N3='More Stats'!N5,'More Stats'!L3&gt;'More Stats'!L5),"LV",
IF(AND(D2="KC/LV/LAC",C2=C3,C2=C5,'Conference Counter'!B21='Conference Counter'!D21,'Conference Counter'!B21='Conference Counter'!H21,'More Stats'!N3&gt;'More Stats'!N2,'More Stats'!N3='More Stats'!N5,'More Stats'!L3&lt;'More Stats'!L5),"LAC",
IF(AND(D2="KC/LV/LAC",C2=C3,C2=C5,'Conference Counter'!B21='Conference Counter'!D21,'Conference Counter'!B21='Conference Counter'!H21,'More Stats'!N2='More Stats'!N3,'More Stats'!N2='More Stats'!N5,'More Stats'!L2&gt;'More Stats'!L3,'More Stats'!L2&gt;'More Stats'!L5,),"KC",
IF(AND(D2="KC/LV/LAC",C2=C3,C2=C5,'Conference Counter'!B21='Conference Counter'!D21,'Conference Counter'!B21='Conference Counter'!H21,'More Stats'!N2='More Stats'!N3,'More Stats'!N2='More Stats'!N5,'More Stats'!L3&gt;'More Stats'!L2,'More Stats'!L3&gt;'More Stats'!L5,),"LV",
IF(AND(D2="KC/LV/LAC",C2=C3,C2=C5,'Conference Counter'!B21='Conference Counter'!D21,'Conference Counter'!B21='Conference Counter'!H21,'More Stats'!N2='More Stats'!N3,'More Stats'!N2='More Stats'!N5,'More Stats'!L5&gt;'More Stats'!L2,'More Stats'!L5&gt;'More Stats'!L3,),"LAC",
IF(AND(D2="KC/LV/DEN",C2&gt;C3,C2&gt;C4),"KC",
IF(AND(D2="KC/LV/DEN",C3&gt;C2,C3&gt;C4),"LV",
IF(AND(D2="KC/LV/DEN",C4&gt;C2,C4&gt;C3),"DEN",
IF(AND(D2="KC/LV/DEN",C2=C3,C2&gt;C4,'Conference Counter'!B21&gt;'Conference Counter'!D21),"KC",
IF(AND(D2="KC/LV/DEN",C2=C3,C2&gt;C4,'Conference Counter'!B21&lt;'Conference Counter'!D21),"LV",
IF(AND(D2="KC/LV/DEN",C2=C3,C2&gt;C4,'Conference Counter'!B21='Conference Counter'!D21,'More Stats'!N2&gt;'More Stats'!N3),"KC",
IF(AND(D2="KC/LV/DEN",C2=C3,C2&gt;C4,'Conference Counter'!B21='Conference Counter'!D21,'More Stats'!N2&lt;'More Stats'!N3),"LV",
IF(AND(D2="KC/LV/DEN",C2=C3,C2&gt;C4,'Conference Counter'!B21='Conference Counter'!D21,'More Stats'!N2='More Stats'!N3,'More Stats'!L2&gt;'More Stats'!L3),"KC",
IF(AND(D2="KC/LV/DEN",C2=C3,C2&gt;C4,'Conference Counter'!B21='Conference Counter'!D21,'More Stats'!N2='More Stats'!N3,'More Stats'!L2&lt;'More Stats'!L3),"LV",
IF(AND(D2="KC/LV/DEN",C2&gt;C3,C2=C4,'Conference Counter'!B21&gt;'Conference Counter'!F21),"KC",
IF(AND(D2="KC/LV/DEN",C2&gt;C3,C2=C4,'Conference Counter'!B21&lt;'Conference Counter'!F21),"DEN",
IF(AND(D2="KC/LV/DEN",C2&gt;C3,C2=C4,'Conference Counter'!B21='Conference Counter'!F21,'More Stats'!N2&gt;'More Stats'!N4),"KC",
IF(AND(D2="KC/LV/DEN",C2&gt;C3,C2=C4,'Conference Counter'!B21='Conference Counter'!F21,'More Stats'!N2&lt;'More Stats'!N4),"DEN",
IF(AND(D2="KC/LV/DEN",C2&gt;C3,C2=C4,'Conference Counter'!B21='Conference Counter'!F21,'More Stats'!N2='More Stats'!N4,'More Stats'!L2&gt;'More Stats'!L4),"KC",
IF(AND(D2="KC/LV/DEN",C2&gt;C3,C2=C4,'Conference Counter'!B21='Conference Counter'!F21,'More Stats'!N2='More Stats'!N4,'More Stats'!L2&lt;'More Stats'!L4),"DEN",
IF(AND(D2="KC/LV/DEN",C3&gt;C2,C3=C4,'Conference Counter'!D21&gt;'Conference Counter'!F21),"LV",
IF(AND(D2="KC/LV/DEN",C3&gt;C2,C3=C4,'Conference Counter'!D21&lt;'Conference Counter'!F21),"DEN",
IF(AND(D2="KC/LV/DEN",C3&gt;C2,C3=C4,'Conference Counter'!D21='Conference Counter'!F21,'More Stats'!N3&gt;'More Stats'!N4),"LV",
IF(AND(D2="KC/LV/DEN",C3&gt;C2,C3=C4,'Conference Counter'!D21='Conference Counter'!F21,'More Stats'!N3&lt;'More Stats'!N4),"DEN",
IF(AND(D2="KC/LV/DEN",C3&gt;C2,C3=C4,'Conference Counter'!D21='Conference Counter'!F21,'More Stats'!N3='More Stats'!N4,'More Stats'!L3&gt;'More Stats'!L4),"LV",
IF(AND(D2="KC/LV/DEN",C3&gt;C2,C3=C4,'Conference Counter'!D21='Conference Counter'!F21,'More Stats'!N3='More Stats'!N4,'More Stats'!L3&lt;'More Stats'!L4),"DEN",
IF(AND(D2="KC/LV/DEN",C2=C3,C2=C4,'Conference Counter'!B21&gt;'Conference Counter'!D21,'Conference Counter'!B21&gt;'Conference Counter'!F21),"KC",
IF(AND(D2="KC/LV/DEN",C2=C3,C2=C4,'Conference Counter'!D21&gt;'Conference Counter'!B21,'Conference Counter'!D21&gt;'Conference Counter'!F21),"LV",
IF(AND(D2="KC/LV/DEN",C2=C3,C2=C4,'Conference Counter'!F21&gt;'Conference Counter'!B21,'Conference Counter'!F21&gt;'Conference Counter'!D21),"DEN",
IF(AND(D2="KC/LV/DEN",C2=C3,C2=C4,'Conference Counter'!B21='Conference Counter'!D21,'Conference Counter'!B21&gt;'Conference Counter'!F21,'More Stats'!N2&gt;'More Stats'!N3),"KC",
IF(AND(D2="KC/LV/DEN",C2=C3,C2=C4,'Conference Counter'!B21='Conference Counter'!D21,'Conference Counter'!B21&gt;'Conference Counter'!F21,'More Stats'!N2&lt;'More Stats'!N3),"LV",
IF(AND(D2="KC/LV/DEN",C2=C3,C2=C4,'Conference Counter'!B21&gt;'Conference Counter'!D21,'Conference Counter'!B21='Conference Counter'!F21,'More Stats'!N2&gt;'More Stats'!N4),"KC",
IF(AND(D2="KC/LV/DEN",C2=C3,C2=C4,'Conference Counter'!B21&gt;'Conference Counter'!D21,'Conference Counter'!B21='Conference Counter'!F21,'More Stats'!N2&lt;'More Stats'!N4),"DEN",
IF(AND(D2="KC/LV/DEN",C2=C3,C2=C4,'Conference Counter'!D21&gt;'Conference Counter'!B21,'Conference Counter'!D21='Conference Counter'!F21,'More Stats'!N3&gt;'More Stats'!N4),"LV",
IF(AND(D2="KC/LV/DEN",C2=C3,C2=C4,'Conference Counter'!D21&gt;'Conference Counter'!B21,'Conference Counter'!D21='Conference Counter'!F21,'More Stats'!N3&lt;'More Stats'!N4),"DEN",
IF(AND(D2="KC/LV/DEN",C2=C3,C2=C4,'Conference Counter'!B21='Conference Counter'!D21,'Conference Counter'!B21='Conference Counter'!F21,'More Stats'!N2&gt;'More Stats'!N3,'More Stats'!N2&gt;'More Stats'!N4),"KC",
IF(AND(D2="KC/LV/DEN",C2=C3,C2=C4,'Conference Counter'!B21='Conference Counter'!D21,'Conference Counter'!B21='Conference Counter'!F21,'More Stats'!N3&gt;'More Stats'!N2,'More Stats'!N3&gt;'More Stats'!N4),"LV",
IF(AND(D2="KC/LV/DEN",C2=C3,C2=C4,'Conference Counter'!B21='Conference Counter'!D21,'Conference Counter'!B21='Conference Counter'!F21,'More Stats'!N4&gt;'More Stats'!N2,'More Stats'!N4&gt;'More Stats'!N3),"DEN",
IF(AND(D2="KC/LV/DEN",C2=C3,C2=C4,'Conference Counter'!B21='Conference Counter'!D21,'Conference Counter'!B21='Conference Counter'!F21,'More Stats'!N2='More Stats'!N3,'More Stats'!N2&gt;'More Stats'!N4,'More Stats'!L2&gt;'More Stats'!L3),"KC",
IF(AND(D2="KC/LV/DEN",C2=C3,C2=C4,'Conference Counter'!B21='Conference Counter'!D21,'Conference Counter'!B21='Conference Counter'!F21,'More Stats'!N2='More Stats'!N3,'More Stats'!N2&gt;'More Stats'!N4,'More Stats'!L2&lt;'More Stats'!L3),"LV",
IF(AND(D2="KC/LV/DEN",C2=C3,C2=C4,'Conference Counter'!B21='Conference Counter'!D21,'Conference Counter'!B21='Conference Counter'!F21,'More Stats'!N2&gt;'More Stats'!N3,'More Stats'!N2='More Stats'!N4,'More Stats'!L2&gt;'More Stats'!L4),"KC",
IF(AND(D2="KC/LV/DEN",C2=C3,C2=C4,'Conference Counter'!B21='Conference Counter'!D21,'Conference Counter'!B21='Conference Counter'!F21,'More Stats'!N2&gt;'More Stats'!N3,'More Stats'!N2='More Stats'!N4,'More Stats'!L2&lt;'More Stats'!L4),"DEN",
IF(AND(D2="KC/LV/DEN",C2=C3,C2=C4,'Conference Counter'!B21='Conference Counter'!D21,'Conference Counter'!B21='Conference Counter'!F21,'More Stats'!N3&gt;'More Stats'!N2,'More Stats'!N3='More Stats'!N4,'More Stats'!L3&gt;'More Stats'!L4),"LV",
IF(AND(D2="KC/LV/DEN",C2=C3,C2=C4,'Conference Counter'!B21='Conference Counter'!D21,'Conference Counter'!B21='Conference Counter'!F21,'More Stats'!N3&gt;'More Stats'!N2,'More Stats'!N3='More Stats'!N4,'More Stats'!L3&lt;'More Stats'!L4),"DEN",
IF(AND(D2="KC/LV/DEN",C2=C3,C2=C4,'Conference Counter'!B21='Conference Counter'!D21,'Conference Counter'!B21='Conference Counter'!F21,'More Stats'!N2='More Stats'!N3,'More Stats'!N2='More Stats'!N4,'More Stats'!L2&gt;'More Stats'!L3,'More Stats'!L2&gt;'More Stats'!L4,),"KC",
IF(AND(D2="KC/LV/DEN",C2=C3,C2=C4,'Conference Counter'!B21='Conference Counter'!D21,'Conference Counter'!B21='Conference Counter'!F21,'More Stats'!N2='More Stats'!N3,'More Stats'!N2='More Stats'!N4,'More Stats'!L3&gt;'More Stats'!L2,'More Stats'!L3&gt;'More Stats'!L4,),"LV",
IF(AND(D2="KC/LV/DEN",C2=C3,C2=C4,'Conference Counter'!B21='Conference Counter'!D21,'Conference Counter'!B21='Conference Counter'!F21,'More Stats'!N2='More Stats'!N3,'More Stats'!N2='More Stats'!N4,'More Stats'!L4&gt;'More Stats'!L2,'More Stats'!L4&gt;'More Stats'!L3,),"DEN",
IF(AND(D2="KC/LV/DEN/LAC",C2&gt;C3,C2&gt;C4,C2&gt;C5),"KC",
IF(AND(D2="KC/LV/DEN/LAC",C3&gt;C2,C3&gt;C4,C3&gt;C5),"LV",
IF(AND(D2="KC/LV/DEN/LAC",C4&gt;C2,C4&gt;C3,C4&gt;C5),"DEN",
IF(AND(D2="KC/LV/DEN/LAC",C5&gt;C2,C5&gt;C3,C5&gt;C4),"LAC",
"TBD"))))))))))))))))))))))))))))))))))))))))))))))))))))))))))))))))))))))))))))))))))))))))))))))))))))))))))))))))))))))))))))))))))))))))))))))))))))))))))))))))))))))))))))))))))))))))))))))))))))))))))))))))))))))))))))))))))))))))))))</f>
        <v>DEN</v>
      </c>
      <c r="F2" s="276"/>
      <c r="G2" s="268"/>
      <c r="H2" s="268"/>
      <c r="I2" s="268"/>
      <c r="J2" s="268"/>
      <c r="K2" s="268"/>
      <c r="L2" s="268"/>
      <c r="M2" s="268"/>
      <c r="N2" s="268"/>
      <c r="O2" s="268"/>
      <c r="P2" s="268"/>
      <c r="Q2" s="268"/>
      <c r="R2" s="268"/>
      <c r="S2" s="268"/>
      <c r="T2" s="268"/>
      <c r="U2" s="268"/>
      <c r="V2" s="277" t="s">
        <v>724</v>
      </c>
      <c r="W2" s="268"/>
      <c r="X2" s="268"/>
      <c r="Y2" s="268"/>
      <c r="Z2" s="268"/>
      <c r="AA2" s="268"/>
      <c r="AB2" s="268"/>
      <c r="AC2" s="268"/>
      <c r="AD2" s="268"/>
      <c r="AE2" s="268"/>
      <c r="AF2" s="268"/>
      <c r="AG2" s="268"/>
      <c r="AH2" s="268"/>
      <c r="AI2" s="268"/>
      <c r="AJ2" s="268"/>
      <c r="AK2" s="268"/>
      <c r="AL2" s="268"/>
      <c r="AM2" s="268"/>
    </row>
    <row r="3">
      <c r="A3" s="266" t="s">
        <v>108</v>
      </c>
      <c r="B3" s="267">
        <f t="array" ref="B3">INDEX('More Stats'!E3,0)</f>
        <v>0.4117647059</v>
      </c>
      <c r="C3" s="268">
        <f t="array" ref="C3">INDEX('Div Record Counter'!D20,0)</f>
        <v>2</v>
      </c>
      <c r="D3" s="268"/>
      <c r="E3" s="268"/>
      <c r="F3" s="268"/>
      <c r="G3" s="268"/>
      <c r="H3" s="268"/>
      <c r="I3" s="268"/>
      <c r="J3" s="268"/>
      <c r="K3" s="268"/>
      <c r="L3" s="268"/>
      <c r="M3" s="268"/>
      <c r="N3" s="268"/>
      <c r="O3" s="268"/>
      <c r="P3" s="268"/>
      <c r="Q3" s="268"/>
      <c r="R3" s="268"/>
      <c r="S3" s="268"/>
      <c r="T3" s="268"/>
      <c r="U3" s="268"/>
      <c r="V3" s="278" t="s">
        <v>725</v>
      </c>
      <c r="W3" s="268"/>
      <c r="X3" s="268"/>
      <c r="Y3" s="268"/>
      <c r="Z3" s="268"/>
      <c r="AA3" s="268"/>
      <c r="AB3" s="268"/>
      <c r="AC3" s="268"/>
      <c r="AD3" s="268"/>
      <c r="AE3" s="268"/>
      <c r="AF3" s="268"/>
      <c r="AG3" s="268"/>
      <c r="AH3" s="268"/>
      <c r="AI3" s="268"/>
      <c r="AJ3" s="268"/>
      <c r="AK3" s="268"/>
      <c r="AL3" s="268"/>
      <c r="AM3" s="268"/>
    </row>
    <row r="4">
      <c r="A4" s="266" t="s">
        <v>111</v>
      </c>
      <c r="B4" s="267">
        <f t="array" ref="B4">INDEX('More Stats'!E4,0)</f>
        <v>0.7058823529</v>
      </c>
      <c r="C4" s="268">
        <f t="array" ref="C4">INDEX('Div Record Counter'!F20,0)</f>
        <v>4</v>
      </c>
      <c r="D4" s="268"/>
      <c r="E4" s="268"/>
      <c r="F4" s="268"/>
      <c r="G4" s="264" t="s">
        <v>726</v>
      </c>
      <c r="H4" s="264" t="s">
        <v>7</v>
      </c>
      <c r="I4" s="264" t="s">
        <v>708</v>
      </c>
      <c r="J4" s="264" t="s">
        <v>727</v>
      </c>
      <c r="K4" s="264" t="s">
        <v>21</v>
      </c>
      <c r="L4" s="264" t="s">
        <v>17</v>
      </c>
      <c r="M4" s="268"/>
      <c r="N4" s="279" t="s">
        <v>728</v>
      </c>
      <c r="O4" s="264" t="s">
        <v>7</v>
      </c>
      <c r="P4" s="264" t="s">
        <v>727</v>
      </c>
      <c r="Q4" s="264" t="s">
        <v>21</v>
      </c>
      <c r="R4" s="264" t="s">
        <v>17</v>
      </c>
      <c r="S4" s="268"/>
      <c r="T4" s="264" t="s">
        <v>729</v>
      </c>
      <c r="U4" s="268"/>
      <c r="V4" s="280" t="s">
        <v>730</v>
      </c>
      <c r="W4" s="268"/>
      <c r="X4" s="268"/>
      <c r="Y4" s="268"/>
      <c r="Z4" s="268"/>
      <c r="AA4" s="268"/>
      <c r="AB4" s="268"/>
      <c r="AC4" s="268"/>
      <c r="AD4" s="268"/>
      <c r="AE4" s="268"/>
      <c r="AF4" s="268"/>
      <c r="AG4" s="268"/>
      <c r="AH4" s="268"/>
      <c r="AI4" s="268"/>
      <c r="AJ4" s="268"/>
      <c r="AK4" s="268"/>
      <c r="AL4" s="268"/>
      <c r="AM4" s="268"/>
    </row>
    <row r="5">
      <c r="A5" s="266" t="s">
        <v>112</v>
      </c>
      <c r="B5" s="267">
        <f t="array" ref="B5">INDEX('More Stats'!E5,0)</f>
        <v>0.4705882353</v>
      </c>
      <c r="C5" s="268">
        <f t="array" ref="C5">INDEX('Div Record Counter'!H20,0)</f>
        <v>3</v>
      </c>
      <c r="D5" s="268"/>
      <c r="E5" s="268"/>
      <c r="F5" s="268"/>
      <c r="G5" s="268" t="str">
        <f t="array" ref="G5">INDEX(E2,0)</f>
        <v>DEN</v>
      </c>
      <c r="H5" s="267">
        <f t="array" ref="H5">IF(G5="KC",INDEX(B2,0),
IF(G5="LV",INDEX(B3,0),
IF(G5="DEN",INDEX(B4,0),
IF(G5="LAC",INDEX(B5,0),
"TBD"))))</f>
        <v>0.7058823529</v>
      </c>
      <c r="I5" s="268">
        <f t="array" ref="I5">IF(G5="KC",INDEX(C2,0),
IF(G5="LV",INDEX(C3,0),
IF(G5="DEN",INDEX(C4,0),
IF(G5="LAC",INDEX(C5,0),
"TBD"))))</f>
        <v>4</v>
      </c>
      <c r="J5" s="281">
        <f t="array" ref="J5">IF(G5="KC",INDEX('Conference Counter'!B21,0),
IF(G5="LV",INDEX('Conference Counter'!D21,0),
IF(G5="DEN",INDEX('Conference Counter'!F21,0),
IF(G5="LAC",INDEX('Conference Counter'!H21,0),
"TBD"))))</f>
        <v>0.6666666667</v>
      </c>
      <c r="K5" s="282">
        <f t="array" ref="K5">IF(G5="KC",INDEX('More Stats'!N2,0),
IF(G5="LV",INDEX('More Stats'!N3,0),
IF(G5="DEN",INDEX('More Stats'!N4,0),
IF(G5="LAC",INDEX('More Stats'!N5,0),
"TBD"))))</f>
        <v>22</v>
      </c>
      <c r="L5" s="268">
        <f t="array" ref="L5">IF(G5="KC",INDEX('More Stats'!L2,0),
IF(G5="LV",INDEX('More Stats'!L3,0),
IF(G5="DEN",INDEX('More Stats'!L4,0),
IF(G5="LAC",INDEX('More Stats'!L5,0),
"TBD"))))</f>
        <v>384</v>
      </c>
      <c r="M5" s="268"/>
      <c r="N5" s="268" t="str">
        <f>IF(G5&lt;&gt;"KC","KC","")</f>
        <v>KC</v>
      </c>
      <c r="O5" s="267">
        <f t="array" ref="O5">IF(N5="KC",INDEX(B2,0),"")</f>
        <v>0.5882352941</v>
      </c>
      <c r="P5" s="281">
        <f t="array" ref="P5">IF(N5="KC",INDEX('Conference Counter'!B21,0),"")</f>
        <v>0.5833333333</v>
      </c>
      <c r="Q5" s="282">
        <f t="array" ref="Q5">IF(N5="KC",INDEX('More Stats'!N2,0),"")</f>
        <v>15</v>
      </c>
      <c r="R5" s="268">
        <f t="array" ref="R5">IF(N5="KC",INDEX('More Stats'!L2,0),"")</f>
        <v>354</v>
      </c>
      <c r="S5" s="268"/>
      <c r="T5" s="283" t="str">
        <f t="shared" ref="T5:T8" si="1">INDEX(G10,0)</f>
        <v>NE</v>
      </c>
      <c r="U5" s="268"/>
      <c r="V5" s="280" t="s">
        <v>731</v>
      </c>
      <c r="W5" s="268"/>
      <c r="X5" s="268"/>
      <c r="Y5" s="268"/>
      <c r="Z5" s="268"/>
      <c r="AA5" s="268"/>
      <c r="AB5" s="268"/>
      <c r="AC5" s="268"/>
      <c r="AD5" s="268"/>
      <c r="AE5" s="268"/>
      <c r="AF5" s="268"/>
      <c r="AG5" s="268"/>
      <c r="AH5" s="268"/>
      <c r="AI5" s="268"/>
      <c r="AJ5" s="268"/>
      <c r="AK5" s="268"/>
      <c r="AL5" s="268"/>
      <c r="AM5" s="268"/>
    </row>
    <row r="6">
      <c r="A6" s="284"/>
      <c r="B6" s="284"/>
      <c r="C6" s="284"/>
      <c r="D6" s="284"/>
      <c r="E6" s="284"/>
      <c r="F6" s="268"/>
      <c r="G6" s="268" t="str">
        <f t="array" ref="G6">INDEX(E7,0)</f>
        <v>NE</v>
      </c>
      <c r="H6" s="267">
        <f t="array" ref="H6">IF(G6="BUF",INDEX(B7,0),
IF(G6="MIA",INDEX(B8,0),
IF(G6="NYJ",INDEX(B9,0),
IF(G6="NE",INDEX(B10,0),
"TBD"))))</f>
        <v>0.7647058824</v>
      </c>
      <c r="I6" s="268">
        <f t="array" ref="I6">IF(G6="BUF",INDEX(C7,0),
IF(G6="MIA",INDEX(C8,0),
IF(G6="NYJ",INDEX(C9,0),
IF(G6="NE",INDEX(C10,0),
"TBD"))))</f>
        <v>5</v>
      </c>
      <c r="J6" s="281">
        <f t="array" ref="J6">IF(G6="BUF",INDEX('Conference Counter'!J21,0),
IF(G6="MIA",INDEX('Conference Counter'!L21,0),
IF(G6="NYJ",INDEX('Conference Counter'!N21,0),
IF(G6="NE",INDEX('Conference Counter'!P21,0),
"TBD"))))</f>
        <v>0.75</v>
      </c>
      <c r="K6" s="282">
        <f t="array" ref="K6">IF(G6="BUF",INDEX('More Stats'!N7,0),
IF(G6="MIA",INDEX('More Stats'!N8,0),
IF(G6="NYJ",INDEX('More Stats'!N9,0),
IF(G6="NE",INDEX('More Stats'!N10,0),
"TBD"))))</f>
        <v>34</v>
      </c>
      <c r="L6" s="268">
        <f t="array" ref="L6">IF(G6="BUF",INDEX('More Stats'!L7,0),
IF(G6="MIA",INDEX('More Stats'!L8,0),
IF(G6="NYJ",INDEX('More Stats'!L9,0),
IF(G6="NE",INDEX('More Stats'!L10,0),
"TBD"))))</f>
        <v>367</v>
      </c>
      <c r="M6" s="268"/>
      <c r="N6" s="268" t="str">
        <f>IF(G5&lt;&gt;"LV","LV","")</f>
        <v>LV</v>
      </c>
      <c r="O6" s="267">
        <f t="array" ref="O6">IF(N6="LV",INDEX(B3,0),"")</f>
        <v>0.4117647059</v>
      </c>
      <c r="P6" s="281">
        <f t="array" ref="P6">IF(N6="LV",INDEX('Conference Counter'!D21,0),"")</f>
        <v>0.5</v>
      </c>
      <c r="Q6" s="282">
        <f t="array" ref="Q6">IF(N6="LV",INDEX('More Stats'!N3,0),"")</f>
        <v>-7</v>
      </c>
      <c r="R6" s="268">
        <f t="array" ref="R6">IF(N6="LV",INDEX('More Stats'!L3,0),"")</f>
        <v>360</v>
      </c>
      <c r="S6" s="268"/>
      <c r="T6" s="283" t="str">
        <f t="shared" si="1"/>
        <v>DEN</v>
      </c>
      <c r="U6" s="268"/>
      <c r="V6" s="285" t="s">
        <v>732</v>
      </c>
      <c r="W6" s="268"/>
      <c r="X6" s="268"/>
      <c r="Y6" s="268"/>
      <c r="Z6" s="268"/>
      <c r="AA6" s="268"/>
      <c r="AB6" s="268"/>
      <c r="AC6" s="268"/>
      <c r="AD6" s="268"/>
      <c r="AE6" s="268"/>
      <c r="AF6" s="268"/>
      <c r="AG6" s="268"/>
      <c r="AH6" s="268"/>
      <c r="AI6" s="268"/>
      <c r="AJ6" s="268"/>
      <c r="AK6" s="268"/>
      <c r="AL6" s="268"/>
      <c r="AM6" s="268"/>
    </row>
    <row r="7">
      <c r="A7" s="266" t="s">
        <v>116</v>
      </c>
      <c r="B7" s="267">
        <f t="array" ref="B7">INDEX('More Stats'!E7,0)</f>
        <v>0.7058823529</v>
      </c>
      <c r="C7" s="268">
        <f t="array" ref="C7">INDEX('Div Record Counter'!J20,0)</f>
        <v>3</v>
      </c>
      <c r="D7" s="268" t="str">
        <f>IF(AND(B7&gt;B8,B7&gt;B9,B7&gt;B10),"BUF",
IF(AND(B8&gt;B7,B8&gt;B9,B8&gt;B10),"MIA",
IF(AND(B9&gt;B7,B9&gt;B8,B9&gt;B10),"NYJ",
IF(AND(B10&gt;B7,B10&gt;B8,B10&gt;B9),"NE",
IF(AND(B7&gt;B9,B7&gt;B10,B7=B8),"BUF/MIA",
IF(AND(B7&gt;B8,B7&gt;B10,B7=B9),"BUF/NYJ",
IF(AND(B7&gt;B8,B7&gt;B9,B7=B10),"BUF/NE",
IF(AND(B8&gt;B7,B8&gt;B10,B8=B9),"MIA/NYJ",
IF(AND(B8&gt;B7,B8&gt;B9,B8=B10),"MIA/NE",
IF(AND(B9&gt;B7,B9&gt;B8,B9=B10),"NYJ/NE",
IF(AND(B8&gt;B7,B9&gt;B7,B10&gt;B7,B8=B9,B8=B10),"MIA/NYJ/NE",
IF(AND(B7&gt;B8,B9&gt;B8,B10&gt;B8,B7=B9,B7=B10),"BUF/NYJ/NE",
IF(AND(B7&gt;B9,B8&gt;B9,B10&gt;B9,B7=B8,B7=B10),"BUF/MIA/NE",
IF(AND(B7&gt;B10,B8&gt;B10,B9&gt;B10,B7=B8,B7=B9),"BUF/MIA/NYJ",
IF(AND(B7=B8,B7=B9,B7=B10),"BUF/MIA/NYJ/NE",
"wtf")))))))))))))))</f>
        <v>NE</v>
      </c>
      <c r="E7" s="268" t="str">
        <f>IF(D7="BUF","BUF",
IF(D7="MIA","MIA",
IF(D7="NYJ","NYJ",
IF(D7="NE","NE",
IF(AND(D7="BUF/MIA",'Week 11'!C7="BUF",'Week 17'!C6="BUF"),"BUF",
IF(AND(D7="BUF/MIA",'Week 11'!C7="MIA",'Week 17'!C6="MIA"),"MIA",
IF(AND(D7="BUF/MIA",C7&gt;C8),"BUF",
IF(AND(D7="BUF/MIA",C7&lt;C8),"MIA",
IF(AND(D7="BUF/MIA",C7=C8,'Conference Counter'!J21&gt;'Conference Counter'!L21),"BUF",
IF(AND(D7="BUF/MIA",C7=C8,'Conference Counter'!J21&lt;'Conference Counter'!L21),"MIA",
IF(AND(D7="BUF/MIA",C7=C8,'Conference Counter'!J21='Conference Counter'!L21,'More Stats'!N7&gt;'More Stats'!N8),"BUF",
IF(AND(D7="BUF/MIA",C7=C8,'Conference Counter'!J21='Conference Counter'!L21,'More Stats'!N7&lt;'More Stats'!N8),"MIA",
IF(AND(D7="BUF/MIA",C7=C8,'Conference Counter'!J21='Conference Counter'!L21,'More Stats'!N7='More Stats'!N8,'More Stats'!L7&gt;'More Stats'!L8),"BUF",
IF(AND(D7="BUF/MIA",C7=C8,'Conference Counter'!J21='Conference Counter'!L21,'More Stats'!N7='More Stats'!N8,'More Stats'!L7&lt;'More Stats'!L8),"MIA",
IF(AND(D7="BUF/NYJ",'Week 10'!C10="BUF",'Week 18'!C6="BUF"),"BUF",
IF(AND(D7="BUF/NYJ",'Week 10'!C10="NYJ",'Week 18'!C6="NYJ"),"NYJ",
IF(AND(D7="BUF/NYJ",C7&gt;C9),"BUF",
IF(AND(D7="BUF/NYJ",C7&lt;C9),"NYJ",
IF(AND(D7="BUF/NYJ",C7=C9,'Conference Counter'!J21&gt;'Conference Counter'!N21),"BUF",
IF(AND(D7="BUF/NYJ",C7=C9,'Conference Counter'!J21&lt;'Conference Counter'!N21),"NYJ",
IF(AND(D7="BUF/NYJ",C7=C9,'Conference Counter'!J21='Conference Counter'!N21,'More Stats'!N7&gt;'More Stats'!N9),"BUF",
IF(AND(D7="BUF/NYJ",C7=C9,'Conference Counter'!J21='Conference Counter'!N21,'More Stats'!N7&lt;'More Stats'!N9),"NYJ",
IF(AND(D7="BUF/NYJ",C7=C9,'Conference Counter'!J21='Conference Counter'!N21,'More Stats'!N7='More Stats'!N9,'More Stats'!L7&gt;'More Stats'!L9),"BUF",
IF(AND(D7="BUF/NYJ",C7=C9,'Conference Counter'!J21='Conference Counter'!N21,'More Stats'!N7='More Stats'!N9,'More Stats'!L7&lt;'More Stats'!L9),"NYJ",
IF(AND(D7="BUF/NE",'Week 4'!C5="BUF",'Week 13'!C14="BUF"),"BUF",
IF(AND(D7="BUF/NE",'Week 4'!C5="NE",'Week 13'!C14="NE"),"NE",
IF(AND(D7="BUF/NE",C7&gt;C10),"BUF",
IF(AND(D7="BUF/NE",C7&lt;C10),"NE",
IF(AND(D7="BUF/NE",C7=C10,'Conference Counter'!J21&gt;'Conference Counter'!P21),"BUF",
IF(AND(D7="BUF/NE",C7=C10,'Conference Counter'!J21&lt;'Conference Counter'!P21),"NE",
IF(AND(D7="BUF/NE",C7=C10,'Conference Counter'!J21='Conference Counter'!P21,'More Stats'!N7&gt;'More Stats'!N10),"BUF",
IF(AND(D7="BUF/NE",C7=C10,'Conference Counter'!J21='Conference Counter'!P21,'More Stats'!N7&lt;'More Stats'!N10),"NE",
IF(AND(D7="BUF/NE",C7=C10,'Conference Counter'!J21='Conference Counter'!P21,'More Stats'!N7='More Stats'!N10,'More Stats'!L7&gt;'More Stats'!L10),"BUF",
IF(AND(D7="BUF/NE",C7=C10,'Conference Counter'!J21='Conference Counter'!P21,'More Stats'!N7='More Stats'!N10,'More Stats'!L7&lt;'More Stats'!L10),"NE",
IF(AND(D7="MIA/NYJ",'Week 7'!C10="MIA",'Week 12'!C13="MIA"),"MIA",
IF(AND(D7="MIA/NYJ",'Week 7'!C10="NYJ",'Week 12'!C13="NYJ"),"NYJ",
IF(AND(D7="MIA/NYJ",C8&gt;C9),"MIA",
IF(AND(D7="MIA/NYJ",C8&lt;C9),"NYJ",
IF(AND(D7="MIA/NYJ",C8=C9,'Conference Counter'!L21&gt;'Conference Counter'!N21),"MIA",
IF(AND(D7="MIA/NYJ",C8=C9,'Conference Counter'!L21&lt;'Conference Counter'!N21),"NYJ",
IF(AND(D7="MIA/NYJ",C8=C9,'Conference Counter'!L21='Conference Counter'!N21,'More Stats'!N8&gt;'More Stats'!N9),"MIA",
IF(AND(D7="MIA/NYJ",C8=C9,'Conference Counter'!L21='Conference Counter'!N21,'More Stats'!N8&lt;'More Stats'!N9),"NYJ",
IF(AND(D7="MIA/NYJ",C8=C9,'Conference Counter'!L21='Conference Counter'!N21,'More Stats'!N8='More Stats'!N9,'More Stats'!L8&gt;'More Stats'!L9),"MIA",
IF(AND(D7="MIA/NYJ",C8=C9,'Conference Counter'!L21='Conference Counter'!N21,'More Stats'!N8='More Stats'!N9,'More Stats'!L8&lt;'More Stats'!L9),"NYJ",
IF(AND(D7="MIA/NE",'Week 8'!C13="MIA",'Week 18'!C16="MIA"),"MIA",
IF(AND(D7="MIA/NE",'Week 8'!C13="NE",'Week 18'!C16="NE"),"NE",
IF(AND(D7="MIA/NE",C8&gt;C10),"MIA",
IF(AND(D7="MIA/NE",C8&lt;C10),"NE",
IF(AND(D7="MIA/NE",C8=C9,'Conference Counter'!L21&gt;'Conference Counter'!P21),"MIA",
IF(AND(D7="MIA/NE",C8=C9,'Conference Counter'!L21&lt;'Conference Counter'!P21),"NE",
IF(AND(D7="MIA/NE",C8=C9,'Conference Counter'!L21='Conference Counter'!P21,'More Stats'!N8&gt;'More Stats'!N10),"MIA",
IF(AND(D7="MIA/NE",C8=C9,'Conference Counter'!L21='Conference Counter'!P21,'More Stats'!N8&lt;'More Stats'!N10),"NE",
IF(AND(D7="MIA/NE",C8=C9,'Conference Counter'!L21='Conference Counter'!P21,'More Stats'!N8='More Stats'!N10,'More Stats'!L8&gt;'More Stats'!L10),"MIA",
IF(AND(D7="MIA/NE",C8=C9,'Conference Counter'!L21='Conference Counter'!P21,'More Stats'!N8='More Stats'!N10,'More Stats'!L8&lt;'More Stats'!L10),"NE",
IF(AND(D7="NYJ/NE",'Week 6'!C8="NYJ",'Week 16'!C13="NYJ"),"NYJ",
IF(AND(D7="NYJ/NE",'Week 6'!C8="NE",'Week 16'!C13="NE"),"NE",
IF(AND(D7="NYJ/NE",C9&gt;C10),"NYJ",
IF(AND(D7="NYJ/NE",C9&lt;C10),"NE",
IF(AND(D7="NYJ/NE",C9=C10,'Conference Counter'!N21&gt;'Conference Counter'!P21),"NYJ",
IF(AND(D7="NYJ/NE",C9=C10,'Conference Counter'!N21&lt;'Conference Counter'!P21),"NE",
IF(AND(D7="NYJ/NE",C9=C10,'Conference Counter'!N21='Conference Counter'!P21,'More Stats'!N9&gt;'More Stats'!N10),"NYJ",
IF(AND(D7="NYJ/NE",C9=C10,'Conference Counter'!N21='Conference Counter'!P21,'More Stats'!N9&lt;'More Stats'!N10),"NE",
IF(AND(D7="NYJ/NE",C9=C10,'Conference Counter'!N21='Conference Counter'!P21,'More Stats'!N9='More Stats'!N10,'More Stats'!L9&gt;'More Stats'!L10),"NYJ",
IF(AND(D7="NYJ/NE",C9=C10,'Conference Counter'!N21='Conference Counter'!P21,'More Stats'!N9='More Stats'!N10,'More Stats'!L9&lt;'More Stats'!L10),"NE",
IF(AND(D7="MIA/NYJ/NE",C8&gt;C9,C8&gt;C10),"MIA",
IF(AND(D7="MIA/NYJ/NE",C9&gt;C8,C9&gt;C10),"NYJ",
IF(AND(D7="MIA/NYJ/NE",C10&gt;C8,C10&gt;C9),"NE",
IF(AND(D7="MIA/NYJ/NE",C8=C9,C8&gt;C10,'Conference Counter'!L21&gt;'Conference Counter'!N21),"MIA",
IF(AND(D7="MIA/NYJ/NE",C8=C9,C8&gt;C10,'Conference Counter'!L21&lt;'Conference Counter'!N21),"NYJ",
IF(AND(D7="MIA/NYJ/NE",C8=C9,C8&gt;C10,'Conference Counter'!L21='Conference Counter'!N21,'More Stats'!N8&gt;'More Stats'!N9),"MIA",
IF(AND(D7="MIA/NYJ/NE",C8=C9,C8&gt;C10,'Conference Counter'!L21='Conference Counter'!N21,'More Stats'!N8&lt;'More Stats'!N9),"NYJ",
IF(AND(D7="MIA/NYJ/NE",C8=C9,C8&gt;C10,'Conference Counter'!L21='Conference Counter'!N21,'More Stats'!N8='More Stats'!N9,'More Stats'!L8&gt;'More Stats'!L9),"MIA",
IF(AND(D7="MIA/NYJ/NE",C8=C9,C8&gt;C10,'Conference Counter'!L21='Conference Counter'!N21,'More Stats'!N8='More Stats'!N9,'More Stats'!L8&lt;'More Stats'!L9),"NYJ",
IF(AND(D7="MIA/NYJ/NE",C8&gt;C9,C8=C10,'Conference Counter'!L21&gt;'Conference Counter'!P21),"MIA",
IF(AND(D7="MIA/NYJ/NE",C8&gt;C9,C8=C10,'Conference Counter'!L21&lt;'Conference Counter'!P21),"NE",
IF(AND(D7="MIA/NYJ/NE",C8&gt;C9,C8=C10,'Conference Counter'!L21='Conference Counter'!P21,'More Stats'!N8&gt;'More Stats'!N10),"MIA",
IF(AND(D7="MIA/NYJ/NE",C8&gt;C9,C8=C10,'Conference Counter'!L21='Conference Counter'!P21,'More Stats'!N8&lt;'More Stats'!N10),"NE",
IF(AND(D7="MIA/NYJ/NE",C8&gt;C9,C8=C10,'Conference Counter'!L21='Conference Counter'!P21,'More Stats'!N8='More Stats'!N10,'More Stats'!L8&gt;'More Stats'!L10),"MIA",
IF(AND(D7="MIA/NYJ/NE",C8&gt;C9,C8=C10,'Conference Counter'!L21='Conference Counter'!P21,'More Stats'!N8='More Stats'!N10,'More Stats'!L8&lt;'More Stats'!L10),"NE",
IF(AND(D7="MIA/NYJ/NE",C9&gt;C8,C9=C10,'Conference Counter'!N21&gt;'Conference Counter'!P21),"NYJ",
IF(AND(D7="MIA/NYJ/NE",C9&gt;C8,C9=C10,'Conference Counter'!N21&lt;'Conference Counter'!P21),"NE",
IF(AND(D7="MIA/NYJ/NE",C9&gt;C8,C9=C10,'Conference Counter'!N21='Conference Counter'!P21,'More Stats'!N9&gt;'More Stats'!N10),"NYJ",
IF(AND(D7="MIA/NYJ/NE",C9&gt;C8,C9=C10,'Conference Counter'!N21='Conference Counter'!P21,'More Stats'!N9&lt;'More Stats'!N10),"NE",
IF(AND(D7="MIA/NYJ/NE",C9&gt;C8,C9=C10,'Conference Counter'!N21='Conference Counter'!P21,'More Stats'!N9='More Stats'!N10,'More Stats'!L9&gt;'More Stats'!L10),"NYJ",
IF(AND(D7="MIA/NYJ/NE",C9&gt;C8,C9=C10,'Conference Counter'!N21='Conference Counter'!P21,'More Stats'!N9='More Stats'!N10,'More Stats'!L9&lt;'More Stats'!L10),"NE",
IF(AND(D7="MIA/NYJ/NE",C8=C9,C8=C10,'Conference Counter'!L21&gt;'Conference Counter'!N21,'Conference Counter'!L21&gt;'Conference Counter'!P21),"MIA",
IF(AND(D7="MIA/NYJ/NE",C8=C9,C8=C10,'Conference Counter'!N21&gt;'Conference Counter'!L21,'Conference Counter'!N21&gt;'Conference Counter'!P21),"NYJ",
IF(AND(D7="MIA/NYJ/NE",C8=C9,C8=C10,'Conference Counter'!P21&gt;'Conference Counter'!L21,'Conference Counter'!P21&gt;'Conference Counter'!N21),"NE",
IF(AND(D7="MIA/NYJ/NE",C8=C9,C8=C10,'Conference Counter'!L21='Conference Counter'!N21,'Conference Counter'!L21&gt;'Conference Counter'!P21,'More Stats'!N8&gt;'More Stats'!N9),"MIA",
IF(AND(D7="MIA/NYJ/NE",C8=C9,C8=C10,'Conference Counter'!L21='Conference Counter'!N21,'Conference Counter'!L21&gt;'Conference Counter'!P21,'More Stats'!N8&lt;'More Stats'!N9),"NYJ",
IF(AND(D7="MIA/NYJ/NE",C8=C9,C8=C10,'Conference Counter'!L21&gt;'Conference Counter'!N21,'Conference Counter'!L21='Conference Counter'!P21,'More Stats'!N8&gt;'More Stats'!N10),"MIA",
IF(AND(D7="MIA/NYJ/NE",C8=C9,C8=C10,'Conference Counter'!L21&gt;'Conference Counter'!N21,'Conference Counter'!L21='Conference Counter'!P21,'More Stats'!N8&lt;'More Stats'!N10),"NE",
IF(AND(D7="MIA/NYJ/NE",C8=C9,C8=C10,'Conference Counter'!N21&gt;'Conference Counter'!L21,'Conference Counter'!N21='Conference Counter'!P21,'More Stats'!N9&gt;'More Stats'!N10),"NYJ",
IF(AND(D7="MIA/NYJ/NE",C8=C9,C8=C10,'Conference Counter'!N21&gt;'Conference Counter'!L21,'Conference Counter'!N21='Conference Counter'!P21,'More Stats'!N9&lt;'More Stats'!N10),"NE",
IF(AND(D7="MIA/NYJ/NE",C8=C9,C8=C10,'Conference Counter'!L21='Conference Counter'!N21,'Conference Counter'!L21='Conference Counter'!P21,'More Stats'!N8&gt;'More Stats'!N9,'More Stats'!N8&gt;'More Stats'!N10),"MIA",
IF(AND(D7="MIA/NYJ/NE",C8=C9,C8=C10,'Conference Counter'!L21='Conference Counter'!N21,'Conference Counter'!L21='Conference Counter'!P21,'More Stats'!N9&gt;'More Stats'!N8,'More Stats'!N9&gt;'More Stats'!N10),"NYJ",
IF(AND(D7="MIA/NYJ/NE",C8=C9,C8=C10,'Conference Counter'!L21='Conference Counter'!N21,'Conference Counter'!L21='Conference Counter'!P21,'More Stats'!N10&gt;'More Stats'!N8,'More Stats'!N10&gt;'More Stats'!N9),"NE",
IF(AND(D7="MIA/NYJ/NE",C8=C9,C8=C10,'Conference Counter'!L21='Conference Counter'!N21,'Conference Counter'!L21='Conference Counter'!P21,'More Stats'!N8='More Stats'!N9,'More Stats'!N8&gt;'More Stats'!N10,'More Stats'!L8&gt;'More Stats'!L9),"MIA",
IF(AND(D7="MIA/NYJ/NE",C8=C9,C8=C10,'Conference Counter'!L21='Conference Counter'!N21,'Conference Counter'!L21='Conference Counter'!P21,'More Stats'!N8='More Stats'!N9,'More Stats'!N8&gt;'More Stats'!N10,'More Stats'!L8&lt;'More Stats'!L9),"NYJ",
IF(AND(D7="MIA/NYJ/NE",C8=C9,C8=C10,'Conference Counter'!L21='Conference Counter'!N21,'Conference Counter'!L21='Conference Counter'!P21,'More Stats'!N8&gt;'More Stats'!N9,'More Stats'!N8='More Stats'!N10,'More Stats'!L8&gt;'More Stats'!L10),"MIA",
IF(AND(D7="MIA/NYJ/NE",C8=C9,C8=C10,'Conference Counter'!L21='Conference Counter'!N21,'Conference Counter'!L21='Conference Counter'!P21,'More Stats'!N8&gt;'More Stats'!N9,'More Stats'!N8='More Stats'!N10,'More Stats'!L8&lt;'More Stats'!L10),"NE",
IF(AND(D7="MIA/NYJ/NE",C8=C9,C8=C10,'Conference Counter'!L21='Conference Counter'!N21,'Conference Counter'!L21='Conference Counter'!P21,'More Stats'!N9&gt;'More Stats'!N8,'More Stats'!N9='More Stats'!N10,'More Stats'!L9&gt;'More Stats'!L10),"NYJ",
IF(AND(D7="MIA/NYJ/NE",C8=C9,C8=C10,'Conference Counter'!L21='Conference Counter'!N21,'Conference Counter'!L21='Conference Counter'!P21,'More Stats'!N9&gt;'More Stats'!N8,'More Stats'!N9='More Stats'!N10,'More Stats'!L9&lt;'More Stats'!L10),"NE",
IF(AND(D7="MIA/NYJ/NE",C8=C9,C8=C10,'Conference Counter'!L21='Conference Counter'!N21,'Conference Counter'!L21='Conference Counter'!P21,'More Stats'!N8='More Stats'!N9,'More Stats'!N8='More Stats'!N10,'More Stats'!L8&gt;'More Stats'!L9,'More Stats'!L8&gt;'More Stats'!L10,),"MIA",
IF(AND(D7="MIA/NYJ/NE",C8=C9,C8=C10,'Conference Counter'!L21='Conference Counter'!N21,'Conference Counter'!L21='Conference Counter'!P21,'More Stats'!N8='More Stats'!N9,'More Stats'!N8='More Stats'!N10,'More Stats'!L9&gt;'More Stats'!L8,'More Stats'!L9&gt;'More Stats'!L10,),"NYJ",
IF(AND(D7="MIA/NYJ/NE",C8=C9,C8=C10,'Conference Counter'!L21='Conference Counter'!N21,'Conference Counter'!L21='Conference Counter'!P21,'More Stats'!N8='More Stats'!N9,'More Stats'!N8='More Stats'!N10,'More Stats'!L10&gt;'More Stats'!L8,'More Stats'!L10&gt;'More Stats'!L9,),"NE",
IF(AND(D7="BUF/NYJ/NE",C7&gt;C9,C7&gt;C10),"BUF",
IF(AND(D7="BUF/NYJ/NE",C9&gt;C7,C9&gt;C10),"NYJ",
IF(AND(D7="BUF/NYJ/NE",C10&gt;C7,C10&gt;C9),"NE",
IF(AND(D7="BUF/NYJ/NE",C7=C9,C7&gt;C10,'Conference Counter'!J21&gt;'Conference Counter'!N21),"BUF",
IF(AND(D7="BUF/NYJ/NE",C7=C9,C7&gt;C10,'Conference Counter'!J21&lt;'Conference Counter'!N21),"NYJ",
IF(AND(D7="BUF/NYJ/NE",C7=C9,C7&gt;C10,'Conference Counter'!J21='Conference Counter'!N21,'More Stats'!N7&gt;'More Stats'!N9),"BUF",
IF(AND(D7="BUF/NYJ/NE",C7=C9,C7&gt;C10,'Conference Counter'!J21='Conference Counter'!N21,'More Stats'!N7&lt;'More Stats'!N9),"NYJ",
IF(AND(D7="BUF/NYJ/NE",C7=C9,C7&gt;C10,'Conference Counter'!J21='Conference Counter'!N21,'More Stats'!N7='More Stats'!N9,'More Stats'!L7&gt;'More Stats'!L9),"BUF",
IF(AND(D7="BUF/NYJ/NE",C7=C9,C7&gt;C10,'Conference Counter'!J21='Conference Counter'!N21,'More Stats'!N7='More Stats'!N9,'More Stats'!L7&lt;'More Stats'!L9),"NYJ",
IF(AND(D7="BUF/NYJ/NE",C7&gt;C9,C7=C10,'Conference Counter'!J21&gt;'Conference Counter'!P21),"BUF",
IF(AND(D7="BUF/NYJ/NE",C7&gt;C9,C7=C10,'Conference Counter'!J21&lt;'Conference Counter'!P21),"NE",
IF(AND(D7="BUF/NYJ/NE",C7&gt;C9,C7=C10,'Conference Counter'!J21='Conference Counter'!P21,'More Stats'!N7&gt;'More Stats'!N10),"BUF",
IF(AND(D7="BUF/NYJ/NE",C7&gt;C9,C7=C10,'Conference Counter'!J21='Conference Counter'!P21,'More Stats'!N7&lt;'More Stats'!N10),"NE",
IF(AND(D7="BUF/NYJ/NE",C7&gt;C9,C7=C10,'Conference Counter'!J21='Conference Counter'!P21,'More Stats'!N7='More Stats'!N10,'More Stats'!L7&gt;'More Stats'!L10),"BUF",
IF(AND(D7="BUF/NYJ/NE",C7&gt;C9,C7=C10,'Conference Counter'!J21='Conference Counter'!P21,'More Stats'!N7='More Stats'!N10,'More Stats'!L7&lt;'More Stats'!L10),"NE",
IF(AND(D7="BUF/NYJ/NE",C9&gt;C7,C9=C10,'Conference Counter'!N21&gt;'Conference Counter'!P21),"NYJ",
IF(AND(D7="BUF/NYJ/NE",C9&gt;C7,C9=C10,'Conference Counter'!N21&lt;'Conference Counter'!P21),"NE",
IF(AND(D7="BUF/NYJ/NE",C9&gt;C7,C9=C10,'Conference Counter'!N21='Conference Counter'!P21,'More Stats'!N9&gt;'More Stats'!N10),"NYJ",
IF(AND(D7="BUF/NYJ/NE",C9&gt;C7,C9=C10,'Conference Counter'!N21='Conference Counter'!P21,'More Stats'!N9&lt;'More Stats'!N10),"NE",
IF(AND(D7="BUF/NYJ/NE",C9&gt;C7,C9=C10,'Conference Counter'!N21='Conference Counter'!P21,'More Stats'!N9='More Stats'!N10,'More Stats'!L9&gt;'More Stats'!L10),"NYJ",
IF(AND(D7="BUF/NYJ/NE",C9&gt;C7,C9=C10,'Conference Counter'!N21='Conference Counter'!P21,'More Stats'!N9='More Stats'!N10,'More Stats'!L9&lt;'More Stats'!L10),"NE",
IF(AND(D7="BUF/NYJ/NE",C7=C9,C7=C10,'Conference Counter'!J21&gt;'Conference Counter'!N21,'Conference Counter'!J21&gt;'Conference Counter'!P21),"BUF",
IF(AND(D7="BUF/NYJ/NE",C7=C9,C7=C10,'Conference Counter'!N21&gt;'Conference Counter'!J21,'Conference Counter'!N21&gt;'Conference Counter'!P21),"NYJ",
IF(AND(D7="BUF/NYJ/NE",C7=C9,C7=C10,'Conference Counter'!P21&gt;'Conference Counter'!J21,'Conference Counter'!P21&gt;'Conference Counter'!N21),"NE",
IF(AND(D7="BUF/NYJ/NE",C7=C9,C7=C10,'Conference Counter'!J21='Conference Counter'!N21,'Conference Counter'!J21&gt;'Conference Counter'!P21,'More Stats'!N7&gt;'More Stats'!N9),"BUF",
IF(AND(D7="BUF/NYJ/NE",C7=C9,C7=C10,'Conference Counter'!J21='Conference Counter'!N21,'Conference Counter'!J21&gt;'Conference Counter'!P21,'More Stats'!N7&lt;'More Stats'!N9),"NYJ",
IF(AND(D7="BUF/NYJ/NE",C7=C9,C7=C10,'Conference Counter'!J21&gt;'Conference Counter'!N21,'Conference Counter'!J21='Conference Counter'!P21,'More Stats'!N7&gt;'More Stats'!N10),"BUF",
IF(AND(D7="BUF/NYJ/NE",C7=C9,C7=C10,'Conference Counter'!J21&gt;'Conference Counter'!N21,'Conference Counter'!J21='Conference Counter'!P21,'More Stats'!N7&lt;'More Stats'!N10),"NE",
IF(AND(D7="BUF/NYJ/NE",C7=C9,C7=C10,'Conference Counter'!N21&gt;'Conference Counter'!J21,'Conference Counter'!N21='Conference Counter'!P21,'More Stats'!N9&gt;'More Stats'!N10),"NYJ",
IF(AND(D7="BUF/NYJ/NE",C7=C9,C7=C10,'Conference Counter'!N21&gt;'Conference Counter'!J21,'Conference Counter'!N21='Conference Counter'!P21,'More Stats'!N9&lt;'More Stats'!N10),"NE",
IF(AND(D7="BUF/NYJ/NE",C7=C9,C7=C10,'Conference Counter'!J21='Conference Counter'!N21,'Conference Counter'!J21='Conference Counter'!P21,'More Stats'!N7&gt;'More Stats'!N9,'More Stats'!N7&gt;'More Stats'!N10),"BUF",
IF(AND(D7="BUF/NYJ/NE",C7=C9,C7=C10,'Conference Counter'!J21='Conference Counter'!N21,'Conference Counter'!J21='Conference Counter'!P21,'More Stats'!N9&gt;'More Stats'!N7,'More Stats'!N9&gt;'More Stats'!N10),"NYJ",
IF(AND(D7="BUF/NYJ/NE",C7=C9,C7=C10,'Conference Counter'!J21='Conference Counter'!N21,'Conference Counter'!J21='Conference Counter'!P21,'More Stats'!N10&gt;'More Stats'!N7,'More Stats'!N10&gt;'More Stats'!N9),"NE",
IF(AND(D7="BUF/NYJ/NE",C7=C9,C7=C10,'Conference Counter'!J21='Conference Counter'!N21,'Conference Counter'!J21='Conference Counter'!P21,'More Stats'!N7='More Stats'!N9,'More Stats'!N7&gt;'More Stats'!N10,'More Stats'!L7&gt;'More Stats'!L9),"BUF",
IF(AND(D7="BUF/NYJ/NE",C7=C9,C7=C10,'Conference Counter'!J21='Conference Counter'!N21,'Conference Counter'!J21='Conference Counter'!P21,'More Stats'!N7='More Stats'!N9,'More Stats'!N7&gt;'More Stats'!N10,'More Stats'!L7&lt;'More Stats'!L9),"NYJ",
IF(AND(D7="BUF/NYJ/NE",C7=C9,C7=C10,'Conference Counter'!J21='Conference Counter'!N21,'Conference Counter'!J21='Conference Counter'!P21,'More Stats'!N7&gt;'More Stats'!N9,'More Stats'!N7='More Stats'!N10,'More Stats'!L7&gt;'More Stats'!L10),"BUF",
IF(AND(D7="BUF/NYJ/NE",C7=C9,C7=C10,'Conference Counter'!J21='Conference Counter'!N21,'Conference Counter'!J21='Conference Counter'!P21,'More Stats'!N7&gt;'More Stats'!N9,'More Stats'!N7='More Stats'!N10,'More Stats'!L7&lt;'More Stats'!L10),"NE",
IF(AND(D7="BUF/NYJ/NE",C7=C9,C7=C10,'Conference Counter'!J21='Conference Counter'!N21,'Conference Counter'!J21='Conference Counter'!P21,'More Stats'!N9&gt;'More Stats'!N7,'More Stats'!N9='More Stats'!N10,'More Stats'!L9&gt;'More Stats'!L10),"NYJ",
IF(AND(D7="BUF/NYJ/NE",C7=C9,C7=C10,'Conference Counter'!J21='Conference Counter'!N21,'Conference Counter'!J21='Conference Counter'!P21,'More Stats'!N9&gt;'More Stats'!N7,'More Stats'!N9='More Stats'!N10,'More Stats'!L9&lt;'More Stats'!L10),"NE",
IF(AND(D7="BUF/NYJ/NE",C7=C9,C7=C10,'Conference Counter'!J21='Conference Counter'!N21,'Conference Counter'!J21='Conference Counter'!P21,'More Stats'!N7='More Stats'!N9,'More Stats'!N7='More Stats'!N10,'More Stats'!L7&gt;'More Stats'!L9,'More Stats'!L7&gt;'More Stats'!L10,),"BUF",
IF(AND(D7="BUF/NYJ/NE",C7=C9,C7=C10,'Conference Counter'!J21='Conference Counter'!N21,'Conference Counter'!J21='Conference Counter'!P21,'More Stats'!N7='More Stats'!N9,'More Stats'!N7='More Stats'!N10,'More Stats'!L9&gt;'More Stats'!L7,'More Stats'!L9&gt;'More Stats'!L10,),"NYJ",
IF(AND(D7="BUF/NYJ/NE",C7=C9,C7=C10,'Conference Counter'!J21='Conference Counter'!N21,'Conference Counter'!J21='Conference Counter'!P21,'More Stats'!N7='More Stats'!N9,'More Stats'!N7='More Stats'!N10,'More Stats'!L10&gt;'More Stats'!L7,'More Stats'!L10&gt;'More Stats'!L9,),"NE",
IF(AND(D7="BUF/MIA/NE",C7&gt;C8,C7&gt;C10),"BUF",
IF(AND(D7="BUF/MIA/NE",C8&gt;C7,C8&gt;C10),"MIA",
IF(AND(D7="BUF/MIA/NE",C10&gt;C7,C10&gt;C8),"NE",
IF(AND(D7="BUF/MIA/NE",C7=C8,C7&gt;C10,'Conference Counter'!J21&gt;'Conference Counter'!L21),"BUF",
IF(AND(D7="BUF/MIA/NE",C7=C8,C7&gt;C10,'Conference Counter'!J21&lt;'Conference Counter'!L21),"MIA",
IF(AND(D7="BUF/MIA/NE",C7=C8,C7&gt;C10,'Conference Counter'!J21='Conference Counter'!L21,'More Stats'!N7&gt;'More Stats'!N8),"BUF",
IF(AND(D7="BUF/MIA/NE",C7=C8,C7&gt;C10,'Conference Counter'!J21='Conference Counter'!L21,'More Stats'!N7&lt;'More Stats'!N8),"MIA",
IF(AND(D7="BUF/MIA/NE",C7=C8,C7&gt;C10,'Conference Counter'!J21='Conference Counter'!L21,'More Stats'!N7='More Stats'!N8,'More Stats'!L7&gt;'More Stats'!L8),"BUF",
IF(AND(D7="BUF/MIA/NE",C7=C8,C7&gt;C10,'Conference Counter'!J21='Conference Counter'!L21,'More Stats'!N7='More Stats'!N8,'More Stats'!L7&lt;'More Stats'!L8),"MIA",
IF(AND(D7="BUF/MIA/NE",C7&gt;C8,C7=C10,'Conference Counter'!J21&gt;'Conference Counter'!P21),"BUF",
IF(AND(D7="BUF/MIA/NE",C7&gt;C8,C7=C10,'Conference Counter'!J21&lt;'Conference Counter'!P21),"NE",
IF(AND(D7="BUF/MIA/NE",C7&gt;C8,C7=C10,'Conference Counter'!J21='Conference Counter'!P21,'More Stats'!N7&gt;'More Stats'!N10),"BUF",
IF(AND(D7="BUF/MIA/NE",C7&gt;C8,C7=C10,'Conference Counter'!J21='Conference Counter'!P21,'More Stats'!N7&lt;'More Stats'!N10),"NE",
IF(AND(D7="BUF/MIA/NE",C7&gt;C8,C7=C10,'Conference Counter'!J21='Conference Counter'!P21,'More Stats'!N7='More Stats'!N10,'More Stats'!L7&gt;'More Stats'!L10),"BUF",
IF(AND(D7="BUF/MIA/NE",C7&gt;C8,C7=C10,'Conference Counter'!J21='Conference Counter'!P21,'More Stats'!N7='More Stats'!N10,'More Stats'!L7&lt;'More Stats'!L10),"NE",
IF(AND(D7="BUF/MIA/NE",C8&gt;C7,C8=C10,'Conference Counter'!L21&gt;'Conference Counter'!P21),"MIA",
IF(AND(D7="BUF/MIA/NE",C8&gt;C7,C8=C10,'Conference Counter'!L21&lt;'Conference Counter'!P21),"NE",
IF(AND(D7="BUF/MIA/NE",C8&gt;C7,C8=C10,'Conference Counter'!L21='Conference Counter'!P21,'More Stats'!N8&gt;'More Stats'!N10),"MIA",
IF(AND(D7="BUF/MIA/NE",C8&gt;C7,C8=C10,'Conference Counter'!L21='Conference Counter'!P21,'More Stats'!N8&lt;'More Stats'!N10),"NE",
IF(AND(D7="BUF/MIA/NE",C8&gt;C7,C8=C10,'Conference Counter'!L21='Conference Counter'!P21,'More Stats'!N8='More Stats'!N10,'More Stats'!L8&gt;'More Stats'!L10),"MIA",
IF(AND(D7="BUF/MIA/NE",C8&gt;C7,C8=C10,'Conference Counter'!L21='Conference Counter'!P21,'More Stats'!N8='More Stats'!N10,'More Stats'!L8&lt;'More Stats'!L10),"NE",
IF(AND(D7="BUF/MIA/NE",C7=C8,C7=C10,'Conference Counter'!J21&gt;'Conference Counter'!L21,'Conference Counter'!J21&gt;'Conference Counter'!P21),"BUF",
IF(AND(D7="BUF/MIA/NE",C7=C8,C7=C10,'Conference Counter'!L21&gt;'Conference Counter'!J21,'Conference Counter'!L21&gt;'Conference Counter'!P21),"MIA",
IF(AND(D7="BUF/MIA/NE",C7=C8,C7=C10,'Conference Counter'!P21&gt;'Conference Counter'!J21,'Conference Counter'!P21&gt;'Conference Counter'!L21),"NE",
IF(AND(D7="BUF/MIA/NE",C7=C8,C7=C10,'Conference Counter'!J21='Conference Counter'!L21,'Conference Counter'!J21&gt;'Conference Counter'!P21,'More Stats'!N7&gt;'More Stats'!N8),"BUF",
IF(AND(D7="BUF/MIA/NE",C7=C8,C7=C10,'Conference Counter'!J21='Conference Counter'!L21,'Conference Counter'!J21&gt;'Conference Counter'!P21,'More Stats'!N7&lt;'More Stats'!N8),"MIA",
IF(AND(D7="BUF/MIA/NE",C7=C8,C7=C10,'Conference Counter'!J21&gt;'Conference Counter'!L21,'Conference Counter'!J21='Conference Counter'!P21,'More Stats'!N7&gt;'More Stats'!N10),"BUF",
IF(AND(D7="BUF/MIA/NE",C7=C8,C7=C10,'Conference Counter'!J21&gt;'Conference Counter'!L21,'Conference Counter'!J21='Conference Counter'!P21,'More Stats'!N7&lt;'More Stats'!N10),"NE",
IF(AND(D7="BUF/MIA/NE",C7=C8,C7=C10,'Conference Counter'!L21&gt;'Conference Counter'!J21,'Conference Counter'!L21='Conference Counter'!P21,'More Stats'!N8&gt;'More Stats'!N10),"MIA",
IF(AND(D7="BUF/MIA/NE",C7=C8,C7=C10,'Conference Counter'!L21&gt;'Conference Counter'!J21,'Conference Counter'!L21='Conference Counter'!P21,'More Stats'!N8&lt;'More Stats'!N10),"NE",
IF(AND(D7="BUF/MIA/NE",C7=C8,C7=C10,'Conference Counter'!J21='Conference Counter'!L21,'Conference Counter'!J21='Conference Counter'!P21,'More Stats'!N7&gt;'More Stats'!N8,'More Stats'!N7&gt;'More Stats'!N10),"BUF",
IF(AND(D7="BUF/MIA/NE",C7=C8,C7=C10,'Conference Counter'!J21='Conference Counter'!L21,'Conference Counter'!J21='Conference Counter'!P21,'More Stats'!N8&gt;'More Stats'!N7,'More Stats'!N8&gt;'More Stats'!N10),"MIA",
IF(AND(D7="BUF/MIA/NE",C7=C8,C7=C10,'Conference Counter'!J21='Conference Counter'!L21,'Conference Counter'!J21='Conference Counter'!P21,'More Stats'!N10&gt;'More Stats'!N7,'More Stats'!N10&gt;'More Stats'!N8),"NE",
IF(AND(D7="BUF/MIA/NE",C7=C8,C7=C10,'Conference Counter'!J21='Conference Counter'!L21,'Conference Counter'!J21='Conference Counter'!P21,'More Stats'!N7='More Stats'!N8,'More Stats'!N7&gt;'More Stats'!N10,'More Stats'!L7&gt;'More Stats'!L8),"BUF",
IF(AND(D7="BUF/MIA/NE",C7=C8,C7=C10,'Conference Counter'!J21='Conference Counter'!L21,'Conference Counter'!J21='Conference Counter'!P21,'More Stats'!N7='More Stats'!N8,'More Stats'!N7&gt;'More Stats'!N10,'More Stats'!L7&lt;'More Stats'!L8),"MIA",
IF(AND(D7="BUF/MIA/NE",C7=C8,C7=C10,'Conference Counter'!J21='Conference Counter'!L21,'Conference Counter'!J21='Conference Counter'!P21,'More Stats'!N7&gt;'More Stats'!N8,'More Stats'!N7='More Stats'!N10,'More Stats'!L7&gt;'More Stats'!L10),"BUF",
IF(AND(D7="BUF/MIA/NE",C7=C8,C7=C10,'Conference Counter'!J21='Conference Counter'!L21,'Conference Counter'!J21='Conference Counter'!P21,'More Stats'!N7&gt;'More Stats'!N8,'More Stats'!N7='More Stats'!N10,'More Stats'!L7&lt;'More Stats'!L10),"NE",
IF(AND(D7="BUF/MIA/NE",C7=C8,C7=C10,'Conference Counter'!J21='Conference Counter'!L21,'Conference Counter'!J21='Conference Counter'!P21,'More Stats'!N8&gt;'More Stats'!N7,'More Stats'!N8='More Stats'!N10,'More Stats'!L8&gt;'More Stats'!L10),"MIA",
IF(AND(D7="BUF/MIA/NE",C7=C8,C7=C10,'Conference Counter'!J21='Conference Counter'!L21,'Conference Counter'!J21='Conference Counter'!P21,'More Stats'!N8&gt;'More Stats'!N7,'More Stats'!N8='More Stats'!N10,'More Stats'!L8&lt;'More Stats'!L10),"NE",
IF(AND(D7="BUF/MIA/NE",C7=C8,C7=C10,'Conference Counter'!J21='Conference Counter'!L21,'Conference Counter'!J21='Conference Counter'!P21,'More Stats'!N7='More Stats'!N8,'More Stats'!N7='More Stats'!N10,'More Stats'!L7&gt;'More Stats'!L8,'More Stats'!L7&gt;'More Stats'!L10,),"BUF",
IF(AND(D7="BUF/MIA/NE",C7=C8,C7=C10,'Conference Counter'!J21='Conference Counter'!L21,'Conference Counter'!J21='Conference Counter'!P21,'More Stats'!N7='More Stats'!N8,'More Stats'!N7='More Stats'!N10,'More Stats'!L8&gt;'More Stats'!L7,'More Stats'!L8&gt;'More Stats'!L10,),"MIA",
IF(AND(D7="BUF/MIA/NE",C7=C8,C7=C10,'Conference Counter'!J21='Conference Counter'!L21,'Conference Counter'!J21='Conference Counter'!P21,'More Stats'!N7='More Stats'!N8,'More Stats'!N7='More Stats'!N10,'More Stats'!L10&gt;'More Stats'!L7,'More Stats'!L10&gt;'More Stats'!L8,),"NE",
IF(AND(D7="BUF/MIA/NYJ",C7&gt;C8,C7&gt;C9),"BUF",
IF(AND(D7="BUF/MIA/NYJ",C8&gt;C7,C8&gt;C9),"MIA",
IF(AND(D7="BUF/MIA/NYJ",C9&gt;C7,C9&gt;C8),"NYJ",
IF(AND(D7="BUF/MIA/NYJ",C7=C8,C7&gt;C9,'Conference Counter'!J21&gt;'Conference Counter'!L21),"BUF",
IF(AND(D7="BUF/MIA/NYJ",C7=C8,C7&gt;C9,'Conference Counter'!J21&lt;'Conference Counter'!L21),"MIA",
IF(AND(D7="BUF/MIA/NYJ",C7=C8,C7&gt;C9,'Conference Counter'!J21='Conference Counter'!L21,'More Stats'!N7&gt;'More Stats'!N8),"BUF",
IF(AND(D7="BUF/MIA/NYJ",C7=C8,C7&gt;C9,'Conference Counter'!J21='Conference Counter'!L21,'More Stats'!N7&lt;'More Stats'!N8),"MIA",
IF(AND(D7="BUF/MIA/NYJ",C7=C8,C7&gt;C9,'Conference Counter'!J21='Conference Counter'!L21,'More Stats'!N7='More Stats'!N8,'More Stats'!L7&gt;'More Stats'!L8),"BUF",
IF(AND(D7="BUF/MIA/NYJ",C7=C8,C7&gt;C9,'Conference Counter'!J21='Conference Counter'!L21,'More Stats'!N7='More Stats'!N8,'More Stats'!L7&lt;'More Stats'!L8),"MIA",
IF(AND(D7="BUF/MIA/NYJ",C7&gt;C8,C7=C9,'Conference Counter'!J21&gt;'Conference Counter'!N21),"BUF",
IF(AND(D7="BUF/MIA/NYJ",C7&gt;C8,C7=C9,'Conference Counter'!J21&lt;'Conference Counter'!N21),"NYJ",
IF(AND(D7="BUF/MIA/NYJ",C7&gt;C8,C7=C9,'Conference Counter'!J21='Conference Counter'!N21,'More Stats'!N7&gt;'More Stats'!N9),"BUF",
IF(AND(D7="BUF/MIA/NYJ",C7&gt;C8,C7=C9,'Conference Counter'!J21='Conference Counter'!N21,'More Stats'!N7&lt;'More Stats'!N9),"NYJ",
IF(AND(D7="BUF/MIA/NYJ",C7&gt;C8,C7=C9,'Conference Counter'!J21='Conference Counter'!N21,'More Stats'!N7='More Stats'!N9,'More Stats'!L7&gt;'More Stats'!L9),"BUF",
IF(AND(D7="BUF/MIA/NYJ",C7&gt;C8,C7=C9,'Conference Counter'!J21='Conference Counter'!N21,'More Stats'!N7='More Stats'!N9,'More Stats'!L7&lt;'More Stats'!L9),"NYJ",
IF(AND(D7="BUF/MIA/NYJ",C8&gt;C7,C8=C9,'Conference Counter'!L21&gt;'Conference Counter'!N21),"MIA",
IF(AND(D7="BUF/MIA/NYJ",C8&gt;C7,C8=C9,'Conference Counter'!L21&lt;'Conference Counter'!N21),"NYJ",
IF(AND(D7="BUF/MIA/NYJ",C8&gt;C7,C8=C9,'Conference Counter'!L21='Conference Counter'!N21,'More Stats'!N8&gt;'More Stats'!N9),"MIA",
IF(AND(D7="BUF/MIA/NYJ",C8&gt;C7,C8=C9,'Conference Counter'!L21='Conference Counter'!N21,'More Stats'!N8&lt;'More Stats'!N9),"NYJ",
IF(AND(D7="BUF/MIA/NYJ",C8&gt;C7,C8=C9,'Conference Counter'!L21='Conference Counter'!N21,'More Stats'!N8='More Stats'!N9,'More Stats'!L8&gt;'More Stats'!L9),"MIA",
IF(AND(D7="BUF/MIA/NYJ",C8&gt;C7,C8=C9,'Conference Counter'!L21='Conference Counter'!N21,'More Stats'!N8='More Stats'!N9,'More Stats'!L8&lt;'More Stats'!L9),"NYJ",
IF(AND(D7="BUF/MIA/NYJ",C7=C8,C7=C9,'Conference Counter'!J21&gt;'Conference Counter'!L21,'Conference Counter'!J21&gt;'Conference Counter'!N21),"BUF",
IF(AND(D7="BUF/MIA/NYJ",C7=C8,C7=C9,'Conference Counter'!L21&gt;'Conference Counter'!J21,'Conference Counter'!L21&gt;'Conference Counter'!N21),"MIA",
IF(AND(D7="BUF/MIA/NYJ",C7=C8,C7=C9,'Conference Counter'!N21&gt;'Conference Counter'!J21,'Conference Counter'!N21&gt;'Conference Counter'!L21),"NYJ",
IF(AND(D7="BUF/MIA/NYJ",C7=C8,C7=C9,'Conference Counter'!J21='Conference Counter'!L21,'Conference Counter'!J21&gt;'Conference Counter'!N21,'More Stats'!N7&gt;'More Stats'!N8),"BUF",
IF(AND(D7="BUF/MIA/NYJ",C7=C8,C7=C9,'Conference Counter'!J21='Conference Counter'!L21,'Conference Counter'!J21&gt;'Conference Counter'!N21,'More Stats'!N7&lt;'More Stats'!N8),"MIA",
IF(AND(D7="BUF/MIA/NYJ",C7=C8,C7=C9,'Conference Counter'!J21&gt;'Conference Counter'!L21,'Conference Counter'!J21='Conference Counter'!N21,'More Stats'!N7&gt;'More Stats'!N9),"BUF",
IF(AND(D7="BUF/MIA/NYJ",C7=C8,C7=C9,'Conference Counter'!J21&gt;'Conference Counter'!L21,'Conference Counter'!J21='Conference Counter'!N21,'More Stats'!N7&lt;'More Stats'!N9),"NYJ",
IF(AND(D7="BUF/MIA/NYJ",C7=C8,C7=C9,'Conference Counter'!L21&gt;'Conference Counter'!J21,'Conference Counter'!L21='Conference Counter'!N21,'More Stats'!N8&gt;'More Stats'!N9),"MIA",
IF(AND(D7="BUF/MIA/NYJ",C7=C8,C7=C9,'Conference Counter'!L21&gt;'Conference Counter'!J21,'Conference Counter'!L21='Conference Counter'!N21,'More Stats'!N8&lt;'More Stats'!N9),"NYJ",
IF(AND(D7="BUF/MIA/NYJ",C7=C8,C7=C9,'Conference Counter'!J21='Conference Counter'!L21,'Conference Counter'!J21='Conference Counter'!N21,'More Stats'!N7&gt;'More Stats'!N8,'More Stats'!N7&gt;'More Stats'!N9),"BUF",
IF(AND(D7="BUF/MIA/NYJ",C7=C8,C7=C9,'Conference Counter'!J21='Conference Counter'!L21,'Conference Counter'!J21='Conference Counter'!N21,'More Stats'!N8&gt;'More Stats'!N7,'More Stats'!N8&gt;'More Stats'!N9),"MIA",
IF(AND(D7="BUF/MIA/NYJ",C7=C8,C7=C9,'Conference Counter'!J21='Conference Counter'!L21,'Conference Counter'!J21='Conference Counter'!N21,'More Stats'!N9&gt;'More Stats'!N7,'More Stats'!N9&gt;'More Stats'!N8),"NYJ",
IF(AND(D7="BUF/MIA/NYJ",C7=C8,C7=C9,'Conference Counter'!J21='Conference Counter'!L21,'Conference Counter'!J21='Conference Counter'!N21,'More Stats'!N7='More Stats'!N8,'More Stats'!N7&gt;'More Stats'!N9,'More Stats'!L7&gt;'More Stats'!L8),"BUF",
IF(AND(D7="BUF/MIA/NYJ",C7=C8,C7=C9,'Conference Counter'!J21='Conference Counter'!L21,'Conference Counter'!J21='Conference Counter'!N21,'More Stats'!N7='More Stats'!N8,'More Stats'!N7&gt;'More Stats'!N9,'More Stats'!L7&lt;'More Stats'!L8),"MIA",
IF(AND(D7="BUF/MIA/NYJ",C7=C8,C7=C9,'Conference Counter'!J21='Conference Counter'!L21,'Conference Counter'!J21='Conference Counter'!N21,'More Stats'!N7&gt;'More Stats'!N8,'More Stats'!N7='More Stats'!N9,'More Stats'!L7&gt;'More Stats'!L9),"BUF",
IF(AND(D7="BUF/MIA/NYJ",C7=C8,C7=C9,'Conference Counter'!J21='Conference Counter'!L21,'Conference Counter'!J21='Conference Counter'!N21,'More Stats'!N7&gt;'More Stats'!N8,'More Stats'!N7='More Stats'!N9,'More Stats'!L7&lt;'More Stats'!L9),"NYJ",
IF(AND(D7="BUF/MIA/NYJ",C7=C8,C7=C9,'Conference Counter'!J21='Conference Counter'!L21,'Conference Counter'!J21='Conference Counter'!N21,'More Stats'!N8&gt;'More Stats'!N7,'More Stats'!N8='More Stats'!N9,'More Stats'!L8&gt;'More Stats'!L9),"MIA",
IF(AND(D7="BUF/MIA/NYJ",C7=C8,C7=C9,'Conference Counter'!J21='Conference Counter'!L21,'Conference Counter'!J21='Conference Counter'!N21,'More Stats'!N8&gt;'More Stats'!N7,'More Stats'!N8='More Stats'!N9,'More Stats'!L8&lt;'More Stats'!L9),"NYJ",
IF(AND(D7="BUF/MIA/NYJ",C7=C8,C7=C9,'Conference Counter'!J21='Conference Counter'!L21,'Conference Counter'!J21='Conference Counter'!N21,'More Stats'!N7='More Stats'!N8,'More Stats'!N7='More Stats'!N9,'More Stats'!L7&gt;'More Stats'!L8,'More Stats'!L7&gt;'More Stats'!L9,),"BUF",
IF(AND(D7="BUF/MIA/NYJ",C7=C8,C7=C9,'Conference Counter'!J21='Conference Counter'!L21,'Conference Counter'!J21='Conference Counter'!N21,'More Stats'!N7='More Stats'!N8,'More Stats'!N7='More Stats'!N9,'More Stats'!L8&gt;'More Stats'!L7,'More Stats'!L8&gt;'More Stats'!L9,),"MIA",
IF(AND(D7="BUF/MIA/NYJ",C7=C8,C7=C9,'Conference Counter'!J21='Conference Counter'!L21,'Conference Counter'!J21='Conference Counter'!N21,'More Stats'!N7='More Stats'!N8,'More Stats'!N7='More Stats'!N9,'More Stats'!L9&gt;'More Stats'!L7,'More Stats'!L9&gt;'More Stats'!L8,),"NYJ",
IF(AND(D7="BUF/MIA/NYJ/NE",C7&gt;C8,C7&gt;C9,C7&gt;C10),"BUF",
IF(AND(D7="BUF/MIA/NYJ/NE",C8&gt;C7,C8&gt;C9,C8&gt;C10),"MIA",
IF(AND(D7="BUF/MIA/NYJ/NE",C9&gt;C7,C9&gt;C8,C9&gt;C10),"NYJ",
IF(AND(D7="BUF/MIA/NYJ/NE",C10&gt;C7,C10&gt;C8,C10&gt;C9),"NE",
"TBD"))))))))))))))))))))))))))))))))))))))))))))))))))))))))))))))))))))))))))))))))))))))))))))))))))))))))))))))))))))))))))))))))))))))))))))))))))))))))))))))))))))))))))))))))))))))))))))))))))))))))))))))))))))))))))))))))))))))))))))</f>
        <v>NE</v>
      </c>
      <c r="F7" s="276"/>
      <c r="G7" s="268" t="str">
        <f t="array" ref="G7">INDEX(E12,0)</f>
        <v>BAL</v>
      </c>
      <c r="H7" s="267">
        <f t="array" ref="H7">IF(G7="BAL",INDEX(B12,0),
IF(G7="CLE",INDEX(B13,0),
IF(G7="PIT",INDEX(B14,0),
IF(G7="CIN",INDEX(B15,0),
"TBD"))))</f>
        <v>0.6470588235</v>
      </c>
      <c r="I7" s="268">
        <f t="array" ref="I7">IF(G7="BAL",INDEX(C12,0),
IF(G7="CLE",INDEX(C13,0),
IF(G7="PIT",INDEX(C14,0),
IF(G7="CIN",INDEX(C15,0),
"TBD"))))</f>
        <v>4</v>
      </c>
      <c r="J7" s="281">
        <f t="array" ref="J7">IF(G7="BAL",INDEX('Conference Counter'!R21,0),
IF(G7="CLE",INDEX('Conference Counter'!T21,0),
IF(G7="PIT",INDEX('Conference Counter'!V21,0),
IF(G7="CIN",INDEX('Conference Counter'!X21,0),
"TBD"))))</f>
        <v>0.75</v>
      </c>
      <c r="K7" s="282">
        <f t="array" ref="K7">IF(G7="BAL",INDEX('More Stats'!N12,0),
IF(G7="CLE",INDEX('More Stats'!N13,0),
IF(G7="PIT",INDEX('More Stats'!N14,0),
IF(G7="CIN",INDEX('More Stats'!N15,0),
"TBD"))))</f>
        <v>15</v>
      </c>
      <c r="L7" s="268">
        <f t="array" ref="L7">IF(G7="BAL",INDEX('More Stats'!L12,0),
IF(G7="CLE",INDEX('More Stats'!L13,0),
IF(G7="PIT",INDEX('More Stats'!L14,0),
IF(G7="CIN",INDEX('More Stats'!L15,0),
"TBD"))))</f>
        <v>321</v>
      </c>
      <c r="M7" s="268"/>
      <c r="N7" s="268" t="str">
        <f>IF(G5&lt;&gt;"DEN","DEN","")</f>
        <v/>
      </c>
      <c r="O7" s="268" t="str">
        <f t="array" ref="O7">IF(N7="DEN",INDEX(B4,0),"")</f>
        <v/>
      </c>
      <c r="P7" s="268" t="str">
        <f t="array" ref="P7">IF(N7="DEN",INDEX('Conference Counter'!F21,0),"")</f>
        <v/>
      </c>
      <c r="Q7" s="268" t="str">
        <f t="array" ref="Q7">IF(N7="DEN",INDEX('More Stats'!N4,0),"")</f>
        <v/>
      </c>
      <c r="R7" s="268" t="str">
        <f t="array" ref="R7">IF(N7="DEN",INDEX('More Stats'!L4,0),"")</f>
        <v/>
      </c>
      <c r="S7" s="268"/>
      <c r="T7" s="283" t="str">
        <f t="shared" si="1"/>
        <v>BAL</v>
      </c>
      <c r="U7" s="268"/>
      <c r="V7" s="280" t="s">
        <v>733</v>
      </c>
      <c r="W7" s="268"/>
      <c r="X7" s="268"/>
      <c r="Y7" s="268"/>
      <c r="Z7" s="268"/>
      <c r="AA7" s="268"/>
      <c r="AB7" s="268"/>
      <c r="AC7" s="268"/>
      <c r="AD7" s="268"/>
      <c r="AE7" s="268"/>
      <c r="AF7" s="268"/>
      <c r="AG7" s="268"/>
      <c r="AH7" s="268"/>
      <c r="AI7" s="268"/>
      <c r="AJ7" s="268"/>
      <c r="AK7" s="268"/>
      <c r="AL7" s="268"/>
      <c r="AM7" s="268"/>
    </row>
    <row r="8">
      <c r="A8" s="266" t="s">
        <v>120</v>
      </c>
      <c r="B8" s="267">
        <f t="array" ref="B8">INDEX('More Stats'!E8,0)</f>
        <v>0.1764705882</v>
      </c>
      <c r="C8" s="268">
        <f t="array" ref="C8">INDEX('Div Record Counter'!L20,0)</f>
        <v>1</v>
      </c>
      <c r="D8" s="268"/>
      <c r="E8" s="268"/>
      <c r="F8" s="268"/>
      <c r="G8" s="268" t="str">
        <f t="array" ref="G8">INDEX(E17,0)</f>
        <v>HOU</v>
      </c>
      <c r="H8" s="267">
        <f t="array" ref="H8">IF(G8="HOU",INDEX(B17,0),
IF(G8="JAX",INDEX(B18,0),
IF(G8="IND",INDEX(B19,0),
IF(G8="TEN",INDEX(B20,0),
"TBD"))))</f>
        <v>0.5882352941</v>
      </c>
      <c r="I8" s="268">
        <f t="array" ref="I8">IF(G8="HOU",INDEX(C17,0),
IF(G8="JAX",INDEX(C18,0),
IF(G8="IND",INDEX(C19,0),
IF(G8="TEN",INDEX(C20,0),
"TBD"))))</f>
        <v>5</v>
      </c>
      <c r="J8" s="281">
        <f t="array" ref="J8">IF(G8="HOU",INDEX('Conference Counter'!Z21,0),
IF(G8="JAX",INDEX('Conference Counter'!AB21,0),
IF(G8="IND",INDEX('Conference Counter'!AD21,0),
IF(G8="TEN",INDEX('Conference Counter'!AF21,0),
"TBD"))))</f>
        <v>0.5833333333</v>
      </c>
      <c r="K8" s="282">
        <f t="array" ref="K8">IF(G8="HOU",INDEX('More Stats'!N17,0),
IF(G8="JAX",INDEX('More Stats'!N18,0),
IF(G8="IND",INDEX('More Stats'!N19,0),
IF(G8="TEN",INDEX('More Stats'!N20,0),
"TBD"))))</f>
        <v>22</v>
      </c>
      <c r="L8" s="268">
        <f t="array" ref="L8">IF(G8="HOU",INDEX('More Stats'!L17,0),
IF(G8="JAX",INDEX('More Stats'!L18,0),
IF(G8="IND",INDEX('More Stats'!L19,0),
IF(G8="TEN",INDEX('More Stats'!L20,0),
"TBD"))))</f>
        <v>386</v>
      </c>
      <c r="M8" s="268"/>
      <c r="N8" s="268" t="str">
        <f>IF(G5&lt;&gt;"LAC","LAC","")</f>
        <v>LAC</v>
      </c>
      <c r="O8" s="267">
        <f t="array" ref="O8">IF(N8="LAC",INDEX(B5,0),"")</f>
        <v>0.4705882353</v>
      </c>
      <c r="P8" s="281">
        <f t="array" ref="P8">IF(N8="LAC",INDEX('Conference Counter'!H21,0),"")</f>
        <v>0.5</v>
      </c>
      <c r="Q8" s="282">
        <f t="array" ref="Q8">IF(N8="LAC",INDEX('More Stats'!N5,0),"")</f>
        <v>-7</v>
      </c>
      <c r="R8" s="268">
        <f t="array" ref="R8">IF(N8="LAC",INDEX('More Stats'!L5,0),"")</f>
        <v>354</v>
      </c>
      <c r="S8" s="268"/>
      <c r="T8" s="283" t="str">
        <f t="shared" si="1"/>
        <v>HOU</v>
      </c>
      <c r="U8" s="268"/>
      <c r="V8" s="285" t="s">
        <v>734</v>
      </c>
      <c r="W8" s="268"/>
      <c r="X8" s="268"/>
      <c r="Y8" s="268"/>
      <c r="Z8" s="268"/>
      <c r="AA8" s="268"/>
      <c r="AB8" s="268"/>
      <c r="AC8" s="268"/>
      <c r="AD8" s="268"/>
      <c r="AE8" s="268"/>
      <c r="AF8" s="268"/>
      <c r="AG8" s="268"/>
      <c r="AH8" s="268"/>
      <c r="AI8" s="268"/>
      <c r="AJ8" s="268"/>
      <c r="AK8" s="268"/>
      <c r="AL8" s="268"/>
      <c r="AM8" s="268"/>
    </row>
    <row r="9">
      <c r="A9" s="266" t="s">
        <v>124</v>
      </c>
      <c r="B9" s="267">
        <f t="array" ref="B9">INDEX('More Stats'!E9,0)</f>
        <v>0.2352941176</v>
      </c>
      <c r="C9" s="268">
        <f t="array" ref="C9">INDEX('Div Record Counter'!N20,0)</f>
        <v>3</v>
      </c>
      <c r="D9" s="268"/>
      <c r="E9" s="268"/>
      <c r="F9" s="268"/>
      <c r="G9" s="284"/>
      <c r="H9" s="284"/>
      <c r="I9" s="284"/>
      <c r="J9" s="284"/>
      <c r="K9" s="284"/>
      <c r="L9" s="284"/>
      <c r="M9" s="268"/>
      <c r="N9" s="268" t="str">
        <f>IF(G6&lt;&gt;"BUF","BUF","")</f>
        <v>BUF</v>
      </c>
      <c r="O9" s="267">
        <f t="array" ref="O9">IF(N9="BUF",INDEX(B7,0),"")</f>
        <v>0.7058823529</v>
      </c>
      <c r="P9" s="281">
        <f t="array" ref="P9">IF(N9="BUF",INDEX('Conference Counter'!J21,0),"")</f>
        <v>0.75</v>
      </c>
      <c r="Q9" s="282">
        <f t="array" ref="Q9">IF(N9="BUF",INDEX('More Stats'!N7,0),"")</f>
        <v>44</v>
      </c>
      <c r="R9" s="268">
        <f t="array" ref="R9">IF(N9="BUF",INDEX('More Stats'!L7,0),"")</f>
        <v>389</v>
      </c>
      <c r="S9" s="268"/>
      <c r="T9" s="286" t="str">
        <f t="shared" ref="T9:T11" si="2">IF(O26&lt;&gt;0,INDEX(N26,0),"TBD")</f>
        <v>BUF</v>
      </c>
      <c r="U9" s="268"/>
      <c r="V9" s="285" t="s">
        <v>735</v>
      </c>
      <c r="W9" s="268"/>
      <c r="X9" s="268"/>
      <c r="Y9" s="268"/>
      <c r="Z9" s="268"/>
      <c r="AA9" s="268"/>
      <c r="AB9" s="268"/>
      <c r="AC9" s="268"/>
      <c r="AD9" s="268"/>
      <c r="AE9" s="268"/>
      <c r="AF9" s="268"/>
      <c r="AG9" s="268"/>
      <c r="AH9" s="268"/>
      <c r="AI9" s="268"/>
      <c r="AJ9" s="268"/>
      <c r="AK9" s="268"/>
      <c r="AL9" s="268"/>
      <c r="AM9" s="268"/>
    </row>
    <row r="10">
      <c r="A10" s="266" t="s">
        <v>126</v>
      </c>
      <c r="B10" s="267">
        <f t="array" ref="B10">INDEX('More Stats'!E10,0)</f>
        <v>0.7647058824</v>
      </c>
      <c r="C10" s="268">
        <f t="array" ref="C10">INDEX('Div Record Counter'!P20,0)</f>
        <v>5</v>
      </c>
      <c r="D10" s="268"/>
      <c r="E10" s="268"/>
      <c r="F10" s="268"/>
      <c r="G10" s="283" t="str">
        <f t="array" ref="G10:L13">SORT(G5:L8,2,FALSE,3,FALSE,4,FALSE,5,FALSE,6,FALSE)</f>
        <v>NE</v>
      </c>
      <c r="H10" s="267">
        <v>0.7647058823529411</v>
      </c>
      <c r="I10" s="268">
        <v>5.0</v>
      </c>
      <c r="J10" s="281">
        <v>0.75</v>
      </c>
      <c r="K10" s="282">
        <v>34.0</v>
      </c>
      <c r="L10" s="268">
        <v>367.0</v>
      </c>
      <c r="M10" s="268"/>
      <c r="N10" s="268" t="str">
        <f>IF(G6&lt;&gt;"MIA","MIA","")</f>
        <v>MIA</v>
      </c>
      <c r="O10" s="267">
        <f t="array" ref="O10">IF(N10="MIA",INDEX(B8,0),"")</f>
        <v>0.1764705882</v>
      </c>
      <c r="P10" s="281">
        <f t="array" ref="P10">IF(N10="MIA",INDEX('Conference Counter'!L21,0),"")</f>
        <v>0.1666666667</v>
      </c>
      <c r="Q10" s="282">
        <f t="array" ref="Q10">IF(N10="MIA",INDEX('More Stats'!N8,0),"")</f>
        <v>-52</v>
      </c>
      <c r="R10" s="268">
        <f t="array" ref="R10">IF(N10="MIA",INDEX('More Stats'!L8,0),"")</f>
        <v>304</v>
      </c>
      <c r="S10" s="268"/>
      <c r="T10" s="286" t="str">
        <f t="shared" si="2"/>
        <v>CIN</v>
      </c>
      <c r="U10" s="268"/>
      <c r="V10" s="280" t="s">
        <v>736</v>
      </c>
      <c r="W10" s="268"/>
      <c r="X10" s="268"/>
      <c r="Y10" s="268"/>
      <c r="Z10" s="268"/>
      <c r="AA10" s="268"/>
      <c r="AB10" s="268"/>
      <c r="AC10" s="268"/>
      <c r="AD10" s="268"/>
      <c r="AE10" s="268"/>
      <c r="AF10" s="268"/>
      <c r="AG10" s="268"/>
      <c r="AH10" s="268"/>
      <c r="AI10" s="268"/>
      <c r="AJ10" s="268"/>
      <c r="AK10" s="268"/>
      <c r="AL10" s="268"/>
      <c r="AM10" s="268"/>
    </row>
    <row r="11">
      <c r="A11" s="284"/>
      <c r="B11" s="284"/>
      <c r="C11" s="284"/>
      <c r="D11" s="284"/>
      <c r="E11" s="284"/>
      <c r="F11" s="268"/>
      <c r="G11" s="283" t="s">
        <v>111</v>
      </c>
      <c r="H11" s="267">
        <v>0.7058823529411765</v>
      </c>
      <c r="I11" s="268">
        <v>4.0</v>
      </c>
      <c r="J11" s="281">
        <v>0.6666666666666666</v>
      </c>
      <c r="K11" s="282">
        <v>22.0</v>
      </c>
      <c r="L11" s="268">
        <v>384.0</v>
      </c>
      <c r="M11" s="268"/>
      <c r="N11" s="268" t="str">
        <f>IF(G6&lt;&gt;"NYJ","NYJ","")</f>
        <v>NYJ</v>
      </c>
      <c r="O11" s="267">
        <f t="array" ref="O11">IF(N11="NYJ",INDEX(B9,0),"")</f>
        <v>0.2352941176</v>
      </c>
      <c r="P11" s="281">
        <f t="array" ref="P11">IF(N11="NYJ",INDEX('Conference Counter'!N21,0),"")</f>
        <v>0.25</v>
      </c>
      <c r="Q11" s="282">
        <f t="array" ref="Q11">IF(N11="NYJ",INDEX('More Stats'!N9,0),"")</f>
        <v>-36</v>
      </c>
      <c r="R11" s="268">
        <f t="array" ref="R11">IF(N11="NYJ",INDEX('More Stats'!L9,0),"")</f>
        <v>339</v>
      </c>
      <c r="S11" s="268"/>
      <c r="T11" s="286" t="str">
        <f t="shared" si="2"/>
        <v>KC</v>
      </c>
      <c r="U11" s="268"/>
      <c r="V11" s="285" t="s">
        <v>737</v>
      </c>
      <c r="W11" s="268"/>
      <c r="X11" s="268"/>
      <c r="Y11" s="268"/>
      <c r="Z11" s="268"/>
      <c r="AA11" s="268"/>
      <c r="AB11" s="268"/>
      <c r="AC11" s="268"/>
      <c r="AD11" s="268"/>
      <c r="AE11" s="268"/>
      <c r="AF11" s="268"/>
      <c r="AG11" s="268"/>
      <c r="AH11" s="268"/>
      <c r="AI11" s="268"/>
      <c r="AJ11" s="268"/>
      <c r="AK11" s="268"/>
      <c r="AL11" s="268"/>
      <c r="AM11" s="268"/>
    </row>
    <row r="12">
      <c r="A12" s="266" t="s">
        <v>131</v>
      </c>
      <c r="B12" s="267">
        <f t="array" ref="B12">INDEX('More Stats'!E12,0)</f>
        <v>0.6470588235</v>
      </c>
      <c r="C12" s="268">
        <f t="array" ref="C12">INDEX('Div Record Counter'!R20,0)</f>
        <v>4</v>
      </c>
      <c r="D12" s="268" t="str">
        <f>IF(AND(B12&gt;B13,B12&gt;B14,B12&gt;B15),"BAL",
IF(AND(B13&gt;B12,B13&gt;B14,B13&gt;B15),"CLE",
IF(AND(B14&gt;B12,B14&gt;B13,B14&gt;B15),"PIT",
IF(AND(B15&gt;B12,B15&gt;B13,B15&gt;B14),"CIN",
IF(AND(B12&gt;B14,B12&gt;B15,B12=B13),"BAL/CLE",
IF(AND(B12&gt;B13,B12&gt;B15,B12=B14),"BAL/PIT",
IF(AND(B12&gt;B13,B12&gt;B14,B12=B15),"BAL/CIN",
IF(AND(B13&gt;B12,B13&gt;B15,B13=B14),"CLE/PIT",
IF(AND(B13&gt;B12,B13&gt;B14,B13=B15),"CLE/CIN",
IF(AND(B14&gt;B12,B14&gt;B13,B14=B15),"PIT/CIN",
IF(AND(B13&gt;B12,B14&gt;B12,B15&gt;B12,B13=B14,B13=B15),"CLE/PIT/CIN",
IF(AND(B12&gt;B13,B14&gt;B13,B15&gt;B13,B12=B14,B12=B15),"BAL/PIT/CIN",
IF(AND(B12&gt;B14,B13&gt;B14,B15&gt;B14,B12=B13,B12=B15),"BAL/CLE/CIN",
IF(AND(B12&gt;B15,B13&gt;B15,B14&gt;B15,B12=B13,B12=B14),"BAL/CLE/PIT",
IF(AND(B12=B13,B12=B14,B12=B15),"BAL/CLE/PIT/CIN",
"wtf")))))))))))))))</f>
        <v>BAL</v>
      </c>
      <c r="E12" s="268" t="str">
        <f>IF(D12="BAL","BAL",
IF(D12="CLE","CLE",
IF(D12="PIT","PIT",
IF(D12="CIN","CIN",
IF(AND(D12="BAL/CLE",'Week 6'!C6="BAL",'Week 16'!C14="BAL"),"BAL",
IF(AND(D12="BAL/CLE",'Week 6'!C6="CLE",'Week 16'!C14="CLE"),"CLE",
IF(AND(D12="BAL/CLE",C12&gt;C13),"BAL",
IF(AND(D12="BAL/CLE",C12&lt;C13),"CLE",
IF(AND(D12="BAL/CLE",C12=C13,'Conference Counter'!R21&gt;'Conference Counter'!T21),"BAL",
IF(AND(D12="BAL/CLE",C12=C13,'Conference Counter'!R21&lt;'Conference Counter'!T21),"CLE",
IF(AND(D12="BAL/CLE",C12=C13,'Conference Counter'!R21='Conference Counter'!T21,'More Stats'!N12&gt;'More Stats'!N13),"BAL",
IF(AND(D12="BAL/CLE",C12=C13,'Conference Counter'!R21='Conference Counter'!T21,'More Stats'!N12&lt;'More Stats'!N13),"CLE",
IF(AND(D12="BAL/CLE",C12=C13,'Conference Counter'!R21='Conference Counter'!T21,'More Stats'!N12='More Stats'!N13,'More Stats'!L12&gt;'More Stats'!L13),"BAL",
IF(AND(D12="BAL/CLE",C12=C13,'Conference Counter'!R21='Conference Counter'!T21,'More Stats'!N12='More Stats'!N13,'More Stats'!L12&lt;'More Stats'!L13),"CLE",
IF(AND(D12="BAL/PIT",'Week 15'!C10="BAL",'Week 18'!C5="BAL"),"BAL",
IF(AND(D12="BAL/PIT",'Week 15'!C10="PIT",'Week 18'!C5="PIT"),"PIT",
IF(AND(D12="BAL/PIT",C12&gt;C14),"BAL",
IF(AND(D12="BAL/PIT",C12&lt;C14),"PIT",
IF(AND(D12="BAL/PIT",C12=C14,'Conference Counter'!R21&gt;'Conference Counter'!V21),"BAL",
IF(AND(D12="BAL/PIT",C12=C14,'Conference Counter'!R21&lt;'Conference Counter'!V21),"PIT",
IF(AND(D12="BAL/PIT",C12=C14,'Conference Counter'!R21='Conference Counter'!V21,'More Stats'!N12&gt;'More Stats'!N14),"BAL",
IF(AND(D12="BAL/PIT",C12=C14,'Conference Counter'!R21='Conference Counter'!V21,'More Stats'!N12&lt;'More Stats'!N14),"PIT",
IF(AND(D12="BAL/PIT",C12=C14,'Conference Counter'!R21='Conference Counter'!V21,'More Stats'!N12='More Stats'!N14,'More Stats'!L12&gt;'More Stats'!L14),"BAL",
IF(AND(D12="BAL/PIT",C12=C14,'Conference Counter'!R21='Conference Counter'!V21,'More Stats'!N12='More Stats'!N14,'More Stats'!L12&lt;'More Stats'!L14),"PIT",
IF(AND(D12="BAL/CIN",'Week 7'!C6="BAL",'Week 17'!C3="BAL"),"BAL",
IF(AND(D12="BAL/CIN",'Week 7'!C6="CIN",'Week 17'!C3="CIN"),"CIN",
IF(AND(D12="BAL/CIN",C12&gt;C15),"BAL",
IF(AND(D12="BAL/CIN",C12&lt;C15),"CIN",
IF(AND(D12="BAL/CIN",C12=C15,'Conference Counter'!R21&gt;'Conference Counter'!X21),"BAL",
IF(AND(D12="BAL/CIN",C12=C15,'Conference Counter'!R21&lt;'Conference Counter'!X21),"CIN",
IF(AND(D12="BAL/CIN",C12=C15,'Conference Counter'!R21='Conference Counter'!X21,'More Stats'!N12&gt;'More Stats'!N15),"BAL",
IF(AND(D12="BAL/CIN",C12=C15,'Conference Counter'!R21='Conference Counter'!X21,'More Stats'!N12&lt;'More Stats'!N15),"CIN",
IF(AND(D12="BAL/CIN",C12=C15,'Conference Counter'!R21='Conference Counter'!X21,'More Stats'!N12='More Stats'!N15,'More Stats'!L12&gt;'More Stats'!L15),"BAL",
IF(AND(D12="BAL/CIN",C12=C15,'Conference Counter'!R21='Conference Counter'!X21,'More Stats'!N12='More Stats'!N15,'More Stats'!L12&lt;'More Stats'!L15),"CIN",
IF(AND(D12="CLE/PIT",'Week 4'!C3="CLE",'Week 8'!C9="CLE"),"CLE",
IF(AND(D12="CLE/PIT",'Week 4'!C3="PIT",'Week 8'!C9="PIT"),"PIT",
IF(AND(D12="CLE/PIT",C13&gt;C14),"CLE",
IF(AND(D12="CLE/PIT",C13&lt;C14),"PIT",
IF(AND(D12="CLE/PIT",C13=C14,'Conference Counter'!T21&gt;'Conference Counter'!V21),"CLE",
IF(AND(D12="CLE/PIT",C13=C14,'Conference Counter'!T21&lt;'Conference Counter'!V21),"PIT",
IF(AND(D12="CLE/PIT",C13=C14,'Conference Counter'!T21='Conference Counter'!V21,'More Stats'!N13&gt;'More Stats'!N14),"CLE",
IF(AND(D12="CLE/PIT",C13=C14,'Conference Counter'!T21='Conference Counter'!V21,'More Stats'!N13&lt;'More Stats'!N14),"PIT",
IF(AND(D12="CLE/PIT",C13=C14,'Conference Counter'!T21='Conference Counter'!V21,'More Stats'!N13='More Stats'!N14,'More Stats'!L13&gt;'More Stats'!L14),"CLE",
IF(AND(D12="CLE/PIT",C13=C14,'Conference Counter'!T21='Conference Counter'!V21,'More Stats'!N13='More Stats'!N14,'More Stats'!L13&lt;'More Stats'!L14),"PIT",
IF(AND(D12="CLE/CIN",'Week 13'!C6="CLE",'Week 18'!C8="CLE"),"CLE",
IF(AND(D12="CLE/CIN",'Week 13'!C6="CIN",'Week 18'!C8="CIN"),"CIN",
IF(AND(D12="CLE/CIN",C13&gt;C15),"CLE",
IF(AND(D12="CLE/CIN",C13&lt;C15),"CIN",
IF(AND(D12="CLE/CIN",C13=C14,'Conference Counter'!T21&gt;'Conference Counter'!X21),"CLE",
IF(AND(D12="CLE/CIN",C13=C14,'Conference Counter'!T21&lt;'Conference Counter'!X21),"CIN",
IF(AND(D12="CLE/CIN",C13=C14,'Conference Counter'!T21='Conference Counter'!X21,'More Stats'!N13&gt;'More Stats'!N15),"CLE",
IF(AND(D12="CLE/CIN",C13=C14,'Conference Counter'!T21='Conference Counter'!X21,'More Stats'!N13&lt;'More Stats'!N15),"CIN",
IF(AND(D12="CLE/CIN",C13=C14,'Conference Counter'!T21='Conference Counter'!X21,'More Stats'!N13='More Stats'!N15,'More Stats'!L13&gt;'More Stats'!L15),"CLE",
IF(AND(D12="CLE/CIN",C13=C14,'Conference Counter'!T21='Conference Counter'!X21,'More Stats'!N13='More Stats'!N15,'More Stats'!L13&lt;'More Stats'!L15),"CIN",
IF(AND(D12="PIT/CIN",'Week 3'!C10="PIT",'Week 10'!C15="PIT"),"PIT",
IF(AND(D12="PIT/CIN",'Week 3'!C10="CIN",'Week 10'!C15="CIN"),"CIN",
IF(AND(D12="PIT/CIN",C14&gt;C15),"PIT",
IF(AND(D12="PIT/CIN",C14&lt;C15),"CIN",
IF(AND(D12="PIT/CIN",C14=C15,'Conference Counter'!V21&gt;'Conference Counter'!X21),"PIT",
IF(AND(D12="PIT/CIN",C14=C15,'Conference Counter'!V21&lt;'Conference Counter'!X21),"CIN",
IF(AND(D12="PIT/CIN",C14=C15,'Conference Counter'!V21='Conference Counter'!X21,'More Stats'!N14&gt;'More Stats'!N15),"PIT",
IF(AND(D12="PIT/CIN",C14=C15,'Conference Counter'!V21='Conference Counter'!X21,'More Stats'!N14&lt;'More Stats'!N15),"CIN",
IF(AND(D12="PIT/CIN",C14=C15,'Conference Counter'!V21='Conference Counter'!X21,'More Stats'!N14='More Stats'!N15,'More Stats'!L14&gt;'More Stats'!L15),"PIT",
IF(AND(D12="PIT/CIN",C14=C15,'Conference Counter'!V21='Conference Counter'!X21,'More Stats'!N14='More Stats'!N15,'More Stats'!L14&lt;'More Stats'!L15),"CIN",
IF(AND(D12="CLE/PIT/CIN",C13&gt;C14,C13&gt;C15),"CLE",
IF(AND(D12="CLE/PIT/CIN",C14&gt;C13,C14&gt;C15),"PIT",
IF(AND(D12="CLE/PIT/CIN",C15&gt;C13,C15&gt;C14),"CIN",
IF(AND(D12="CLE/PIT/CIN",C13=C14,C13&gt;C15,'Conference Counter'!T21&gt;'Conference Counter'!V21),"CLE",
IF(AND(D12="CLE/PIT/CIN",C13=C14,C13&gt;C15,'Conference Counter'!T21&lt;'Conference Counter'!V21),"PIT",
IF(AND(D12="CLE/PIT/CIN",C13=C14,C13&gt;C15,'Conference Counter'!T21='Conference Counter'!V21,'More Stats'!N13&gt;'More Stats'!N14),"CLE",
IF(AND(D12="CLE/PIT/CIN",C13=C14,C13&gt;C15,'Conference Counter'!T21='Conference Counter'!V21,'More Stats'!N13&lt;'More Stats'!N14),"PIT",
IF(AND(D12="CLE/PIT/CIN",C13=C14,C13&gt;C15,'Conference Counter'!T21='Conference Counter'!V21,'More Stats'!N13='More Stats'!N14,'More Stats'!L13&gt;'More Stats'!L14),"CLE",
IF(AND(D12="CLE/PIT/CIN",C13=C14,C13&gt;C15,'Conference Counter'!T21='Conference Counter'!V21,'More Stats'!N13='More Stats'!N14,'More Stats'!L13&lt;'More Stats'!L14),"PIT",
IF(AND(D12="CLE/PIT/CIN",C13&gt;C14,C13=C15,'Conference Counter'!T21&gt;'Conference Counter'!X21),"CLE",
IF(AND(D12="CLE/PIT/CIN",C13&gt;C14,C13=C15,'Conference Counter'!T21&lt;'Conference Counter'!X21),"CIN",
IF(AND(D12="CLE/PIT/CIN",C13&gt;C14,C13=C15,'Conference Counter'!T21='Conference Counter'!X21,'More Stats'!N13&gt;'More Stats'!N15),"CLE",
IF(AND(D12="CLE/PIT/CIN",C13&gt;C14,C13=C15,'Conference Counter'!T21='Conference Counter'!X21,'More Stats'!N13&lt;'More Stats'!N15),"CIN",
IF(AND(D12="CLE/PIT/CIN",C13&gt;C14,C13=C15,'Conference Counter'!T21='Conference Counter'!X21,'More Stats'!N13='More Stats'!N15,'More Stats'!L13&gt;'More Stats'!L15),"CLE",
IF(AND(D12="CLE/PIT/CIN",C13&gt;C14,C13=C15,'Conference Counter'!T21='Conference Counter'!X21,'More Stats'!N13='More Stats'!N15,'More Stats'!L13&lt;'More Stats'!L15),"CIN",
IF(AND(D12="CLE/PIT/CIN",C14&gt;C13,C14=C15,'Conference Counter'!V21&gt;'Conference Counter'!X21),"PIT",
IF(AND(D12="CLE/PIT/CIN",C14&gt;C13,C14=C15,'Conference Counter'!V21&lt;'Conference Counter'!X21),"CIN",
IF(AND(D12="CLE/PIT/CIN",C14&gt;C13,C14=C15,'Conference Counter'!V21='Conference Counter'!X21,'More Stats'!N14&gt;'More Stats'!N15),"PIT",
IF(AND(D12="CLE/PIT/CIN",C14&gt;C13,C14=C15,'Conference Counter'!V21='Conference Counter'!X21,'More Stats'!N14&lt;'More Stats'!N15),"CIN",
IF(AND(D12="CLE/PIT/CIN",C14&gt;C13,C14=C15,'Conference Counter'!V21='Conference Counter'!X21,'More Stats'!N14='More Stats'!N15,'More Stats'!L14&gt;'More Stats'!L15),"PIT",
IF(AND(D12="CLE/PIT/CIN",C14&gt;C13,C14=C15,'Conference Counter'!V21='Conference Counter'!X21,'More Stats'!N14='More Stats'!N15,'More Stats'!L14&lt;'More Stats'!L15),"CIN",
IF(AND(D12="CLE/PIT/CIN",C13=C14,C13=C15,'Conference Counter'!T21&gt;'Conference Counter'!V21,'Conference Counter'!T21&gt;'Conference Counter'!X21),"CLE",
IF(AND(D12="CLE/PIT/CIN",C13=C14,C13=C15,'Conference Counter'!V21&gt;'Conference Counter'!T21,'Conference Counter'!V21&gt;'Conference Counter'!X21),"PIT",
IF(AND(D12="CLE/PIT/CIN",C13=C14,C13=C15,'Conference Counter'!X21&gt;'Conference Counter'!T21,'Conference Counter'!X21&gt;'Conference Counter'!V21),"CIN",
IF(AND(D12="CLE/PIT/CIN",C13=C14,C13=C15,'Conference Counter'!T21='Conference Counter'!V21,'Conference Counter'!T21&gt;'Conference Counter'!X21,'More Stats'!N13&gt;'More Stats'!N14),"CLE",
IF(AND(D12="CLE/PIT/CIN",C13=C14,C13=C15,'Conference Counter'!T21='Conference Counter'!V21,'Conference Counter'!T21&gt;'Conference Counter'!X21,'More Stats'!N13&lt;'More Stats'!N14),"PIT",
IF(AND(D12="CLE/PIT/CIN",C13=C14,C13=C15,'Conference Counter'!T21&gt;'Conference Counter'!V21,'Conference Counter'!T21='Conference Counter'!X21,'More Stats'!N13&gt;'More Stats'!N15),"CLE",
IF(AND(D12="CLE/PIT/CIN",C13=C14,C13=C15,'Conference Counter'!T21&gt;'Conference Counter'!V21,'Conference Counter'!T21='Conference Counter'!X21,'More Stats'!N13&lt;'More Stats'!N15),"CIN",
IF(AND(D12="CLE/PIT/CIN",C13=C14,C13=C15,'Conference Counter'!V21&gt;'Conference Counter'!T21,'Conference Counter'!V21='Conference Counter'!X21,'More Stats'!N14&gt;'More Stats'!N15),"PIT",
IF(AND(D12="CLE/PIT/CIN",C13=C14,C13=C15,'Conference Counter'!V21&gt;'Conference Counter'!T21,'Conference Counter'!V21='Conference Counter'!X21,'More Stats'!N14&lt;'More Stats'!N15),"CIN",
IF(AND(D12="CLE/PIT/CIN",C13=C14,C13=C15,'Conference Counter'!T21='Conference Counter'!V21,'Conference Counter'!T21='Conference Counter'!X21,'More Stats'!N13&gt;'More Stats'!N14,'More Stats'!N13&gt;'More Stats'!N15),"CLE",
IF(AND(D12="CLE/PIT/CIN",C13=C14,C13=C15,'Conference Counter'!T21='Conference Counter'!V21,'Conference Counter'!T21='Conference Counter'!X21,'More Stats'!N14&gt;'More Stats'!N13,'More Stats'!N14&gt;'More Stats'!N15),"PIT",
IF(AND(D12="CLE/PIT/CIN",C13=C14,C13=C15,'Conference Counter'!T21='Conference Counter'!V21,'Conference Counter'!T21='Conference Counter'!X21,'More Stats'!N15&gt;'More Stats'!N13,'More Stats'!N15&gt;'More Stats'!N14),"CIN",
IF(AND(D12="CLE/PIT/CIN",C13=C14,C13=C15,'Conference Counter'!T21='Conference Counter'!V21,'Conference Counter'!T21='Conference Counter'!X21,'More Stats'!N13='More Stats'!N14,'More Stats'!N13&gt;'More Stats'!N15,'More Stats'!L13&gt;'More Stats'!L14),"CLE",
IF(AND(D12="CLE/PIT/CIN",C13=C14,C13=C15,'Conference Counter'!T21='Conference Counter'!V21,'Conference Counter'!T21='Conference Counter'!X21,'More Stats'!N13='More Stats'!N14,'More Stats'!N13&gt;'More Stats'!N15,'More Stats'!L13&lt;'More Stats'!L14),"PIT",
IF(AND(D12="CLE/PIT/CIN",C13=C14,C13=C15,'Conference Counter'!T21='Conference Counter'!V21,'Conference Counter'!T21='Conference Counter'!X21,'More Stats'!N13&gt;'More Stats'!N14,'More Stats'!N13='More Stats'!N15,'More Stats'!L13&gt;'More Stats'!L15),"CLE",
IF(AND(D12="CLE/PIT/CIN",C13=C14,C13=C15,'Conference Counter'!T21='Conference Counter'!V21,'Conference Counter'!T21='Conference Counter'!X21,'More Stats'!N13&gt;'More Stats'!N14,'More Stats'!N13='More Stats'!N15,'More Stats'!L13&lt;'More Stats'!L15),"CIN",
IF(AND(D12="CLE/PIT/CIN",C13=C14,C13=C15,'Conference Counter'!T21='Conference Counter'!V21,'Conference Counter'!T21='Conference Counter'!X21,'More Stats'!N14&gt;'More Stats'!N13,'More Stats'!N14='More Stats'!N15,'More Stats'!L14&gt;'More Stats'!L15),"PIT",
IF(AND(D12="CLE/PIT/CIN",C13=C14,C13=C15,'Conference Counter'!T21='Conference Counter'!V21,'Conference Counter'!T21='Conference Counter'!X21,'More Stats'!N14&gt;'More Stats'!N13,'More Stats'!N14='More Stats'!N15,'More Stats'!L14&lt;'More Stats'!L15),"CIN",
IF(AND(D12="CLE/PIT/CIN",C13=C14,C13=C15,'Conference Counter'!T21='Conference Counter'!V21,'Conference Counter'!T21='Conference Counter'!X21,'More Stats'!N13='More Stats'!N14,'More Stats'!N13='More Stats'!N15,'More Stats'!L13&gt;'More Stats'!L14,'More Stats'!L13&gt;'More Stats'!L15,),"CLE",
IF(AND(D12="CLE/PIT/CIN",C13=C14,C13=C15,'Conference Counter'!T21='Conference Counter'!V21,'Conference Counter'!T21='Conference Counter'!X21,'More Stats'!N13='More Stats'!N14,'More Stats'!N13='More Stats'!N15,'More Stats'!L14&gt;'More Stats'!L13,'More Stats'!L14&gt;'More Stats'!L15,),"PIT",
IF(AND(D12="CLE/PIT/CIN",C13=C14,C13=C15,'Conference Counter'!T21='Conference Counter'!V21,'Conference Counter'!T21='Conference Counter'!X21,'More Stats'!N13='More Stats'!N14,'More Stats'!N13='More Stats'!N15,'More Stats'!L15&gt;'More Stats'!L13,'More Stats'!L15&gt;'More Stats'!L14,),"CIN",
IF(AND(D12="BAL/PIT/CIN",C12&gt;C14,C12&gt;C15),"BAL",
IF(AND(D12="BAL/PIT/CIN",C14&gt;C12,C14&gt;C15),"PIT",
IF(AND(D12="BAL/PIT/CIN",C15&gt;C12,C15&gt;C14),"CIN",
IF(AND(D12="BAL/PIT/CIN",C12=C14,C12&gt;C15,'Conference Counter'!R21&gt;'Conference Counter'!V21),"BAL",
IF(AND(D12="BAL/PIT/CIN",C12=C14,C12&gt;C15,'Conference Counter'!R21&lt;'Conference Counter'!V21),"PIT",
IF(AND(D12="BAL/PIT/CIN",C12=C14,C12&gt;C15,'Conference Counter'!R21='Conference Counter'!V21,'More Stats'!N12&gt;'More Stats'!N14),"BAL",
IF(AND(D12="BAL/PIT/CIN",C12=C14,C12&gt;C15,'Conference Counter'!R21='Conference Counter'!V21,'More Stats'!N12&lt;'More Stats'!N14),"PIT",
IF(AND(D12="BAL/PIT/CIN",C12=C14,C12&gt;C15,'Conference Counter'!R21='Conference Counter'!V21,'More Stats'!N12='More Stats'!N14,'More Stats'!L12&gt;'More Stats'!L14),"BAL",
IF(AND(D12="BAL/PIT/CIN",C12=C14,C12&gt;C15,'Conference Counter'!R21='Conference Counter'!V21,'More Stats'!N12='More Stats'!N14,'More Stats'!L12&lt;'More Stats'!L14),"PIT",
IF(AND(D12="BAL/PIT/CIN",C12&gt;C14,C12=C15,'Conference Counter'!R21&gt;'Conference Counter'!X21),"BAL",
IF(AND(D12="BAL/PIT/CIN",C12&gt;C14,C12=C15,'Conference Counter'!R21&lt;'Conference Counter'!X21),"CIN",
IF(AND(D12="BAL/PIT/CIN",C12&gt;C14,C12=C15,'Conference Counter'!R21='Conference Counter'!X21,'More Stats'!N12&gt;'More Stats'!N15),"BAL",
IF(AND(D12="BAL/PIT/CIN",C12&gt;C14,C12=C15,'Conference Counter'!R21='Conference Counter'!X21,'More Stats'!N12&lt;'More Stats'!N15),"CIN",
IF(AND(D12="BAL/PIT/CIN",C12&gt;C14,C12=C15,'Conference Counter'!R21='Conference Counter'!X21,'More Stats'!N12='More Stats'!N15,'More Stats'!L12&gt;'More Stats'!L15),"BAL",
IF(AND(D12="BAL/PIT/CIN",C12&gt;C14,C12=C15,'Conference Counter'!R21='Conference Counter'!X21,'More Stats'!N12='More Stats'!N15,'More Stats'!L12&lt;'More Stats'!L15),"CIN",
IF(AND(D12="BAL/PIT/CIN",C14&gt;C12,C14=C15,'Conference Counter'!V21&gt;'Conference Counter'!X21),"PIT",
IF(AND(D12="BAL/PIT/CIN",C14&gt;C12,C14=C15,'Conference Counter'!V21&lt;'Conference Counter'!X21),"CIN",
IF(AND(D12="BAL/PIT/CIN",C14&gt;C12,C14=C15,'Conference Counter'!V21='Conference Counter'!X21,'More Stats'!N14&gt;'More Stats'!N15),"PIT",
IF(AND(D12="BAL/PIT/CIN",C14&gt;C12,C14=C15,'Conference Counter'!V21='Conference Counter'!X21,'More Stats'!N14&lt;'More Stats'!N15),"CIN",
IF(AND(D12="BAL/PIT/CIN",C14&gt;C12,C14=C15,'Conference Counter'!V21='Conference Counter'!X21,'More Stats'!N14='More Stats'!N15,'More Stats'!L14&gt;'More Stats'!L15),"PIT",
IF(AND(D12="BAL/PIT/CIN",C14&gt;C12,C14=C15,'Conference Counter'!V21='Conference Counter'!X21,'More Stats'!N14='More Stats'!N15,'More Stats'!L14&lt;'More Stats'!L15),"CIN",
IF(AND(D12="BAL/PIT/CIN",C12=C14,C12=C15,'Conference Counter'!R21&gt;'Conference Counter'!V21,'Conference Counter'!R21&gt;'Conference Counter'!X21),"BAL",
IF(AND(D12="BAL/PIT/CIN",C12=C14,C12=C15,'Conference Counter'!V21&gt;'Conference Counter'!R21,'Conference Counter'!V21&gt;'Conference Counter'!X21),"PIT",
IF(AND(D12="BAL/PIT/CIN",C12=C14,C12=C15,'Conference Counter'!X21&gt;'Conference Counter'!R21,'Conference Counter'!X21&gt;'Conference Counter'!V21),"CIN",
IF(AND(D12="BAL/PIT/CIN",C12=C14,C12=C15,'Conference Counter'!R21='Conference Counter'!V21,'Conference Counter'!R21&gt;'Conference Counter'!X21,'More Stats'!N12&gt;'More Stats'!N14),"BAL",
IF(AND(D12="BAL/PIT/CIN",C12=C14,C12=C15,'Conference Counter'!R21='Conference Counter'!V21,'Conference Counter'!R21&gt;'Conference Counter'!X21,'More Stats'!N12&lt;'More Stats'!N14),"PIT",
IF(AND(D12="BAL/PIT/CIN",C12=C14,C12=C15,'Conference Counter'!R21&gt;'Conference Counter'!V21,'Conference Counter'!R21='Conference Counter'!X21,'More Stats'!N12&gt;'More Stats'!N15),"BAL",
IF(AND(D12="BAL/PIT/CIN",C12=C14,C12=C15,'Conference Counter'!R21&gt;'Conference Counter'!V21,'Conference Counter'!R21='Conference Counter'!X21,'More Stats'!N12&lt;'More Stats'!N15),"CIN",
IF(AND(D12="BAL/PIT/CIN",C12=C14,C12=C15,'Conference Counter'!V21&gt;'Conference Counter'!R21,'Conference Counter'!V21='Conference Counter'!X21,'More Stats'!N14&gt;'More Stats'!N15),"PIT",
IF(AND(D12="BAL/PIT/CIN",C12=C14,C12=C15,'Conference Counter'!V21&gt;'Conference Counter'!R21,'Conference Counter'!V21='Conference Counter'!X21,'More Stats'!N14&lt;'More Stats'!N15),"CIN",
IF(AND(D12="BAL/PIT/CIN",C12=C14,C12=C15,'Conference Counter'!R21='Conference Counter'!V21,'Conference Counter'!R21='Conference Counter'!X21,'More Stats'!N12&gt;'More Stats'!N14,'More Stats'!N12&gt;'More Stats'!N15),"BAL",
IF(AND(D12="BAL/PIT/CIN",C12=C14,C12=C15,'Conference Counter'!R21='Conference Counter'!V21,'Conference Counter'!R21='Conference Counter'!X21,'More Stats'!N14&gt;'More Stats'!N12,'More Stats'!N14&gt;'More Stats'!N15),"PIT",
IF(AND(D12="BAL/PIT/CIN",C12=C14,C12=C15,'Conference Counter'!R21='Conference Counter'!V21,'Conference Counter'!R21='Conference Counter'!X21,'More Stats'!N15&gt;'More Stats'!N12,'More Stats'!N15&gt;'More Stats'!N14),"CIN",
IF(AND(D12="BAL/PIT/CIN",C12=C14,C12=C15,'Conference Counter'!R21='Conference Counter'!V21,'Conference Counter'!R21='Conference Counter'!X21,'More Stats'!N12='More Stats'!N14,'More Stats'!N12&gt;'More Stats'!N15,'More Stats'!L12&gt;'More Stats'!L14),"BAL",
IF(AND(D12="BAL/PIT/CIN",C12=C14,C12=C15,'Conference Counter'!R21='Conference Counter'!V21,'Conference Counter'!R21='Conference Counter'!X21,'More Stats'!N12='More Stats'!N14,'More Stats'!N12&gt;'More Stats'!N15,'More Stats'!L12&lt;'More Stats'!L14),"PIT",
IF(AND(D12="BAL/PIT/CIN",C12=C14,C12=C15,'Conference Counter'!R21='Conference Counter'!V21,'Conference Counter'!R21='Conference Counter'!X21,'More Stats'!N12&gt;'More Stats'!N14,'More Stats'!N12='More Stats'!N15,'More Stats'!L12&gt;'More Stats'!L15),"BAL",
IF(AND(D12="BAL/PIT/CIN",C12=C14,C12=C15,'Conference Counter'!R21='Conference Counter'!V21,'Conference Counter'!R21='Conference Counter'!X21,'More Stats'!N12&gt;'More Stats'!N14,'More Stats'!N12='More Stats'!N15,'More Stats'!L12&lt;'More Stats'!L15),"CIN",
IF(AND(D12="BAL/PIT/CIN",C12=C14,C12=C15,'Conference Counter'!R21='Conference Counter'!V21,'Conference Counter'!R21='Conference Counter'!X21,'More Stats'!N14&gt;'More Stats'!N12,'More Stats'!N14='More Stats'!N15,'More Stats'!L14&gt;'More Stats'!L15),"PIT",
IF(AND(D12="BAL/PIT/CIN",C12=C14,C12=C15,'Conference Counter'!R21='Conference Counter'!V21,'Conference Counter'!R21='Conference Counter'!X21,'More Stats'!N14&gt;'More Stats'!N12,'More Stats'!N14='More Stats'!N15,'More Stats'!L14&lt;'More Stats'!L15),"CIN",
IF(AND(D12="BAL/PIT/CIN",C12=C14,C12=C15,'Conference Counter'!R21='Conference Counter'!V21,'Conference Counter'!R21='Conference Counter'!X21,'More Stats'!N12='More Stats'!N14,'More Stats'!N12='More Stats'!N15,'More Stats'!L12&gt;'More Stats'!L14,'More Stats'!L12&gt;'More Stats'!L15,),"BAL",
IF(AND(D12="BAL/PIT/CIN",C12=C14,C12=C15,'Conference Counter'!R21='Conference Counter'!V21,'Conference Counter'!R21='Conference Counter'!X21,'More Stats'!N12='More Stats'!N14,'More Stats'!N12='More Stats'!N15,'More Stats'!L14&gt;'More Stats'!L12,'More Stats'!L14&gt;'More Stats'!L15,),"PIT",
IF(AND(D12="BAL/PIT/CIN",C12=C14,C12=C15,'Conference Counter'!R21='Conference Counter'!V21,'Conference Counter'!R21='Conference Counter'!X21,'More Stats'!N12='More Stats'!N14,'More Stats'!N12='More Stats'!N15,'More Stats'!L15&gt;'More Stats'!L12,'More Stats'!L15&gt;'More Stats'!L14,),"CIN",
IF(AND(D12="BAL/CLE/CIN",C12&gt;C13,C12&gt;C15),"BAL",
IF(AND(D12="BAL/CLE/CIN",C13&gt;C12,C13&gt;C15),"CLE",
IF(AND(D12="BAL/CLE/CIN",C15&gt;C12,C15&gt;C13),"CIN",
IF(AND(D12="BAL/CLE/CIN",C12=C13,C12&gt;C15,'Conference Counter'!R21&gt;'Conference Counter'!T21),"BAL",
IF(AND(D12="BAL/CLE/CIN",C12=C13,C12&gt;C15,'Conference Counter'!R21&lt;'Conference Counter'!T21),"CLE",
IF(AND(D12="BAL/CLE/CIN",C12=C13,C12&gt;C15,'Conference Counter'!R21='Conference Counter'!T21,'More Stats'!N12&gt;'More Stats'!N13),"BAL",
IF(AND(D12="BAL/CLE/CIN",C12=C13,C12&gt;C15,'Conference Counter'!R21='Conference Counter'!T21,'More Stats'!N12&lt;'More Stats'!N13),"CLE",
IF(AND(D12="BAL/CLE/CIN",C12=C13,C12&gt;C15,'Conference Counter'!R21='Conference Counter'!T21,'More Stats'!N12='More Stats'!N13,'More Stats'!L12&gt;'More Stats'!L13),"BAL",
IF(AND(D12="BAL/CLE/CIN",C12=C13,C12&gt;C15,'Conference Counter'!R21='Conference Counter'!T21,'More Stats'!N12='More Stats'!N13,'More Stats'!L12&lt;'More Stats'!L13),"CLE",
IF(AND(D12="BAL/CLE/CIN",C12&gt;C13,C12=C15,'Conference Counter'!R21&gt;'Conference Counter'!X21),"BAL",
IF(AND(D12="BAL/CLE/CIN",C12&gt;C13,C12=C15,'Conference Counter'!R21&lt;'Conference Counter'!X21),"CIN",
IF(AND(D12="BAL/CLE/CIN",C12&gt;C13,C12=C15,'Conference Counter'!R21='Conference Counter'!X21,'More Stats'!N12&gt;'More Stats'!N15),"BAL",
IF(AND(D12="BAL/CLE/CIN",C12&gt;C13,C12=C15,'Conference Counter'!R21='Conference Counter'!X21,'More Stats'!N12&lt;'More Stats'!N15),"CIN",
IF(AND(D12="BAL/CLE/CIN",C12&gt;C13,C12=C15,'Conference Counter'!R21='Conference Counter'!X21,'More Stats'!N12='More Stats'!N15,'More Stats'!L12&gt;'More Stats'!L15),"BAL",
IF(AND(D12="BAL/CLE/CIN",C12&gt;C13,C12=C15,'Conference Counter'!R21='Conference Counter'!X21,'More Stats'!N12='More Stats'!N15,'More Stats'!L12&lt;'More Stats'!L15),"CIN",
IF(AND(D12="BAL/CLE/CIN",C13&gt;C12,C13=C15,'Conference Counter'!T21&gt;'Conference Counter'!X21),"CLE",
IF(AND(D12="BAL/CLE/CIN",C13&gt;C12,C13=C15,'Conference Counter'!T21&lt;'Conference Counter'!X21),"CIN",
IF(AND(D12="BAL/CLE/CIN",C13&gt;C12,C13=C15,'Conference Counter'!T21='Conference Counter'!X21,'More Stats'!N13&gt;'More Stats'!N15),"CLE",
IF(AND(D12="BAL/CLE/CIN",C13&gt;C12,C13=C15,'Conference Counter'!T21='Conference Counter'!X21,'More Stats'!N13&lt;'More Stats'!N15),"CIN",
IF(AND(D12="BAL/CLE/CIN",C13&gt;C12,C13=C15,'Conference Counter'!T21='Conference Counter'!X21,'More Stats'!N13='More Stats'!N15,'More Stats'!L13&gt;'More Stats'!L15),"CLE",
IF(AND(D12="BAL/CLE/CIN",C13&gt;C12,C13=C15,'Conference Counter'!T21='Conference Counter'!X21,'More Stats'!N13='More Stats'!N15,'More Stats'!L13&lt;'More Stats'!L15),"CIN",
IF(AND(D12="BAL/CLE/CIN",C12=C13,C12=C15,'Conference Counter'!R21&gt;'Conference Counter'!T21,'Conference Counter'!R21&gt;'Conference Counter'!X21),"BAL",
IF(AND(D12="BAL/CLE/CIN",C12=C13,C12=C15,'Conference Counter'!T21&gt;'Conference Counter'!R21,'Conference Counter'!T21&gt;'Conference Counter'!X21),"CLE",
IF(AND(D12="BAL/CLE/CIN",C12=C13,C12=C15,'Conference Counter'!X21&gt;'Conference Counter'!R21,'Conference Counter'!X21&gt;'Conference Counter'!T21),"CIN",
IF(AND(D12="BAL/CLE/CIN",C12=C13,C12=C15,'Conference Counter'!R21='Conference Counter'!T21,'Conference Counter'!R21&gt;'Conference Counter'!X21,'More Stats'!N12&gt;'More Stats'!N13),"BAL",
IF(AND(D12="BAL/CLE/CIN",C12=C13,C12=C15,'Conference Counter'!R21='Conference Counter'!T21,'Conference Counter'!R21&gt;'Conference Counter'!X21,'More Stats'!N12&lt;'More Stats'!N13),"CLE",
IF(AND(D12="BAL/CLE/CIN",C12=C13,C12=C15,'Conference Counter'!R21&gt;'Conference Counter'!T21,'Conference Counter'!R21='Conference Counter'!X21,'More Stats'!N12&gt;'More Stats'!N15),"BAL",
IF(AND(D12="BAL/CLE/CIN",C12=C13,C12=C15,'Conference Counter'!R21&gt;'Conference Counter'!T21,'Conference Counter'!R21='Conference Counter'!X21,'More Stats'!N12&lt;'More Stats'!N15),"CIN",
IF(AND(D12="BAL/CLE/CIN",C12=C13,C12=C15,'Conference Counter'!T21&gt;'Conference Counter'!R21,'Conference Counter'!T21='Conference Counter'!X21,'More Stats'!N13&gt;'More Stats'!N15),"CLE",
IF(AND(D12="BAL/CLE/CIN",C12=C13,C12=C15,'Conference Counter'!T21&gt;'Conference Counter'!R21,'Conference Counter'!T21='Conference Counter'!X21,'More Stats'!N13&lt;'More Stats'!N15),"CIN",
IF(AND(D12="BAL/CLE/CIN",C12=C13,C12=C15,'Conference Counter'!R21='Conference Counter'!T21,'Conference Counter'!R21='Conference Counter'!X21,'More Stats'!N12&gt;'More Stats'!N13,'More Stats'!N12&gt;'More Stats'!N15),"BAL",
IF(AND(D12="BAL/CLE/CIN",C12=C13,C12=C15,'Conference Counter'!R21='Conference Counter'!T21,'Conference Counter'!R21='Conference Counter'!X21,'More Stats'!N13&gt;'More Stats'!N12,'More Stats'!N13&gt;'More Stats'!N15),"CLE",
IF(AND(D12="BAL/CLE/CIN",C12=C13,C12=C15,'Conference Counter'!R21='Conference Counter'!T21,'Conference Counter'!R21='Conference Counter'!X21,'More Stats'!N15&gt;'More Stats'!N12,'More Stats'!N15&gt;'More Stats'!N13),"CIN",
IF(AND(D12="BAL/CLE/CIN",C12=C13,C12=C15,'Conference Counter'!R21='Conference Counter'!T21,'Conference Counter'!R21='Conference Counter'!X21,'More Stats'!N12='More Stats'!N13,'More Stats'!N12&gt;'More Stats'!N15,'More Stats'!L12&gt;'More Stats'!L13),"BAL",
IF(AND(D12="BAL/CLE/CIN",C12=C13,C12=C15,'Conference Counter'!R21='Conference Counter'!T21,'Conference Counter'!R21='Conference Counter'!X21,'More Stats'!N12='More Stats'!N13,'More Stats'!N12&gt;'More Stats'!N15,'More Stats'!L12&lt;'More Stats'!L13),"CLE",
IF(AND(D12="BAL/CLE/CIN",C12=C13,C12=C15,'Conference Counter'!R21='Conference Counter'!T21,'Conference Counter'!R21='Conference Counter'!X21,'More Stats'!N12&gt;'More Stats'!N13,'More Stats'!N12='More Stats'!N15,'More Stats'!L12&gt;'More Stats'!L15),"BAL",
IF(AND(D12="BAL/CLE/CIN",C12=C13,C12=C15,'Conference Counter'!R21='Conference Counter'!T21,'Conference Counter'!R21='Conference Counter'!X21,'More Stats'!N12&gt;'More Stats'!N13,'More Stats'!N12='More Stats'!N15,'More Stats'!L12&lt;'More Stats'!L15),"CIN",
IF(AND(D12="BAL/CLE/CIN",C12=C13,C12=C15,'Conference Counter'!R21='Conference Counter'!T21,'Conference Counter'!R21='Conference Counter'!X21,'More Stats'!N13&gt;'More Stats'!N12,'More Stats'!N13='More Stats'!N15,'More Stats'!L13&gt;'More Stats'!L15),"CLE",
IF(AND(D12="BAL/CLE/CIN",C12=C13,C12=C15,'Conference Counter'!R21='Conference Counter'!T21,'Conference Counter'!R21='Conference Counter'!X21,'More Stats'!N13&gt;'More Stats'!N12,'More Stats'!N13='More Stats'!N15,'More Stats'!L13&lt;'More Stats'!L15),"CIN",
IF(AND(D12="BAL/CLE/CIN",C12=C13,C12=C15,'Conference Counter'!R21='Conference Counter'!T21,'Conference Counter'!R21='Conference Counter'!X21,'More Stats'!N12='More Stats'!N13,'More Stats'!N12='More Stats'!N15,'More Stats'!L12&gt;'More Stats'!L13,'More Stats'!L12&gt;'More Stats'!L15,),"BAL",
IF(AND(D12="BAL/CLE/CIN",C12=C13,C12=C15,'Conference Counter'!R21='Conference Counter'!T21,'Conference Counter'!R21='Conference Counter'!X21,'More Stats'!N12='More Stats'!N13,'More Stats'!N12='More Stats'!N15,'More Stats'!L13&gt;'More Stats'!L12,'More Stats'!L13&gt;'More Stats'!L15,),"CLE",
IF(AND(D12="BAL/CLE/CIN",C12=C13,C12=C15,'Conference Counter'!R21='Conference Counter'!T21,'Conference Counter'!R21='Conference Counter'!X21,'More Stats'!N12='More Stats'!N13,'More Stats'!N12='More Stats'!N15,'More Stats'!L15&gt;'More Stats'!L12,'More Stats'!L15&gt;'More Stats'!L13,),"CIN",
IF(AND(D12="BAL/CLE/PIT",C12&gt;C13,C12&gt;C14),"BAL",
IF(AND(D12="BAL/CLE/PIT",C13&gt;C12,C13&gt;C14),"CLE",
IF(AND(D12="BAL/CLE/PIT",C14&gt;C12,C14&gt;C13),"PIT",
IF(AND(D12="BAL/CLE/PIT",C12=C13,C12&gt;C14,'Conference Counter'!R21&gt;'Conference Counter'!T21),"BAL",
IF(AND(D12="BAL/CLE/PIT",C12=C13,C12&gt;C14,'Conference Counter'!R21&lt;'Conference Counter'!T21),"CLE",
IF(AND(D12="BAL/CLE/PIT",C12=C13,C12&gt;C14,'Conference Counter'!R21='Conference Counter'!T21,'More Stats'!N12&gt;'More Stats'!N13),"BAL",
IF(AND(D12="BAL/CLE/PIT",C12=C13,C12&gt;C14,'Conference Counter'!R21='Conference Counter'!T21,'More Stats'!N12&lt;'More Stats'!N13),"CLE",
IF(AND(D12="BAL/CLE/PIT",C12=C13,C12&gt;C14,'Conference Counter'!R21='Conference Counter'!T21,'More Stats'!N12='More Stats'!N13,'More Stats'!L12&gt;'More Stats'!L13),"BAL",
IF(AND(D12="BAL/CLE/PIT",C12=C13,C12&gt;C14,'Conference Counter'!R21='Conference Counter'!T21,'More Stats'!N12='More Stats'!N13,'More Stats'!L12&lt;'More Stats'!L13),"CLE",
IF(AND(D12="BAL/CLE/PIT",C12&gt;C13,C12=C14,'Conference Counter'!R21&gt;'Conference Counter'!V21),"BAL",
IF(AND(D12="BAL/CLE/PIT",C12&gt;C13,C12=C14,'Conference Counter'!R21&lt;'Conference Counter'!V21),"PIT",
IF(AND(D12="BAL/CLE/PIT",C12&gt;C13,C12=C14,'Conference Counter'!R21='Conference Counter'!V21,'More Stats'!N12&gt;'More Stats'!N14),"BAL",
IF(AND(D12="BAL/CLE/PIT",C12&gt;C13,C12=C14,'Conference Counter'!R21='Conference Counter'!V21,'More Stats'!N12&lt;'More Stats'!N14),"PIT",
IF(AND(D12="BAL/CLE/PIT",C12&gt;C13,C12=C14,'Conference Counter'!R21='Conference Counter'!V21,'More Stats'!N12='More Stats'!N14,'More Stats'!L12&gt;'More Stats'!L14),"BAL",
IF(AND(D12="BAL/CLE/PIT",C12&gt;C13,C12=C14,'Conference Counter'!R21='Conference Counter'!V21,'More Stats'!N12='More Stats'!N14,'More Stats'!L12&lt;'More Stats'!L14),"PIT",
IF(AND(D12="BAL/CLE/PIT",C13&gt;C12,C13=C14,'Conference Counter'!T21&gt;'Conference Counter'!V21),"CLE",
IF(AND(D12="BAL/CLE/PIT",C13&gt;C12,C13=C14,'Conference Counter'!T21&lt;'Conference Counter'!V21),"PIT",
IF(AND(D12="BAL/CLE/PIT",C13&gt;C12,C13=C14,'Conference Counter'!T21='Conference Counter'!V21,'More Stats'!N13&gt;'More Stats'!N14),"CLE",
IF(AND(D12="BAL/CLE/PIT",C13&gt;C12,C13=C14,'Conference Counter'!T21='Conference Counter'!V21,'More Stats'!N13&lt;'More Stats'!N14),"PIT",
IF(AND(D12="BAL/CLE/PIT",C13&gt;C12,C13=C14,'Conference Counter'!T21='Conference Counter'!V21,'More Stats'!N13='More Stats'!N14,'More Stats'!L13&gt;'More Stats'!L14),"CLE",
IF(AND(D12="BAL/CLE/PIT",C13&gt;C12,C13=C14,'Conference Counter'!T21='Conference Counter'!V21,'More Stats'!N13='More Stats'!N14,'More Stats'!L13&lt;'More Stats'!L14),"PIT",
IF(AND(D12="BAL/CLE/PIT",C12=C13,C12=C14,'Conference Counter'!R21&gt;'Conference Counter'!T21,'Conference Counter'!R21&gt;'Conference Counter'!V21),"BAL",
IF(AND(D12="BAL/CLE/PIT",C12=C13,C12=C14,'Conference Counter'!T21&gt;'Conference Counter'!R21,'Conference Counter'!T21&gt;'Conference Counter'!V21),"CLE",
IF(AND(D12="BAL/CLE/PIT",C12=C13,C12=C14,'Conference Counter'!V21&gt;'Conference Counter'!R21,'Conference Counter'!V21&gt;'Conference Counter'!T21),"PIT",
IF(AND(D12="BAL/CLE/PIT",C12=C13,C12=C14,'Conference Counter'!R21='Conference Counter'!T21,'Conference Counter'!R21&gt;'Conference Counter'!V21,'More Stats'!N12&gt;'More Stats'!N13),"BAL",
IF(AND(D12="BAL/CLE/PIT",C12=C13,C12=C14,'Conference Counter'!R21='Conference Counter'!T21,'Conference Counter'!R21&gt;'Conference Counter'!V21,'More Stats'!N12&lt;'More Stats'!N13),"CLE",
IF(AND(D12="BAL/CLE/PIT",C12=C13,C12=C14,'Conference Counter'!R21&gt;'Conference Counter'!T21,'Conference Counter'!R21='Conference Counter'!V21,'More Stats'!N12&gt;'More Stats'!N14),"BAL",
IF(AND(D12="BAL/CLE/PIT",C12=C13,C12=C14,'Conference Counter'!R21&gt;'Conference Counter'!T21,'Conference Counter'!R21='Conference Counter'!V21,'More Stats'!N12&lt;'More Stats'!N14),"PIT",
IF(AND(D12="BAL/CLE/PIT",C12=C13,C12=C14,'Conference Counter'!T21&gt;'Conference Counter'!R21,'Conference Counter'!T21='Conference Counter'!V21,'More Stats'!N13&gt;'More Stats'!N14),"CLE",
IF(AND(D12="BAL/CLE/PIT",C12=C13,C12=C14,'Conference Counter'!T21&gt;'Conference Counter'!R21,'Conference Counter'!T21='Conference Counter'!V21,'More Stats'!N13&lt;'More Stats'!N14),"PIT",
IF(AND(D12="BAL/CLE/PIT",C12=C13,C12=C14,'Conference Counter'!R21='Conference Counter'!T21,'Conference Counter'!R21='Conference Counter'!V21,'More Stats'!N12&gt;'More Stats'!N13,'More Stats'!N12&gt;'More Stats'!N14),"BAL",
IF(AND(D12="BAL/CLE/PIT",C12=C13,C12=C14,'Conference Counter'!R21='Conference Counter'!T21,'Conference Counter'!R21='Conference Counter'!V21,'More Stats'!N13&gt;'More Stats'!N12,'More Stats'!N13&gt;'More Stats'!N14),"CLE",
IF(AND(D12="BAL/CLE/PIT",C12=C13,C12=C14,'Conference Counter'!R21='Conference Counter'!T21,'Conference Counter'!R21='Conference Counter'!V21,'More Stats'!N14&gt;'More Stats'!N12,'More Stats'!N14&gt;'More Stats'!N13),"PIT",
IF(AND(D12="BAL/CLE/PIT",C12=C13,C12=C14,'Conference Counter'!R21='Conference Counter'!T21,'Conference Counter'!R21='Conference Counter'!V21,'More Stats'!N12='More Stats'!N13,'More Stats'!N12&gt;'More Stats'!N14,'More Stats'!L12&gt;'More Stats'!L13),"BAL",
IF(AND(D12="BAL/CLE/PIT",C12=C13,C12=C14,'Conference Counter'!R21='Conference Counter'!T21,'Conference Counter'!R21='Conference Counter'!V21,'More Stats'!N12='More Stats'!N13,'More Stats'!N12&gt;'More Stats'!N14,'More Stats'!L12&lt;'More Stats'!L13),"CLE",
IF(AND(D12="BAL/CLE/PIT",C12=C13,C12=C14,'Conference Counter'!R21='Conference Counter'!T21,'Conference Counter'!R21='Conference Counter'!V21,'More Stats'!N12&gt;'More Stats'!N13,'More Stats'!N12='More Stats'!N14,'More Stats'!L12&gt;'More Stats'!L14),"BAL",
IF(AND(D12="BAL/CLE/PIT",C12=C13,C12=C14,'Conference Counter'!R21='Conference Counter'!T21,'Conference Counter'!R21='Conference Counter'!V21,'More Stats'!N12&gt;'More Stats'!N13,'More Stats'!N12='More Stats'!N14,'More Stats'!L12&lt;'More Stats'!L14),"PIT",
IF(AND(D12="BAL/CLE/PIT",C12=C13,C12=C14,'Conference Counter'!R21='Conference Counter'!T21,'Conference Counter'!R21='Conference Counter'!V21,'More Stats'!N13&gt;'More Stats'!N12,'More Stats'!N13='More Stats'!N14,'More Stats'!L13&gt;'More Stats'!L14),"CLE",
IF(AND(D12="BAL/CLE/PIT",C12=C13,C12=C14,'Conference Counter'!R21='Conference Counter'!T21,'Conference Counter'!R21='Conference Counter'!V21,'More Stats'!N13&gt;'More Stats'!N12,'More Stats'!N13='More Stats'!N14,'More Stats'!L13&lt;'More Stats'!L14),"PIT",
IF(AND(D12="BAL/CLE/PIT",C12=C13,C12=C14,'Conference Counter'!R21='Conference Counter'!T21,'Conference Counter'!R21='Conference Counter'!V21,'More Stats'!N12='More Stats'!N13,'More Stats'!N12='More Stats'!N14,'More Stats'!L12&gt;'More Stats'!L13,'More Stats'!L12&gt;'More Stats'!L14,),"BAL",
IF(AND(D12="BAL/CLE/PIT",C12=C13,C12=C14,'Conference Counter'!R21='Conference Counter'!T21,'Conference Counter'!R21='Conference Counter'!V21,'More Stats'!N12='More Stats'!N13,'More Stats'!N12='More Stats'!N14,'More Stats'!L13&gt;'More Stats'!L12,'More Stats'!L13&gt;'More Stats'!L14,),"CLE",
IF(AND(D12="BAL/CLE/PIT",C12=C13,C12=C14,'Conference Counter'!R21='Conference Counter'!T21,'Conference Counter'!R21='Conference Counter'!V21,'More Stats'!N12='More Stats'!N13,'More Stats'!N12='More Stats'!N14,'More Stats'!L14&gt;'More Stats'!L12,'More Stats'!L14&gt;'More Stats'!L13,),"PIT",
IF(AND(D12="BAL/CLE/PIT/CIN",C12&gt;C13,C12&gt;C14,C12&gt;C15),"BAL",
IF(AND(D12="BAL/CLE/PIT/CIN",C13&gt;C12,C13&gt;C14,C13&gt;C15),"CLE",
IF(AND(D12="BAL/CLE/PIT/CIN",C14&gt;C12,C14&gt;C13,C14&gt;C15),"PIT",
IF(AND(D12="BAL/CLE/PIT/CIN",C15&gt;C12,C15&gt;C13,C15&gt;C14),"CIN",
"TBD"))))))))))))))))))))))))))))))))))))))))))))))))))))))))))))))))))))))))))))))))))))))))))))))))))))))))))))))))))))))))))))))))))))))))))))))))))))))))))))))))))))))))))))))))))))))))))))))))))))))))))))))))))))))))))))))))))))))))))))</f>
        <v>BAL</v>
      </c>
      <c r="F12" s="276"/>
      <c r="G12" s="283" t="s">
        <v>131</v>
      </c>
      <c r="H12" s="267">
        <v>0.6470588235294118</v>
      </c>
      <c r="I12" s="268">
        <v>4.0</v>
      </c>
      <c r="J12" s="281">
        <v>0.75</v>
      </c>
      <c r="K12" s="282">
        <v>15.0</v>
      </c>
      <c r="L12" s="268">
        <v>321.0</v>
      </c>
      <c r="M12" s="268"/>
      <c r="N12" s="268" t="str">
        <f>IF(G6&lt;&gt;"NE","NE","")</f>
        <v/>
      </c>
      <c r="O12" s="268" t="str">
        <f t="array" ref="O12">IF(N12="NE",INDEX(B10,0),"")</f>
        <v/>
      </c>
      <c r="P12" s="268" t="str">
        <f t="array" ref="P12">IF(N12="NE",INDEX('Conference Counter'!P21,0),"")</f>
        <v/>
      </c>
      <c r="Q12" s="268" t="str">
        <f t="array" ref="Q12">IF(N12="NE",INDEX('More Stats'!N10,0),"")</f>
        <v/>
      </c>
      <c r="R12" s="268" t="str">
        <f t="array" ref="R12">IF(N12="NE",INDEX('More Stats'!L10,0),"")</f>
        <v/>
      </c>
      <c r="S12" s="268"/>
      <c r="T12" s="268"/>
      <c r="U12" s="268"/>
      <c r="V12" s="285" t="s">
        <v>738</v>
      </c>
      <c r="W12" s="268"/>
      <c r="X12" s="268"/>
      <c r="Y12" s="268"/>
      <c r="Z12" s="268"/>
      <c r="AA12" s="268"/>
      <c r="AB12" s="268"/>
      <c r="AC12" s="268"/>
      <c r="AD12" s="268"/>
      <c r="AE12" s="268"/>
      <c r="AF12" s="268"/>
      <c r="AG12" s="268"/>
      <c r="AH12" s="268"/>
      <c r="AI12" s="268"/>
      <c r="AJ12" s="268"/>
      <c r="AK12" s="268"/>
      <c r="AL12" s="268"/>
      <c r="AM12" s="268"/>
    </row>
    <row r="13">
      <c r="A13" s="266" t="s">
        <v>144</v>
      </c>
      <c r="B13" s="267">
        <f t="array" ref="B13">INDEX('More Stats'!E13,0)</f>
        <v>0.2352941176</v>
      </c>
      <c r="C13" s="268">
        <f t="array" ref="C13">INDEX('Div Record Counter'!T20,0)</f>
        <v>0</v>
      </c>
      <c r="D13" s="268"/>
      <c r="E13" s="268"/>
      <c r="F13" s="268"/>
      <c r="G13" s="283" t="s">
        <v>163</v>
      </c>
      <c r="H13" s="267">
        <v>0.5882352941176471</v>
      </c>
      <c r="I13" s="268">
        <v>5.0</v>
      </c>
      <c r="J13" s="281">
        <v>0.5833333333333334</v>
      </c>
      <c r="K13" s="282">
        <v>22.0</v>
      </c>
      <c r="L13" s="268">
        <v>386.0</v>
      </c>
      <c r="M13" s="268"/>
      <c r="N13" s="268" t="str">
        <f>IF(G7&lt;&gt;"BAL","BAL","")</f>
        <v/>
      </c>
      <c r="O13" s="268" t="str">
        <f t="array" ref="O13">IF(N13="BAL",INDEX(B12,0),"")</f>
        <v/>
      </c>
      <c r="P13" s="268" t="str">
        <f t="array" ref="P13">IF(N13="BAL",INDEX('Conference Counter'!R21,0),"")</f>
        <v/>
      </c>
      <c r="Q13" s="268" t="str">
        <f t="array" ref="Q13">IF(N13="BAL",INDEX('More Stats'!N12,0),"")</f>
        <v/>
      </c>
      <c r="R13" s="268" t="str">
        <f t="array" ref="R13">IF(N13="BAL",INDEX('More Stats'!L12,0),"")</f>
        <v/>
      </c>
      <c r="S13" s="268"/>
      <c r="T13" s="268"/>
      <c r="U13" s="268"/>
      <c r="V13" s="280" t="s">
        <v>739</v>
      </c>
      <c r="W13" s="268"/>
      <c r="X13" s="268"/>
      <c r="Y13" s="268"/>
      <c r="Z13" s="268"/>
      <c r="AA13" s="268"/>
      <c r="AB13" s="268"/>
      <c r="AC13" s="268"/>
      <c r="AD13" s="268"/>
      <c r="AE13" s="268"/>
      <c r="AF13" s="268"/>
      <c r="AG13" s="268"/>
      <c r="AH13" s="268"/>
      <c r="AI13" s="268"/>
      <c r="AJ13" s="268"/>
      <c r="AK13" s="268"/>
      <c r="AL13" s="268"/>
      <c r="AM13" s="268"/>
    </row>
    <row r="14">
      <c r="A14" s="266" t="s">
        <v>153</v>
      </c>
      <c r="B14" s="267">
        <f t="array" ref="B14">INDEX('More Stats'!E14,0)</f>
        <v>0.4117647059</v>
      </c>
      <c r="C14" s="268">
        <f t="array" ref="C14">INDEX('Div Record Counter'!V20,0)</f>
        <v>3</v>
      </c>
      <c r="D14" s="268"/>
      <c r="E14" s="268"/>
      <c r="F14" s="268"/>
      <c r="G14" s="8"/>
      <c r="H14" s="8"/>
      <c r="I14" s="8"/>
      <c r="J14" s="8"/>
      <c r="K14" s="8"/>
      <c r="L14" s="8"/>
      <c r="M14" s="268"/>
      <c r="N14" s="268" t="str">
        <f>IF(G7&lt;&gt;"CLE","CLE","")</f>
        <v>CLE</v>
      </c>
      <c r="O14" s="267">
        <f t="array" ref="O14">IF(N14="CLE",INDEX(B13,0),"")</f>
        <v>0.2352941176</v>
      </c>
      <c r="P14" s="281">
        <f t="array" ref="P14">IF(N14="CLE",INDEX('Conference Counter'!T21,0),"")</f>
        <v>0.25</v>
      </c>
      <c r="Q14" s="282">
        <f t="array" ref="Q14">IF(N14="CLE",INDEX('More Stats'!N13,0),"")</f>
        <v>-31</v>
      </c>
      <c r="R14" s="268">
        <f t="array" ref="R14">IF(N14="CLE",INDEX('More Stats'!L13,0),"")</f>
        <v>341</v>
      </c>
      <c r="S14" s="268"/>
      <c r="T14" s="268"/>
      <c r="U14" s="268"/>
      <c r="V14" s="285"/>
      <c r="W14" s="268"/>
      <c r="X14" s="268"/>
      <c r="Y14" s="268"/>
      <c r="Z14" s="268"/>
      <c r="AA14" s="268"/>
      <c r="AB14" s="268"/>
      <c r="AC14" s="268"/>
      <c r="AD14" s="268"/>
      <c r="AE14" s="268"/>
      <c r="AF14" s="268"/>
      <c r="AG14" s="268"/>
      <c r="AH14" s="268"/>
      <c r="AI14" s="268"/>
      <c r="AJ14" s="268"/>
      <c r="AK14" s="268"/>
      <c r="AL14" s="268"/>
      <c r="AM14" s="268"/>
    </row>
    <row r="15">
      <c r="A15" s="266" t="s">
        <v>136</v>
      </c>
      <c r="B15" s="267">
        <f t="array" ref="B15">INDEX('More Stats'!E15,0)</f>
        <v>0.5882352941</v>
      </c>
      <c r="C15" s="268">
        <f t="array" ref="C15">INDEX('Div Record Counter'!X20,0)</f>
        <v>5</v>
      </c>
      <c r="D15" s="268"/>
      <c r="E15" s="268"/>
      <c r="F15" s="268"/>
      <c r="G15" s="268"/>
      <c r="H15" s="268"/>
      <c r="I15" s="268"/>
      <c r="J15" s="268"/>
      <c r="K15" s="268"/>
      <c r="L15" s="268"/>
      <c r="M15" s="268"/>
      <c r="N15" s="268" t="str">
        <f>IF(G7&lt;&gt;"PIT","PIT","")</f>
        <v>PIT</v>
      </c>
      <c r="O15" s="267">
        <f t="array" ref="O15">IF(N15="PIT",INDEX(B14,0),"")</f>
        <v>0.4117647059</v>
      </c>
      <c r="P15" s="281">
        <f t="array" ref="P15">IF(N15="PIT",INDEX('Conference Counter'!V21,0),"")</f>
        <v>0.4166666667</v>
      </c>
      <c r="Q15" s="282">
        <f t="array" ref="Q15">IF(N15="PIT",INDEX('More Stats'!N14,0),"")</f>
        <v>-8</v>
      </c>
      <c r="R15" s="268">
        <f t="array" ref="R15">IF(N15="PIT",INDEX('More Stats'!L14,0),"")</f>
        <v>318</v>
      </c>
      <c r="S15" s="268"/>
      <c r="T15" s="268"/>
      <c r="U15" s="268"/>
      <c r="V15" s="285"/>
      <c r="W15" s="268"/>
      <c r="X15" s="268"/>
      <c r="Y15" s="268"/>
      <c r="Z15" s="268"/>
      <c r="AA15" s="268"/>
      <c r="AB15" s="268"/>
      <c r="AC15" s="268"/>
      <c r="AD15" s="268"/>
      <c r="AE15" s="268"/>
      <c r="AF15" s="268"/>
      <c r="AG15" s="268"/>
      <c r="AH15" s="268"/>
      <c r="AI15" s="268"/>
      <c r="AJ15" s="268"/>
      <c r="AK15" s="268"/>
      <c r="AL15" s="268"/>
      <c r="AM15" s="268"/>
    </row>
    <row r="16">
      <c r="A16" s="284"/>
      <c r="B16" s="284"/>
      <c r="C16" s="284"/>
      <c r="D16" s="284"/>
      <c r="E16" s="284"/>
      <c r="F16" s="268"/>
      <c r="G16" s="287"/>
      <c r="H16" s="288"/>
      <c r="I16" s="288"/>
      <c r="J16" s="288"/>
      <c r="K16" s="288"/>
      <c r="L16" s="288"/>
      <c r="M16" s="268"/>
      <c r="N16" s="268" t="str">
        <f>IF(G7&lt;&gt;"CIN","CIN","")</f>
        <v>CIN</v>
      </c>
      <c r="O16" s="267">
        <f t="array" ref="O16">IF(N16="CIN",INDEX(B15,0),"")</f>
        <v>0.5882352941</v>
      </c>
      <c r="P16" s="281">
        <f t="array" ref="P16">IF(N16="CIN",INDEX('Conference Counter'!X21,0),"")</f>
        <v>0.6666666667</v>
      </c>
      <c r="Q16" s="282">
        <f t="array" ref="Q16">IF(N16="CIN",INDEX('More Stats'!N15,0),"")</f>
        <v>5</v>
      </c>
      <c r="R16" s="268">
        <f t="array" ref="R16">IF(N16="CIN",INDEX('More Stats'!L15,0),"")</f>
        <v>327</v>
      </c>
      <c r="S16" s="268"/>
      <c r="T16" s="268"/>
      <c r="U16" s="268"/>
      <c r="V16" s="278" t="s">
        <v>740</v>
      </c>
      <c r="W16" s="268"/>
      <c r="X16" s="268"/>
      <c r="Y16" s="268"/>
      <c r="Z16" s="268"/>
      <c r="AA16" s="268"/>
      <c r="AB16" s="268"/>
      <c r="AC16" s="268"/>
      <c r="AD16" s="268"/>
      <c r="AE16" s="268"/>
      <c r="AF16" s="268"/>
      <c r="AG16" s="268"/>
      <c r="AH16" s="268"/>
      <c r="AI16" s="268"/>
      <c r="AJ16" s="268"/>
      <c r="AK16" s="268"/>
      <c r="AL16" s="268"/>
      <c r="AM16" s="268"/>
    </row>
    <row r="17">
      <c r="A17" s="266" t="s">
        <v>163</v>
      </c>
      <c r="B17" s="267">
        <f t="array" ref="B17">INDEX('More Stats'!E17,0)</f>
        <v>0.5882352941</v>
      </c>
      <c r="C17" s="268">
        <f t="array" ref="C17">INDEX('Div Record Counter'!Z20,0)</f>
        <v>5</v>
      </c>
      <c r="D17" s="268" t="str">
        <f>IF(AND(B17&gt;B18,B17&gt;B19,B17&gt;B20),"HOU",
IF(AND(B18&gt;B17,B18&gt;B19,B18&gt;B20),"JAX",
IF(AND(B19&gt;B17,B19&gt;B18,B19&gt;B20),"IND",
IF(AND(B20&gt;B17,B20&gt;B18,B20&gt;B19),"TEN",
IF(AND(B17&gt;B19,B17&gt;B20,B17=B18),"HOU/JAX",
IF(AND(B17&gt;B18,B17&gt;B20,B17=B19),"HOU/IND",
IF(AND(B17&gt;B18,B17&gt;B19,B17=B20),"HOU/TEN",
IF(AND(B18&gt;B17,B18&gt;B20,B18=B19),"JAX/IND",
IF(AND(B18&gt;B17,B18&gt;B19,B18=B20),"JAX/TEN",
IF(AND(B19&gt;B17,B19&gt;B18,B19=B20),"IND/TEN",
IF(AND(B18&gt;B17,B19&gt;B17,B20&gt;B17,B18=B19,B18=B20),"JAX/IND/TEN",
IF(AND(B17&gt;B18,B19&gt;B18,B20&gt;B18,B17=B19,B17=B20),"HOU/IND/TEN",
IF(AND(B17&gt;B19,B18&gt;B19,B20&gt;B19,B17=B18,B17=B20),"HOU/JAX/TEN",
IF(AND(B17&gt;B20,B18&gt;B20,B19&gt;B20,B17=B18,B17=B19),"HOU/JAX/IND",
IF(AND(B17=B18,B17=B19,B17=B20),"HOU/JAX/IND/TEN",
"wtf")))))))))))))))</f>
        <v>HOU/JAX</v>
      </c>
      <c r="E17" s="268" t="str">
        <f>IF(D17="HOU","HOU",
IF(D17="JAX","JAX",
IF(D17="IND","IND",
IF(D17="TEN","TEN",
IF(AND(D17="HOU/JAX",'Week 6'!C4="HOU",'Week 15'!C8="HOU"),"HOU",
IF(AND(D17="HOU/JAX",'Week 6'!C4="JAX",'Week 15'!C8="JAX"),"JAX",
IF(AND(D17="HOU/JAX",C17&gt;C18),"HOU",
IF(AND(D17="HOU/JAX",C17&lt;C18),"JAX",
IF(AND(D17="HOU/JAX",C17=C18,'Conference Counter'!Z21&gt;'Conference Counter'!AB21),"HOU",
IF(AND(D17="HOU/JAX",C17=C18,'Conference Counter'!Z21&lt;'Conference Counter'!AB21),"JAX",
IF(AND(D17="HOU/JAX",C17=C18,'Conference Counter'!Z21='Conference Counter'!AB21,'More Stats'!N17&gt;'More Stats'!N18),"HOU",
IF(AND(D17="HOU/JAX",C17=C18,'Conference Counter'!Z21='Conference Counter'!AB21,'More Stats'!N17&lt;'More Stats'!N18),"JAX",
IF(AND(D17="HOU/JAX",C17=C18,'Conference Counter'!Z21='Conference Counter'!AB21,'More Stats'!N17='More Stats'!N18,'More Stats'!L17&gt;'More Stats'!L18),"HOU",
IF(AND(D17="HOU/JAX",C17=C18,'Conference Counter'!Z21='Conference Counter'!AB21,'More Stats'!N17='More Stats'!N18,'More Stats'!L17&lt;'More Stats'!L18),"JAX",
IF(AND(D17="HOU/IND",'Week 3'!C7="HOU",'Week 11'!C3="HOU"),"HOU",
IF(AND(D17="HOU/IND",'Week 3'!C7="IND",'Week 11'!C3="IND"),"IND",
IF(AND(D17="HOU/IND",C17&gt;C19),"HOU",
IF(AND(D17="HOU/IND",C17&lt;C19),"IND",
IF(AND(D17="HOU/IND",C17=C19,'Conference Counter'!Z21&gt;'Conference Counter'!AD21),"HOU",
IF(AND(D17="HOU/IND",C17=C19,'Conference Counter'!Z21&lt;'Conference Counter'!AD21),"IND",
IF(AND(D17="HOU/IND",C17=C19,'Conference Counter'!Z21='Conference Counter'!AD21,'More Stats'!N17&gt;'More Stats'!N19),"HOU",
IF(AND(D17="HOU/IND",C17=C19,'Conference Counter'!Z21='Conference Counter'!AD21,'More Stats'!N17&lt;'More Stats'!N19),"IND",
IF(AND(D17="HOU/IND",C17=C19,'Conference Counter'!Z21='Conference Counter'!AD21,'More Stats'!N17='More Stats'!N19,'More Stats'!L17&gt;'More Stats'!L19),"HOU",
IF(AND(D17="HOU/IND",C17=C19,'Conference Counter'!Z21='Conference Counter'!AD21,'More Stats'!N17='More Stats'!N19,'More Stats'!L17&lt;'More Stats'!L19),"IND",
IF(AND(D17="HOU/TEN",'Week 5'!C8="HOU",'Week 18'!C12="HOU"),"HOU",
IF(AND(D17="HOU/TEN",'Week 5'!C8="TEN",'Week 18'!C12="TEN"),"TEN",
IF(AND(D17="HOU/TEN",C17&gt;C20),"HOU",
IF(AND(D17="HOU/TEN",C17&lt;C20),"TEN",
IF(AND(D17="HOU/TEN",C17=C20,'Conference Counter'!Z21&gt;'Conference Counter'!AF21),"HOU",
IF(AND(D17="HOU/TEN",C17=C20,'Conference Counter'!Z21&lt;'Conference Counter'!AF21),"TEN",
IF(AND(D17="HOU/TEN",C17=C20,'Conference Counter'!Z21='Conference Counter'!AF21,'More Stats'!N17&gt;'More Stats'!N20),"HOU",
IF(AND(D17="HOU/TEN",C17=C20,'Conference Counter'!Z21='Conference Counter'!AF21,'More Stats'!N17&lt;'More Stats'!N20),"TEN",
IF(AND(D17="HOU/TEN",C17=C20,'Conference Counter'!Z21='Conference Counter'!AF21,'More Stats'!N17='More Stats'!N20,'More Stats'!L17&gt;'More Stats'!L20),"HOU",
IF(AND(D17="HOU/TEN",C17=C20,'Conference Counter'!Z21='Conference Counter'!AF21,'More Stats'!N17='More Stats'!N20,'More Stats'!L17&lt;'More Stats'!L20),"TEN",
IF(AND(D17="JAX/IND",'Week 8'!C8="JAX",'Week 18'!C13="JAX"),"JAX",
IF(AND(D17="JAX/IND",'Week 8'!C8="IND",'Week 18'!C13="IND"),"IND",
IF(AND(D17="JAX/IND",C18&gt;C19),"JAX",
IF(AND(D17="JAX/IND",C18&lt;C19),"IND",
IF(AND(D17="JAX/IND",C18=C19,'Conference Counter'!AB21&gt;'Conference Counter'!AD21),"JAX",
IF(AND(D17="JAX/IND",C18=C19,'Conference Counter'!AB21&lt;'Conference Counter'!AD21),"IND",
IF(AND(D17="JAX/IND",C18=C19,'Conference Counter'!AB21='Conference Counter'!AD21,'More Stats'!N18&gt;'More Stats'!N19),"JAX",
IF(AND(D17="JAX/IND",C18=C19,'Conference Counter'!AB21='Conference Counter'!AD21,'More Stats'!N18&lt;'More Stats'!N19),"IND",
IF(AND(D17="JAX/IND",C18=C19,'Conference Counter'!AB21='Conference Counter'!AD21,'More Stats'!N18='More Stats'!N19,'More Stats'!L18&gt;'More Stats'!L19),"JAX",
IF(AND(D17="JAX/IND",C18=C19,'Conference Counter'!AB21='Conference Counter'!AD21,'More Stats'!N18='More Stats'!N19,'More Stats'!L18&lt;'More Stats'!L19),"IND",
IF(AND(D17="JAX/TEN",'Week 10'!C11="JAX",'Week 12'!C14="JAX"),"JAX",
IF(AND(D17="JAX/TEN",'Week 10'!C11="TEN",'Week 12'!C14="TEN"),"TEN",
IF(AND(D17="JAX/TEN",C18&gt;C20),"JAX",
IF(AND(D17="JAX/TEN",C18&lt;C20),"TEN",
IF(AND(D17="JAX/TEN",C18=C20,'Conference Counter'!AB21&gt;'Conference Counter'!AF21),"JAX",
IF(AND(D17="JAX/TEN",C18=C20,'Conference Counter'!AB21&lt;'Conference Counter'!AF21),"TEN",
IF(AND(D17="JAX/TEN",C18=C20,'Conference Counter'!AB21='Conference Counter'!AF21,'More Stats'!N18&gt;'More Stats'!N20),"JAX",
IF(AND(D17="JAX/TEN",C18=C20,'Conference Counter'!AB21='Conference Counter'!AF21,'More Stats'!N18&lt;'More Stats'!N20),"TEN",
IF(AND(D17="JAX/TEN",C18=C20,'Conference Counter'!AB21='Conference Counter'!AF21,'More Stats'!N18='More Stats'!N20,'More Stats'!L18&gt;'More Stats'!L20),"JAX",
IF(AND(D17="JAX/TEN",C18=C20,'Conference Counter'!AB21='Conference Counter'!AF21,'More Stats'!N18='More Stats'!N20,'More Stats'!L18&lt;'More Stats'!L20),"TEN",
IF(AND(D17="IND/TEN",'Week 6'!C7="IND",'Week 15'!C9="IND"),"IND",
IF(AND(D17="IND/TEN",'Week 6'!C7="TEN",'Week 15'!C9="TEN"),"TEN",
IF(AND(D17="IND/TEN",C19&gt;C20),"IND",
IF(AND(D17="IND/TEN",C19&lt;C20),"TEN",
IF(AND(D17="IND/TEN",C19=C20,'Conference Counter'!AD21&gt;'Conference Counter'!AF21),"IND",
IF(AND(D17="IND/TEN",C19=C20,'Conference Counter'!AD21&lt;'Conference Counter'!AF21),"TEN",
IF(AND(D17="IND/TEN",C19=C20,'Conference Counter'!AD21='Conference Counter'!AF21,'More Stats'!N19&gt;'More Stats'!N20),"IND",
IF(AND(D17="IND/TEN",C19=C20,'Conference Counter'!AD21='Conference Counter'!AF21,'More Stats'!N19&lt;'More Stats'!N20),"TEN",
IF(AND(D17="IND/TEN",C19=C20,'Conference Counter'!AD21='Conference Counter'!AF21,'More Stats'!N19='More Stats'!N20,'More Stats'!L19&gt;'More Stats'!L20),"IND",
IF(AND(D17="IND/TEN",C19=C20,'Conference Counter'!AD21='Conference Counter'!AF21,'More Stats'!N19='More Stats'!N20,'More Stats'!L19&lt;'More Stats'!L20),"TEN",
IF(AND(D17="JAX/IND/TEN",C18&gt;C19,C18&gt;C20),"JAX",
IF(AND(D17="JAX/IND/TEN",C19&gt;C18,C19&gt;C20),"IND",
IF(AND(D17="JAX/IND/TEN",C20&gt;C18,C20&gt;C19),"TEN",
IF(AND(D17="JAX/IND/TEN",C18=C19,C18&gt;C20,'Conference Counter'!AB21&gt;'Conference Counter'!AD21),"JAX",
IF(AND(D17="JAX/IND/TEN",C18=C19,C18&gt;C20,'Conference Counter'!AB21&lt;'Conference Counter'!AD21),"IND",
IF(AND(D17="JAX/IND/TEN",C18=C19,C18&gt;C20,'Conference Counter'!AB21='Conference Counter'!AD21,'More Stats'!N18&gt;'More Stats'!N19),"JAX",
IF(AND(D17="JAX/IND/TEN",C18=C19,C18&gt;C20,'Conference Counter'!AB21='Conference Counter'!AD21,'More Stats'!N18&lt;'More Stats'!N19),"IND",
IF(AND(D17="JAX/IND/TEN",C18=C19,C18&gt;C20,'Conference Counter'!AB21='Conference Counter'!AD21,'More Stats'!N18='More Stats'!N19,'More Stats'!L18&gt;'More Stats'!L19),"JAX",
IF(AND(D17="JAX/IND/TEN",C18=C19,C18&gt;C20,'Conference Counter'!AB21='Conference Counter'!AD21,'More Stats'!N18='More Stats'!N19,'More Stats'!L18&lt;'More Stats'!L19),"IND",
IF(AND(D17="JAX/IND/TEN",C18&gt;C19,C18=C20,'Conference Counter'!AB21&gt;'Conference Counter'!AF21),"JAX",
IF(AND(D17="JAX/IND/TEN",C18&gt;C19,C18=C20,'Conference Counter'!AB21&lt;'Conference Counter'!AF21),"TEN",
IF(AND(D17="JAX/IND/TEN",C18&gt;C19,C18=C20,'Conference Counter'!AB21='Conference Counter'!AF21,'More Stats'!N18&gt;'More Stats'!N20),"JAX",
IF(AND(D17="JAX/IND/TEN",C18&gt;C19,C18=C20,'Conference Counter'!AB21='Conference Counter'!AF21,'More Stats'!N18&lt;'More Stats'!N20),"TEN",
IF(AND(D17="JAX/IND/TEN",C18&gt;C19,C18=C20,'Conference Counter'!AB21='Conference Counter'!AF21,'More Stats'!N18='More Stats'!N20,'More Stats'!L18&gt;'More Stats'!L20),"JAX",
IF(AND(D17="JAX/IND/TEN",C18&gt;C19,C18=C20,'Conference Counter'!AB21='Conference Counter'!AF21,'More Stats'!N18='More Stats'!N20,'More Stats'!L18&lt;'More Stats'!L20),"TEN",
IF(AND(D17="JAX/IND/TEN",C19&gt;C18,C19=C20,'Conference Counter'!AD21&gt;'Conference Counter'!AF21),"IND",
IF(AND(D17="JAX/IND/TEN",C19&gt;C18,C19=C20,'Conference Counter'!AD21&lt;'Conference Counter'!AF21),"TEN",
IF(AND(D17="JAX/IND/TEN",C19&gt;C18,C19=C20,'Conference Counter'!AD21='Conference Counter'!AF21,'More Stats'!N19&gt;'More Stats'!N20),"IND",
IF(AND(D17="JAX/IND/TEN",C19&gt;C18,C19=C20,'Conference Counter'!AD21='Conference Counter'!AF21,'More Stats'!N19&lt;'More Stats'!N20),"TEN",
IF(AND(D17="JAX/IND/TEN",C19&gt;C18,C19=C20,'Conference Counter'!AD21='Conference Counter'!AF21,'More Stats'!N19='More Stats'!N20,'More Stats'!L19&gt;'More Stats'!L20),"IND",
IF(AND(D17="JAX/IND/TEN",C19&gt;C18,C19=C20,'Conference Counter'!AD21='Conference Counter'!AF21,'More Stats'!N19='More Stats'!N20,'More Stats'!L19&lt;'More Stats'!L20),"TEN",
IF(AND(D17="JAX/IND/TEN",C18=C19,C18=C20,'Conference Counter'!AB21&gt;'Conference Counter'!AD21,'Conference Counter'!AB21&gt;'Conference Counter'!AF21),"JAX",
IF(AND(D17="JAX/IND/TEN",C18=C19,C18=C20,'Conference Counter'!AD21&gt;'Conference Counter'!AB21,'Conference Counter'!AD21&gt;'Conference Counter'!AF21),"IND",
IF(AND(D17="JAX/IND/TEN",C18=C19,C18=C20,'Conference Counter'!AF21&gt;'Conference Counter'!AB21,'Conference Counter'!AF21&gt;'Conference Counter'!AD21),"TEN",
IF(AND(D17="JAX/IND/TEN",C18=C19,C18=C20,'Conference Counter'!AB21='Conference Counter'!AD21,'Conference Counter'!AB21&gt;'Conference Counter'!AF21,'More Stats'!N18&gt;'More Stats'!N19),"JAX",
IF(AND(D17="JAX/IND/TEN",C18=C19,C18=C20,'Conference Counter'!AB21='Conference Counter'!AD21,'Conference Counter'!AB21&gt;'Conference Counter'!AF21,'More Stats'!N18&lt;'More Stats'!N19),"IND",
IF(AND(D17="JAX/IND/TEN",C18=C19,C18=C20,'Conference Counter'!AB21&gt;'Conference Counter'!AD21,'Conference Counter'!AB21='Conference Counter'!AF21,'More Stats'!N18&gt;'More Stats'!N20),"JAX",
IF(AND(D17="JAX/IND/TEN",C18=C19,C18=C20,'Conference Counter'!AB21&gt;'Conference Counter'!AD21,'Conference Counter'!AB21='Conference Counter'!AF21,'More Stats'!N18&lt;'More Stats'!N20),"TEN",
IF(AND(D17="JAX/IND/TEN",C18=C19,C18=C20,'Conference Counter'!AD21&gt;'Conference Counter'!AB21,'Conference Counter'!AD21='Conference Counter'!AF21,'More Stats'!N19&gt;'More Stats'!N20),"IND",
IF(AND(D17="JAX/IND/TEN",C18=C19,C18=C20,'Conference Counter'!AD21&gt;'Conference Counter'!AB21,'Conference Counter'!AD21='Conference Counter'!AF21,'More Stats'!N19&lt;'More Stats'!N20),"TEN",
IF(AND(D17="JAX/IND/TEN",C18=C19,C18=C20,'Conference Counter'!AB21='Conference Counter'!AD21,'Conference Counter'!AB21='Conference Counter'!AF21,'More Stats'!N18&gt;'More Stats'!N19,'More Stats'!N18&gt;'More Stats'!N20),"JAX",
IF(AND(D17="JAX/IND/TEN",C18=C19,C18=C20,'Conference Counter'!AB21='Conference Counter'!AD21,'Conference Counter'!AB21='Conference Counter'!AF21,'More Stats'!N19&gt;'More Stats'!N18,'More Stats'!N19&gt;'More Stats'!N20),"IND",
IF(AND(D17="JAX/IND/TEN",C18=C19,C18=C20,'Conference Counter'!AB21='Conference Counter'!AD21,'Conference Counter'!AB21='Conference Counter'!AF21,'More Stats'!N20&gt;'More Stats'!N18,'More Stats'!N20&gt;'More Stats'!N19),"TEN",
IF(AND(D17="JAX/IND/TEN",C18=C19,C18=C20,'Conference Counter'!AB21='Conference Counter'!AD21,'Conference Counter'!AB21='Conference Counter'!AF21,'More Stats'!N18='More Stats'!N19,'More Stats'!N18&gt;'More Stats'!N20,'More Stats'!L18&gt;'More Stats'!L19),"JAX",
IF(AND(D17="JAX/IND/TEN",C18=C19,C18=C20,'Conference Counter'!AB21='Conference Counter'!AD21,'Conference Counter'!AB21='Conference Counter'!AF21,'More Stats'!N18='More Stats'!N19,'More Stats'!N18&gt;'More Stats'!N20,'More Stats'!L18&lt;'More Stats'!L19),"IND",
IF(AND(D17="JAX/IND/TEN",C18=C19,C18=C20,'Conference Counter'!AB21='Conference Counter'!AD21,'Conference Counter'!AB21='Conference Counter'!AF21,'More Stats'!N18&gt;'More Stats'!N19,'More Stats'!N18='More Stats'!N20,'More Stats'!L18&gt;'More Stats'!L20),"JAX",
IF(AND(D17="JAX/IND/TEN",C18=C19,C18=C20,'Conference Counter'!AB21='Conference Counter'!AD21,'Conference Counter'!AB21='Conference Counter'!AF21,'More Stats'!N18&gt;'More Stats'!N19,'More Stats'!N18='More Stats'!N20,'More Stats'!L18&lt;'More Stats'!L20),"TEN",
IF(AND(D17="JAX/IND/TEN",C18=C19,C18=C20,'Conference Counter'!AB21='Conference Counter'!AD21,'Conference Counter'!AB21='Conference Counter'!AF21,'More Stats'!N19&gt;'More Stats'!N18,'More Stats'!N19='More Stats'!N20,'More Stats'!L19&gt;'More Stats'!L20),"IND",
IF(AND(D17="JAX/IND/TEN",C18=C19,C18=C20,'Conference Counter'!AB21='Conference Counter'!AD21,'Conference Counter'!AB21='Conference Counter'!AF21,'More Stats'!N19&gt;'More Stats'!N18,'More Stats'!N19='More Stats'!N20,'More Stats'!L19&lt;'More Stats'!L20),"TEN",
IF(AND(D17="JAX/IND/TEN",C18=C19,C18=C20,'Conference Counter'!AB21='Conference Counter'!AD21,'Conference Counter'!AB21='Conference Counter'!AF21,'More Stats'!N18='More Stats'!N19,'More Stats'!N18='More Stats'!N20,'More Stats'!L18&gt;'More Stats'!L19,'More Stats'!L18&gt;'More Stats'!L20,),"JAX",
IF(AND(D17="JAX/IND/TEN",C18=C19,C18=C20,'Conference Counter'!AB21='Conference Counter'!AD21,'Conference Counter'!AB21='Conference Counter'!AF21,'More Stats'!N18='More Stats'!N19,'More Stats'!N18='More Stats'!N20,'More Stats'!L19&gt;'More Stats'!L18,'More Stats'!L19&gt;'More Stats'!L20,),"IND",
IF(AND(D17="JAX/IND/TEN",C18=C19,C18=C20,'Conference Counter'!AB21='Conference Counter'!AD21,'Conference Counter'!AB21='Conference Counter'!AF21,'More Stats'!N18='More Stats'!N19,'More Stats'!N18='More Stats'!N20,'More Stats'!L20&gt;'More Stats'!L18,'More Stats'!L20&gt;'More Stats'!L19,),"TEN",
IF(AND(D17="HOU/IND/TEN",C17&gt;C19,C17&gt;C20),"HOU",
IF(AND(D17="HOU/IND/TEN",C19&gt;C17,C19&gt;C20),"IND",
IF(AND(D17="HOU/IND/TEN",C20&gt;C17,C20&gt;C19),"TEN",
IF(AND(D17="HOU/IND/TEN",C17=C19,C17&gt;C20,'Conference Counter'!Z21&gt;'Conference Counter'!AD21),"HOU",
IF(AND(D17="HOU/IND/TEN",C17=C19,C17&gt;C20,'Conference Counter'!Z21&lt;'Conference Counter'!AD21),"IND",
IF(AND(D17="HOU/IND/TEN",C17=C19,C17&gt;C20,'Conference Counter'!Z21='Conference Counter'!AD21,'More Stats'!N17&gt;'More Stats'!N19),"HOU",
IF(AND(D17="HOU/IND/TEN",C17=C19,C17&gt;C20,'Conference Counter'!Z21='Conference Counter'!AD21,'More Stats'!N17&lt;'More Stats'!N19),"IND",
IF(AND(D17="HOU/IND/TEN",C17=C19,C17&gt;C20,'Conference Counter'!Z21='Conference Counter'!AD21,'More Stats'!N17='More Stats'!N19,'More Stats'!L17&gt;'More Stats'!L19),"HOU",
IF(AND(D17="HOU/IND/TEN",C17=C19,C17&gt;C20,'Conference Counter'!Z21='Conference Counter'!AD21,'More Stats'!N17='More Stats'!N19,'More Stats'!L17&lt;'More Stats'!L19),"IND",
IF(AND(D17="HOU/IND/TEN",C17&gt;C19,C17=C20,'Conference Counter'!Z21&gt;'Conference Counter'!AF21),"HOU",
IF(AND(D17="HOU/IND/TEN",C17&gt;C19,C17=C20,'Conference Counter'!Z21&lt;'Conference Counter'!AF21),"TEN",
IF(AND(D17="HOU/IND/TEN",C17&gt;C19,C17=C20,'Conference Counter'!Z21='Conference Counter'!AF21,'More Stats'!N17&gt;'More Stats'!N20),"HOU",
IF(AND(D17="HOU/IND/TEN",C17&gt;C19,C17=C20,'Conference Counter'!Z21='Conference Counter'!AF21,'More Stats'!N17&lt;'More Stats'!N20),"TEN",
IF(AND(D17="HOU/IND/TEN",C17&gt;C19,C17=C20,'Conference Counter'!Z21='Conference Counter'!AF21,'More Stats'!N17='More Stats'!N20,'More Stats'!L17&gt;'More Stats'!L20),"HOU",
IF(AND(D17="HOU/IND/TEN",C17&gt;C19,C17=C20,'Conference Counter'!Z21='Conference Counter'!AF21,'More Stats'!N17='More Stats'!N20,'More Stats'!L17&lt;'More Stats'!L20),"TEN",
IF(AND(D17="HOU/IND/TEN",C19&gt;C17,C19=C20,'Conference Counter'!AD21&gt;'Conference Counter'!AF21),"IND",
IF(AND(D17="HOU/IND/TEN",C19&gt;C17,C19=C20,'Conference Counter'!AD21&lt;'Conference Counter'!AF21),"TEN",
IF(AND(D17="HOU/IND/TEN",C19&gt;C17,C19=C20,'Conference Counter'!AD21='Conference Counter'!AF21,'More Stats'!N19&gt;'More Stats'!N20),"IND",
IF(AND(D17="HOU/IND/TEN",C19&gt;C17,C19=C20,'Conference Counter'!AD21='Conference Counter'!AF21,'More Stats'!N19&lt;'More Stats'!N20),"TEN",
IF(AND(D17="HOU/IND/TEN",C19&gt;C17,C19=C20,'Conference Counter'!AD21='Conference Counter'!AF21,'More Stats'!N19='More Stats'!N20,'More Stats'!L19&gt;'More Stats'!L20),"IND",
IF(AND(D17="HOU/IND/TEN",C19&gt;C17,C19=C20,'Conference Counter'!AD21='Conference Counter'!AF21,'More Stats'!N19='More Stats'!N20,'More Stats'!L19&lt;'More Stats'!L20),"TEN",
IF(AND(D17="HOU/IND/TEN",C17=C19,C17=C20,'Conference Counter'!Z21&gt;'Conference Counter'!AD21,'Conference Counter'!Z21&gt;'Conference Counter'!AF21),"HOU",
IF(AND(D17="HOU/IND/TEN",C17=C19,C17=C20,'Conference Counter'!AD21&gt;'Conference Counter'!Z21,'Conference Counter'!AD21&gt;'Conference Counter'!AF21),"IND",
IF(AND(D17="HOU/IND/TEN",C17=C19,C17=C20,'Conference Counter'!AF21&gt;'Conference Counter'!Z21,'Conference Counter'!AF21&gt;'Conference Counter'!AD21),"TEN",
IF(AND(D17="HOU/IND/TEN",C17=C19,C17=C20,'Conference Counter'!Z21='Conference Counter'!AD21,'Conference Counter'!Z21&gt;'Conference Counter'!AF21,'More Stats'!N17&gt;'More Stats'!N19),"HOU",
IF(AND(D17="HOU/IND/TEN",C17=C19,C17=C20,'Conference Counter'!Z21='Conference Counter'!AD21,'Conference Counter'!Z21&gt;'Conference Counter'!AF21,'More Stats'!N17&lt;'More Stats'!N19),"IND",
IF(AND(D17="HOU/IND/TEN",C17=C19,C17=C20,'Conference Counter'!Z21&gt;'Conference Counter'!AD21,'Conference Counter'!Z21='Conference Counter'!AF21,'More Stats'!N17&gt;'More Stats'!N20),"HOU",
IF(AND(D17="HOU/IND/TEN",C17=C19,C17=C20,'Conference Counter'!Z21&gt;'Conference Counter'!AD21,'Conference Counter'!Z21='Conference Counter'!AF21,'More Stats'!N17&lt;'More Stats'!N20),"TEN",
IF(AND(D17="HOU/IND/TEN",C17=C19,C17=C20,'Conference Counter'!AD21&gt;'Conference Counter'!Z21,'Conference Counter'!AD21='Conference Counter'!AF21,'More Stats'!N19&gt;'More Stats'!N20),"IND",
IF(AND(D17="HOU/IND/TEN",C17=C19,C17=C20,'Conference Counter'!AD21&gt;'Conference Counter'!Z21,'Conference Counter'!AD21='Conference Counter'!AF21,'More Stats'!N19&lt;'More Stats'!N20),"TEN",
IF(AND(D17="HOU/IND/TEN",C17=C19,C17=C20,'Conference Counter'!Z21='Conference Counter'!AD21,'Conference Counter'!Z21='Conference Counter'!AF21,'More Stats'!N17&gt;'More Stats'!N19,'More Stats'!N17&gt;'More Stats'!N20),"HOU",
IF(AND(D17="HOU/IND/TEN",C17=C19,C17=C20,'Conference Counter'!Z21='Conference Counter'!AD21,'Conference Counter'!Z21='Conference Counter'!AF21,'More Stats'!N19&gt;'More Stats'!N17,'More Stats'!N19&gt;'More Stats'!N20),"IND",
IF(AND(D17="HOU/IND/TEN",C17=C19,C17=C20,'Conference Counter'!Z21='Conference Counter'!AD21,'Conference Counter'!Z21='Conference Counter'!AF21,'More Stats'!N20&gt;'More Stats'!N17,'More Stats'!N20&gt;'More Stats'!N19),"TEN",
IF(AND(D17="HOU/IND/TEN",C17=C19,C17=C20,'Conference Counter'!Z21='Conference Counter'!AD21,'Conference Counter'!Z21='Conference Counter'!AF21,'More Stats'!N17='More Stats'!N19,'More Stats'!N17&gt;'More Stats'!N20,'More Stats'!L17&gt;'More Stats'!L19),"HOU",
IF(AND(D17="HOU/IND/TEN",C17=C19,C17=C20,'Conference Counter'!Z21='Conference Counter'!AD21,'Conference Counter'!Z21='Conference Counter'!AF21,'More Stats'!N17='More Stats'!N19,'More Stats'!N17&gt;'More Stats'!N20,'More Stats'!L17&lt;'More Stats'!L19),"IND",
IF(AND(D17="HOU/IND/TEN",C17=C19,C17=C20,'Conference Counter'!Z21='Conference Counter'!AD21,'Conference Counter'!Z21='Conference Counter'!AF21,'More Stats'!N17&gt;'More Stats'!N19,'More Stats'!N17='More Stats'!N20,'More Stats'!L17&gt;'More Stats'!L20),"HOU",
IF(AND(D17="HOU/IND/TEN",C17=C19,C17=C20,'Conference Counter'!Z21='Conference Counter'!AD21,'Conference Counter'!Z21='Conference Counter'!AF21,'More Stats'!N17&gt;'More Stats'!N19,'More Stats'!N17='More Stats'!N20,'More Stats'!L17&lt;'More Stats'!L20),"TEN",
IF(AND(D17="HOU/IND/TEN",C17=C19,C17=C20,'Conference Counter'!Z21='Conference Counter'!AD21,'Conference Counter'!Z21='Conference Counter'!AF21,'More Stats'!N19&gt;'More Stats'!N17,'More Stats'!N19='More Stats'!N20,'More Stats'!L19&gt;'More Stats'!L20),"IND",
IF(AND(D17="HOU/IND/TEN",C17=C19,C17=C20,'Conference Counter'!Z21='Conference Counter'!AD21,'Conference Counter'!Z21='Conference Counter'!AF21,'More Stats'!N19&gt;'More Stats'!N17,'More Stats'!N19='More Stats'!N20,'More Stats'!L19&lt;'More Stats'!L20),"TEN",
IF(AND(D17="HOU/IND/TEN",C17=C19,C17=C20,'Conference Counter'!Z21='Conference Counter'!AD21,'Conference Counter'!Z21='Conference Counter'!AF21,'More Stats'!N17='More Stats'!N19,'More Stats'!N17='More Stats'!N20,'More Stats'!L17&gt;'More Stats'!L19,'More Stats'!L17&gt;'More Stats'!L20,),"HOU",
IF(AND(D17="HOU/IND/TEN",C17=C19,C17=C20,'Conference Counter'!Z21='Conference Counter'!AD21,'Conference Counter'!Z21='Conference Counter'!AF21,'More Stats'!N17='More Stats'!N19,'More Stats'!N17='More Stats'!N20,'More Stats'!L19&gt;'More Stats'!L17,'More Stats'!L19&gt;'More Stats'!L20,),"IND",
IF(AND(D17="HOU/IND/TEN",C17=C19,C17=C20,'Conference Counter'!Z21='Conference Counter'!AD21,'Conference Counter'!Z21='Conference Counter'!AF21,'More Stats'!N17='More Stats'!N19,'More Stats'!N17='More Stats'!N20,'More Stats'!L20&gt;'More Stats'!L17,'More Stats'!L20&gt;'More Stats'!L19,),"TEN",
IF(AND(D17="HOU/JAX/TEN",C17&gt;C18,C17&gt;C20),"HOU",
IF(AND(D17="HOU/JAX/TEN",C18&gt;C17,C18&gt;C20),"JAX",
IF(AND(D17="HOU/JAX/TEN",C20&gt;C17,C20&gt;C18),"TEN",
IF(AND(D17="HOU/JAX/TEN",C17=C18,C17&gt;C20,'Conference Counter'!Z21&gt;'Conference Counter'!AB21),"HOU",
IF(AND(D17="HOU/JAX/TEN",C17=C18,C17&gt;C20,'Conference Counter'!Z21&lt;'Conference Counter'!AB21),"JAX",
IF(AND(D17="HOU/JAX/TEN",C17=C18,C17&gt;C20,'Conference Counter'!Z21='Conference Counter'!AB21,'More Stats'!N17&gt;'More Stats'!N18),"HOU",
IF(AND(D17="HOU/JAX/TEN",C17=C18,C17&gt;C20,'Conference Counter'!Z21='Conference Counter'!AB21,'More Stats'!N17&lt;'More Stats'!N18),"JAX",
IF(AND(D17="HOU/JAX/TEN",C17=C18,C17&gt;C20,'Conference Counter'!Z21='Conference Counter'!AB21,'More Stats'!N17='More Stats'!N18,'More Stats'!L17&gt;'More Stats'!L18),"HOU",
IF(AND(D17="HOU/JAX/TEN",C17=C18,C17&gt;C20,'Conference Counter'!Z21='Conference Counter'!AB21,'More Stats'!N17='More Stats'!N18,'More Stats'!L17&lt;'More Stats'!L18),"JAX",
IF(AND(D17="HOU/JAX/TEN",C17&gt;C18,C17=C20,'Conference Counter'!Z21&gt;'Conference Counter'!AF21),"HOU",
IF(AND(D17="HOU/JAX/TEN",C17&gt;C18,C17=C20,'Conference Counter'!Z21&lt;'Conference Counter'!AF21),"TEN",
IF(AND(D17="HOU/JAX/TEN",C17&gt;C18,C17=C20,'Conference Counter'!Z21='Conference Counter'!AF21,'More Stats'!N17&gt;'More Stats'!N20),"HOU",
IF(AND(D17="HOU/JAX/TEN",C17&gt;C18,C17=C20,'Conference Counter'!Z21='Conference Counter'!AF21,'More Stats'!N17&lt;'More Stats'!N20),"TEN",
IF(AND(D17="HOU/JAX/TEN",C17&gt;C18,C17=C20,'Conference Counter'!Z21='Conference Counter'!AF21,'More Stats'!N17='More Stats'!N20,'More Stats'!L17&gt;'More Stats'!L20),"HOU",
IF(AND(D17="HOU/JAX/TEN",C17&gt;C18,C17=C20,'Conference Counter'!Z21='Conference Counter'!AF21,'More Stats'!N17='More Stats'!N20,'More Stats'!L17&lt;'More Stats'!L20),"TEN",
IF(AND(D17="HOU/JAX/TEN",C18&gt;C17,C18=C20,'Conference Counter'!AB21&gt;'Conference Counter'!AF21),"JAX",
IF(AND(D17="HOU/JAX/TEN",C18&gt;C17,C18=C20,'Conference Counter'!AB21&lt;'Conference Counter'!AF21),"TEN",
IF(AND(D17="HOU/JAX/TEN",C18&gt;C17,C18=C20,'Conference Counter'!AB21='Conference Counter'!AF21,'More Stats'!N18&gt;'More Stats'!N20),"JAX",
IF(AND(D17="HOU/JAX/TEN",C18&gt;C17,C18=C20,'Conference Counter'!AB21='Conference Counter'!AF21,'More Stats'!N18&lt;'More Stats'!N20),"TEN",
IF(AND(D17="HOU/JAX/TEN",C18&gt;C17,C18=C20,'Conference Counter'!AB21='Conference Counter'!AF21,'More Stats'!N18='More Stats'!N20,'More Stats'!L18&gt;'More Stats'!L20),"JAX",
IF(AND(D17="HOU/JAX/TEN",C18&gt;C17,C18=C20,'Conference Counter'!AB21='Conference Counter'!AF21,'More Stats'!N18='More Stats'!N20,'More Stats'!L18&lt;'More Stats'!L20),"TEN",
IF(AND(D17="HOU/JAX/TEN",C17=C18,C17=C20,'Conference Counter'!Z21&gt;'Conference Counter'!AB21,'Conference Counter'!Z21&gt;'Conference Counter'!AF21),"HOU",
IF(AND(D17="HOU/JAX/TEN",C17=C18,C17=C20,'Conference Counter'!AB21&gt;'Conference Counter'!Z21,'Conference Counter'!AB21&gt;'Conference Counter'!AF21),"JAX",
IF(AND(D17="HOU/JAX/TEN",C17=C18,C17=C20,'Conference Counter'!AF21&gt;'Conference Counter'!Z21,'Conference Counter'!AF21&gt;'Conference Counter'!AB21),"TEN",
IF(AND(D17="HOU/JAX/TEN",C17=C18,C17=C20,'Conference Counter'!Z21='Conference Counter'!AB21,'Conference Counter'!Z21&gt;'Conference Counter'!AF21,'More Stats'!N17&gt;'More Stats'!N18),"HOU",
IF(AND(D17="HOU/JAX/TEN",C17=C18,C17=C20,'Conference Counter'!Z21='Conference Counter'!AB21,'Conference Counter'!Z21&gt;'Conference Counter'!AF21,'More Stats'!N17&lt;'More Stats'!N18),"JAX",
IF(AND(D17="HOU/JAX/TEN",C17=C18,C17=C20,'Conference Counter'!Z21&gt;'Conference Counter'!AB21,'Conference Counter'!Z21='Conference Counter'!AF21,'More Stats'!N17&gt;'More Stats'!N20),"HOU",
IF(AND(D17="HOU/JAX/TEN",C17=C18,C17=C20,'Conference Counter'!Z21&gt;'Conference Counter'!AB21,'Conference Counter'!Z21='Conference Counter'!AF21,'More Stats'!N17&lt;'More Stats'!N20),"TEN",
IF(AND(D17="HOU/JAX/TEN",C17=C18,C17=C20,'Conference Counter'!AB21&gt;'Conference Counter'!Z21,'Conference Counter'!AB21='Conference Counter'!AF21,'More Stats'!N18&gt;'More Stats'!N20),"JAX",
IF(AND(D17="HOU/JAX/TEN",C17=C18,C17=C20,'Conference Counter'!AB21&gt;'Conference Counter'!Z21,'Conference Counter'!AB21='Conference Counter'!AF21,'More Stats'!N18&lt;'More Stats'!N20),"TEN",
IF(AND(D17="HOU/JAX/TEN",C17=C18,C17=C20,'Conference Counter'!Z21='Conference Counter'!AB21,'Conference Counter'!Z21='Conference Counter'!AF21,'More Stats'!N17&gt;'More Stats'!N18,'More Stats'!N17&gt;'More Stats'!N20),"HOU",
IF(AND(D17="HOU/JAX/TEN",C17=C18,C17=C20,'Conference Counter'!Z21='Conference Counter'!AB21,'Conference Counter'!Z21='Conference Counter'!AF21,'More Stats'!N18&gt;'More Stats'!N17,'More Stats'!N18&gt;'More Stats'!N20),"JAX",
IF(AND(D17="HOU/JAX/TEN",C17=C18,C17=C20,'Conference Counter'!Z21='Conference Counter'!AB21,'Conference Counter'!Z21='Conference Counter'!AF21,'More Stats'!N20&gt;'More Stats'!N17,'More Stats'!N20&gt;'More Stats'!N18),"TEN",
IF(AND(D17="HOU/JAX/TEN",C17=C18,C17=C20,'Conference Counter'!Z21='Conference Counter'!AB21,'Conference Counter'!Z21='Conference Counter'!AF21,'More Stats'!N17='More Stats'!N18,'More Stats'!N17&gt;'More Stats'!N20,'More Stats'!L17&gt;'More Stats'!L18),"HOU",
IF(AND(D17="HOU/JAX/TEN",C17=C18,C17=C20,'Conference Counter'!Z21='Conference Counter'!AB21,'Conference Counter'!Z21='Conference Counter'!AF21,'More Stats'!N17='More Stats'!N18,'More Stats'!N17&gt;'More Stats'!N20,'More Stats'!L17&lt;'More Stats'!L18),"JAX",
IF(AND(D17="HOU/JAX/TEN",C17=C18,C17=C20,'Conference Counter'!Z21='Conference Counter'!AB21,'Conference Counter'!Z21='Conference Counter'!AF21,'More Stats'!N17&gt;'More Stats'!N18,'More Stats'!N17='More Stats'!N20,'More Stats'!L17&gt;'More Stats'!L20),"HOU",
IF(AND(D17="HOU/JAX/TEN",C17=C18,C17=C20,'Conference Counter'!Z21='Conference Counter'!AB21,'Conference Counter'!Z21='Conference Counter'!AF21,'More Stats'!N17&gt;'More Stats'!N18,'More Stats'!N17='More Stats'!N20,'More Stats'!L17&lt;'More Stats'!L20),"TEN",
IF(AND(D17="HOU/JAX/TEN",C17=C18,C17=C20,'Conference Counter'!Z21='Conference Counter'!AB21,'Conference Counter'!Z21='Conference Counter'!AF21,'More Stats'!N18&gt;'More Stats'!N17,'More Stats'!N18='More Stats'!N20,'More Stats'!L18&gt;'More Stats'!L20),"JAX",
IF(AND(D17="HOU/JAX/TEN",C17=C18,C17=C20,'Conference Counter'!Z21='Conference Counter'!AB21,'Conference Counter'!Z21='Conference Counter'!AF21,'More Stats'!N18&gt;'More Stats'!N17,'More Stats'!N18='More Stats'!N20,'More Stats'!L18&lt;'More Stats'!L20),"TEN",
IF(AND(D17="HOU/JAX/TEN",C17=C18,C17=C20,'Conference Counter'!Z21='Conference Counter'!AB21,'Conference Counter'!Z21='Conference Counter'!AF21,'More Stats'!N17='More Stats'!N18,'More Stats'!N17='More Stats'!N20,'More Stats'!L17&gt;'More Stats'!L18,'More Stats'!L17&gt;'More Stats'!L20,),"HOU",
IF(AND(D17="HOU/JAX/TEN",C17=C18,C17=C20,'Conference Counter'!Z21='Conference Counter'!AB21,'Conference Counter'!Z21='Conference Counter'!AF21,'More Stats'!N17='More Stats'!N18,'More Stats'!N17='More Stats'!N20,'More Stats'!L18&gt;'More Stats'!L17,'More Stats'!L18&gt;'More Stats'!L20,),"JAX",
IF(AND(D17="HOU/JAX/TEN",C17=C18,C17=C20,'Conference Counter'!Z21='Conference Counter'!AB21,'Conference Counter'!Z21='Conference Counter'!AF21,'More Stats'!N17='More Stats'!N18,'More Stats'!N17='More Stats'!N20,'More Stats'!L20&gt;'More Stats'!L17,'More Stats'!L20&gt;'More Stats'!L18,),"TEN",
IF(AND(D17="HOU/JAX/IND",C17&gt;C18,C17&gt;C19),"HOU",
IF(AND(D17="HOU/JAX/IND",C18&gt;C17,C18&gt;C19),"JAX",
IF(AND(D17="HOU/JAX/IND",C19&gt;C17,C19&gt;C18),"IND",
IF(AND(D17="HOU/JAX/IND",C17=C18,C17&gt;C19,'Conference Counter'!Z21&gt;'Conference Counter'!AB21),"HOU",
IF(AND(D17="HOU/JAX/IND",C17=C18,C17&gt;C19,'Conference Counter'!Z21&lt;'Conference Counter'!AB21),"JAX",
IF(AND(D17="HOU/JAX/IND",C17=C18,C17&gt;C19,'Conference Counter'!Z21='Conference Counter'!AB21,'More Stats'!N17&gt;'More Stats'!N18),"HOU",
IF(AND(D17="HOU/JAX/IND",C17=C18,C17&gt;C19,'Conference Counter'!Z21='Conference Counter'!AB21,'More Stats'!N17&lt;'More Stats'!N18),"JAX",
IF(AND(D17="HOU/JAX/IND",C17=C18,C17&gt;C19,'Conference Counter'!Z21='Conference Counter'!AB21,'More Stats'!N17='More Stats'!N18,'More Stats'!L17&gt;'More Stats'!L18),"HOU",
IF(AND(D17="HOU/JAX/IND",C17=C18,C17&gt;C19,'Conference Counter'!Z21='Conference Counter'!AB21,'More Stats'!N17='More Stats'!N18,'More Stats'!L17&lt;'More Stats'!L18),"JAX",
IF(AND(D17="HOU/JAX/IND",C17&gt;C18,C17=C19,'Conference Counter'!Z21&gt;'Conference Counter'!AD21),"HOU",
IF(AND(D17="HOU/JAX/IND",C17&gt;C18,C17=C19,'Conference Counter'!Z21&lt;'Conference Counter'!AD21),"IND",
IF(AND(D17="HOU/JAX/IND",C17&gt;C18,C17=C19,'Conference Counter'!Z21='Conference Counter'!AD21,'More Stats'!N17&gt;'More Stats'!N19),"HOU",
IF(AND(D17="HOU/JAX/IND",C17&gt;C18,C17=C19,'Conference Counter'!Z21='Conference Counter'!AD21,'More Stats'!N17&lt;'More Stats'!N19),"IND",
IF(AND(D17="HOU/JAX/IND",C17&gt;C18,C17=C19,'Conference Counter'!Z21='Conference Counter'!AD21,'More Stats'!N17='More Stats'!N19,'More Stats'!L17&gt;'More Stats'!L19),"HOU",
IF(AND(D17="HOU/JAX/IND",C17&gt;C18,C17=C19,'Conference Counter'!Z21='Conference Counter'!AD21,'More Stats'!N17='More Stats'!N19,'More Stats'!L17&lt;'More Stats'!L19),"IND",
IF(AND(D17="HOU/JAX/IND",C18&gt;C17,C18=C19,'Conference Counter'!AB21&gt;'Conference Counter'!AD21),"JAX",
IF(AND(D17="HOU/JAX/IND",C18&gt;C17,C18=C19,'Conference Counter'!AB21&lt;'Conference Counter'!AD21),"IND",
IF(AND(D17="HOU/JAX/IND",C18&gt;C17,C18=C19,'Conference Counter'!AB21='Conference Counter'!AD21,'More Stats'!N18&gt;'More Stats'!N19),"JAX",
IF(AND(D17="HOU/JAX/IND",C18&gt;C17,C18=C19,'Conference Counter'!AB21='Conference Counter'!AD21,'More Stats'!N18&lt;'More Stats'!N19),"IND",
IF(AND(D17="HOU/JAX/IND",C18&gt;C17,C18=C19,'Conference Counter'!AB21='Conference Counter'!AD21,'More Stats'!N18='More Stats'!N19,'More Stats'!L18&gt;'More Stats'!L19),"JAX",
IF(AND(D17="HOU/JAX/IND",C18&gt;C17,C18=C19,'Conference Counter'!AB21='Conference Counter'!AD21,'More Stats'!N18='More Stats'!N19,'More Stats'!L18&lt;'More Stats'!L19),"IND",
IF(AND(D17="HOU/JAX/IND",C17=C18,C17=C19,'Conference Counter'!Z21&gt;'Conference Counter'!AB21,'Conference Counter'!Z21&gt;'Conference Counter'!AD21),"HOU",
IF(AND(D17="HOU/JAX/IND",C17=C18,C17=C19,'Conference Counter'!AB21&gt;'Conference Counter'!Z21,'Conference Counter'!AB21&gt;'Conference Counter'!AD21),"JAX",
IF(AND(D17="HOU/JAX/IND",C17=C18,C17=C19,'Conference Counter'!AD21&gt;'Conference Counter'!Z21,'Conference Counter'!AD21&gt;'Conference Counter'!AB21),"IND",
IF(AND(D17="HOU/JAX/IND",C17=C18,C17=C19,'Conference Counter'!Z21='Conference Counter'!AB21,'Conference Counter'!Z21&gt;'Conference Counter'!AD21,'More Stats'!N17&gt;'More Stats'!N18),"HOU",
IF(AND(D17="HOU/JAX/IND",C17=C18,C17=C19,'Conference Counter'!Z21='Conference Counter'!AB21,'Conference Counter'!Z21&gt;'Conference Counter'!AD21,'More Stats'!N17&lt;'More Stats'!N18),"JAX",
IF(AND(D17="HOU/JAX/IND",C17=C18,C17=C19,'Conference Counter'!Z21&gt;'Conference Counter'!AB21,'Conference Counter'!Z21='Conference Counter'!AD21,'More Stats'!N17&gt;'More Stats'!N19),"HOU",
IF(AND(D17="HOU/JAX/IND",C17=C18,C17=C19,'Conference Counter'!Z21&gt;'Conference Counter'!AB21,'Conference Counter'!Z21='Conference Counter'!AD21,'More Stats'!N17&lt;'More Stats'!N19),"IND",
IF(AND(D17="HOU/JAX/IND",C17=C18,C17=C19,'Conference Counter'!AB21&gt;'Conference Counter'!Z21,'Conference Counter'!AB21='Conference Counter'!AD21,'More Stats'!N18&gt;'More Stats'!N19),"JAX",
IF(AND(D17="HOU/JAX/IND",C17=C18,C17=C19,'Conference Counter'!AB21&gt;'Conference Counter'!Z21,'Conference Counter'!AB21='Conference Counter'!AD21,'More Stats'!N18&lt;'More Stats'!N19),"IND",
IF(AND(D17="HOU/JAX/IND",C17=C18,C17=C19,'Conference Counter'!Z21='Conference Counter'!AB21,'Conference Counter'!Z21='Conference Counter'!AD21,'More Stats'!N17&gt;'More Stats'!N18,'More Stats'!N17&gt;'More Stats'!N19),"HOU",
IF(AND(D17="HOU/JAX/IND",C17=C18,C17=C19,'Conference Counter'!Z21='Conference Counter'!AB21,'Conference Counter'!Z21='Conference Counter'!AD21,'More Stats'!N18&gt;'More Stats'!N17,'More Stats'!N18&gt;'More Stats'!N19),"JAX",
IF(AND(D17="HOU/JAX/IND",C17=C18,C17=C19,'Conference Counter'!Z21='Conference Counter'!AB21,'Conference Counter'!Z21='Conference Counter'!AD21,'More Stats'!N19&gt;'More Stats'!N17,'More Stats'!N19&gt;'More Stats'!N18),"IND",
IF(AND(D17="HOU/JAX/IND",C17=C18,C17=C19,'Conference Counter'!Z21='Conference Counter'!AB21,'Conference Counter'!Z21='Conference Counter'!AD21,'More Stats'!N17='More Stats'!N18,'More Stats'!N17&gt;'More Stats'!N19,'More Stats'!L17&gt;'More Stats'!L18),"HOU",
IF(AND(D17="HOU/JAX/IND",C17=C18,C17=C19,'Conference Counter'!Z21='Conference Counter'!AB21,'Conference Counter'!Z21='Conference Counter'!AD21,'More Stats'!N17='More Stats'!N18,'More Stats'!N17&gt;'More Stats'!N19,'More Stats'!L17&lt;'More Stats'!L18),"JAX",
IF(AND(D17="HOU/JAX/IND",C17=C18,C17=C19,'Conference Counter'!Z21='Conference Counter'!AB21,'Conference Counter'!Z21='Conference Counter'!AD21,'More Stats'!N17&gt;'More Stats'!N18,'More Stats'!N17='More Stats'!N19,'More Stats'!L17&gt;'More Stats'!L19),"HOU",
IF(AND(D17="HOU/JAX/IND",C17=C18,C17=C19,'Conference Counter'!Z21='Conference Counter'!AB21,'Conference Counter'!Z21='Conference Counter'!AD21,'More Stats'!N17&gt;'More Stats'!N18,'More Stats'!N17='More Stats'!N19,'More Stats'!L17&lt;'More Stats'!L19),"IND",
IF(AND(D17="HOU/JAX/IND",C17=C18,C17=C19,'Conference Counter'!Z21='Conference Counter'!AB21,'Conference Counter'!Z21='Conference Counter'!AD21,'More Stats'!N18&gt;'More Stats'!N17,'More Stats'!N18='More Stats'!N19,'More Stats'!L18&gt;'More Stats'!L19),"JAX",
IF(AND(D17="HOU/JAX/IND",C17=C18,C17=C19,'Conference Counter'!Z21='Conference Counter'!AB21,'Conference Counter'!Z21='Conference Counter'!AD21,'More Stats'!N18&gt;'More Stats'!N17,'More Stats'!N18='More Stats'!N19,'More Stats'!L18&lt;'More Stats'!L19),"IND",
IF(AND(D17="HOU/JAX/IND",C17=C18,C17=C19,'Conference Counter'!Z21='Conference Counter'!AB21,'Conference Counter'!Z21='Conference Counter'!AD21,'More Stats'!N17='More Stats'!N18,'More Stats'!N17='More Stats'!N19,'More Stats'!L17&gt;'More Stats'!L18,'More Stats'!L17&gt;'More Stats'!L19,),"HOU",
IF(AND(D17="HOU/JAX/IND",C17=C18,C17=C19,'Conference Counter'!Z21='Conference Counter'!AB21,'Conference Counter'!Z21='Conference Counter'!AD21,'More Stats'!N17='More Stats'!N18,'More Stats'!N17='More Stats'!N19,'More Stats'!L18&gt;'More Stats'!L17,'More Stats'!L18&gt;'More Stats'!L19,),"JAX",
IF(AND(D17="HOU/JAX/IND",C17=C18,C17=C19,'Conference Counter'!Z21='Conference Counter'!AB21,'Conference Counter'!Z21='Conference Counter'!AD21,'More Stats'!N17='More Stats'!N18,'More Stats'!N17='More Stats'!N19,'More Stats'!L19&gt;'More Stats'!L17,'More Stats'!L19&gt;'More Stats'!L18,),"IND",
IF(AND(D17="HOU/JAX/IND/TEN",C17&gt;C18,C17&gt;C19,C17&gt;C20),"HOU",
IF(AND(D17="HOU/JAX/IND/TEN",C18&gt;C17,C18&gt;C19,C18&gt;C20),"JAX",
IF(AND(D17="HOU/JAX/IND/TEN",C19&gt;C17,C19&gt;C18,C19&gt;C20),"IND",
IF(AND(D17="HOU/JAX/IND/TEN",C20&gt;C17,C20&gt;C18,C20&gt;C19),"TEN",
"TBD"))))))))))))))))))))))))))))))))))))))))))))))))))))))))))))))))))))))))))))))))))))))))))))))))))))))))))))))))))))))))))))))))))))))))))))))))))))))))))))))))))))))))))))))))))))))))))))))))))))))))))))))))))))))))))))))))))))))))))))</f>
        <v>HOU</v>
      </c>
      <c r="F17" s="276"/>
      <c r="G17" s="264" t="s">
        <v>741</v>
      </c>
      <c r="H17" s="264" t="s">
        <v>7</v>
      </c>
      <c r="I17" s="264" t="s">
        <v>708</v>
      </c>
      <c r="J17" s="264" t="s">
        <v>727</v>
      </c>
      <c r="K17" s="264" t="s">
        <v>21</v>
      </c>
      <c r="L17" s="264" t="s">
        <v>17</v>
      </c>
      <c r="M17" s="268"/>
      <c r="N17" s="268" t="str">
        <f>IF(G8&lt;&gt;"HOU","HOU","")</f>
        <v/>
      </c>
      <c r="O17" s="268" t="str">
        <f t="array" ref="O17">IF(N17="HOU",INDEX(B17,0),"")</f>
        <v/>
      </c>
      <c r="P17" s="268" t="str">
        <f t="array" ref="P17">IF(N17="HOU",INDEX('Conference Counter'!Z21,0),"")</f>
        <v/>
      </c>
      <c r="Q17" s="268" t="str">
        <f t="array" ref="Q17">IF(N17="HOU",INDEX('More Stats'!N17,0),"")</f>
        <v/>
      </c>
      <c r="R17" s="268" t="str">
        <f t="array" ref="R17">IF(N17="HOU",INDEX('More Stats'!L17,0),"")</f>
        <v/>
      </c>
      <c r="S17" s="268"/>
      <c r="T17" s="264" t="s">
        <v>742</v>
      </c>
      <c r="U17" s="268"/>
      <c r="V17" s="289"/>
      <c r="W17" s="268"/>
      <c r="X17" s="268"/>
      <c r="Y17" s="268"/>
      <c r="Z17" s="268"/>
      <c r="AA17" s="268"/>
      <c r="AB17" s="268"/>
      <c r="AC17" s="268"/>
      <c r="AD17" s="268"/>
      <c r="AE17" s="268"/>
      <c r="AF17" s="268"/>
      <c r="AG17" s="268"/>
      <c r="AH17" s="268"/>
      <c r="AI17" s="268"/>
      <c r="AJ17" s="268"/>
      <c r="AK17" s="268"/>
      <c r="AL17" s="268"/>
      <c r="AM17" s="268"/>
    </row>
    <row r="18">
      <c r="A18" s="266" t="s">
        <v>173</v>
      </c>
      <c r="B18" s="267">
        <f t="array" ref="B18">INDEX('More Stats'!E18,0)</f>
        <v>0.5882352941</v>
      </c>
      <c r="C18" s="268">
        <f t="array" ref="C18">INDEX('Div Record Counter'!AB20,0)</f>
        <v>5</v>
      </c>
      <c r="D18" s="268"/>
      <c r="E18" s="268"/>
      <c r="F18" s="268"/>
      <c r="G18" s="268" t="str">
        <f t="array" ref="G18">INDEX(E22,0)</f>
        <v>LAR</v>
      </c>
      <c r="H18" s="267">
        <f t="array" ref="H18">IF(G18="SF",INDEX(B22,0),
IF(G18="LAR",INDEX(B23,0),
IF(G18="SEA",INDEX(B24,0),
IF(G18="AZ",INDEX(B25,0),
"TBD"))))</f>
        <v>0.7647058824</v>
      </c>
      <c r="I18" s="268">
        <f t="array" ref="I18">IF(G18="SF",INDEX(C22,0),
IF(G18="LAR",INDEX(C23,0),
IF(G18="SEA",INDEX(C24,0),
IF(G18="AZ",INDEX(C25,0),
"TBD"))))</f>
        <v>3</v>
      </c>
      <c r="J18" s="281">
        <f t="array" ref="J18">IF(G18="SF",INDEX('Conference Counter'!AH21,0),
IF(G18="LAR",INDEX('Conference Counter'!AJ21,0),
IF(G18="SEA",INDEX('Conference Counter'!AL21,0),
IF(G18="AZ",INDEX('Conference Counter'!AN21,0),
"TBD"))))</f>
        <v>0.75</v>
      </c>
      <c r="K18" s="282">
        <f t="array" ref="K18">IF(G18="SF",INDEX('More Stats'!N22,0),
IF(G18="LAR",INDEX('More Stats'!N23,0),
IF(G18="SEA",INDEX('More Stats'!N24,0),
IF(G18="AZ",INDEX('More Stats'!N25,0),
"TBD"))))</f>
        <v>38</v>
      </c>
      <c r="L18" s="268">
        <f t="array" ref="L18">IF(G18="SF",INDEX('More Stats'!L22,0),
IF(G18="LAR",INDEX('More Stats'!L23,0),
IF(G18="SEA",INDEX('More Stats'!L24,0),
IF(G18="AZ",INDEX('More Stats'!L25,0),
"TBD"))))</f>
        <v>345</v>
      </c>
      <c r="M18" s="268"/>
      <c r="N18" s="268" t="str">
        <f>IF(G8&lt;&gt;"JAX","JAX","")</f>
        <v>JAX</v>
      </c>
      <c r="O18" s="267">
        <f t="array" ref="O18">IF(N18="JAX",INDEX(B18,0),"")</f>
        <v>0.5882352941</v>
      </c>
      <c r="P18" s="281">
        <f t="array" ref="P18">IF(N18="JAX",INDEX('Conference Counter'!AB21,0),"")</f>
        <v>0.5833333333</v>
      </c>
      <c r="Q18" s="282">
        <f t="array" ref="Q18">IF(N18="JAX",INDEX('More Stats'!N18,0),"")</f>
        <v>12</v>
      </c>
      <c r="R18" s="268">
        <f t="array" ref="R18">IF(N18="JAX",INDEX('More Stats'!L18,0),"")</f>
        <v>335</v>
      </c>
      <c r="S18" s="268"/>
      <c r="T18" s="283" t="str">
        <f t="shared" ref="T18:T21" si="3">INDEX(G23,0)</f>
        <v>PHI</v>
      </c>
      <c r="U18" s="268"/>
      <c r="V18" s="285" t="s">
        <v>743</v>
      </c>
      <c r="W18" s="268"/>
      <c r="X18" s="268"/>
      <c r="Y18" s="268"/>
      <c r="Z18" s="268"/>
      <c r="AA18" s="268"/>
      <c r="AB18" s="268"/>
      <c r="AC18" s="268"/>
      <c r="AD18" s="268"/>
      <c r="AE18" s="268"/>
      <c r="AF18" s="268"/>
      <c r="AG18" s="268"/>
      <c r="AH18" s="268"/>
      <c r="AI18" s="268"/>
      <c r="AJ18" s="268"/>
      <c r="AK18" s="268"/>
      <c r="AL18" s="268"/>
      <c r="AM18" s="268"/>
    </row>
    <row r="19">
      <c r="A19" s="266" t="s">
        <v>178</v>
      </c>
      <c r="B19" s="267">
        <f t="array" ref="B19">INDEX('More Stats'!E19,0)</f>
        <v>0.4117647059</v>
      </c>
      <c r="C19" s="268">
        <f t="array" ref="C19">INDEX('Div Record Counter'!AD20,0)</f>
        <v>2</v>
      </c>
      <c r="D19" s="268"/>
      <c r="E19" s="268"/>
      <c r="F19" s="268"/>
      <c r="G19" s="268" t="str">
        <f t="array" ref="G19">INDEX(E27,0)</f>
        <v>PHI</v>
      </c>
      <c r="H19" s="267">
        <f t="array" ref="H19">IF(G19="DAL",INDEX(B27,0),
IF(G19="PHI",INDEX(B28,0),
IF(G19="NYG",INDEX(B29,0),
IF(G19="WSH",INDEX(B30,0),
"TBD"))))</f>
        <v>0.7647058824</v>
      </c>
      <c r="I19" s="268">
        <f t="array" ref="I19">IF(G19="DAL",INDEX(C27,0),
IF(G19="PHI",INDEX(C28,0),
IF(G19="NYG",INDEX(C29,0),
IF(G19="WSH",INDEX(C30,0),
"TBD"))))</f>
        <v>5</v>
      </c>
      <c r="J19" s="281">
        <f t="array" ref="J19">IF(G19="DAL",INDEX('Conference Counter'!AP21,0),
IF(G19="PHI",INDEX('Conference Counter'!AR21,0),
IF(G19="NYG",INDEX('Conference Counter'!AT21,0),
IF(G19="WSH",INDEX('Conference Counter'!AV21,0),
"TBD"))))</f>
        <v>0.75</v>
      </c>
      <c r="K19" s="282">
        <f t="array" ref="K19">IF(G19="DAL",INDEX('More Stats'!N27,0),
IF(G19="PHI",INDEX('More Stats'!N28,0),
IF(G19="NYG",INDEX('More Stats'!N29,0),
IF(G19="WSH",INDEX('More Stats'!N30,0),
"TBD"))))</f>
        <v>38</v>
      </c>
      <c r="L19" s="268">
        <f t="array" ref="L19">IF(G19="DAL",INDEX('More Stats'!L27,0),
IF(G19="PHI",INDEX('More Stats'!L28,0),
IF(G19="NYG",INDEX('More Stats'!L29,0),
IF(G19="WSH",INDEX('More Stats'!L30,0),
"TBD"))))</f>
        <v>351</v>
      </c>
      <c r="M19" s="268"/>
      <c r="N19" s="268" t="str">
        <f>IF(G8&lt;&gt;"IND","IND","")</f>
        <v>IND</v>
      </c>
      <c r="O19" s="267">
        <f t="array" ref="O19">IF(N19="IND",INDEX(B19,0),"")</f>
        <v>0.4117647059</v>
      </c>
      <c r="P19" s="281">
        <f t="array" ref="P19">IF(N19="IND",INDEX('Conference Counter'!AD21,0),"")</f>
        <v>0.4166666667</v>
      </c>
      <c r="Q19" s="282">
        <f t="array" ref="Q19">IF(N19="IND",INDEX('More Stats'!N19,0),"")</f>
        <v>-20</v>
      </c>
      <c r="R19" s="268">
        <f t="array" ref="R19">IF(N19="IND",INDEX('More Stats'!L19,0),"")</f>
        <v>347</v>
      </c>
      <c r="S19" s="268"/>
      <c r="T19" s="283" t="str">
        <f t="shared" si="3"/>
        <v>LAR</v>
      </c>
      <c r="U19" s="268"/>
      <c r="V19" s="280" t="s">
        <v>744</v>
      </c>
      <c r="W19" s="268"/>
      <c r="X19" s="268"/>
      <c r="Y19" s="268"/>
      <c r="Z19" s="268"/>
      <c r="AA19" s="268"/>
      <c r="AB19" s="268"/>
      <c r="AC19" s="268"/>
      <c r="AD19" s="268"/>
      <c r="AE19" s="268"/>
      <c r="AF19" s="268"/>
      <c r="AG19" s="268"/>
      <c r="AH19" s="268"/>
      <c r="AI19" s="268"/>
      <c r="AJ19" s="268"/>
      <c r="AK19" s="268"/>
      <c r="AL19" s="268"/>
      <c r="AM19" s="268"/>
    </row>
    <row r="20">
      <c r="A20" s="266" t="s">
        <v>151</v>
      </c>
      <c r="B20" s="267">
        <f t="array" ref="B20">INDEX('More Stats'!E20,0)</f>
        <v>0.1764705882</v>
      </c>
      <c r="C20" s="268">
        <f t="array" ref="C20">INDEX('Div Record Counter'!AF20,0)</f>
        <v>0</v>
      </c>
      <c r="D20" s="268"/>
      <c r="E20" s="268"/>
      <c r="F20" s="268"/>
      <c r="G20" s="268" t="str">
        <f t="array" ref="G20">INDEX(E32,0)</f>
        <v>DET</v>
      </c>
      <c r="H20" s="267">
        <f t="array" ref="H20">IF(G20="DET",INDEX(B32,0),
IF(G20="GB",INDEX(B33,0),
IF(G20="MIN",INDEX(B34,0),
IF(G20="CHI",INDEX(B35,0),
"TBD"))))</f>
        <v>0.6470588235</v>
      </c>
      <c r="I20" s="268">
        <f t="array" ref="I20">IF(G20="DET",INDEX(C32,0),
IF(G20="GB",INDEX(C33,0),
IF(G20="MIN",INDEX(C34,0),
IF(G20="CHI",INDEX(C35,0),
"TBD"))))</f>
        <v>3</v>
      </c>
      <c r="J20" s="281">
        <f t="array" ref="J20">IF(G20="DET",INDEX('Conference Counter'!AX21,0),
IF(G20="GB",INDEX('Conference Counter'!AZ21,0),
IF(G20="MIN",INDEX('Conference Counter'!BB21,0),
IF(G20="CHI",INDEX('Conference Counter'!BD21,0),
"TBD"))))</f>
        <v>0.6666666667</v>
      </c>
      <c r="K20" s="282">
        <f t="array" ref="K20">IF(G20="DET",INDEX('More Stats'!N32,0),
IF(G20="GB",INDEX('More Stats'!N33,0),
IF(G20="MIN",INDEX('More Stats'!N34,0),
IF(G20="CHI",INDEX('More Stats'!N35,0),
"TBD"))))</f>
        <v>15</v>
      </c>
      <c r="L20" s="268">
        <f t="array" ref="L20">IF(G20="DET",INDEX('More Stats'!L32,0),
IF(G20="GB",INDEX('More Stats'!L33,0),
IF(G20="MIN",INDEX('More Stats'!L34,0),
IF(G20="CHI",INDEX('More Stats'!L35,0),
"TBD"))))</f>
        <v>375</v>
      </c>
      <c r="M20" s="268"/>
      <c r="N20" s="268" t="str">
        <f>IF(G8&lt;&gt;"TEN","TEN","")</f>
        <v>TEN</v>
      </c>
      <c r="O20" s="267">
        <f t="array" ref="O20">IF(N20="TEN",INDEX(B20,0),"")</f>
        <v>0.1764705882</v>
      </c>
      <c r="P20" s="281">
        <f t="array" ref="P20">IF(N20="TEN",INDEX('Conference Counter'!AF21,0),"")</f>
        <v>0.1666666667</v>
      </c>
      <c r="Q20" s="282">
        <f t="array" ref="Q20">IF(N20="TEN",INDEX('More Stats'!N20,0),"")</f>
        <v>-51</v>
      </c>
      <c r="R20" s="268">
        <f t="array" ref="R20">IF(N20="TEN",INDEX('More Stats'!L20,0),"")</f>
        <v>342</v>
      </c>
      <c r="S20" s="268"/>
      <c r="T20" s="283" t="str">
        <f t="shared" si="3"/>
        <v>DET</v>
      </c>
      <c r="U20" s="268"/>
      <c r="V20" s="280" t="s">
        <v>731</v>
      </c>
      <c r="W20" s="268"/>
      <c r="X20" s="268"/>
      <c r="Y20" s="268"/>
      <c r="Z20" s="268"/>
      <c r="AA20" s="268"/>
      <c r="AB20" s="268"/>
      <c r="AC20" s="268"/>
      <c r="AD20" s="268"/>
      <c r="AE20" s="268"/>
      <c r="AF20" s="268"/>
      <c r="AG20" s="268"/>
      <c r="AH20" s="268"/>
      <c r="AI20" s="268"/>
      <c r="AJ20" s="268"/>
      <c r="AK20" s="268"/>
      <c r="AL20" s="268"/>
      <c r="AM20" s="268"/>
    </row>
    <row r="21">
      <c r="A21" s="284"/>
      <c r="B21" s="284"/>
      <c r="C21" s="284"/>
      <c r="D21" s="284"/>
      <c r="E21" s="284"/>
      <c r="F21" s="268"/>
      <c r="G21" s="268" t="str">
        <f t="array" ref="G21">INDEX(E37,0)</f>
        <v>NO</v>
      </c>
      <c r="H21" s="267">
        <f t="array" ref="H21">IF(G21="TB",INDEX(B37,0),
IF(G21="NO",INDEX(B38,0),
IF(G21="ATL",INDEX(B39,0),
IF(G21="CAR",INDEX(B40,0),
"TBD"))))</f>
        <v>0.5294117647</v>
      </c>
      <c r="I21" s="268">
        <f t="array" ref="I21">IF(G21="TB",INDEX(C37,0),
IF(G21="NO",INDEX(C38,0),
IF(G21="ATL",INDEX(C39,0),
IF(G21="CAR",INDEX(C40,0),
"TBD"))))</f>
        <v>4</v>
      </c>
      <c r="J21" s="281">
        <f t="array" ref="J21">IF(G21="TB",INDEX('Conference Counter'!BF21,0),
IF(G21="NO",INDEX('Conference Counter'!BH21,0),
IF(G21="ATL",INDEX('Conference Counter'!BJ21,0),
IF(G21="CAR",INDEX('Conference Counter'!BL21,0),
"TBD"))))</f>
        <v>0.5</v>
      </c>
      <c r="K21" s="282">
        <f t="array" ref="K21">IF(G21="TB",INDEX('More Stats'!N37,0),
IF(G21="NO",INDEX('More Stats'!N38,0),
IF(G21="ATL",INDEX('More Stats'!N39,0),
IF(G21="CAR",INDEX('More Stats'!N40,0),
"TBD"))))</f>
        <v>11</v>
      </c>
      <c r="L21" s="268">
        <f t="array" ref="L21">IF(G21="TB",INDEX('More Stats'!L37,0),
IF(G21="NO",INDEX('More Stats'!L38,0),
IF(G21="ATL",INDEX('More Stats'!L39,0),
IF(G21="CAR",INDEX('More Stats'!L40,0),
"TBD"))))</f>
        <v>341</v>
      </c>
      <c r="M21" s="268"/>
      <c r="N21" s="284"/>
      <c r="O21" s="284"/>
      <c r="P21" s="284"/>
      <c r="Q21" s="284"/>
      <c r="R21" s="284"/>
      <c r="S21" s="268"/>
      <c r="T21" s="283" t="str">
        <f t="shared" si="3"/>
        <v>NO</v>
      </c>
      <c r="U21" s="268"/>
      <c r="V21" s="285" t="s">
        <v>732</v>
      </c>
      <c r="W21" s="268"/>
      <c r="X21" s="268"/>
      <c r="Y21" s="268"/>
      <c r="Z21" s="268"/>
      <c r="AA21" s="268"/>
      <c r="AB21" s="268"/>
      <c r="AC21" s="268"/>
      <c r="AD21" s="268"/>
      <c r="AE21" s="268"/>
      <c r="AF21" s="268"/>
      <c r="AG21" s="268"/>
      <c r="AH21" s="268"/>
      <c r="AI21" s="268"/>
      <c r="AJ21" s="268"/>
      <c r="AK21" s="268"/>
      <c r="AL21" s="268"/>
      <c r="AM21" s="268"/>
    </row>
    <row r="22">
      <c r="A22" s="266" t="s">
        <v>85</v>
      </c>
      <c r="B22" s="267">
        <f t="array" ref="B22">INDEX('More Stats'!E22,0)</f>
        <v>0.5882352941</v>
      </c>
      <c r="C22" s="268">
        <f t="array" ref="C22">INDEX('Div Record Counter'!AH20,0)</f>
        <v>4</v>
      </c>
      <c r="D22" s="268" t="str">
        <f>IF(AND(B22&gt;B23,B22&gt;B24,B22&gt;B25),"SF",
IF(AND(B23&gt;B22,B23&gt;B24,B23&gt;B25),"LAR",
IF(AND(B24&gt;B22,B24&gt;B23,B24&gt;B25),"SEA",
IF(AND(B25&gt;B22,B25&gt;B23,B25&gt;B24),"AZ",
IF(AND(B22&gt;B24,B22&gt;B25,B22=B23),"SF/LAR",
IF(AND(B22&gt;B23,B22&gt;B25,B22=B24),"SF/SEA",
IF(AND(B22&gt;B23,B22&gt;B24,B22=B25),"SF/AZ",
IF(AND(B23&gt;B22,B23&gt;B25,B23=B24),"LAR/SEA",
IF(AND(B23&gt;B22,B23&gt;B24,B23=B25),"LAR/AZ",
IF(AND(B24&gt;B22,B24&gt;B23,B24=B25),"SEA/AZ",
IF(AND(B23&gt;B22,B24&gt;B22,B25&gt;B22,B23=B24,B23=B25),"LAR/SEA/AZ",
IF(AND(B22&gt;B23,B24&gt;B23,B25&gt;B23,B22=B24,B22=B25),"SF/SEA/AZ",
IF(AND(B22&gt;B24,B23&gt;B24,B25&gt;B24,B22=B23,B22=B25),"SF/LAR/AZ",
IF(AND(B22&gt;B25,B23&gt;B25,B24&gt;B25,B22=B23,B22=B24),"SF/LAR/SEA",
IF(AND(B22=B23,B22=B24,B22=B25),"SF/LAR/SEA/AZ",
"wtf")))))))))))))))</f>
        <v>LAR</v>
      </c>
      <c r="E22" s="266" t="str">
        <f>IF(D22="SF","SF",
IF(D22="LAR","LAR",
IF(D22="SEA","SEA",
IF(D22="AZ","AZ",
IF(AND(D22="SF/LAR",'Week 1'!C4="SF",'Week 14'!C15="SF"),"SF",
IF(AND(D22="SF/LAR",'Week 1'!C4="LAR",'Week 14'!C15="LAR"),"LAR",
IF(AND(D22="SF/LAR",C22&gt;C23),"SF",
IF(AND(D22="SF/LAR",C22&lt;C23),"LAR",
IF(AND(D22="SF/LAR",C22=C23,'Conference Counter'!AH21&gt;'Conference Counter'!AJ21),"SF",
IF(AND(D22="SF/LAR",C22=C23,'Conference Counter'!AH21&lt;'Conference Counter'!AJ21),"LAR",
IF(AND(D22="SF/LAR",C22=C23,'Conference Counter'!AH21='Conference Counter'!AJ21,'More Stats'!N22&gt;'More Stats'!N23),"SF",
IF(AND(D22="SF/LAR",C22=C23,'Conference Counter'!AH21='Conference Counter'!AJ21,'More Stats'!N22&lt;'More Stats'!N23),"LAR",
IF(AND(D22="SF/LAR",C22=C23,'Conference Counter'!AH21='Conference Counter'!AJ21,'More Stats'!N22='More Stats'!N23,'More Stats'!L22&gt;'More Stats'!L23),"SF",
IF(AND(D22="SF/LAR",C22=C23,'Conference Counter'!AH21='Conference Counter'!AJ21,'More Stats'!N22='More Stats'!N23,'More Stats'!L22&lt;'More Stats'!L23),"LAR",
IF(AND(D22="SF/SEA",'Week 5'!C13="SF",'Week 12'!C15="SF"),"SF",
IF(AND(D22="SF/SEA",'Week 5'!C13="SEA",'Week 12'!C15="SEA"),"SEA",
IF(AND(D22="SF/SEA",C22&gt;C24),"SF",
IF(AND(D22="SF/SEA",C22&lt;C24),"SEA",
IF(AND(D22="SF/SEA",C22=C24,'Conference Counter'!AH21&gt;'Conference Counter'!AL21),"SF",
IF(AND(D22="SF/SEA",C22=C24,'Conference Counter'!AH21&lt;'Conference Counter'!AL21),"SEA",
IF(AND(D22="SF/SEA",C22=C24,'Conference Counter'!AH21='Conference Counter'!AL21,'More Stats'!N22&gt;'More Stats'!N24),"SF",
IF(AND(D22="SF/SEA",C22=C24,'Conference Counter'!AH21='Conference Counter'!AL21,'More Stats'!N22&lt;'More Stats'!N24),"SEA",
IF(AND(D22="SF/SEA",C22=C24,'Conference Counter'!AH21='Conference Counter'!AL21,'More Stats'!N22='More Stats'!N24,'More Stats'!L22&gt;'More Stats'!L24),"SF",
IF(AND(D22="SF/SEA",C22=C24,'Conference Counter'!AH21='Conference Counter'!AL21,'More Stats'!N22='More Stats'!N24,'More Stats'!L22&lt;'More Stats'!L24),"SEA",
IF(AND(D22="SF/AZ",'Week 3'!C13="SF",'Week 18'!C3="SF"),"SF",
IF(AND(D22="SF/AZ",'Week 3'!C13="AZ",'Week 18'!C3="AZ"),"AZ",
IF(AND(D22="SF/AZ",C22&gt;C25),"SF",
IF(AND(D22="SF/AZ",C22&lt;C25),"AZ",
IF(AND(D22="SF/AZ",C22=C25,'Conference Counter'!AH21&gt;'Conference Counter'!AN21),"SF",
IF(AND(D22="SF/AZ",C22=C25,'Conference Counter'!AH21&lt;'Conference Counter'!AN21),"AZ",
IF(AND(D22="SF/AZ",C22=C25,'Conference Counter'!AH21='Conference Counter'!AN21,'More Stats'!N22&gt;'More Stats'!N25),"SF",
IF(AND(D22="SF/AZ",C22=C25,'Conference Counter'!AH21='Conference Counter'!AN21,'More Stats'!N22&lt;'More Stats'!N25),"AZ",
IF(AND(D22="SF/AZ",C22=C25,'Conference Counter'!AH21='Conference Counter'!AN21,'More Stats'!N22='More Stats'!N25,'More Stats'!L22&gt;'More Stats'!L25),"SF",
IF(AND(D22="SF/AZ",C22=C25,'Conference Counter'!AH21='Conference Counter'!AN21,'More Stats'!N22='More Stats'!N25,'More Stats'!L22&lt;'More Stats'!L25),"AZ",
IF(AND(D22="LAR/SEA",'Week 16'!C6="LAR",'Week 18'!C15="LAR"),"LAR",
IF(AND(D22="LAR/SEA",'Week 16'!C6="SEA",'Week 18'!C15="SEA"),"SEA",
IF(AND(D22="LAR/SEA",C23&gt;C24),"LAR",
IF(AND(D22="LAR/SEA",C23&lt;C24),"SEA",
IF(AND(D22="LAR/SEA",C23=C24,'Conference Counter'!AJ21&gt;'Conference Counter'!AL21),"LAR",
IF(AND(D22="LAR/SEA",C23=C24,'Conference Counter'!AJ21&lt;'Conference Counter'!AL21),"SEA",
IF(AND(D22="LAR/SEA",C23=C24,'Conference Counter'!AJ21='Conference Counter'!AL21,'More Stats'!N23&gt;'More Stats'!N24),"LAR",
IF(AND(D22="LAR/SEA",C23=C24,'Conference Counter'!AJ21='Conference Counter'!AL21,'More Stats'!N23&lt;'More Stats'!N24),"SEA",
IF(AND(D22="LAR/SEA",C23=C24,'Conference Counter'!AJ21='Conference Counter'!AL21,'More Stats'!N23='More Stats'!N24,'More Stats'!L23&gt;'More Stats'!L24),"LAR",
IF(AND(D22="LAR/SEA",C23=C24,'Conference Counter'!AJ21='Conference Counter'!AL21,'More Stats'!N23='More Stats'!N24,'More Stats'!L23&lt;'More Stats'!L24),"SEA",
IF(AND(D22="LAR/AZ",'Week 6'!C12="LAR",'Week 10'!C12="LAR"),"LAR",
IF(AND(D22="LAR/AZ",'Week 6'!C12="AZ",'Week 10'!C12="AZ"),"AZ",
IF(AND(D22="LAR/AZ",C23&gt;C25),"LAR",
IF(AND(D22="LAR/AZ",C23&lt;C25),"AZ",
IF(AND(D22="LAR/AZ",C23=C24,'Conference Counter'!AJ21&gt;'Conference Counter'!AN21),"LAR",
IF(AND(D22="LAR/AZ",C23=C24,'Conference Counter'!AJ21&lt;'Conference Counter'!AN21),"AZ",
IF(AND(D22="LAR/AZ",C23=C24,'Conference Counter'!AJ21='Conference Counter'!AN21,'More Stats'!N23&gt;'More Stats'!N25),"LAR",
IF(AND(D22="LAR/AZ",C23=C24,'Conference Counter'!AJ21='Conference Counter'!AN21,'More Stats'!N23&lt;'More Stats'!N25),"AZ",
IF(AND(D22="LAR/AZ",C23=C24,'Conference Counter'!AJ21='Conference Counter'!AN21,'More Stats'!N23='More Stats'!N25,'More Stats'!L23&gt;'More Stats'!L25),"LAR",
IF(AND(D22="LAR/AZ",C23=C24,'Conference Counter'!AJ21='Conference Counter'!AN21,'More Stats'!N23='More Stats'!N25,'More Stats'!L23&lt;'More Stats'!L25),"AZ",
IF(AND(D22="SEA/AZ",'Week 2'!C15="SEA",'Week 9'!C14="SEA"),"SEA",
IF(AND(D22="SEA/AZ",'Week 2'!C15="AZ",'Week 9'!C14="AZ"),"AZ",
IF(AND(D22="SEA/AZ",C24&gt;C25),"SEA",
IF(AND(D22="SEA/AZ",C24&lt;C25),"AZ",
IF(AND(D22="SEA/AZ",C24=C25,'Conference Counter'!AL21&gt;'Conference Counter'!AN21),"SEA",
IF(AND(D22="SEA/AZ",C24=C25,'Conference Counter'!AL21&lt;'Conference Counter'!AN21),"AZ",
IF(AND(D22="SEA/AZ",C24=C25,'Conference Counter'!AL21='Conference Counter'!AN21,'More Stats'!N24&gt;'More Stats'!N25),"SEA",
IF(AND(D22="SEA/AZ",C24=C25,'Conference Counter'!AL21='Conference Counter'!AN21,'More Stats'!N24&lt;'More Stats'!N25),"AZ",
IF(AND(D22="SEA/AZ",C24=C25,'Conference Counter'!AL21='Conference Counter'!AN21,'More Stats'!N24='More Stats'!N25,'More Stats'!L24&gt;'More Stats'!L25),"SEA",
IF(AND(D22="SEA/AZ",C24=C25,'Conference Counter'!AL21='Conference Counter'!AN21,'More Stats'!N24='More Stats'!N25,'More Stats'!L24&lt;'More Stats'!L25),"AZ",
IF(AND(D22="LAR/SEA/AZ",C23&gt;C24,C23&gt;C25),"LAR",
IF(AND(D22="LAR/SEA/AZ",C24&gt;C23,C24&gt;C25),"SEA",
IF(AND(D22="LAR/SEA/AZ",C25&gt;C23,C25&gt;C24),"AZ",
IF(AND(D22="LAR/SEA/AZ",C23=C24,C23&gt;C25,'Conference Counter'!AJ21&gt;'Conference Counter'!AL21),"LAR",
IF(AND(D22="LAR/SEA/AZ",C23=C24,C23&gt;C25,'Conference Counter'!AJ21&lt;'Conference Counter'!AL21),"SEA",
IF(AND(D22="LAR/SEA/AZ",C23=C24,C23&gt;C25,'Conference Counter'!AJ21='Conference Counter'!AL21,'More Stats'!N23&gt;'More Stats'!N24),"LAR",
IF(AND(D22="LAR/SEA/AZ",C23=C24,C23&gt;C25,'Conference Counter'!AJ21='Conference Counter'!AL21,'More Stats'!N23&lt;'More Stats'!N24),"SEA",
IF(AND(D22="LAR/SEA/AZ",C23=C24,C23&gt;C25,'Conference Counter'!AJ21='Conference Counter'!AL21,'More Stats'!N23='More Stats'!N24,'More Stats'!L23&gt;'More Stats'!L24),"LAR",
IF(AND(D22="LAR/SEA/AZ",C23=C24,C23&gt;C25,'Conference Counter'!AJ21='Conference Counter'!AL21,'More Stats'!N23='More Stats'!N24,'More Stats'!L23&lt;'More Stats'!L24),"SEA",
IF(AND(D22="LAR/SEA/AZ",C23&gt;C24,C23=C25,'Conference Counter'!AJ21&gt;'Conference Counter'!AN21),"LAR",
IF(AND(D22="LAR/SEA/AZ",C23&gt;C24,C23=C25,'Conference Counter'!AJ21&lt;'Conference Counter'!AN21),"AZ",
IF(AND(D22="LAR/SEA/AZ",C23&gt;C24,C23=C25,'Conference Counter'!AJ21='Conference Counter'!AN21,'More Stats'!N23&gt;'More Stats'!N25),"LAR",
IF(AND(D22="LAR/SEA/AZ",C23&gt;C24,C23=C25,'Conference Counter'!AJ21='Conference Counter'!AN21,'More Stats'!N23&lt;'More Stats'!N25),"AZ",
IF(AND(D22="LAR/SEA/AZ",C23&gt;C24,C23=C25,'Conference Counter'!AJ21='Conference Counter'!AN21,'More Stats'!N23='More Stats'!N25,'More Stats'!L23&gt;'More Stats'!L25),"LAR",
IF(AND(D22="LAR/SEA/AZ",C23&gt;C24,C23=C25,'Conference Counter'!AJ21='Conference Counter'!AN21,'More Stats'!N23='More Stats'!N25,'More Stats'!L23&lt;'More Stats'!L25),"AZ",
IF(AND(D22="LAR/SEA/AZ",C24&gt;C23,C24=C25,'Conference Counter'!AL21&gt;'Conference Counter'!AN21),"SEA",
IF(AND(D22="LAR/SEA/AZ",C24&gt;C23,C24=C25,'Conference Counter'!AL21&lt;'Conference Counter'!AN21),"AZ",
IF(AND(D22="LAR/SEA/AZ",C24&gt;C23,C24=C25,'Conference Counter'!AL21='Conference Counter'!AN21,'More Stats'!N24&gt;'More Stats'!N25),"SEA",
IF(AND(D22="LAR/SEA/AZ",C24&gt;C23,C24=C25,'Conference Counter'!AL21='Conference Counter'!AN21,'More Stats'!N24&lt;'More Stats'!N25),"AZ",
IF(AND(D22="LAR/SEA/AZ",C24&gt;C23,C24=C25,'Conference Counter'!AL21='Conference Counter'!AN21,'More Stats'!N24='More Stats'!N25,'More Stats'!L24&gt;'More Stats'!L25),"SEA",
IF(AND(D22="LAR/SEA/AZ",C24&gt;C23,C24=C25,'Conference Counter'!AL21='Conference Counter'!AN21,'More Stats'!N24='More Stats'!N25,'More Stats'!L24&lt;'More Stats'!L25),"AZ",
IF(AND(D22="LAR/SEA/AZ",C23=C24,C23=C25,'Conference Counter'!AJ21&gt;'Conference Counter'!AL21,'Conference Counter'!AJ21&gt;'Conference Counter'!AN21),"LAR",
IF(AND(D22="LAR/SEA/AZ",C23=C24,C23=C25,'Conference Counter'!AL21&gt;'Conference Counter'!AJ21,'Conference Counter'!AL21&gt;'Conference Counter'!AN21),"SEA",
IF(AND(D22="LAR/SEA/AZ",C23=C24,C23=C25,'Conference Counter'!AN21&gt;'Conference Counter'!AJ21,'Conference Counter'!AN21&gt;'Conference Counter'!AL21),"AZ",
IF(AND(D22="LAR/SEA/AZ",C23=C24,C23=C25,'Conference Counter'!AJ21='Conference Counter'!AL21,'Conference Counter'!AJ21&gt;'Conference Counter'!AN21,'More Stats'!N23&gt;'More Stats'!N24),"LAR",
IF(AND(D22="LAR/SEA/AZ",C23=C24,C23=C25,'Conference Counter'!AJ21='Conference Counter'!AL21,'Conference Counter'!AJ21&gt;'Conference Counter'!AN21,'More Stats'!N23&lt;'More Stats'!N24),"SEA",
IF(AND(D22="LAR/SEA/AZ",C23=C24,C23=C25,'Conference Counter'!AJ21&gt;'Conference Counter'!AL21,'Conference Counter'!AJ21='Conference Counter'!AN21,'More Stats'!N23&gt;'More Stats'!N25),"LAR",
IF(AND(D22="LAR/SEA/AZ",C23=C24,C23=C25,'Conference Counter'!AJ21&gt;'Conference Counter'!AL21,'Conference Counter'!AJ21='Conference Counter'!AN21,'More Stats'!N23&lt;'More Stats'!N25),"AZ",
IF(AND(D22="LAR/SEA/AZ",C23=C24,C23=C25,'Conference Counter'!AL21&gt;'Conference Counter'!AJ21,'Conference Counter'!AL21='Conference Counter'!AN21,'More Stats'!N24&gt;'More Stats'!N25),"SEA",
IF(AND(D22="LAR/SEA/AZ",C23=C24,C23=C25,'Conference Counter'!AL21&gt;'Conference Counter'!AJ21,'Conference Counter'!AL21='Conference Counter'!AN21,'More Stats'!N24&lt;'More Stats'!N25),"AZ",
IF(AND(D22="LAR/SEA/AZ",C23=C24,C23=C25,'Conference Counter'!AJ21='Conference Counter'!AL21,'Conference Counter'!AJ21='Conference Counter'!AN21,'More Stats'!N23&gt;'More Stats'!N24,'More Stats'!N23&gt;'More Stats'!N25),"LAR",
IF(AND(D22="LAR/SEA/AZ",C23=C24,C23=C25,'Conference Counter'!AJ21='Conference Counter'!AL21,'Conference Counter'!AJ21='Conference Counter'!AN21,'More Stats'!N24&gt;'More Stats'!N23,'More Stats'!N24&gt;'More Stats'!N25),"SEA",
IF(AND(D22="LAR/SEA/AZ",C23=C24,C23=C25,'Conference Counter'!AJ21='Conference Counter'!AL21,'Conference Counter'!AJ21='Conference Counter'!AN21,'More Stats'!N25&gt;'More Stats'!N23,'More Stats'!N25&gt;'More Stats'!N24),"AZ",
IF(AND(D22="LAR/SEA/AZ",C23=C24,C23=C25,'Conference Counter'!AJ21='Conference Counter'!AL21,'Conference Counter'!AJ21='Conference Counter'!AN21,'More Stats'!N23='More Stats'!N24,'More Stats'!N23&gt;'More Stats'!N25,'More Stats'!L23&gt;'More Stats'!L24),"LAR",
IF(AND(D22="LAR/SEA/AZ",C23=C24,C23=C25,'Conference Counter'!AJ21='Conference Counter'!AL21,'Conference Counter'!AJ21='Conference Counter'!AN21,'More Stats'!N23='More Stats'!N24,'More Stats'!N23&gt;'More Stats'!N25,'More Stats'!L23&lt;'More Stats'!L24),"SEA",
IF(AND(D22="LAR/SEA/AZ",C23=C24,C23=C25,'Conference Counter'!AJ21='Conference Counter'!AL21,'Conference Counter'!AJ21='Conference Counter'!AN21,'More Stats'!N23&gt;'More Stats'!N24,'More Stats'!N23='More Stats'!N25,'More Stats'!L23&gt;'More Stats'!L25),"LAR",
IF(AND(D22="LAR/SEA/AZ",C23=C24,C23=C25,'Conference Counter'!AJ21='Conference Counter'!AL21,'Conference Counter'!AJ21='Conference Counter'!AN21,'More Stats'!N23&gt;'More Stats'!N24,'More Stats'!N23='More Stats'!N25,'More Stats'!L23&lt;'More Stats'!L25),"AZ",
IF(AND(D22="LAR/SEA/AZ",C23=C24,C23=C25,'Conference Counter'!AJ21='Conference Counter'!AL21,'Conference Counter'!AJ21='Conference Counter'!AN21,'More Stats'!N24&gt;'More Stats'!N23,'More Stats'!N24='More Stats'!N25,'More Stats'!L24&gt;'More Stats'!L25),"SEA",
IF(AND(D22="LAR/SEA/AZ",C23=C24,C23=C25,'Conference Counter'!AJ21='Conference Counter'!AL21,'Conference Counter'!AJ21='Conference Counter'!AN21,'More Stats'!N24&gt;'More Stats'!N23,'More Stats'!N24='More Stats'!N25,'More Stats'!L24&lt;'More Stats'!L25),"AZ",
IF(AND(D22="LAR/SEA/AZ",C23=C24,C23=C25,'Conference Counter'!AJ21='Conference Counter'!AL21,'Conference Counter'!AJ21='Conference Counter'!AN21,'More Stats'!N23='More Stats'!N24,'More Stats'!N23='More Stats'!N25,'More Stats'!L23&gt;'More Stats'!L24,'More Stats'!L23&gt;'More Stats'!L25,),"LAR",
IF(AND(D22="LAR/SEA/AZ",C23=C24,C23=C25,'Conference Counter'!AJ21='Conference Counter'!AL21,'Conference Counter'!AJ21='Conference Counter'!AN21,'More Stats'!N23='More Stats'!N24,'More Stats'!N23='More Stats'!N25,'More Stats'!L24&gt;'More Stats'!L23,'More Stats'!L24&gt;'More Stats'!L25,),"SEA",
IF(AND(D22="LAR/SEA/AZ",C23=C24,C23=C25,'Conference Counter'!AJ21='Conference Counter'!AL21,'Conference Counter'!AJ21='Conference Counter'!AN21,'More Stats'!N23='More Stats'!N24,'More Stats'!N23='More Stats'!N25,'More Stats'!L25&gt;'More Stats'!L23,'More Stats'!L25&gt;'More Stats'!L24,),"AZ",
IF(AND(D22="SF/SEA/AZ",C22&gt;C24,C22&gt;C25),"SF",
IF(AND(D22="SF/SEA/AZ",C24&gt;C22,C24&gt;C25),"SEA",
IF(AND(D22="SF/SEA/AZ",C25&gt;C22,C25&gt;C24),"AZ",
IF(AND(D22="SF/SEA/AZ",C22=C24,C22&gt;C25,'Conference Counter'!AH21&gt;'Conference Counter'!AL21),"SF",
IF(AND(D22="SF/SEA/AZ",C22=C24,C22&gt;C25,'Conference Counter'!AH21&lt;'Conference Counter'!AL21),"SEA",
IF(AND(D22="SF/SEA/AZ",C22=C24,C22&gt;C25,'Conference Counter'!AH21='Conference Counter'!AL21,'More Stats'!N22&gt;'More Stats'!N24),"SF",
IF(AND(D22="SF/SEA/AZ",C22=C24,C22&gt;C25,'Conference Counter'!AH21='Conference Counter'!AL21,'More Stats'!N22&lt;'More Stats'!N24),"SEA",
IF(AND(D22="SF/SEA/AZ",C22=C24,C22&gt;C25,'Conference Counter'!AH21='Conference Counter'!AL21,'More Stats'!N22='More Stats'!N24,'More Stats'!L22&gt;'More Stats'!L24),"SF",
IF(AND(D22="SF/SEA/AZ",C22=C24,C22&gt;C25,'Conference Counter'!AH21='Conference Counter'!AL21,'More Stats'!N22='More Stats'!N24,'More Stats'!L22&lt;'More Stats'!L24),"SEA",
IF(AND(D22="SF/SEA/AZ",C22&gt;C24,C22=C25,'Conference Counter'!AH21&gt;'Conference Counter'!AN21),"SF",
IF(AND(D22="SF/SEA/AZ",C22&gt;C24,C22=C25,'Conference Counter'!AH21&lt;'Conference Counter'!AN21),"AZ",
IF(AND(D22="SF/SEA/AZ",C22&gt;C24,C22=C25,'Conference Counter'!AH21='Conference Counter'!AN21,'More Stats'!N22&gt;'More Stats'!N24),"SF",
IF(AND(D22="SF/SEA/AZ",C22&gt;C24,C22=C25,'Conference Counter'!AH21='Conference Counter'!AN21,'More Stats'!N22&lt;'More Stats'!N24),"AZ",
IF(AND(D22="SF/SEA/AZ",C22&gt;C24,C22=C25,'Conference Counter'!AH21='Conference Counter'!AN21,'More Stats'!N22='More Stats'!N24,'More Stats'!L22&gt;'More Stats'!L24),"SF",
IF(AND(D22="SF/SEA/AZ",C22&gt;C24,C22=C25,'Conference Counter'!AH21='Conference Counter'!AN21,'More Stats'!N22='More Stats'!N24,'More Stats'!L22&lt;'More Stats'!L24),"AZ",
IF(AND(D22="SF/SEA/AZ",C24&gt;C22,C24=C25,'Conference Counter'!AL21&gt;'Conference Counter'!AN21),"SEA",
IF(AND(D22="SF/SEA/AZ",C24&gt;C22,C24=C25,'Conference Counter'!AL21&lt;'Conference Counter'!AN21),"AZ",
IF(AND(D22="SF/SEA/AZ",C24&gt;C22,C24=C25,'Conference Counter'!AL21='Conference Counter'!AN21,'More Stats'!N24&gt;'More Stats'!N25),"SEA",
IF(AND(D22="SF/SEA/AZ",C24&gt;C22,C24=C25,'Conference Counter'!AL21='Conference Counter'!AN21,'More Stats'!N24&lt;'More Stats'!N25),"AZ",
IF(AND(D22="SF/SEA/AZ",C24&gt;C22,C24=C25,'Conference Counter'!AL21='Conference Counter'!AN21,'More Stats'!N24='More Stats'!N25,'More Stats'!L24&gt;'More Stats'!L25),"SEA",
IF(AND(D22="SF/SEA/AZ",C24&gt;C22,C24=C25,'Conference Counter'!AL21='Conference Counter'!AN21,'More Stats'!N24='More Stats'!N25,'More Stats'!L24&lt;'More Stats'!L25),"AZ",
IF(AND(D22="SF/SEA/AZ",C22=C24,C22=C25,'Conference Counter'!AH21&gt;'Conference Counter'!AL21,'Conference Counter'!AH21&gt;'Conference Counter'!AN21),"SF",
IF(AND(D22="SF/SEA/AZ",C22=C24,C22=C25,'Conference Counter'!AL21&gt;'Conference Counter'!AH21,'Conference Counter'!AL21&gt;'Conference Counter'!AN21),"SEA",
IF(AND(D22="SF/SEA/AZ",C22=C24,C22=C25,'Conference Counter'!AN21&gt;'Conference Counter'!AH21,'Conference Counter'!AN21&gt;'Conference Counter'!AL21),"AZ",
IF(AND(D22="SF/SEA/AZ",C22=C24,C22=C25,'Conference Counter'!AH21='Conference Counter'!AL21,'Conference Counter'!AH21&gt;'Conference Counter'!AN21,'More Stats'!N22&gt;'More Stats'!N24),"SF",
IF(AND(D22="SF/SEA/AZ",C22=C24,C22=C25,'Conference Counter'!AH21='Conference Counter'!AL21,'Conference Counter'!AH21&gt;'Conference Counter'!AN21,'More Stats'!N22&lt;'More Stats'!N24),"SEA",
IF(AND(D22="SF/SEA/AZ",C22=C24,C22=C25,'Conference Counter'!AH21&gt;'Conference Counter'!AL21,'Conference Counter'!AH21='Conference Counter'!AN21,'More Stats'!N22&gt;'More Stats'!N25),"SF",
IF(AND(D22="SF/SEA/AZ",C22=C24,C22=C25,'Conference Counter'!AH21&gt;'Conference Counter'!AL21,'Conference Counter'!AH21='Conference Counter'!AN21,'More Stats'!N22&lt;'More Stats'!N25),"AZ",
IF(AND(D22="SF/SEA/AZ",C22=C24,C22=C25,'Conference Counter'!AL21&gt;'Conference Counter'!AH21,'Conference Counter'!AL21='Conference Counter'!AN21,'More Stats'!N24&gt;'More Stats'!N25),"SEA",
IF(AND(D22="SF/SEA/AZ",C22=C24,C22=C25,'Conference Counter'!AL21&gt;'Conference Counter'!AH21,'Conference Counter'!AL21='Conference Counter'!AN21,'More Stats'!N24&lt;'More Stats'!N25),"AZ",
IF(AND(D22="SF/SEA/AZ",C22=C24,C22=C25,'Conference Counter'!AH21='Conference Counter'!AL21,'Conference Counter'!AH21='Conference Counter'!AN21,'More Stats'!N22&gt;'More Stats'!N24,'More Stats'!N22&gt;'More Stats'!N25),"SF",
IF(AND(D22="SF/SEA/AZ",C22=C24,C22=C25,'Conference Counter'!AH21='Conference Counter'!AL21,'Conference Counter'!AH21='Conference Counter'!AN21,'More Stats'!N24&gt;'More Stats'!N22,'More Stats'!N24&gt;'More Stats'!N25),"SEA",
IF(AND(D22="SF/SEA/AZ",C22=C24,C22=C25,'Conference Counter'!AH21='Conference Counter'!AL21,'Conference Counter'!AH21='Conference Counter'!AN21,'More Stats'!N25&gt;'More Stats'!N22,'More Stats'!N25&gt;'More Stats'!N24),"AZ",
IF(AND(D22="SF/SEA/AZ",C22=C24,C22=C25,'Conference Counter'!AH21='Conference Counter'!AL21,'Conference Counter'!AH21='Conference Counter'!AN21,'More Stats'!N22='More Stats'!N24,'More Stats'!N22&gt;'More Stats'!N25,'More Stats'!L22&gt;'More Stats'!L24),"SF",
IF(AND(D22="SF/SEA/AZ",C22=C24,C22=C25,'Conference Counter'!AH21='Conference Counter'!AL21,'Conference Counter'!AH21='Conference Counter'!AN21,'More Stats'!N22='More Stats'!N24,'More Stats'!N22&gt;'More Stats'!N25,'More Stats'!L22&lt;'More Stats'!L24),"SEA",
IF(AND(D22="SF/SEA/AZ",C22=C24,C22=C25,'Conference Counter'!AH21='Conference Counter'!AL21,'Conference Counter'!AH21='Conference Counter'!AN21,'More Stats'!N22&gt;'More Stats'!N24,'More Stats'!N22='More Stats'!N25,'More Stats'!L22&gt;'More Stats'!L25),"SF",
IF(AND(D22="SF/SEA/AZ",C22=C24,C22=C25,'Conference Counter'!AH21='Conference Counter'!AL21,'Conference Counter'!AH21='Conference Counter'!AN21,'More Stats'!N22&gt;'More Stats'!N24,'More Stats'!N22='More Stats'!N25,'More Stats'!L22&lt;'More Stats'!L25),"AZ",
IF(AND(D22="SF/SEA/AZ",C22=C24,C22=C25,'Conference Counter'!AH21='Conference Counter'!AL21,'Conference Counter'!AH21='Conference Counter'!AN21,'More Stats'!N24&gt;'More Stats'!N22,'More Stats'!N24='More Stats'!N25,'More Stats'!L24&gt;'More Stats'!L25),"SEA",
IF(AND(D22="SF/SEA/AZ",C22=C24,C22=C25,'Conference Counter'!AH21='Conference Counter'!AL21,'Conference Counter'!AH21='Conference Counter'!AN21,'More Stats'!N24&gt;'More Stats'!N22,'More Stats'!N24='More Stats'!N25,'More Stats'!L24&lt;'More Stats'!L25),"AZ",
IF(AND(D22="SF/SEA/AZ",C22=C24,C22=C25,'Conference Counter'!AH21='Conference Counter'!AL21,'Conference Counter'!AH21='Conference Counter'!AN21,'More Stats'!N22='More Stats'!N24,'More Stats'!N22='More Stats'!N25,'More Stats'!L22&gt;'More Stats'!L24,'More Stats'!L22&gt;'More Stats'!L25,),"SF",
IF(AND(D22="SF/SEA/AZ",C22=C24,C22=C25,'Conference Counter'!AH21='Conference Counter'!AL21,'Conference Counter'!AH21='Conference Counter'!AN21,'More Stats'!N22='More Stats'!N24,'More Stats'!N22='More Stats'!N25,'More Stats'!L24&gt;'More Stats'!L22,'More Stats'!L24&gt;'More Stats'!L25,),"SEA",
IF(AND(D22="SF/SEA/AZ",C22=C24,C22=C25,'Conference Counter'!AH21='Conference Counter'!AL21,'Conference Counter'!AH21='Conference Counter'!AN21,'More Stats'!N22='More Stats'!N24,'More Stats'!N22='More Stats'!N25,'More Stats'!L25&gt;'More Stats'!L22,'More Stats'!L25&gt;'More Stats'!L24,),"AZ",
IF(AND(D22="SF/LAR/AZ",C22&gt;C23,C22&gt;C25),"SF",
IF(AND(D22="SF/LAR/AZ",C23&gt;C22,C23&gt;C25),"LAR",
IF(AND(D22="SF/LAR/AZ",C25&gt;C22,C25&gt;C23),"AZ",
IF(AND(D22="SF/LAR/AZ",C22=C23,C22&gt;C25,'Conference Counter'!AH21&gt;'Conference Counter'!AJ21),"SF",
IF(AND(D22="SF/LAR/AZ",C22=C23,C22&gt;C25,'Conference Counter'!AH21&lt;'Conference Counter'!AJ21),"LAR",
IF(AND(D22="SF/LAR/AZ",C22=C23,C22&gt;C25,'Conference Counter'!AH21='Conference Counter'!AJ21,'More Stats'!N22&gt;'More Stats'!N23),"SF",
IF(AND(D22="SF/LAR/AZ",C22=C23,C22&gt;C25,'Conference Counter'!AH21='Conference Counter'!AJ21,'More Stats'!N22&lt;'More Stats'!N23),"LAR",
IF(AND(D22="SF/LAR/AZ",C22=C23,C22&gt;C25,'Conference Counter'!AH21='Conference Counter'!AJ21,'More Stats'!N22='More Stats'!N23,'More Stats'!L22&gt;'More Stats'!L23),"SF",
IF(AND(D22="SF/LAR/AZ",C22=C23,C22&gt;C25,'Conference Counter'!AH21='Conference Counter'!AJ21,'More Stats'!N22='More Stats'!N23,'More Stats'!L22&lt;'More Stats'!L23),"LAR",
IF(AND(D22="SF/LAR/AZ",C22&gt;C23,C22=C25,'Conference Counter'!AH21&gt;'Conference Counter'!AN21),"SF",
IF(AND(D22="SF/LAR/AZ",C22&gt;C23,C22=C25,'Conference Counter'!AH21&lt;'Conference Counter'!AN21),"AZ",
IF(AND(D22="SF/LAR/AZ",C22&gt;C23,C22=C25,'Conference Counter'!AH21='Conference Counter'!AN21,'More Stats'!N22&gt;'More Stats'!N25),"SF",
IF(AND(D22="SF/LAR/AZ",C22&gt;C23,C22=C25,'Conference Counter'!AH21='Conference Counter'!AN21,'More Stats'!N22&lt;'More Stats'!N25),"AZ",
IF(AND(D22="SF/LAR/AZ",C22&gt;C23,C22=C25,'Conference Counter'!AH21='Conference Counter'!AN21,'More Stats'!N22='More Stats'!N25,'More Stats'!L22&gt;'More Stats'!L25),"SF",
IF(AND(D22="SF/LAR/AZ",C22&gt;C23,C22=C25,'Conference Counter'!AH21='Conference Counter'!AN21,'More Stats'!N22='More Stats'!N25,'More Stats'!L22&lt;'More Stats'!L25),"AZ",
IF(AND(D22="SF/LAR/AZ",C23&gt;C22,C23=C25,'Conference Counter'!AJ21&gt;'Conference Counter'!AN21),"LAR",
IF(AND(D22="SF/LAR/AZ",C23&gt;C22,C23=C25,'Conference Counter'!AJ21&lt;'Conference Counter'!AN21),"AZ",
IF(AND(D22="SF/LAR/AZ",C23&gt;C22,C23=C25,'Conference Counter'!AJ21='Conference Counter'!AN21,'More Stats'!N23&gt;'More Stats'!N25),"LAR",
IF(AND(D22="SF/LAR/AZ",C23&gt;C22,C23=C25,'Conference Counter'!AJ21='Conference Counter'!AN21,'More Stats'!N23&lt;'More Stats'!N25),"AZ",
IF(AND(D22="SF/LAR/AZ",C23&gt;C22,C23=C25,'Conference Counter'!AJ21='Conference Counter'!AN21,'More Stats'!N23='More Stats'!N25,'More Stats'!L23&gt;'More Stats'!L25),"LAR",
IF(AND(D22="SF/LAR/AZ",C23&gt;C22,C23=C25,'Conference Counter'!AJ21='Conference Counter'!AN21,'More Stats'!N23='More Stats'!N25,'More Stats'!L23&lt;'More Stats'!L25),"AZ",
IF(AND(D22="SF/LAR/AZ",C22=C23,C22=C25,'Conference Counter'!AH21&gt;'Conference Counter'!AJ21,'Conference Counter'!AH21&gt;'Conference Counter'!AN21),"SF",
IF(AND(D22="SF/LAR/AZ",C22=C23,C22=C25,'Conference Counter'!AJ21&gt;'Conference Counter'!AH21,'Conference Counter'!AJ21&gt;'Conference Counter'!AN21),"LAR",
IF(AND(D22="SF/LAR/AZ",C22=C23,C22=C25,'Conference Counter'!AN21&gt;'Conference Counter'!AH21,'Conference Counter'!AN21&gt;'Conference Counter'!AJ21),"AZ",
IF(AND(D22="SF/LAR/AZ",C22=C23,C22=C25,'Conference Counter'!AH21='Conference Counter'!AJ21,'Conference Counter'!AH21&gt;'Conference Counter'!AN21,'More Stats'!N22&gt;'More Stats'!N23),"SF",
IF(AND(D22="SF/LAR/AZ",C22=C23,C22=C25,'Conference Counter'!AH21='Conference Counter'!AJ21,'Conference Counter'!AH21&gt;'Conference Counter'!AN21,'More Stats'!N22&lt;'More Stats'!N23),"LAR",
IF(AND(D22="SF/LAR/AZ",C22=C23,C22=C25,'Conference Counter'!AH21&gt;'Conference Counter'!AJ21,'Conference Counter'!AH21='Conference Counter'!AN21,'More Stats'!N22&gt;'More Stats'!N25),"SF",
IF(AND(D22="SF/LAR/AZ",C22=C23,C22=C25,'Conference Counter'!AH21&gt;'Conference Counter'!AJ21,'Conference Counter'!AH21='Conference Counter'!AN21,'More Stats'!N22&lt;'More Stats'!N25),"AZ",
IF(AND(D22="SF/LAR/AZ",C22=C23,C22=C25,'Conference Counter'!AJ21&gt;'Conference Counter'!AH21,'Conference Counter'!AJ21='Conference Counter'!AN21,'More Stats'!N23&gt;'More Stats'!N25),"LAR",
IF(AND(D22="SF/LAR/AZ",C22=C23,C22=C25,'Conference Counter'!AJ21&gt;'Conference Counter'!AH21,'Conference Counter'!AJ21='Conference Counter'!AN21,'More Stats'!N23&lt;'More Stats'!N25),"AZ",
IF(AND(D22="SF/LAR/AZ",C22=C23,C22=C25,'Conference Counter'!AH21='Conference Counter'!AJ21,'Conference Counter'!AH21='Conference Counter'!AN21,'More Stats'!N22&gt;'More Stats'!N23,'More Stats'!N22&gt;'More Stats'!N25),"SF",
IF(AND(D22="SF/LAR/AZ",C22=C23,C22=C25,'Conference Counter'!AH21='Conference Counter'!AJ21,'Conference Counter'!AH21='Conference Counter'!AN21,'More Stats'!N23&gt;'More Stats'!N22,'More Stats'!N23&gt;'More Stats'!N25),"LAR",
IF(AND(D22="SF/LAR/AZ",C22=C23,C22=C25,'Conference Counter'!AH21='Conference Counter'!AJ21,'Conference Counter'!AH21='Conference Counter'!AN21,'More Stats'!N25&gt;'More Stats'!N22,'More Stats'!N25&gt;'More Stats'!N23),"AZ",
IF(AND(D22="SF/LAR/AZ",C22=C23,C22=C25,'Conference Counter'!AH21='Conference Counter'!AJ21,'Conference Counter'!AH21='Conference Counter'!AN21,'More Stats'!N22='More Stats'!N23,'More Stats'!N22&gt;'More Stats'!N25,'More Stats'!L22&gt;'More Stats'!L23),"SF",
IF(AND(D22="SF/LAR/AZ",C22=C23,C22=C25,'Conference Counter'!AH21='Conference Counter'!AJ21,'Conference Counter'!AH21='Conference Counter'!AN21,'More Stats'!N22='More Stats'!N23,'More Stats'!N22&gt;'More Stats'!N25,'More Stats'!L22&lt;'More Stats'!L23),"LAR",
IF(AND(D22="SF/LAR/AZ",C22=C23,C22=C25,'Conference Counter'!AH21='Conference Counter'!AJ21,'Conference Counter'!AH21='Conference Counter'!AN21,'More Stats'!N22&gt;'More Stats'!N23,'More Stats'!N22='More Stats'!N25,'More Stats'!L22&gt;'More Stats'!L25),"SF",
IF(AND(D22="SF/LAR/AZ",C22=C23,C22=C25,'Conference Counter'!AH21='Conference Counter'!AJ21,'Conference Counter'!AH21='Conference Counter'!AN21,'More Stats'!N22&gt;'More Stats'!N23,'More Stats'!N22='More Stats'!N25,'More Stats'!L22&lt;'More Stats'!L25),"AZ",
IF(AND(D22="SF/LAR/AZ",C22=C23,C22=C25,'Conference Counter'!AH21='Conference Counter'!AJ21,'Conference Counter'!AH21='Conference Counter'!AN21,'More Stats'!N23&gt;'More Stats'!N22,'More Stats'!N23='More Stats'!N25,'More Stats'!L23&gt;'More Stats'!L25),"LAR",
IF(AND(D22="SF/LAR/AZ",C22=C23,C22=C25,'Conference Counter'!AH21='Conference Counter'!AJ21,'Conference Counter'!AH21='Conference Counter'!AN21,'More Stats'!N23&gt;'More Stats'!N22,'More Stats'!N23='More Stats'!N25,'More Stats'!L23&lt;'More Stats'!L25),"AZ",
IF(AND(D22="SF/LAR/AZ",C22=C23,C22=C25,'Conference Counter'!AH21='Conference Counter'!AJ21,'Conference Counter'!AH21='Conference Counter'!AN21,'More Stats'!N22='More Stats'!N23,'More Stats'!N22='More Stats'!N25,'More Stats'!L22&gt;'More Stats'!L23,'More Stats'!L22&gt;'More Stats'!L25,),"SF",
IF(AND(D22="SF/LAR/AZ",C22=C23,C22=C25,'Conference Counter'!AH21='Conference Counter'!AJ21,'Conference Counter'!AH21='Conference Counter'!AN21,'More Stats'!N22='More Stats'!N23,'More Stats'!N22='More Stats'!N25,'More Stats'!L23&gt;'More Stats'!L22,'More Stats'!L23&gt;'More Stats'!L25,),"LAR",
IF(AND(D22="SF/LAR/AZ",C22=C23,C22=C25,'Conference Counter'!AH21='Conference Counter'!AJ21,'Conference Counter'!AH21='Conference Counter'!AN21,'More Stats'!N22='More Stats'!N23,'More Stats'!N22='More Stats'!N25,'More Stats'!L25&gt;'More Stats'!L22,'More Stats'!L25&gt;'More Stats'!L23,),"AZ",
IF(AND(D22="SF/LAR/SEA",C22&gt;C23,C22&gt;C24),"SF",
IF(AND(D22="SF/LAR/SEA",C23&gt;C22,C23&gt;C24),"LAR",
IF(AND(D22="SF/LAR/SEA",C24&gt;C22,C24&gt;C23),"SEA",
IF(AND(D22="SF/LAR/SEA",C22=C23,C22&gt;C24,'Conference Counter'!AH21&gt;'Conference Counter'!AJ21),"SF",
IF(AND(D22="SF/LAR/SEA",C22=C23,C22&gt;C24,'Conference Counter'!AH21&lt;'Conference Counter'!AJ21),"LAR",
IF(AND(D22="SF/LAR/SEA",C22=C23,C22&gt;C24,'Conference Counter'!AH21='Conference Counter'!AJ21,'More Stats'!N22&gt;'More Stats'!N23),"SF",
IF(AND(D22="SF/LAR/SEA",C22=C23,C22&gt;C24,'Conference Counter'!AH21='Conference Counter'!AJ21,'More Stats'!N22&lt;'More Stats'!N23),"LAR",
IF(AND(D22="SF/LAR/SEA",C22=C23,C22&gt;C24,'Conference Counter'!AH21='Conference Counter'!AJ21,'More Stats'!N22='More Stats'!N23,'More Stats'!L22&gt;'More Stats'!L23),"SF",
IF(AND(D22="SF/LAR/SEA",C22=C23,C22&gt;C24,'Conference Counter'!AH21='Conference Counter'!AJ21,'More Stats'!N22='More Stats'!N23,'More Stats'!L22&lt;'More Stats'!L23),"LAR",
IF(AND(D22="SF/LAR/SEA",C22&gt;C23,C22=C24,'Conference Counter'!AH21&gt;'Conference Counter'!AL21),"SF",
IF(AND(D22="SF/LAR/SEA",C22&gt;C23,C22=C24,'Conference Counter'!AH21&lt;'Conference Counter'!AL21),"SEA",
IF(AND(D22="SF/LAR/SEA",C22&gt;C23,C22=C24,'Conference Counter'!AH21='Conference Counter'!AL21,'More Stats'!N22&gt;'More Stats'!N24),"SF",
IF(AND(D22="SF/LAR/SEA",C22&gt;C23,C22=C24,'Conference Counter'!AH21='Conference Counter'!AL21,'More Stats'!N22&lt;'More Stats'!N24),"SEA",
IF(AND(D22="SF/LAR/SEA",C22&gt;C23,C22=C24,'Conference Counter'!AH21='Conference Counter'!AL21,'More Stats'!N22='More Stats'!N24,'More Stats'!L22&gt;'More Stats'!L24),"SF",
IF(AND(D22="SF/LAR/SEA",C22&gt;C23,C22=C24,'Conference Counter'!AH21='Conference Counter'!AL21,'More Stats'!N22='More Stats'!N24,'More Stats'!L22&lt;'More Stats'!L24),"SEA",
IF(AND(D22="SF/LAR/SEA",C23&gt;C22,C23=C24,'Conference Counter'!AJ21&gt;'Conference Counter'!AL21),"LAR",
IF(AND(D22="SF/LAR/SEA",C23&gt;C22,C23=C24,'Conference Counter'!AJ21&lt;'Conference Counter'!AL21),"SEA",
IF(AND(D22="SF/LAR/SEA",C23&gt;C22,C23=C24,'Conference Counter'!AJ21='Conference Counter'!AL21,'More Stats'!N23&gt;'More Stats'!N24),"LAR",
IF(AND(D22="SF/LAR/SEA",C23&gt;C22,C23=C24,'Conference Counter'!AJ21='Conference Counter'!AL21,'More Stats'!N23&lt;'More Stats'!N24),"SEA",
IF(AND(D22="SF/LAR/SEA",C23&gt;C22,C23=C24,'Conference Counter'!AJ21='Conference Counter'!AL21,'More Stats'!N23='More Stats'!N24,'More Stats'!L23&gt;'More Stats'!L24),"LAR",
IF(AND(D22="SF/LAR/SEA",C23&gt;C22,C23=C24,'Conference Counter'!AJ21='Conference Counter'!AL21,'More Stats'!N23='More Stats'!N24,'More Stats'!L23&lt;'More Stats'!L24),"SEA",
IF(AND(D22="SF/LAR/SEA",C22=C23,C22=C24,'Conference Counter'!AH21&gt;'Conference Counter'!AJ21,'Conference Counter'!AH21&gt;'Conference Counter'!AL21),"SF",
IF(AND(D22="SF/LAR/SEA",C22=C23,C22=C24,'Conference Counter'!AJ21&gt;'Conference Counter'!AH21,'Conference Counter'!AJ21&gt;'Conference Counter'!AL21),"LAR",
IF(AND(D22="SF/LAR/SEA",C22=C23,C22=C24,'Conference Counter'!AL21&gt;'Conference Counter'!AH21,'Conference Counter'!AL21&gt;'Conference Counter'!AJ21),"SEA",
IF(AND(D22="SF/LAR/SEA",C22=C23,C22=C24,'Conference Counter'!AH21='Conference Counter'!AJ21,'Conference Counter'!AH21&gt;'Conference Counter'!AL21,'More Stats'!N22&gt;'More Stats'!N23),"SF",
IF(AND(D22="SF/LAR/SEA",C22=C23,C22=C24,'Conference Counter'!AH21='Conference Counter'!AJ21,'Conference Counter'!AH21&gt;'Conference Counter'!AL21,'More Stats'!N22&lt;'More Stats'!N23),"LAR",
IF(AND(D22="SF/LAR/SEA",C22=C23,C22=C24,'Conference Counter'!AH21&gt;'Conference Counter'!AJ21,'Conference Counter'!AH21='Conference Counter'!AL21,'More Stats'!N22&gt;'More Stats'!N24),"SF",
IF(AND(D22="SF/LAR/SEA",C22=C23,C22=C24,'Conference Counter'!AH21&gt;'Conference Counter'!AJ21,'Conference Counter'!AH21='Conference Counter'!AL21,'More Stats'!N22&lt;'More Stats'!N24),"SEA",
IF(AND(D22="SF/LAR/SEA",C22=C23,C22=C24,'Conference Counter'!AJ21&gt;'Conference Counter'!AH21,'Conference Counter'!AJ21='Conference Counter'!AL21,'More Stats'!N23&gt;'More Stats'!N24),"LAR",
IF(AND(D22="SF/LAR/SEA",C22=C23,C22=C24,'Conference Counter'!AJ21&gt;'Conference Counter'!AH21,'Conference Counter'!AJ21='Conference Counter'!AL21,'More Stats'!N23&lt;'More Stats'!N24),"SEA",
IF(AND(D22="SF/LAR/SEA",C22=C23,C22=C24,'Conference Counter'!AH21='Conference Counter'!AJ21,'Conference Counter'!AH21='Conference Counter'!AL21,'More Stats'!N22&gt;'More Stats'!N23,'More Stats'!N22&gt;'More Stats'!N24),"SF",
IF(AND(D22="SF/LAR/SEA",C22=C23,C22=C24,'Conference Counter'!AH21='Conference Counter'!AJ21,'Conference Counter'!AH21='Conference Counter'!AL21,'More Stats'!N23&gt;'More Stats'!N22,'More Stats'!N23&gt;'More Stats'!N24),"LAR",
IF(AND(D22="SF/LAR/SEA",C22=C23,C22=C24,'Conference Counter'!AH21='Conference Counter'!AJ21,'Conference Counter'!AH21='Conference Counter'!AL21,'More Stats'!N24&gt;'More Stats'!N22,'More Stats'!N24&gt;'More Stats'!N23),"SEA",
IF(AND(D22="SF/LAR/SEA",C22=C23,C22=C24,'Conference Counter'!AH21='Conference Counter'!AJ21,'Conference Counter'!AH21='Conference Counter'!AL21,'More Stats'!N22='More Stats'!N23,'More Stats'!N22&gt;'More Stats'!N24,'More Stats'!L22&gt;'More Stats'!L23),"SF",
IF(AND(D22="SF/LAR/SEA",C22=C23,C22=C24,'Conference Counter'!AH21='Conference Counter'!AJ21,'Conference Counter'!AH21='Conference Counter'!AL21,'More Stats'!N22='More Stats'!N23,'More Stats'!N22&gt;'More Stats'!N24,'More Stats'!L22&lt;'More Stats'!L23),"LAR",
IF(AND(D22="SF/LAR/SEA",C22=C23,C22=C24,'Conference Counter'!AH21='Conference Counter'!AJ21,'Conference Counter'!AH21='Conference Counter'!AL21,'More Stats'!N22&gt;'More Stats'!N23,'More Stats'!N22='More Stats'!N24,'More Stats'!L22&gt;'More Stats'!L24),"SF",
IF(AND(D22="SF/LAR/SEA",C22=C23,C22=C24,'Conference Counter'!AH21='Conference Counter'!AJ21,'Conference Counter'!AH21='Conference Counter'!AL21,'More Stats'!N22&gt;'More Stats'!N23,'More Stats'!N22='More Stats'!N24,'More Stats'!L22&lt;'More Stats'!L24),"SEA",
IF(AND(D22="SF/LAR/SEA",C22=C23,C22=C24,'Conference Counter'!AH21='Conference Counter'!AJ21,'Conference Counter'!AH21='Conference Counter'!AL21,'More Stats'!N23&gt;'More Stats'!N22,'More Stats'!N23='More Stats'!N24,'More Stats'!L23&gt;'More Stats'!L24),"LAR",
IF(AND(D22="SF/LAR/SEA",C22=C23,C22=C24,'Conference Counter'!AH21='Conference Counter'!AJ21,'Conference Counter'!AH21='Conference Counter'!AL21,'More Stats'!N23&gt;'More Stats'!N22,'More Stats'!N23='More Stats'!N24,'More Stats'!L23&lt;'More Stats'!L24),"SEA",
IF(AND(D22="SF/LAR/SEA",C22=C23,C22=C24,'Conference Counter'!AH21='Conference Counter'!AJ21,'Conference Counter'!AH21='Conference Counter'!AL21,'More Stats'!N22='More Stats'!N23,'More Stats'!N22='More Stats'!N24,'More Stats'!L22&gt;'More Stats'!L23,'More Stats'!L22&gt;'More Stats'!L24,),"SF",
IF(AND(D22="SF/LAR/SEA",C22=C23,C22=C24,'Conference Counter'!AH21='Conference Counter'!AJ21,'Conference Counter'!AH21='Conference Counter'!AL21,'More Stats'!N22='More Stats'!N23,'More Stats'!N22='More Stats'!N24,'More Stats'!L23&gt;'More Stats'!L22,'More Stats'!L23&gt;'More Stats'!L24,),"LAR",
IF(AND(D22="SF/LAR/SEA",C22=C23,C22=C24,'Conference Counter'!AH21='Conference Counter'!AJ21,'Conference Counter'!AH21='Conference Counter'!AL21,'More Stats'!N22='More Stats'!N23,'More Stats'!N22='More Stats'!N24,'More Stats'!L24&gt;'More Stats'!L22,'More Stats'!L24&gt;'More Stats'!L23,),"SEA",
IF(AND(D22="SF/LAR/SEA/AZ",C22&gt;C23,C22&gt;C24,C22&gt;C25),"SF",
IF(AND(D22="SF/LAR/SEA/AZ",C23&gt;C22,C23&gt;C24,C23&gt;C25),"LAR",
IF(AND(D22="SF/LAR/SEA/AZ",C24&gt;C22,C24&gt;C23,C24&gt;C25),"SEA",
IF(AND(D22="SF/LAR/SEA/AZ",C25&gt;C22,C25&gt;C23,C25&gt;C24),"AZ",
"TBD"))))))))))))))))))))))))))))))))))))))))))))))))))))))))))))))))))))))))))))))))))))))))))))))))))))))))))))))))))))))))))))))))))))))))))))))))))))))))))))))))))))))))))))))))))))))))))))))))))))))))))))))))))))))))))))))))))))))))))))</f>
        <v>LAR</v>
      </c>
      <c r="F22" s="276"/>
      <c r="G22" s="284"/>
      <c r="H22" s="284"/>
      <c r="I22" s="284"/>
      <c r="J22" s="284"/>
      <c r="K22" s="284"/>
      <c r="L22" s="284"/>
      <c r="M22" s="268"/>
      <c r="N22" s="268" t="str">
        <f t="array" ref="N22:R37">SORT(N5:R20,2,FALSE,3,FALSE,4,FALSE,5,FALSE)</f>
        <v/>
      </c>
      <c r="O22" s="268" t="s">
        <v>706</v>
      </c>
      <c r="P22" s="268" t="s">
        <v>706</v>
      </c>
      <c r="Q22" s="268" t="s">
        <v>706</v>
      </c>
      <c r="R22" s="268" t="s">
        <v>706</v>
      </c>
      <c r="S22" s="268"/>
      <c r="T22" s="286" t="str">
        <f t="shared" ref="T22:T24" si="4">IF(O61&lt;&gt;0,INDEX(N61,0),"TBD")</f>
        <v>SEA</v>
      </c>
      <c r="U22" s="268"/>
      <c r="V22" s="280" t="s">
        <v>733</v>
      </c>
      <c r="W22" s="268"/>
      <c r="X22" s="268"/>
      <c r="Y22" s="268"/>
      <c r="Z22" s="268"/>
      <c r="AA22" s="268"/>
      <c r="AB22" s="268"/>
      <c r="AC22" s="268"/>
      <c r="AD22" s="268"/>
      <c r="AE22" s="268"/>
      <c r="AF22" s="268"/>
      <c r="AG22" s="268"/>
      <c r="AH22" s="268"/>
      <c r="AI22" s="268"/>
      <c r="AJ22" s="268"/>
      <c r="AK22" s="268"/>
      <c r="AL22" s="268"/>
      <c r="AM22" s="268"/>
    </row>
    <row r="23">
      <c r="A23" s="266" t="s">
        <v>110</v>
      </c>
      <c r="B23" s="267">
        <f t="array" ref="B23">INDEX('More Stats'!E23,0)</f>
        <v>0.7647058824</v>
      </c>
      <c r="C23" s="268">
        <f t="array" ref="C23">INDEX('Div Record Counter'!AJ20,0)</f>
        <v>3</v>
      </c>
      <c r="D23" s="268"/>
      <c r="E23" s="268"/>
      <c r="F23" s="268"/>
      <c r="G23" s="283" t="str">
        <f t="array" ref="G23:L26">SORT(G18:L21,2,FALSE,3,FALSE,4,FALSE,5,FALSE,6,FALSE)</f>
        <v>PHI</v>
      </c>
      <c r="H23" s="267">
        <v>0.7647058823529411</v>
      </c>
      <c r="I23" s="268">
        <v>5.0</v>
      </c>
      <c r="J23" s="281">
        <v>0.75</v>
      </c>
      <c r="K23" s="282">
        <v>38.0</v>
      </c>
      <c r="L23" s="268">
        <v>351.0</v>
      </c>
      <c r="M23" s="268"/>
      <c r="N23" s="268" t="s">
        <v>706</v>
      </c>
      <c r="O23" s="268" t="s">
        <v>706</v>
      </c>
      <c r="P23" s="268" t="s">
        <v>706</v>
      </c>
      <c r="Q23" s="268" t="s">
        <v>706</v>
      </c>
      <c r="R23" s="268" t="s">
        <v>706</v>
      </c>
      <c r="S23" s="268"/>
      <c r="T23" s="286" t="str">
        <f t="shared" si="4"/>
        <v>DAL</v>
      </c>
      <c r="U23" s="268"/>
      <c r="V23" s="285" t="s">
        <v>734</v>
      </c>
      <c r="W23" s="268"/>
      <c r="X23" s="268"/>
      <c r="Y23" s="268"/>
      <c r="Z23" s="268"/>
      <c r="AA23" s="268"/>
      <c r="AB23" s="268"/>
      <c r="AC23" s="268"/>
      <c r="AD23" s="268"/>
      <c r="AE23" s="268"/>
      <c r="AF23" s="268"/>
      <c r="AG23" s="268"/>
      <c r="AH23" s="268"/>
      <c r="AI23" s="268"/>
      <c r="AJ23" s="268"/>
      <c r="AK23" s="268"/>
      <c r="AL23" s="268"/>
      <c r="AM23" s="268"/>
    </row>
    <row r="24">
      <c r="A24" s="266" t="s">
        <v>109</v>
      </c>
      <c r="B24" s="267">
        <f t="array" ref="B24">INDEX('More Stats'!E24,0)</f>
        <v>0.7058823529</v>
      </c>
      <c r="C24" s="268">
        <f t="array" ref="C24">INDEX('Div Record Counter'!AL20,0)</f>
        <v>4</v>
      </c>
      <c r="D24" s="268"/>
      <c r="E24" s="268"/>
      <c r="F24" s="268"/>
      <c r="G24" s="283" t="s">
        <v>110</v>
      </c>
      <c r="H24" s="267">
        <v>0.7647058823529411</v>
      </c>
      <c r="I24" s="268">
        <v>3.0</v>
      </c>
      <c r="J24" s="281">
        <v>0.75</v>
      </c>
      <c r="K24" s="282">
        <v>38.0</v>
      </c>
      <c r="L24" s="268">
        <v>345.0</v>
      </c>
      <c r="M24" s="268"/>
      <c r="N24" s="268" t="s">
        <v>706</v>
      </c>
      <c r="O24" s="268" t="s">
        <v>706</v>
      </c>
      <c r="P24" s="268" t="s">
        <v>706</v>
      </c>
      <c r="Q24" s="268" t="s">
        <v>706</v>
      </c>
      <c r="R24" s="268" t="s">
        <v>706</v>
      </c>
      <c r="S24" s="268"/>
      <c r="T24" s="286" t="str">
        <f t="shared" si="4"/>
        <v>CHI</v>
      </c>
      <c r="U24" s="268"/>
      <c r="V24" s="285" t="s">
        <v>745</v>
      </c>
      <c r="W24" s="268"/>
      <c r="X24" s="268"/>
      <c r="Y24" s="268"/>
      <c r="Z24" s="268"/>
      <c r="AA24" s="268"/>
      <c r="AB24" s="268"/>
      <c r="AC24" s="268"/>
      <c r="AD24" s="268"/>
      <c r="AE24" s="268"/>
      <c r="AF24" s="268"/>
      <c r="AG24" s="268"/>
      <c r="AH24" s="268"/>
      <c r="AI24" s="268"/>
      <c r="AJ24" s="268"/>
      <c r="AK24" s="268"/>
      <c r="AL24" s="268"/>
      <c r="AM24" s="268"/>
    </row>
    <row r="25">
      <c r="A25" s="266" t="s">
        <v>117</v>
      </c>
      <c r="B25" s="267">
        <f t="array" ref="B25">INDEX('More Stats'!E25,0)</f>
        <v>0.2941176471</v>
      </c>
      <c r="C25" s="268">
        <f t="array" ref="C25">INDEX('Div Record Counter'!AN20,0)</f>
        <v>1</v>
      </c>
      <c r="D25" s="268"/>
      <c r="E25" s="268"/>
      <c r="F25" s="268"/>
      <c r="G25" s="283" t="s">
        <v>138</v>
      </c>
      <c r="H25" s="267">
        <v>0.6470588235294118</v>
      </c>
      <c r="I25" s="268">
        <v>3.0</v>
      </c>
      <c r="J25" s="281">
        <v>0.6666666666666666</v>
      </c>
      <c r="K25" s="282">
        <v>15.0</v>
      </c>
      <c r="L25" s="268">
        <v>375.0</v>
      </c>
      <c r="M25" s="268"/>
      <c r="N25" s="268" t="s">
        <v>706</v>
      </c>
      <c r="O25" s="268" t="s">
        <v>706</v>
      </c>
      <c r="P25" s="268" t="s">
        <v>706</v>
      </c>
      <c r="Q25" s="268" t="s">
        <v>706</v>
      </c>
      <c r="R25" s="268" t="s">
        <v>706</v>
      </c>
      <c r="S25" s="268"/>
      <c r="T25" s="268"/>
      <c r="U25" s="268"/>
      <c r="V25" s="280" t="s">
        <v>736</v>
      </c>
      <c r="W25" s="268"/>
      <c r="X25" s="268"/>
      <c r="Y25" s="268"/>
      <c r="Z25" s="268"/>
      <c r="AA25" s="268"/>
      <c r="AB25" s="268"/>
      <c r="AC25" s="268"/>
      <c r="AD25" s="268"/>
      <c r="AE25" s="268"/>
      <c r="AF25" s="268"/>
      <c r="AG25" s="268"/>
      <c r="AH25" s="268"/>
      <c r="AI25" s="268"/>
      <c r="AJ25" s="268"/>
      <c r="AK25" s="268"/>
      <c r="AL25" s="268"/>
      <c r="AM25" s="268"/>
    </row>
    <row r="26">
      <c r="A26" s="284"/>
      <c r="B26" s="284"/>
      <c r="C26" s="284"/>
      <c r="D26" s="284"/>
      <c r="E26" s="284"/>
      <c r="F26" s="268"/>
      <c r="G26" s="283" t="s">
        <v>174</v>
      </c>
      <c r="H26" s="267">
        <v>0.5294117647058824</v>
      </c>
      <c r="I26" s="268">
        <v>4.0</v>
      </c>
      <c r="J26" s="281">
        <v>0.5</v>
      </c>
      <c r="K26" s="282">
        <v>11.0</v>
      </c>
      <c r="L26" s="268">
        <v>341.0</v>
      </c>
      <c r="M26" s="268"/>
      <c r="N26" s="290" t="s">
        <v>116</v>
      </c>
      <c r="O26" s="267">
        <v>0.7058823529411765</v>
      </c>
      <c r="P26" s="281">
        <v>0.75</v>
      </c>
      <c r="Q26" s="282">
        <v>44.0</v>
      </c>
      <c r="R26" s="268">
        <v>389.0</v>
      </c>
      <c r="S26" s="268"/>
      <c r="T26" s="268"/>
      <c r="U26" s="268"/>
      <c r="V26" s="285" t="s">
        <v>737</v>
      </c>
      <c r="W26" s="268"/>
      <c r="X26" s="268"/>
      <c r="Y26" s="268"/>
      <c r="Z26" s="268"/>
      <c r="AA26" s="268"/>
      <c r="AB26" s="268"/>
      <c r="AC26" s="268"/>
      <c r="AD26" s="268"/>
      <c r="AE26" s="268"/>
      <c r="AF26" s="268"/>
      <c r="AG26" s="268"/>
      <c r="AH26" s="268"/>
      <c r="AI26" s="268"/>
      <c r="AJ26" s="268"/>
      <c r="AK26" s="268"/>
      <c r="AL26" s="268"/>
      <c r="AM26" s="268"/>
    </row>
    <row r="27">
      <c r="A27" s="266" t="s">
        <v>118</v>
      </c>
      <c r="B27" s="267">
        <f t="array" ref="B27">INDEX('More Stats'!E27,0)</f>
        <v>0.6470588235</v>
      </c>
      <c r="C27" s="268">
        <f t="array" ref="C27">INDEX('Div Record Counter'!AP20,0)</f>
        <v>5</v>
      </c>
      <c r="D27" s="268" t="str">
        <f>IF(AND(B27&gt;B28,B27&gt;B29,B27&gt;B30),"DAL",
IF(AND(B28&gt;B27,B28&gt;B29,B28&gt;B30),"PHI",
IF(AND(B29&gt;B27,B29&gt;B28,B29&gt;B30),"NYG",
IF(AND(B30&gt;B27,B30&gt;B28,B30&gt;B29),"WSH",
IF(AND(B27&gt;B29,B27&gt;B30,B27=B28),"DAL/PHI",
IF(AND(B27&gt;B28,B27&gt;B30,B27=B29),"DAL/NYG",
IF(AND(B27&gt;B28,B27&gt;B29,B27=B30),"DAL/WSH",
IF(AND(B28&gt;B27,B28&gt;B30,B28=B29),"PHI/NYG",
IF(AND(B28&gt;B27,B28&gt;B29,B28=B30),"PHI/WSH",
IF(AND(B29&gt;B27,B29&gt;B28,B29=B30),"NYG/WSH",
IF(AND(B28&gt;B27,B29&gt;B27,B30&gt;B27,B28=B29,B28=B30),"PHI/NYG/WSH",
IF(AND(B27&gt;B28,B29&gt;B28,B30&gt;B28,B27=B29,B27=B30),"DAL/NYG/WSH",
IF(AND(B27&gt;B29,B28&gt;B29,B30&gt;B29,B27=B28,B27=B30),"DAL/PHI/WSH",
IF(AND(B27&gt;B30,B28&gt;B30,B29&gt;B30,B27=B28,B27=B29),"DAL/PHI/NYG",
IF(AND(B27=B28,B27=B29,B27=B30),"DAL/PHI/NYG/WSH",
"wtf")))))))))))))))</f>
        <v>PHI</v>
      </c>
      <c r="E27" s="268" t="str">
        <f>IF(D27="DAL","DAL",
IF(D27="PHI","PHI",
IF(D27="NYG","NYG",
IF(D27="WSH","WSH",
IF(AND(D27="DAL/PHI",'Week 7'!C16="DAL",'Week 12'!C5="DAL"),"DAL",
IF(AND(D27="DAL/PHI",'Week 7'!C16="PHI",'Week 12'!C5="PHI"),"PHI",
IF(AND(D27="DAL/PHI",C27&gt;C28),"DAL",
IF(AND(D27="DAL/PHI",C27&lt;C28),"PHI",
IF(AND(D27="DAL/PHI",C27=C28,'Conference Counter'!AP21&gt;'Conference Counter'!AR21),"DAL",
IF(AND(D27="DAL/PHI",C27=C28,'Conference Counter'!AP21&lt;'Conference Counter'!AR21),"PHI",
IF(AND(D27="DAL/PHI",C27=C28,'Conference Counter'!AP21='Conference Counter'!AR21,'More Stats'!N27&gt;'More Stats'!N28),"DAL",
IF(AND(D27="DAL/PHI",C27=C28,'Conference Counter'!AP21='Conference Counter'!AR21,'More Stats'!N27&lt;'More Stats'!N28),"PHI",
IF(AND(D27="DAL/PHI",C27=C28,'Conference Counter'!AP21='Conference Counter'!AR21,'More Stats'!N27='More Stats'!N28,'More Stats'!L27&gt;'More Stats'!L28),"DAL",
IF(AND(D27="DAL/PHI",C27=C28,'Conference Counter'!AP21='Conference Counter'!AR21,'More Stats'!N27='More Stats'!N28,'More Stats'!L27&lt;'More Stats'!L28),"PHI",
IF(AND(D27="DAL/NYG",'Week 1'!C17="DAL",'Week 17'!C10="DAL"),"DAL",
IF(AND(D27="DAL/NYG",'Week 1'!C17="NYG",'Week 17'!C10="NYG"),"NYG",
IF(AND(D27="DAL/NYG",C27&gt;C29),"DAL",
IF(AND(D27="DAL/NYG",C27&lt;C29),"NYG",
IF(AND(D27="DAL/NYG",C27=C29,'Conference Counter'!AP21&gt;'Conference Counter'!AT21),"DAL",
IF(AND(D27="DAL/NYG",C27=C29,'Conference Counter'!AP21&lt;'Conference Counter'!AT21),"NYG",
IF(AND(D27="DAL/NYG",C27=C29,'Conference Counter'!AP21='Conference Counter'!AT21,'More Stats'!N27&gt;'More Stats'!N29),"DAL",
IF(AND(D27="DAL/NYG",C27=C29,'Conference Counter'!AP21='Conference Counter'!AT21,'More Stats'!N27&lt;'More Stats'!N29),"NYG",
IF(AND(D27="DAL/NYG",C27=C29,'Conference Counter'!AP21='Conference Counter'!AT21,'More Stats'!N27='More Stats'!N29,'More Stats'!L27&gt;'More Stats'!L29),"DAL",
IF(AND(D27="DAL/NYG",C27=C29,'Conference Counter'!AP21='Conference Counter'!AT21,'More Stats'!N27='More Stats'!N29,'More Stats'!L27&lt;'More Stats'!L29),"NYG",
IF(AND(D27="DAL/WSH",'Week 2'!C14="DAL",'Week 18'!C9="DAL"),"DAL",
IF(AND(D27="DAL/WSH",'Week 2'!C14="WSH",'Week 18'!C9="WSH"),"WSH",
IF(AND(D27="DAL/WSH",C27&gt;C30),"DAL",
IF(AND(D27="DAL/WSH",C27&lt;C30),"WSH",
IF(AND(D27="DAL/WSH",C27=C30,'Conference Counter'!AP21&gt;'Conference Counter'!AV21),"DAL",
IF(AND(D27="DAL/WSH",C27=C30,'Conference Counter'!AP21&lt;'Conference Counter'!AV21),"WSH",
IF(AND(D27="DAL/WSH",C27=C30,'Conference Counter'!AP21='Conference Counter'!AV21,'More Stats'!N27&gt;'More Stats'!N30),"DAL",
IF(AND(D27="DAL/WSH",C27=C30,'Conference Counter'!AP21='Conference Counter'!AV21,'More Stats'!N27&lt;'More Stats'!N30),"WSH",
IF(AND(D27="DAL/WSH",C27=C30,'Conference Counter'!AP21='Conference Counter'!AV21,'More Stats'!N27='More Stats'!N30,'More Stats'!L27&gt;'More Stats'!L30),"DAL",
IF(AND(D27="DAL/WSH",C27=C30,'Conference Counter'!AP21='Conference Counter'!AV21,'More Stats'!N27='More Stats'!N30,'More Stats'!L27&lt;'More Stats'!L30),"WSH",
IF(AND(D27="PHI/NYG",'Week 9'!C11="PHI",'Week 18'!C18="PHI"),"PHI",
IF(AND(D27="PHI/NYG",'Week 9'!C11="NYG",'Week 18'!C18="NYG"),"NYG",
IF(AND(D27="PHI/NYG",C28&gt;C29),"PHI",
IF(AND(D27="PHI/NYG",C28&lt;C29),"NYG",
IF(AND(D27="PHI/NYG",C28=C29,'Conference Counter'!AR21&gt;'Conference Counter'!AT21),"PHI",
IF(AND(D27="PHI/NYG",C28=C29,'Conference Counter'!AR21&lt;'Conference Counter'!AT21),"NYG",
IF(AND(D27="PHI/NYG",C28=C29,'Conference Counter'!AR21='Conference Counter'!AT21,'More Stats'!N28&gt;'More Stats'!N29),"PHI",
IF(AND(D27="PHI/NYG",C28=C29,'Conference Counter'!AR21='Conference Counter'!AT21,'More Stats'!N28&lt;'More Stats'!N29),"NYG",
IF(AND(D27="PHI/NYG",C28=C29,'Conference Counter'!AR21='Conference Counter'!AT21,'More Stats'!N28='More Stats'!N29,'More Stats'!L28&gt;'More Stats'!L29),"PHI",
IF(AND(D27="PHI/NYG",C28=C29,'Conference Counter'!AR21='Conference Counter'!AT21,'More Stats'!N28='More Stats'!N29,'More Stats'!L28&lt;'More Stats'!L29),"NYG",
IF(AND(D27="PHI/WSH",'Week 1'!C15="PHI",'Week 8'!C15="PHI"),"PHI",
IF(AND(D27="PHI/WSH",'Week 1'!C15="WSH",'Week 8'!C15="WSH"),"WSH",
IF(AND(D27="PHI/WSH",C28&gt;C30),"PHI",
IF(AND(D27="PHI/WSH",C28&lt;C30),"WSH",
IF(AND(D27="PHI/WSH",C28=C29,'Conference Counter'!AR21&gt;'Conference Counter'!AV21),"PHI",
IF(AND(D27="PHI/WSH",C28=C29,'Conference Counter'!AR21&lt;'Conference Counter'!AV21),"WSH",
IF(AND(D27="PHI/WSH",C28=C29,'Conference Counter'!AR21='Conference Counter'!AV21,'More Stats'!N28&gt;'More Stats'!N30),"PHI",
IF(AND(D27="PHI/WSH",C28=C29,'Conference Counter'!AR21='Conference Counter'!AV21,'More Stats'!N28&lt;'More Stats'!N30),"WSH",
IF(AND(D27="PHI/WSH",C28=C29,'Conference Counter'!AR21='Conference Counter'!AV21,'More Stats'!N28='More Stats'!N30,'More Stats'!L28&gt;'More Stats'!L30),"PHI",
IF(AND(D27="PHI/WSH",C28=C29,'Conference Counter'!AR21='Conference Counter'!AV21,'More Stats'!N28='More Stats'!N30,'More Stats'!L28&lt;'More Stats'!L30),"WSH",
IF(AND(D27="NYG/WSH",'Week 5'!C11="NYG",'Week 10'!C3="NYG"),"NYG",
IF(AND(D27="NYG/WSH",'Week 5'!C11="WSH",'Week 10'!C3="WSH"),"WSH",
IF(AND(D27="NYG/WSH",C29&gt;C30),"NYG",
IF(AND(D27="NYG/WSH",C29&lt;C30),"WSH",
IF(AND(D27="NYG/WSH",C29=C30,'Conference Counter'!AT21&gt;'Conference Counter'!AV21),"NYG",
IF(AND(D27="NYG/WSH",C29=C30,'Conference Counter'!AT21&lt;'Conference Counter'!AV21),"WSH",
IF(AND(D27="NYG/WSH",C29=C30,'Conference Counter'!AT21='Conference Counter'!AV21,'More Stats'!N29&gt;'More Stats'!N30),"NYG",
IF(AND(D27="NYG/WSH",C29=C30,'Conference Counter'!AT21='Conference Counter'!AV21,'More Stats'!N29&lt;'More Stats'!N30),"WSH",
IF(AND(D27="NYG/WSH",C29=C30,'Conference Counter'!AT21='Conference Counter'!AV21,'More Stats'!N29='More Stats'!N30,'More Stats'!L29&gt;'More Stats'!L30),"NYG",
IF(AND(D27="NYG/WSH",C29=C30,'Conference Counter'!AT21='Conference Counter'!AV21,'More Stats'!N29='More Stats'!N30,'More Stats'!L29&lt;'More Stats'!L30),"WSH",
IF(AND(D27="PHI/NYG/WSH",C28&gt;C29,C28&gt;C30),"PHI",
IF(AND(D27="PHI/NYG/WSH",C29&gt;C28,C29&gt;C30),"NYG",
IF(AND(D27="PHI/NYG/WSH",C30&gt;C28,C30&gt;C29),"WSH",
IF(AND(D27="PHI/NYG/WSH",C28=C29,C28&gt;C30,'Conference Counter'!AR21&gt;'Conference Counter'!AT21),"PHI",
IF(AND(D27="PHI/NYG/WSH",C28=C29,C28&gt;C30,'Conference Counter'!AR21&lt;'Conference Counter'!AT21),"NYG",
IF(AND(D27="PHI/NYG/WSH",C28=C29,C28&gt;C30,'Conference Counter'!AR21='Conference Counter'!AT21,'More Stats'!N28&gt;'More Stats'!N29),"PHI",
IF(AND(D27="PHI/NYG/WSH",C28=C29,C28&gt;C30,'Conference Counter'!AR21='Conference Counter'!AT21,'More Stats'!N28&lt;'More Stats'!N29),"NYG",
IF(AND(D27="PHI/NYG/WSH",C28=C29,C28&gt;C30,'Conference Counter'!AR21='Conference Counter'!AT21,'More Stats'!N28='More Stats'!N29,'More Stats'!L28&gt;'More Stats'!L29),"PHI",
IF(AND(D27="PHI/NYG/WSH",C28=C29,C28&gt;C30,'Conference Counter'!AR21='Conference Counter'!AT21,'More Stats'!N28='More Stats'!N29,'More Stats'!L28&lt;'More Stats'!L29),"NYG",
IF(AND(D27="PHI/NYG/WSH",C28&gt;C29,C28=C30,'Conference Counter'!AR21&gt;'Conference Counter'!AV21),"PHI",
IF(AND(D27="PHI/NYG/WSH",C28&gt;C29,C28=C30,'Conference Counter'!AR21&lt;'Conference Counter'!AV21),"WSH",
IF(AND(D27="PHI/NYG/WSH",C28&gt;C29,C28=C30,'Conference Counter'!AR21='Conference Counter'!AV21,'More Stats'!N28&gt;'More Stats'!N30),"PHI",
IF(AND(D27="PHI/NYG/WSH",C28&gt;C29,C28=C30,'Conference Counter'!AR21='Conference Counter'!AV21,'More Stats'!N28&lt;'More Stats'!N30),"WSH",
IF(AND(D27="PHI/NYG/WSH",C28&gt;C29,C28=C30,'Conference Counter'!AR21='Conference Counter'!AV21,'More Stats'!N28='More Stats'!N30,'More Stats'!L28&gt;'More Stats'!L30),"PHI",
IF(AND(D27="PHI/NYG/WSH",C28&gt;C29,C28=C30,'Conference Counter'!AR21='Conference Counter'!AV21,'More Stats'!N28='More Stats'!N30,'More Stats'!L28&lt;'More Stats'!L30),"WSH",
IF(AND(D27="PHI/NYG/WSH",C29&gt;C28,C29=C30,'Conference Counter'!AT21&gt;'Conference Counter'!AV21),"NYG",
IF(AND(D27="PHI/NYG/WSH",C29&gt;C28,C29=C30,'Conference Counter'!AT21&lt;'Conference Counter'!AV21),"WSH",
IF(AND(D27="PHI/NYG/WSH",C29&gt;C28,C29=C30,'Conference Counter'!AT21='Conference Counter'!AV21,'More Stats'!N29&gt;'More Stats'!N30),"NYG",
IF(AND(D27="PHI/NYG/WSH",C29&gt;C28,C29=C30,'Conference Counter'!AT21='Conference Counter'!AV21,'More Stats'!N29&lt;'More Stats'!N30),"WSH",
IF(AND(D27="PHI/NYG/WSH",C29&gt;C28,C29=C30,'Conference Counter'!AT21='Conference Counter'!AV21,'More Stats'!N29='More Stats'!N30,'More Stats'!L29&gt;'More Stats'!L30),"NYG",
IF(AND(D27="PHI/NYG/WSH",C29&gt;C28,C29=C30,'Conference Counter'!AT21='Conference Counter'!AV21,'More Stats'!N29='More Stats'!N30,'More Stats'!L29&lt;'More Stats'!L30),"WSH",
IF(AND(D27="PHI/NYG/WSH",C28=C29,C28=C30,'Conference Counter'!AR21&gt;'Conference Counter'!AT21,'Conference Counter'!AR21&gt;'Conference Counter'!AV21),"PHI",
IF(AND(D27="PHI/NYG/WSH",C28=C29,C28=C30,'Conference Counter'!AT21&gt;'Conference Counter'!AR21,'Conference Counter'!AT21&gt;'Conference Counter'!AV21),"NYG",
IF(AND(D27="PHI/NYG/WSH",C28=C29,C28=C30,'Conference Counter'!AV21&gt;'Conference Counter'!AR21,'Conference Counter'!AV21&gt;'Conference Counter'!AT21),"WSH",
IF(AND(D27="PHI/NYG/WSH",C28=C29,C28=C30,'Conference Counter'!AR21='Conference Counter'!AT21,'Conference Counter'!AR21&gt;'Conference Counter'!AV21,'More Stats'!N28&gt;'More Stats'!N29),"PHI",
IF(AND(D27="PHI/NYG/WSH",C28=C29,C28=C30,'Conference Counter'!AR21='Conference Counter'!AT21,'Conference Counter'!AR21&gt;'Conference Counter'!AV21,'More Stats'!N28&lt;'More Stats'!N29),"NYG",
IF(AND(D27="PHI/NYG/WSH",C28=C29,C28=C30,'Conference Counter'!AR21&gt;'Conference Counter'!AT21,'Conference Counter'!AR21='Conference Counter'!AV21,'More Stats'!N28&gt;'More Stats'!N30),"PHI",
IF(AND(D27="PHI/NYG/WSH",C28=C29,C28=C30,'Conference Counter'!AR21&gt;'Conference Counter'!AT21,'Conference Counter'!AR21='Conference Counter'!AV21,'More Stats'!N28&lt;'More Stats'!N30),"WSH",
IF(AND(D27="PHI/NYG/WSH",C28=C29,C28=C30,'Conference Counter'!AT21&gt;'Conference Counter'!AR21,'Conference Counter'!AT21='Conference Counter'!AV21,'More Stats'!N29&gt;'More Stats'!N30),"NYG",
IF(AND(D27="PHI/NYG/WSH",C28=C29,C28=C30,'Conference Counter'!AT21&gt;'Conference Counter'!AR21,'Conference Counter'!AT21='Conference Counter'!AV21,'More Stats'!N29&lt;'More Stats'!N30),"WSH",
IF(AND(D27="PHI/NYG/WSH",C28=C29,C28=C30,'Conference Counter'!AR21='Conference Counter'!AT21,'Conference Counter'!AR21='Conference Counter'!AV21,'More Stats'!N28&gt;'More Stats'!N29,'More Stats'!N28&gt;'More Stats'!N30),"PHI",
IF(AND(D27="PHI/NYG/WSH",C28=C29,C28=C30,'Conference Counter'!AR21='Conference Counter'!AT21,'Conference Counter'!AR21='Conference Counter'!AV21,'More Stats'!N29&gt;'More Stats'!N28,'More Stats'!N29&gt;'More Stats'!N30),"NYG",
IF(AND(D27="PHI/NYG/WSH",C28=C29,C28=C30,'Conference Counter'!AR21='Conference Counter'!AT21,'Conference Counter'!AR21='Conference Counter'!AV21,'More Stats'!N30&gt;'More Stats'!N28,'More Stats'!N30&gt;'More Stats'!N29),"WSH",
IF(AND(D27="PHI/NYG/WSH",C28=C29,C28=C30,'Conference Counter'!AR21='Conference Counter'!AT21,'Conference Counter'!AR21='Conference Counter'!AV21,'More Stats'!N28='More Stats'!N29,'More Stats'!N28&gt;'More Stats'!N30,'More Stats'!L28&gt;'More Stats'!L29),"PHI",
IF(AND(D27="PHI/NYG/WSH",C28=C29,C28=C30,'Conference Counter'!AR21='Conference Counter'!AT21,'Conference Counter'!AR21='Conference Counter'!AV21,'More Stats'!N28='More Stats'!N29,'More Stats'!N28&gt;'More Stats'!N30,'More Stats'!L28&lt;'More Stats'!L29),"NYG",
IF(AND(D27="PHI/NYG/WSH",C28=C29,C28=C30,'Conference Counter'!AR21='Conference Counter'!AT21,'Conference Counter'!AR21='Conference Counter'!AV21,'More Stats'!N28&gt;'More Stats'!N29,'More Stats'!N28='More Stats'!N30,'More Stats'!L28&gt;'More Stats'!L30),"PHI",
IF(AND(D27="PHI/NYG/WSH",C28=C29,C28=C30,'Conference Counter'!AR21='Conference Counter'!AT21,'Conference Counter'!AR21='Conference Counter'!AV21,'More Stats'!N28&gt;'More Stats'!N29,'More Stats'!N28='More Stats'!N30,'More Stats'!L28&lt;'More Stats'!L30),"WSH",
IF(AND(D27="PHI/NYG/WSH",C28=C29,C28=C30,'Conference Counter'!AR21='Conference Counter'!AT21,'Conference Counter'!AR21='Conference Counter'!AV21,'More Stats'!N29&gt;'More Stats'!N28,'More Stats'!N29='More Stats'!N30,'More Stats'!L29&gt;'More Stats'!L30),"NYG",
IF(AND(D27="PHI/NYG/WSH",C28=C29,C28=C30,'Conference Counter'!AR21='Conference Counter'!AT21,'Conference Counter'!AR21='Conference Counter'!AV21,'More Stats'!N29&gt;'More Stats'!N28,'More Stats'!N29='More Stats'!N30,'More Stats'!L29&lt;'More Stats'!L30),"WSH",
IF(AND(D27="PHI/NYG/WSH",C28=C29,C28=C30,'Conference Counter'!AR21='Conference Counter'!AT21,'Conference Counter'!AR21='Conference Counter'!AV21,'More Stats'!N28='More Stats'!N29,'More Stats'!N28='More Stats'!N30,'More Stats'!L28&gt;'More Stats'!L29,'More Stats'!L28&gt;'More Stats'!L30,),"PHI",
IF(AND(D27="PHI/NYG/WSH",C28=C29,C28=C30,'Conference Counter'!AR21='Conference Counter'!AT21,'Conference Counter'!AR21='Conference Counter'!AV21,'More Stats'!N28='More Stats'!N29,'More Stats'!N28='More Stats'!N30,'More Stats'!L29&gt;'More Stats'!L28,'More Stats'!L29&gt;'More Stats'!L30,),"NYG",
IF(AND(D27="PHI/NYG/WSH",C28=C29,C28=C30,'Conference Counter'!AR21='Conference Counter'!AT21,'Conference Counter'!AR21='Conference Counter'!AV21,'More Stats'!N28='More Stats'!N29,'More Stats'!N28='More Stats'!N30,'More Stats'!L30&gt;'More Stats'!L28,'More Stats'!L30&gt;'More Stats'!L29,),"WSH",
IF(AND(D27="DAL/NYG/WSH",C27&gt;C29,C27&gt;C30),"DAL",
IF(AND(D27="DAL/NYG/WSH",C29&gt;C27,C29&gt;C30),"NYG",
IF(AND(D27="DAL/NYG/WSH",C30&gt;C27,C30&gt;C29),"WSH",
IF(AND(D27="DAL/NYG/WSH",C27=C29,C27&gt;C30,'Conference Counter'!AP21&gt;'Conference Counter'!AT21),"DAL",
IF(AND(D27="DAL/NYG/WSH",C27=C29,C27&gt;C30,'Conference Counter'!AP21&lt;'Conference Counter'!AT21),"NYG",
IF(AND(D27="DAL/NYG/WSH",C27=C29,C27&gt;C30,'Conference Counter'!AP21='Conference Counter'!AT21,'More Stats'!N27&gt;'More Stats'!N29),"DAL",
IF(AND(D27="DAL/NYG/WSH",C27=C29,C27&gt;C30,'Conference Counter'!AP21='Conference Counter'!AT21,'More Stats'!N27&lt;'More Stats'!N29),"NYG",
IF(AND(D27="DAL/NYG/WSH",C27=C29,C27&gt;C30,'Conference Counter'!AP21='Conference Counter'!AT21,'More Stats'!N27='More Stats'!N29,'More Stats'!L27&gt;'More Stats'!L29),"DAL",
IF(AND(D27="DAL/NYG/WSH",C27=C29,C27&gt;C30,'Conference Counter'!AP21='Conference Counter'!AT21,'More Stats'!N27='More Stats'!N29,'More Stats'!L27&lt;'More Stats'!L29),"NYG",
IF(AND(D27="DAL/NYG/WSH",C27&gt;C29,C27=C30,'Conference Counter'!AP21&gt;'Conference Counter'!AV21),"DAL",
IF(AND(D27="DAL/NYG/WSH",C27&gt;C29,C27=C30,'Conference Counter'!AP21&lt;'Conference Counter'!AV21),"WSH",
IF(AND(D27="DAL/NYG/WSH",C27&gt;C29,C27=C30,'Conference Counter'!AP21='Conference Counter'!AV21,'More Stats'!N27&gt;'More Stats'!N29),"DAL",
IF(AND(D27="DAL/NYG/WSH",C27&gt;C29,C27=C30,'Conference Counter'!AP21='Conference Counter'!AV21,'More Stats'!N27&lt;'More Stats'!N29),"WSH",
IF(AND(D27="DAL/NYG/WSH",C27&gt;C29,C27=C30,'Conference Counter'!AP21='Conference Counter'!AV21,'More Stats'!N27='More Stats'!N29,'More Stats'!L27&gt;'More Stats'!L29),"DAL",
IF(AND(D27="DAL/NYG/WSH",C27&gt;C29,C27=C30,'Conference Counter'!AP21='Conference Counter'!AV21,'More Stats'!N27='More Stats'!N29,'More Stats'!L27&lt;'More Stats'!L29),"WSH",
IF(AND(D27="DAL/NYG/WSH",C29&gt;C27,C29=C30,'Conference Counter'!AT21&gt;'Conference Counter'!AV21),"NYG",
IF(AND(D27="DAL/NYG/WSH",C29&gt;C27,C29=C30,'Conference Counter'!AT21&lt;'Conference Counter'!AV21),"WSH",
IF(AND(D27="DAL/NYG/WSH",C29&gt;C27,C29=C30,'Conference Counter'!AT21='Conference Counter'!AV21,'More Stats'!N29&gt;'More Stats'!N30),"NYG",
IF(AND(D27="DAL/NYG/WSH",C29&gt;C27,C29=C30,'Conference Counter'!AT21='Conference Counter'!AV21,'More Stats'!N29&lt;'More Stats'!N30),"WSH",
IF(AND(D27="DAL/NYG/WSH",C29&gt;C27,C29=C30,'Conference Counter'!AT21='Conference Counter'!AV21,'More Stats'!N29='More Stats'!N30,'More Stats'!L29&gt;'More Stats'!L30),"NYG",
IF(AND(D27="DAL/NYG/WSH",C29&gt;C27,C29=C30,'Conference Counter'!AT21='Conference Counter'!AV21,'More Stats'!N29='More Stats'!N30,'More Stats'!L29&lt;'More Stats'!L30),"WSH",
IF(AND(D27="DAL/NYG/WSH",C27=C29,C27=C30,'Conference Counter'!AP21&gt;'Conference Counter'!AT21,'Conference Counter'!AP21&gt;'Conference Counter'!AV21),"DAL",
IF(AND(D27="DAL/NYG/WSH",C27=C29,C27=C30,'Conference Counter'!AT21&gt;'Conference Counter'!AP21,'Conference Counter'!AT21&gt;'Conference Counter'!AV21),"NYG",
IF(AND(D27="DAL/NYG/WSH",C27=C29,C27=C30,'Conference Counter'!AV21&gt;'Conference Counter'!AP21,'Conference Counter'!AV21&gt;'Conference Counter'!AT21),"WSH",
IF(AND(D27="DAL/NYG/WSH",C27=C29,C27=C30,'Conference Counter'!AP21='Conference Counter'!AT21,'Conference Counter'!AP21&gt;'Conference Counter'!AV21,'More Stats'!N27&gt;'More Stats'!N29),"DAL",
IF(AND(D27="DAL/NYG/WSH",C27=C29,C27=C30,'Conference Counter'!AP21='Conference Counter'!AT21,'Conference Counter'!AP21&gt;'Conference Counter'!AV21,'More Stats'!N27&lt;'More Stats'!N29),"NYG",
IF(AND(D27="DAL/NYG/WSH",C27=C29,C27=C30,'Conference Counter'!AP21&gt;'Conference Counter'!AT21,'Conference Counter'!AP21='Conference Counter'!AV21,'More Stats'!N27&gt;'More Stats'!N30),"DAL",
IF(AND(D27="DAL/NYG/WSH",C27=C29,C27=C30,'Conference Counter'!AP21&gt;'Conference Counter'!AT21,'Conference Counter'!AP21='Conference Counter'!AV21,'More Stats'!N27&lt;'More Stats'!N30),"WSH",
IF(AND(D27="DAL/NYG/WSH",C27=C29,C27=C30,'Conference Counter'!AT21&gt;'Conference Counter'!AP21,'Conference Counter'!AT21='Conference Counter'!AV21,'More Stats'!N29&gt;'More Stats'!N30),"NYG",
IF(AND(D27="DAL/NYG/WSH",C27=C29,C27=C30,'Conference Counter'!AT21&gt;'Conference Counter'!AP21,'Conference Counter'!AT21='Conference Counter'!AV21,'More Stats'!N29&lt;'More Stats'!N30),"WSH",
IF(AND(D27="DAL/NYG/WSH",C27=C29,C27=C30,'Conference Counter'!AP21='Conference Counter'!AT21,'Conference Counter'!AP21='Conference Counter'!AV21,'More Stats'!N27&gt;'More Stats'!N29,'More Stats'!N27&gt;'More Stats'!N30),"DAL",
IF(AND(D27="DAL/NYG/WSH",C27=C29,C27=C30,'Conference Counter'!AP21='Conference Counter'!AT21,'Conference Counter'!AP21='Conference Counter'!AV21,'More Stats'!N29&gt;'More Stats'!N27,'More Stats'!N29&gt;'More Stats'!N30),"NYG",
IF(AND(D27="DAL/NYG/WSH",C27=C29,C27=C30,'Conference Counter'!AP21='Conference Counter'!AT21,'Conference Counter'!AP21='Conference Counter'!AV21,'More Stats'!N30&gt;'More Stats'!N27,'More Stats'!N30&gt;'More Stats'!N29),"WSH",
IF(AND(D27="DAL/NYG/WSH",C27=C29,C27=C30,'Conference Counter'!AP21='Conference Counter'!AT21,'Conference Counter'!AP21='Conference Counter'!AV21,'More Stats'!N27='More Stats'!N29,'More Stats'!N27&gt;'More Stats'!N30,'More Stats'!L27&gt;'More Stats'!L29),"DAL",
IF(AND(D27="DAL/NYG/WSH",C27=C29,C27=C30,'Conference Counter'!AP21='Conference Counter'!AT21,'Conference Counter'!AP21='Conference Counter'!AV21,'More Stats'!N27='More Stats'!N29,'More Stats'!N27&gt;'More Stats'!N30,'More Stats'!L27&lt;'More Stats'!L29),"NYG",
IF(AND(D27="DAL/NYG/WSH",C27=C29,C27=C30,'Conference Counter'!AP21='Conference Counter'!AT21,'Conference Counter'!AP21='Conference Counter'!AV21,'More Stats'!N27&gt;'More Stats'!N29,'More Stats'!N27='More Stats'!N30,'More Stats'!L27&gt;'More Stats'!L30),"DAL",
IF(AND(D27="DAL/NYG/WSH",C27=C29,C27=C30,'Conference Counter'!AP21='Conference Counter'!AT21,'Conference Counter'!AP21='Conference Counter'!AV21,'More Stats'!N27&gt;'More Stats'!N29,'More Stats'!N27='More Stats'!N30,'More Stats'!L27&lt;'More Stats'!L30),"WSH",
IF(AND(D27="DAL/NYG/WSH",C27=C29,C27=C30,'Conference Counter'!AP21='Conference Counter'!AT21,'Conference Counter'!AP21='Conference Counter'!AV21,'More Stats'!N29&gt;'More Stats'!N27,'More Stats'!N29='More Stats'!N30,'More Stats'!L29&gt;'More Stats'!L30),"NYG",
IF(AND(D27="DAL/NYG/WSH",C27=C29,C27=C30,'Conference Counter'!AP21='Conference Counter'!AT21,'Conference Counter'!AP21='Conference Counter'!AV21,'More Stats'!N29&gt;'More Stats'!N27,'More Stats'!N29='More Stats'!N30,'More Stats'!L29&lt;'More Stats'!L30),"WSH",
IF(AND(D27="DAL/NYG/WSH",C27=C29,C27=C30,'Conference Counter'!AP21='Conference Counter'!AT21,'Conference Counter'!AP21='Conference Counter'!AV21,'More Stats'!N27='More Stats'!N29,'More Stats'!N27='More Stats'!N30,'More Stats'!L27&gt;'More Stats'!L29,'More Stats'!L27&gt;'More Stats'!L30,),"DAL",
IF(AND(D27="DAL/NYG/WSH",C27=C29,C27=C30,'Conference Counter'!AP21='Conference Counter'!AT21,'Conference Counter'!AP21='Conference Counter'!AV21,'More Stats'!N27='More Stats'!N29,'More Stats'!N27='More Stats'!N30,'More Stats'!L29&gt;'More Stats'!L27,'More Stats'!L29&gt;'More Stats'!L30,),"NYG",
IF(AND(D27="DAL/NYG/WSH",C27=C29,C27=C30,'Conference Counter'!AP21='Conference Counter'!AT21,'Conference Counter'!AP21='Conference Counter'!AV21,'More Stats'!N27='More Stats'!N29,'More Stats'!N27='More Stats'!N30,'More Stats'!L30&gt;'More Stats'!L27,'More Stats'!L30&gt;'More Stats'!L29,),"WSH",
IF(AND(D27="DAL/PHI/WSH",C27&gt;C28,C27&gt;C30),"DAL",
IF(AND(D27="DAL/PHI/WSH",C28&gt;C27,C28&gt;C30),"PHI",
IF(AND(D27="DAL/PHI/WSH",C30&gt;C27,C30&gt;C28),"WSH",
IF(AND(D27="DAL/PHI/WSH",C27=C28,C27&gt;C30,'Conference Counter'!AP21&gt;'Conference Counter'!AR21),"DAL",
IF(AND(D27="DAL/PHI/WSH",C27=C28,C27&gt;C30,'Conference Counter'!AP21&lt;'Conference Counter'!AR21),"PHI",
IF(AND(D27="DAL/PHI/WSH",C27=C28,C27&gt;C30,'Conference Counter'!AP21='Conference Counter'!AR21,'More Stats'!N27&gt;'More Stats'!N28),"DAL",
IF(AND(D27="DAL/PHI/WSH",C27=C28,C27&gt;C30,'Conference Counter'!AP21='Conference Counter'!AR21,'More Stats'!N27&lt;'More Stats'!N28),"PHI",
IF(AND(D27="DAL/PHI/WSH",C27=C28,C27&gt;C30,'Conference Counter'!AP21='Conference Counter'!AR21,'More Stats'!N27='More Stats'!N28,'More Stats'!L27&gt;'More Stats'!L28),"DAL",
IF(AND(D27="DAL/PHI/WSH",C27=C28,C27&gt;C30,'Conference Counter'!AP21='Conference Counter'!AR21,'More Stats'!N27='More Stats'!N28,'More Stats'!L27&lt;'More Stats'!L28),"PHI",
IF(AND(D27="DAL/PHI/WSH",C27&gt;C28,C27=C30,'Conference Counter'!AP21&gt;'Conference Counter'!AV21),"DAL",
IF(AND(D27="DAL/PHI/WSH",C27&gt;C28,C27=C30,'Conference Counter'!AP21&lt;'Conference Counter'!AV21),"WSH",
IF(AND(D27="DAL/PHI/WSH",C27&gt;C28,C27=C30,'Conference Counter'!AP21='Conference Counter'!AV21,'More Stats'!N27&gt;'More Stats'!N30),"DAL",
IF(AND(D27="DAL/PHI/WSH",C27&gt;C28,C27=C30,'Conference Counter'!AP21='Conference Counter'!AV21,'More Stats'!N27&lt;'More Stats'!N30),"WSH",
IF(AND(D27="DAL/PHI/WSH",C27&gt;C28,C27=C30,'Conference Counter'!AP21='Conference Counter'!AV21,'More Stats'!N27='More Stats'!N30,'More Stats'!L27&gt;'More Stats'!L30),"DAL",
IF(AND(D27="DAL/PHI/WSH",C27&gt;C28,C27=C30,'Conference Counter'!AP21='Conference Counter'!AV21,'More Stats'!N27='More Stats'!N30,'More Stats'!L27&lt;'More Stats'!L30),"WSH",
IF(AND(D27="DAL/PHI/WSH",C28&gt;C27,C28=C30,'Conference Counter'!AR21&gt;'Conference Counter'!AV21),"PHI",
IF(AND(D27="DAL/PHI/WSH",C28&gt;C27,C28=C30,'Conference Counter'!AR21&lt;'Conference Counter'!AV21),"WSH",
IF(AND(D27="DAL/PHI/WSH",C28&gt;C27,C28=C30,'Conference Counter'!AR21='Conference Counter'!AV21,'More Stats'!N28&gt;'More Stats'!N30),"PHI",
IF(AND(D27="DAL/PHI/WSH",C28&gt;C27,C28=C30,'Conference Counter'!AR21='Conference Counter'!AV21,'More Stats'!N28&lt;'More Stats'!N30),"WSH",
IF(AND(D27="DAL/PHI/WSH",C28&gt;C27,C28=C30,'Conference Counter'!AR21='Conference Counter'!AV21,'More Stats'!N28='More Stats'!N30,'More Stats'!L28&gt;'More Stats'!L30),"PHI",
IF(AND(D27="DAL/PHI/WSH",C28&gt;C27,C28=C30,'Conference Counter'!AR21='Conference Counter'!AV21,'More Stats'!N28='More Stats'!N30,'More Stats'!L28&lt;'More Stats'!L30),"WSH",
IF(AND(D27="DAL/PHI/WSH",C27=C28,C27=C30,'Conference Counter'!AP21&gt;'Conference Counter'!AR21,'Conference Counter'!AP21&gt;'Conference Counter'!AV21),"DAL",
IF(AND(D27="DAL/PHI/WSH",C27=C28,C27=C30,'Conference Counter'!AR21&gt;'Conference Counter'!AP21,'Conference Counter'!AR21&gt;'Conference Counter'!AV21),"PHI",
IF(AND(D27="DAL/PHI/WSH",C27=C28,C27=C30,'Conference Counter'!AV21&gt;'Conference Counter'!AP21,'Conference Counter'!AV21&gt;'Conference Counter'!AR21),"WSH",
IF(AND(D27="DAL/PHI/WSH",C27=C28,C27=C30,'Conference Counter'!AP21='Conference Counter'!AR21,'Conference Counter'!AP21&gt;'Conference Counter'!AV21,'More Stats'!N27&gt;'More Stats'!N28),"DAL",
IF(AND(D27="DAL/PHI/WSH",C27=C28,C27=C30,'Conference Counter'!AP21='Conference Counter'!AR21,'Conference Counter'!AP21&gt;'Conference Counter'!AV21,'More Stats'!N27&lt;'More Stats'!N28),"PHI",
IF(AND(D27="DAL/PHI/WSH",C27=C28,C27=C30,'Conference Counter'!AP21&gt;'Conference Counter'!AR21,'Conference Counter'!AP21='Conference Counter'!AV21,'More Stats'!N27&gt;'More Stats'!N30),"DAL",
IF(AND(D27="DAL/PHI/WSH",C27=C28,C27=C30,'Conference Counter'!AP21&gt;'Conference Counter'!AR21,'Conference Counter'!AP21='Conference Counter'!AV21,'More Stats'!N27&lt;'More Stats'!N30),"WSH",
IF(AND(D27="DAL/PHI/WSH",C27=C28,C27=C30,'Conference Counter'!AR21&gt;'Conference Counter'!AP21,'Conference Counter'!AR21='Conference Counter'!AV21,'More Stats'!N28&gt;'More Stats'!N30),"PHI",
IF(AND(D27="DAL/PHI/WSH",C27=C28,C27=C30,'Conference Counter'!AR21&gt;'Conference Counter'!AP21,'Conference Counter'!AR21='Conference Counter'!AV21,'More Stats'!N28&lt;'More Stats'!N30),"WSH",
IF(AND(D27="DAL/PHI/WSH",C27=C28,C27=C30,'Conference Counter'!AP21='Conference Counter'!AR21,'Conference Counter'!AP21='Conference Counter'!AV21,'More Stats'!N27&gt;'More Stats'!N28,'More Stats'!N27&gt;'More Stats'!N30),"DAL",
IF(AND(D27="DAL/PHI/WSH",C27=C28,C27=C30,'Conference Counter'!AP21='Conference Counter'!AR21,'Conference Counter'!AP21='Conference Counter'!AV21,'More Stats'!N28&gt;'More Stats'!N27,'More Stats'!N28&gt;'More Stats'!N30),"PHI",
IF(AND(D27="DAL/PHI/WSH",C27=C28,C27=C30,'Conference Counter'!AP21='Conference Counter'!AR21,'Conference Counter'!AP21='Conference Counter'!AV21,'More Stats'!N30&gt;'More Stats'!N27,'More Stats'!N30&gt;'More Stats'!N28),"WSH",
IF(AND(D27="DAL/PHI/WSH",C27=C28,C27=C30,'Conference Counter'!AP21='Conference Counter'!AR21,'Conference Counter'!AP21='Conference Counter'!AV21,'More Stats'!N27='More Stats'!N28,'More Stats'!N27&gt;'More Stats'!N30,'More Stats'!L27&gt;'More Stats'!L28),"DAL",
IF(AND(D27="DAL/PHI/WSH",C27=C28,C27=C30,'Conference Counter'!AP21='Conference Counter'!AR21,'Conference Counter'!AP21='Conference Counter'!AV21,'More Stats'!N27='More Stats'!N28,'More Stats'!N27&gt;'More Stats'!N30,'More Stats'!L27&lt;'More Stats'!L28),"PHI",
IF(AND(D27="DAL/PHI/WSH",C27=C28,C27=C30,'Conference Counter'!AP21='Conference Counter'!AR21,'Conference Counter'!AP21='Conference Counter'!AV21,'More Stats'!N27&gt;'More Stats'!N28,'More Stats'!N27='More Stats'!N30,'More Stats'!L27&gt;'More Stats'!L30),"DAL",
IF(AND(D27="DAL/PHI/WSH",C27=C28,C27=C30,'Conference Counter'!AP21='Conference Counter'!AR21,'Conference Counter'!AP21='Conference Counter'!AV21,'More Stats'!N27&gt;'More Stats'!N28,'More Stats'!N27='More Stats'!N30,'More Stats'!L27&lt;'More Stats'!L30),"WSH",
IF(AND(D27="DAL/PHI/WSH",C27=C28,C27=C30,'Conference Counter'!AP21='Conference Counter'!AR21,'Conference Counter'!AP21='Conference Counter'!AV21,'More Stats'!N28&gt;'More Stats'!N27,'More Stats'!N28='More Stats'!N30,'More Stats'!L28&gt;'More Stats'!L30),"PHI",
IF(AND(D27="DAL/PHI/WSH",C27=C28,C27=C30,'Conference Counter'!AP21='Conference Counter'!AR21,'Conference Counter'!AP21='Conference Counter'!AV21,'More Stats'!N28&gt;'More Stats'!N27,'More Stats'!N28='More Stats'!N30,'More Stats'!L28&lt;'More Stats'!L30),"WSH",
IF(AND(D27="DAL/PHI/WSH",C27=C28,C27=C30,'Conference Counter'!AP21='Conference Counter'!AR21,'Conference Counter'!AP21='Conference Counter'!AV21,'More Stats'!N27='More Stats'!N28,'More Stats'!N27='More Stats'!N30,'More Stats'!L27&gt;'More Stats'!L28,'More Stats'!L27&gt;'More Stats'!L30,),"DAL",
IF(AND(D27="DAL/PHI/WSH",C27=C28,C27=C30,'Conference Counter'!AP21='Conference Counter'!AR21,'Conference Counter'!AP21='Conference Counter'!AV21,'More Stats'!N27='More Stats'!N28,'More Stats'!N27='More Stats'!N30,'More Stats'!L28&gt;'More Stats'!L27,'More Stats'!L28&gt;'More Stats'!L30,),"PHI",
IF(AND(D27="DAL/PHI/WSH",C27=C28,C27=C30,'Conference Counter'!AP21='Conference Counter'!AR21,'Conference Counter'!AP21='Conference Counter'!AV21,'More Stats'!N27='More Stats'!N28,'More Stats'!N27='More Stats'!N30,'More Stats'!L30&gt;'More Stats'!L27,'More Stats'!L30&gt;'More Stats'!L28,),"WSH",
IF(AND(D27="DAL/PHI/NYG",C27&gt;C28,C27&gt;C29),"DAL",
IF(AND(D27="DAL/PHI/NYG",C28&gt;C27,C28&gt;C29),"PHI",
IF(AND(D27="DAL/PHI/NYG",C29&gt;C27,C29&gt;C28),"NYG",
IF(AND(D27="DAL/PHI/NYG",C27=C28,C27&gt;C29,'Conference Counter'!AP21&gt;'Conference Counter'!AR21),"DAL",
IF(AND(D27="DAL/PHI/NYG",C27=C28,C27&gt;C29,'Conference Counter'!AP21&lt;'Conference Counter'!AR21),"PHI",
IF(AND(D27="DAL/PHI/NYG",C27=C28,C27&gt;C29,'Conference Counter'!AP21='Conference Counter'!AR21,'More Stats'!N27&gt;'More Stats'!N28),"DAL",
IF(AND(D27="DAL/PHI/NYG",C27=C28,C27&gt;C29,'Conference Counter'!AP21='Conference Counter'!AR21,'More Stats'!N27&lt;'More Stats'!N28),"PHI",
IF(AND(D27="DAL/PHI/NYG",C27=C28,C27&gt;C29,'Conference Counter'!AP21='Conference Counter'!AR21,'More Stats'!N27='More Stats'!N28,'More Stats'!L27&gt;'More Stats'!L28),"DAL",
IF(AND(D27="DAL/PHI/NYG",C27=C28,C27&gt;C29,'Conference Counter'!AP21='Conference Counter'!AR21,'More Stats'!N27='More Stats'!N28,'More Stats'!L27&lt;'More Stats'!L28),"PHI",
IF(AND(D27="DAL/PHI/NYG",C27&gt;C28,C27=C29,'Conference Counter'!AP21&gt;'Conference Counter'!AT21),"DAL",
IF(AND(D27="DAL/PHI/NYG",C27&gt;C28,C27=C29,'Conference Counter'!AP21&lt;'Conference Counter'!AT21),"NYG",
IF(AND(D27="DAL/PHI/NYG",C27&gt;C28,C27=C29,'Conference Counter'!AP21='Conference Counter'!AT21,'More Stats'!N27&gt;'More Stats'!N29),"DAL",
IF(AND(D27="DAL/PHI/NYG",C27&gt;C28,C27=C29,'Conference Counter'!AP21='Conference Counter'!AT21,'More Stats'!N27&lt;'More Stats'!N29),"NYG",
IF(AND(D27="DAL/PHI/NYG",C27&gt;C28,C27=C29,'Conference Counter'!AP21='Conference Counter'!AT21,'More Stats'!N27='More Stats'!N29,'More Stats'!L27&gt;'More Stats'!L29),"DAL",
IF(AND(D27="DAL/PHI/NYG",C27&gt;C28,C27=C29,'Conference Counter'!AP21='Conference Counter'!AT21,'More Stats'!N27='More Stats'!N29,'More Stats'!L27&lt;'More Stats'!L29),"NYG",
IF(AND(D27="DAL/PHI/NYG",C28&gt;C27,C28=C29,'Conference Counter'!AR21&gt;'Conference Counter'!AT21),"PHI",
IF(AND(D27="DAL/PHI/NYG",C28&gt;C27,C28=C29,'Conference Counter'!AR21&lt;'Conference Counter'!AT21),"NYG",
IF(AND(D27="DAL/PHI/NYG",C28&gt;C27,C28=C29,'Conference Counter'!AR21='Conference Counter'!AT21,'More Stats'!N28&gt;'More Stats'!N29),"PHI",
IF(AND(D27="DAL/PHI/NYG",C28&gt;C27,C28=C29,'Conference Counter'!AR21='Conference Counter'!AT21,'More Stats'!N28&lt;'More Stats'!N29),"NYG",
IF(AND(D27="DAL/PHI/NYG",C28&gt;C27,C28=C29,'Conference Counter'!AR21='Conference Counter'!AT21,'More Stats'!N28='More Stats'!N29,'More Stats'!L28&gt;'More Stats'!L29),"PHI",
IF(AND(D27="DAL/PHI/NYG",C28&gt;C27,C28=C29,'Conference Counter'!AR21='Conference Counter'!AT21,'More Stats'!N28='More Stats'!N29,'More Stats'!L28&lt;'More Stats'!L29),"NYG",
IF(AND(D27="DAL/PHI/NYG",C27=C28,C27=C29,'Conference Counter'!AP21&gt;'Conference Counter'!AR21,'Conference Counter'!AP21&gt;'Conference Counter'!AT21),"DAL",
IF(AND(D27="DAL/PHI/NYG",C27=C28,C27=C29,'Conference Counter'!AR21&gt;'Conference Counter'!AP21,'Conference Counter'!AR21&gt;'Conference Counter'!AT21),"PHI",
IF(AND(D27="DAL/PHI/NYG",C27=C28,C27=C29,'Conference Counter'!AT21&gt;'Conference Counter'!AP21,'Conference Counter'!AT21&gt;'Conference Counter'!AR21),"NYG",
IF(AND(D27="DAL/PHI/NYG",C27=C28,C27=C29,'Conference Counter'!AP21='Conference Counter'!AR21,'Conference Counter'!AP21&gt;'Conference Counter'!AT21,'More Stats'!N27&gt;'More Stats'!N28),"DAL",
IF(AND(D27="DAL/PHI/NYG",C27=C28,C27=C29,'Conference Counter'!AP21='Conference Counter'!AR21,'Conference Counter'!AP21&gt;'Conference Counter'!AT21,'More Stats'!N27&lt;'More Stats'!N28),"PHI",
IF(AND(D27="DAL/PHI/NYG",C27=C28,C27=C29,'Conference Counter'!AP21&gt;'Conference Counter'!AR21,'Conference Counter'!AP21='Conference Counter'!AT21,'More Stats'!N27&gt;'More Stats'!N29),"DAL",
IF(AND(D27="DAL/PHI/NYG",C27=C28,C27=C29,'Conference Counter'!AP21&gt;'Conference Counter'!AR21,'Conference Counter'!AP21='Conference Counter'!AT21,'More Stats'!N27&lt;'More Stats'!N29),"NYG",
IF(AND(D27="DAL/PHI/NYG",C27=C28,C27=C29,'Conference Counter'!AR21&gt;'Conference Counter'!AP21,'Conference Counter'!AR21='Conference Counter'!AT21,'More Stats'!N28&gt;'More Stats'!N29),"PHI",
IF(AND(D27="DAL/PHI/NYG",C27=C28,C27=C29,'Conference Counter'!AR21&gt;'Conference Counter'!AP21,'Conference Counter'!AR21='Conference Counter'!AT21,'More Stats'!N28&lt;'More Stats'!N29),"NYG",
IF(AND(D27="DAL/PHI/NYG",C27=C28,C27=C29,'Conference Counter'!AP21='Conference Counter'!AR21,'Conference Counter'!AP21='Conference Counter'!AT21,'More Stats'!N27&gt;'More Stats'!N28,'More Stats'!N27&gt;'More Stats'!N29),"DAL",
IF(AND(D27="DAL/PHI/NYG",C27=C28,C27=C29,'Conference Counter'!AP21='Conference Counter'!AR21,'Conference Counter'!AP21='Conference Counter'!AT21,'More Stats'!N28&gt;'More Stats'!N27,'More Stats'!N28&gt;'More Stats'!N29),"PHI",
IF(AND(D27="DAL/PHI/NYG",C27=C28,C27=C29,'Conference Counter'!AP21='Conference Counter'!AR21,'Conference Counter'!AP21='Conference Counter'!AT21,'More Stats'!N29&gt;'More Stats'!N27,'More Stats'!N29&gt;'More Stats'!N28),"NYG",
IF(AND(D27="DAL/PHI/NYG",C27=C28,C27=C29,'Conference Counter'!AP21='Conference Counter'!AR21,'Conference Counter'!AP21='Conference Counter'!AT21,'More Stats'!N27='More Stats'!N28,'More Stats'!N27&gt;'More Stats'!N29,'More Stats'!L27&gt;'More Stats'!L28),"DAL",
IF(AND(D27="DAL/PHI/NYG",C27=C28,C27=C29,'Conference Counter'!AP21='Conference Counter'!AR21,'Conference Counter'!AP21='Conference Counter'!AT21,'More Stats'!N27='More Stats'!N28,'More Stats'!N27&gt;'More Stats'!N29,'More Stats'!L27&lt;'More Stats'!L28),"PHI",
IF(AND(D27="DAL/PHI/NYG",C27=C28,C27=C29,'Conference Counter'!AP21='Conference Counter'!AR21,'Conference Counter'!AP21='Conference Counter'!AT21,'More Stats'!N27&gt;'More Stats'!N28,'More Stats'!N27='More Stats'!N29,'More Stats'!L27&gt;'More Stats'!L29),"DAL",
IF(AND(D27="DAL/PHI/NYG",C27=C28,C27=C29,'Conference Counter'!AP21='Conference Counter'!AR21,'Conference Counter'!AP21='Conference Counter'!AT21,'More Stats'!N27&gt;'More Stats'!N28,'More Stats'!N27='More Stats'!N29,'More Stats'!L27&lt;'More Stats'!L29),"NYG",
IF(AND(D27="DAL/PHI/NYG",C27=C28,C27=C29,'Conference Counter'!AP21='Conference Counter'!AR21,'Conference Counter'!AP21='Conference Counter'!AT21,'More Stats'!N28&gt;'More Stats'!N27,'More Stats'!N28='More Stats'!N29,'More Stats'!L28&gt;'More Stats'!L29),"PHI",
IF(AND(D27="DAL/PHI/NYG",C27=C28,C27=C29,'Conference Counter'!AP21='Conference Counter'!AR21,'Conference Counter'!AP21='Conference Counter'!AT21,'More Stats'!N28&gt;'More Stats'!N27,'More Stats'!N28='More Stats'!N29,'More Stats'!L28&lt;'More Stats'!L29),"NYG",
IF(AND(D27="DAL/PHI/NYG",C27=C28,C27=C29,'Conference Counter'!AP21='Conference Counter'!AR21,'Conference Counter'!AP21='Conference Counter'!AT21,'More Stats'!N27='More Stats'!N28,'More Stats'!N27='More Stats'!N29,'More Stats'!L27&gt;'More Stats'!L28,'More Stats'!L27&gt;'More Stats'!L29,),"DAL",
IF(AND(D27="DAL/PHI/NYG",C27=C28,C27=C29,'Conference Counter'!AP21='Conference Counter'!AR21,'Conference Counter'!AP21='Conference Counter'!AT21,'More Stats'!N27='More Stats'!N28,'More Stats'!N27='More Stats'!N29,'More Stats'!L28&gt;'More Stats'!L27,'More Stats'!L28&gt;'More Stats'!L29,),"PHI",
IF(AND(D27="DAL/PHI/NYG",C27=C28,C27=C29,'Conference Counter'!AP21='Conference Counter'!AR21,'Conference Counter'!AP21='Conference Counter'!AT21,'More Stats'!N27='More Stats'!N28,'More Stats'!N27='More Stats'!N29,'More Stats'!L29&gt;'More Stats'!L27,'More Stats'!L29&gt;'More Stats'!L28,),"NYG",
IF(AND(D27="DAL/PHI/NYG/WSH",C27&gt;C28,C27&gt;C29,C27&gt;C30),"DAL",
IF(AND(D27="DAL/PHI/NYG/WSH",C28&gt;C27,C28&gt;C29,C28&gt;C30),"PHI",
IF(AND(D27="DAL/PHI/NYG/WSH",C29&gt;C27,C29&gt;C28,C29&gt;C30),"NYG",
IF(AND(D27="DAL/PHI/NYG/WSH",C30&gt;C27,C30&gt;C28,C30&gt;C29),"WSH",
"TBD"))))))))))))))))))))))))))))))))))))))))))))))))))))))))))))))))))))))))))))))))))))))))))))))))))))))))))))))))))))))))))))))))))))))))))))))))))))))))))))))))))))))))))))))))))))))))))))))))))))))))))))))))))))))))))))))))))))))))))))</f>
        <v>PHI</v>
      </c>
      <c r="F27" s="276"/>
      <c r="G27" s="268"/>
      <c r="H27" s="268"/>
      <c r="I27" s="268"/>
      <c r="J27" s="268"/>
      <c r="K27" s="268"/>
      <c r="L27" s="268"/>
      <c r="M27" s="268"/>
      <c r="N27" s="290" t="s">
        <v>136</v>
      </c>
      <c r="O27" s="267">
        <v>0.5882352941176471</v>
      </c>
      <c r="P27" s="281">
        <v>0.6666666666666666</v>
      </c>
      <c r="Q27" s="282">
        <v>5.0</v>
      </c>
      <c r="R27" s="268">
        <v>327.0</v>
      </c>
      <c r="S27" s="268"/>
      <c r="T27" s="268"/>
      <c r="U27" s="268"/>
      <c r="V27" s="285" t="s">
        <v>738</v>
      </c>
      <c r="W27" s="268"/>
      <c r="X27" s="268"/>
      <c r="Y27" s="268"/>
      <c r="Z27" s="268"/>
      <c r="AA27" s="268"/>
      <c r="AB27" s="268"/>
      <c r="AC27" s="268"/>
      <c r="AD27" s="268"/>
      <c r="AE27" s="268"/>
      <c r="AF27" s="268"/>
      <c r="AG27" s="268"/>
      <c r="AH27" s="268"/>
      <c r="AI27" s="268"/>
      <c r="AJ27" s="268"/>
      <c r="AK27" s="268"/>
      <c r="AL27" s="268"/>
      <c r="AM27" s="268"/>
    </row>
    <row r="28">
      <c r="A28" s="266" t="s">
        <v>121</v>
      </c>
      <c r="B28" s="267">
        <f t="array" ref="B28">INDEX('More Stats'!E28,0)</f>
        <v>0.7647058824</v>
      </c>
      <c r="C28" s="268">
        <f t="array" ref="C28">INDEX('Div Record Counter'!AR20,0)</f>
        <v>5</v>
      </c>
      <c r="D28" s="268"/>
      <c r="E28" s="268"/>
      <c r="F28" s="268"/>
      <c r="G28" s="268"/>
      <c r="H28" s="268"/>
      <c r="I28" s="268"/>
      <c r="J28" s="268"/>
      <c r="K28" s="268"/>
      <c r="L28" s="268"/>
      <c r="M28" s="268"/>
      <c r="N28" s="290" t="s">
        <v>40</v>
      </c>
      <c r="O28" s="267">
        <v>0.5882352941176471</v>
      </c>
      <c r="P28" s="281">
        <v>0.5833333333333334</v>
      </c>
      <c r="Q28" s="282">
        <v>15.0</v>
      </c>
      <c r="R28" s="268">
        <v>354.0</v>
      </c>
      <c r="S28" s="268"/>
      <c r="T28" s="268"/>
      <c r="U28" s="268"/>
      <c r="V28" s="280" t="s">
        <v>739</v>
      </c>
      <c r="W28" s="268"/>
      <c r="X28" s="268"/>
      <c r="Y28" s="268"/>
      <c r="Z28" s="268"/>
      <c r="AA28" s="268"/>
      <c r="AB28" s="268"/>
      <c r="AC28" s="268"/>
      <c r="AD28" s="268"/>
      <c r="AE28" s="268"/>
      <c r="AF28" s="268"/>
      <c r="AG28" s="268"/>
      <c r="AH28" s="268"/>
      <c r="AI28" s="268"/>
      <c r="AJ28" s="268"/>
      <c r="AK28" s="268"/>
      <c r="AL28" s="268"/>
      <c r="AM28" s="268"/>
    </row>
    <row r="29">
      <c r="A29" s="266" t="s">
        <v>125</v>
      </c>
      <c r="B29" s="267">
        <f t="array" ref="B29">INDEX('More Stats'!E29,0)</f>
        <v>0.2352941176</v>
      </c>
      <c r="C29" s="268">
        <f t="array" ref="C29">INDEX('Div Record Counter'!AT20,0)</f>
        <v>0</v>
      </c>
      <c r="D29" s="268"/>
      <c r="E29" s="268"/>
      <c r="F29" s="268"/>
      <c r="G29" s="268"/>
      <c r="H29" s="268"/>
      <c r="I29" s="268"/>
      <c r="J29" s="268"/>
      <c r="K29" s="268"/>
      <c r="L29" s="268"/>
      <c r="M29" s="268"/>
      <c r="N29" s="268" t="s">
        <v>173</v>
      </c>
      <c r="O29" s="267">
        <v>0.5882352941176471</v>
      </c>
      <c r="P29" s="281">
        <v>0.5833333333333334</v>
      </c>
      <c r="Q29" s="282">
        <v>12.0</v>
      </c>
      <c r="R29" s="268">
        <v>335.0</v>
      </c>
      <c r="S29" s="268"/>
      <c r="T29" s="268"/>
      <c r="U29" s="268"/>
      <c r="V29" s="285"/>
      <c r="W29" s="268"/>
      <c r="X29" s="268"/>
      <c r="Y29" s="268"/>
      <c r="Z29" s="268"/>
      <c r="AA29" s="268"/>
      <c r="AB29" s="268"/>
      <c r="AC29" s="268"/>
      <c r="AD29" s="268"/>
      <c r="AE29" s="268"/>
      <c r="AF29" s="268"/>
      <c r="AG29" s="268"/>
      <c r="AH29" s="268"/>
      <c r="AI29" s="268"/>
      <c r="AJ29" s="268"/>
      <c r="AK29" s="268"/>
      <c r="AL29" s="268"/>
      <c r="AM29" s="268"/>
    </row>
    <row r="30">
      <c r="A30" s="266" t="s">
        <v>129</v>
      </c>
      <c r="B30" s="267">
        <f t="array" ref="B30">INDEX('More Stats'!E30,0)</f>
        <v>0.3529411765</v>
      </c>
      <c r="C30" s="268">
        <f t="array" ref="C30">INDEX('Div Record Counter'!AV20,0)</f>
        <v>2</v>
      </c>
      <c r="D30" s="268"/>
      <c r="E30" s="268"/>
      <c r="F30" s="268"/>
      <c r="G30" s="268"/>
      <c r="H30" s="268"/>
      <c r="I30" s="268"/>
      <c r="J30" s="268"/>
      <c r="K30" s="268"/>
      <c r="L30" s="268"/>
      <c r="M30" s="268"/>
      <c r="N30" s="268" t="s">
        <v>112</v>
      </c>
      <c r="O30" s="267">
        <v>0.47058823529411764</v>
      </c>
      <c r="P30" s="281">
        <v>0.5</v>
      </c>
      <c r="Q30" s="282">
        <v>-7.0</v>
      </c>
      <c r="R30" s="268">
        <v>354.0</v>
      </c>
      <c r="S30" s="268"/>
      <c r="T30" s="268"/>
      <c r="U30" s="268"/>
      <c r="V30" s="285"/>
      <c r="W30" s="268"/>
      <c r="X30" s="268"/>
      <c r="Y30" s="268"/>
      <c r="Z30" s="268"/>
      <c r="AA30" s="268"/>
      <c r="AB30" s="268"/>
      <c r="AC30" s="268"/>
      <c r="AD30" s="268"/>
      <c r="AE30" s="268"/>
      <c r="AF30" s="268"/>
      <c r="AG30" s="268"/>
      <c r="AH30" s="268"/>
      <c r="AI30" s="268"/>
      <c r="AJ30" s="268"/>
      <c r="AK30" s="268"/>
      <c r="AL30" s="268"/>
      <c r="AM30" s="268"/>
    </row>
    <row r="31">
      <c r="A31" s="284"/>
      <c r="B31" s="284"/>
      <c r="C31" s="284"/>
      <c r="D31" s="284"/>
      <c r="E31" s="284"/>
      <c r="F31" s="268"/>
      <c r="G31" s="268"/>
      <c r="H31" s="268"/>
      <c r="I31" s="268"/>
      <c r="J31" s="268"/>
      <c r="K31" s="268"/>
      <c r="L31" s="268"/>
      <c r="M31" s="268"/>
      <c r="N31" s="268" t="s">
        <v>108</v>
      </c>
      <c r="O31" s="267">
        <v>0.4117647058823529</v>
      </c>
      <c r="P31" s="281">
        <v>0.5</v>
      </c>
      <c r="Q31" s="282">
        <v>-7.0</v>
      </c>
      <c r="R31" s="268">
        <v>360.0</v>
      </c>
      <c r="S31" s="268"/>
      <c r="T31" s="268"/>
      <c r="U31" s="268"/>
      <c r="V31" s="268"/>
      <c r="W31" s="268"/>
      <c r="X31" s="268"/>
      <c r="Y31" s="268"/>
      <c r="Z31" s="268"/>
      <c r="AA31" s="268"/>
      <c r="AB31" s="268"/>
      <c r="AC31" s="268"/>
      <c r="AD31" s="268"/>
      <c r="AE31" s="268"/>
      <c r="AF31" s="268"/>
      <c r="AG31" s="268"/>
      <c r="AH31" s="268"/>
      <c r="AI31" s="268"/>
      <c r="AJ31" s="268"/>
      <c r="AK31" s="268"/>
      <c r="AL31" s="268"/>
      <c r="AM31" s="268"/>
    </row>
    <row r="32">
      <c r="A32" s="266" t="s">
        <v>138</v>
      </c>
      <c r="B32" s="267">
        <f t="array" ref="B32">INDEX('More Stats'!E32,0)</f>
        <v>0.6470588235</v>
      </c>
      <c r="C32" s="268">
        <f t="array" ref="C32">INDEX('Div Record Counter'!AX20,0)</f>
        <v>3</v>
      </c>
      <c r="D32" s="268" t="str">
        <f>IF(AND(B32&gt;B33,B32&gt;B34,B32&gt;B35),"DET",
IF(AND(B33&gt;B32,B33&gt;B34,B33&gt;B35),"GB",
IF(AND(B34&gt;B32,B34&gt;B33,B34&gt;B35),"MIN",
IF(AND(B35&gt;B32,B35&gt;B33,B35&gt;B34),"CHI",
IF(AND(B32&gt;B34,B32&gt;B35,B32=B33),"DET/GB",
IF(AND(B32&gt;B33,B32&gt;B35,B32=B34),"DET/MIN",
IF(AND(B32&gt;B33,B32&gt;B34,B32=B35),"DET/CHI",
IF(AND(B33&gt;B32,B33&gt;B35,B33=B34),"GB/MIN",
IF(AND(B33&gt;B32,B33&gt;B34,B33=B35),"GB/CHI",
IF(AND(B34&gt;B32,B34&gt;B33,B34=B35),"MIN/CHI",
IF(AND(B33&gt;B32,B34&gt;B32,B35&gt;B32,B33=B34,B33=B35),"GB/MIN/CHI",
IF(AND(B32&gt;B33,B34&gt;B33,B35&gt;B33,B32=B34,B32=B35),"DET/MIN/CHI",
IF(AND(B32&gt;B34,B33&gt;B34,B35&gt;B34,B32=B33,B32=B35),"DET/GB/CHI",
IF(AND(B32&gt;B35,B33&gt;B35,B34&gt;B35,B32=B33,B32=B34),"DET/GB/MIN",
IF(AND(B32=B33,B32=B34,B32=B35),"DET/GB/MIN/CHI",
"wtf")))))))))))))))</f>
        <v>DET</v>
      </c>
      <c r="E32" s="268" t="str">
        <f>IF(D32="DET","DET",
IF(D32="GB","GB",
IF(D32="MIN","MIN",
IF(D32="CHI","CHI",
IF(AND(D32="DET/GB",'Week 7'!C13="DET",'Week 18'!C11="DET"),"DET",
IF(AND(D32="DET/GB",'Week 7'!C13="GB",'Week 18'!C11="GB"),"GB",
IF(AND(D32="DET/GB",C32&gt;C33),"DET",
IF(AND(D32="DET/GB",C32&lt;C33),"GB",
IF(AND(D32="DET/GB",C32=C33,'Conference Counter'!AX21&gt;'Conference Counter'!AZ21),"DET",
IF(AND(D32="DET/GB",C32=C33,'Conference Counter'!AX21&lt;'Conference Counter'!AZ21),"GB",
IF(AND(D32="DET/GB",C32=C33,'Conference Counter'!AX21='Conference Counter'!AZ21,'More Stats'!N32&gt;'More Stats'!N33),"DET",
IF(AND(D32="DET/GB",C32=C33,'Conference Counter'!AX21='Conference Counter'!AZ21,'More Stats'!N32&lt;'More Stats'!N33),"GB",
IF(AND(D32="DET/GB",C32=C33,'Conference Counter'!AX21='Conference Counter'!AZ21,'More Stats'!N32='More Stats'!N33,'More Stats'!L32&gt;'More Stats'!L33),"DET",
IF(AND(D32="DET/GB",C32=C33,'Conference Counter'!AX21='Conference Counter'!AZ21,'More Stats'!N32='More Stats'!N33,'More Stats'!L32&lt;'More Stats'!L33),"GB",
IF(AND(D32="DET/MIN",'Week 8'!C6="DET",'Week 15'!C17="DET"),"DET",
IF(AND(D32="DET/MIN",'Week 8'!C6="MIN",'Week 15'!C17="MIN"),"MIN",
IF(AND(D32="DET/MIN",C32&gt;C34),"DET",
IF(AND(D32="DET/MIN",C32&lt;C34),"MIN",
IF(AND(D32="DET/MIN",C32=C34,'Conference Counter'!AX21&gt;'Conference Counter'!BB21),"DET",
IF(AND(D32="DET/MIN",C32=C34,'Conference Counter'!AX21&lt;'Conference Counter'!BB21),"MIN",
IF(AND(D32="DET/MIN",C32=C34,'Conference Counter'!AX21='Conference Counter'!BB21,'More Stats'!N32&gt;'More Stats'!N34),"DET",
IF(AND(D32="DET/MIN",C32=C34,'Conference Counter'!AX21='Conference Counter'!BB21,'More Stats'!N32&lt;'More Stats'!N34),"MIN",
IF(AND(D32="DET/MIN",C32=C34,'Conference Counter'!AX21='Conference Counter'!BB21,'More Stats'!N32='More Stats'!N34,'More Stats'!L32&gt;'More Stats'!L34),"DET",
IF(AND(D32="DET/MIN",C32=C34,'Conference Counter'!AX21='Conference Counter'!BB21,'More Stats'!N32='More Stats'!N34,'More Stats'!L32&lt;'More Stats'!L34),"MIN",
IF(AND(D32="DET/CHI",'Week 12'!C4="DET",'Week 17'!C12="DET"),"DET",
IF(AND(D32="DET/CHI",'Week 12'!C4="CHI",'Week 17'!C12="CHI"),"CHI",
IF(AND(D32="DET/CHI",C32&gt;C35),"DET",
IF(AND(D32="DET/CHI",C32&lt;C35),"CHI",
IF(AND(D32="DET/CHI",C32=C35,'Conference Counter'!AX21&gt;'Conference Counter'!H51),"DET",
IF(AND(D32="DET/CHI",C32=C35,'Conference Counter'!AX21&lt;'Conference Counter'!H51),"CHI",
IF(AND(D32="DET/CHI",C32=C35,'Conference Counter'!AX21='Conference Counter'!H51,'More Stats'!N32&gt;'More Stats'!N35),"DET",
IF(AND(D32="DET/CHI",C32=C35,'Conference Counter'!AX21='Conference Counter'!H51,'More Stats'!N32&lt;'More Stats'!N35),"CHI",
IF(AND(D32="DET/CHI",C32=C35,'Conference Counter'!AX21='Conference Counter'!H51,'More Stats'!N32='More Stats'!N35,'More Stats'!L32&gt;'More Stats'!L35),"DET",
IF(AND(D32="DET/CHI",C32=C35,'Conference Counter'!AX21='Conference Counter'!H51,'More Stats'!N32='More Stats'!N35,'More Stats'!L32&lt;'More Stats'!L35),"CHI",
IF(AND(D32="GB/MIN",'Week 1'!C14="GB",'Week 10'!C7="GB"),"GB",
IF(AND(D32="GB/MIN",'Week 1'!C14="MIN",'Week 10'!C7="MIN"),"MIN",
IF(AND(D32="GB/MIN",C33&gt;C34),"GB",
IF(AND(D32="GB/MIN",C33&lt;C34),"MIN",
IF(AND(D32="GB/MIN",C33=C34,'Conference Counter'!AZ21&gt;'Conference Counter'!BB21),"GB",
IF(AND(D32="GB/MIN",C33=C34,'Conference Counter'!AZ21&lt;'Conference Counter'!BB21),"MIN",
IF(AND(D32="GB/MIN",C33=C34,'Conference Counter'!AZ21='Conference Counter'!BB21,'More Stats'!N33&gt;'More Stats'!N34),"GB",
IF(AND(D32="GB/MIN",C33=C34,'Conference Counter'!AZ21='Conference Counter'!BB21,'More Stats'!N33&lt;'More Stats'!N34),"MIN",
IF(AND(D32="GB/MIN",C33=C34,'Conference Counter'!AZ21='Conference Counter'!BB21,'More Stats'!N33='More Stats'!N34,'More Stats'!L33&gt;'More Stats'!L34),"GB",
IF(AND(D32="GB/MIN",C33=C34,'Conference Counter'!AZ21='Conference Counter'!BB21,'More Stats'!N33='More Stats'!N34,'More Stats'!L33&lt;'More Stats'!L34),"MIN",
IF(AND(D32="GB/CHI",'Week 5'!C14="GB",'Week 16'!C4="GB"),"GB",
IF(AND(D32="GB/CHI",'Week 5'!C14="CHI",'Week 16'!C4="CHI"),"CHI",
IF(AND(D32="GB/CHI",C33&gt;C35),"GB",
IF(AND(D32="GB/CHI",C33&lt;C35),"CHI",
IF(AND(D32="GB/CHI",C33=C34,'Conference Counter'!AZ21&gt;'Conference Counter'!H51),"GB",
IF(AND(D32="GB/CHI",C33=C34,'Conference Counter'!AZ21&lt;'Conference Counter'!H51),"CHI",
IF(AND(D32="GB/CHI",C33=C34,'Conference Counter'!AZ21='Conference Counter'!H51,'More Stats'!N33&gt;'More Stats'!N35),"GB",
IF(AND(D32="GB/CHI",C33=C34,'Conference Counter'!AZ21='Conference Counter'!H51,'More Stats'!N33&lt;'More Stats'!N35),"CHI",
IF(AND(D32="GB/CHI",C33=C34,'Conference Counter'!AZ21='Conference Counter'!H51,'More Stats'!N33='More Stats'!N35,'More Stats'!L33&gt;'More Stats'!L35),"GB",
IF(AND(D32="GB/CHI",C33=C34,'Conference Counter'!AZ21='Conference Counter'!H51,'More Stats'!N33='More Stats'!N35,'More Stats'!L33&lt;'More Stats'!L35),"CHI",
IF(AND(D32="MIN/CHI",'Week 2'!C5="MIN",'Week 18'!C7="MIN"),"MIN",
IF(AND(D32="MIN/CHI",'Week 2'!C5="CHI",'Week 18'!C7="CHI"),"CHI",
IF(AND(D32="MIN/CHI",C34&gt;C35),"MIN",
IF(AND(D32="MIN/CHI",C34&lt;C35),"CHI",
IF(AND(D32="MIN/CHI",C34=C35,'Conference Counter'!BB21&gt;'Conference Counter'!H51),"MIN",
IF(AND(D32="MIN/CHI",C34=C35,'Conference Counter'!BB21&lt;'Conference Counter'!H51),"CHI",
IF(AND(D32="MIN/CHI",C34=C35,'Conference Counter'!BB21='Conference Counter'!H51,'More Stats'!N34&gt;'More Stats'!N35),"MIN",
IF(AND(D32="MIN/CHI",C34=C35,'Conference Counter'!BB21='Conference Counter'!H51,'More Stats'!N34&lt;'More Stats'!N35),"CHI",
IF(AND(D32="MIN/CHI",C34=C35,'Conference Counter'!BB21='Conference Counter'!H51,'More Stats'!N34='More Stats'!N35,'More Stats'!L34&gt;'More Stats'!L35),"MIN",
IF(AND(D32="MIN/CHI",C34=C35,'Conference Counter'!BB21='Conference Counter'!H51,'More Stats'!N34='More Stats'!N35,'More Stats'!L34&lt;'More Stats'!L35),"CHI",
IF(AND(D32="GB/MIN/CHI",C33&gt;C34,C33&gt;C35),"GB",
IF(AND(D32="GB/MIN/CHI",C34&gt;C33,C34&gt;C35),"MIN",
IF(AND(D32="GB/MIN/CHI",C35&gt;C33,C35&gt;C34),"CHI",
IF(AND(D32="GB/MIN/CHI",C33=C34,C33&gt;C35,'Conference Counter'!AZ21&gt;'Conference Counter'!BB21),"GB",
IF(AND(D32="GB/MIN/CHI",C33=C34,C33&gt;C35,'Conference Counter'!AZ21&lt;'Conference Counter'!BB21),"MIN",
IF(AND(D32="GB/MIN/CHI",C33=C34,C33&gt;C35,'Conference Counter'!AZ21='Conference Counter'!BB21,'More Stats'!N33&gt;'More Stats'!N34),"GB",
IF(AND(D32="GB/MIN/CHI",C33=C34,C33&gt;C35,'Conference Counter'!AZ21='Conference Counter'!BB21,'More Stats'!N33&lt;'More Stats'!N34),"MIN",
IF(AND(D32="GB/MIN/CHI",C33=C34,C33&gt;C35,'Conference Counter'!AZ21='Conference Counter'!BB21,'More Stats'!N33='More Stats'!N34,'More Stats'!L33&gt;'More Stats'!L34),"GB",
IF(AND(D32="GB/MIN/CHI",C33=C34,C33&gt;C35,'Conference Counter'!AZ21='Conference Counter'!BB21,'More Stats'!N33='More Stats'!N34,'More Stats'!L33&lt;'More Stats'!L34),"MIN",
IF(AND(D32="GB/MIN/CHI",C33&gt;C34,C33=C35,'Conference Counter'!AZ21&gt;'Conference Counter'!H51),"GB",
IF(AND(D32="GB/MIN/CHI",C33&gt;C34,C33=C35,'Conference Counter'!AZ21&lt;'Conference Counter'!H51),"CHI",
IF(AND(D32="GB/MIN/CHI",C33&gt;C34,C33=C35,'Conference Counter'!AZ21='Conference Counter'!H51,'More Stats'!N33&gt;'More Stats'!N35),"GB",
IF(AND(D32="GB/MIN/CHI",C33&gt;C34,C33=C35,'Conference Counter'!AZ21='Conference Counter'!H51,'More Stats'!N33&lt;'More Stats'!N35),"CHI",
IF(AND(D32="GB/MIN/CHI",C33&gt;C34,C33=C35,'Conference Counter'!AZ21='Conference Counter'!H51,'More Stats'!N33='More Stats'!N35,'More Stats'!L33&gt;'More Stats'!L35),"GB",
IF(AND(D32="GB/MIN/CHI",C33&gt;C34,C33=C35,'Conference Counter'!AZ21='Conference Counter'!H51,'More Stats'!N33='More Stats'!N35,'More Stats'!L33&lt;'More Stats'!L35),"CHI",
IF(AND(D32="GB/MIN/CHI",C34&gt;C33,C34=C35,'Conference Counter'!BB21&gt;'Conference Counter'!H51),"MIN",
IF(AND(D32="GB/MIN/CHI",C34&gt;C33,C34=C35,'Conference Counter'!BB21&lt;'Conference Counter'!H51),"CHI",
IF(AND(D32="GB/MIN/CHI",C34&gt;C33,C34=C35,'Conference Counter'!BB21='Conference Counter'!H51,'More Stats'!N34&gt;'More Stats'!N35),"MIN",
IF(AND(D32="GB/MIN/CHI",C34&gt;C33,C34=C35,'Conference Counter'!BB21='Conference Counter'!H51,'More Stats'!N34&lt;'More Stats'!N35),"CHI",
IF(AND(D32="GB/MIN/CHI",C34&gt;C33,C34=C35,'Conference Counter'!BB21='Conference Counter'!H51,'More Stats'!N34='More Stats'!N35,'More Stats'!L34&gt;'More Stats'!L35),"MIN",
IF(AND(D32="GB/MIN/CHI",C34&gt;C33,C34=C35,'Conference Counter'!BB21='Conference Counter'!H51,'More Stats'!N34='More Stats'!N35,'More Stats'!L34&lt;'More Stats'!L35),"CHI",
IF(AND(D32="GB/MIN/CHI",C33=C34,C33=C35,'Conference Counter'!AZ21&gt;'Conference Counter'!BB21,'Conference Counter'!AZ21&gt;'Conference Counter'!H51),"GB",
IF(AND(D32="GB/MIN/CHI",C33=C34,C33=C35,'Conference Counter'!BB21&gt;'Conference Counter'!AZ21,'Conference Counter'!BB21&gt;'Conference Counter'!H51),"MIN",
IF(AND(D32="GB/MIN/CHI",C33=C34,C33=C35,'Conference Counter'!H51&gt;'Conference Counter'!AZ21,'Conference Counter'!H51&gt;'Conference Counter'!BB21),"CHI",
IF(AND(D32="GB/MIN/CHI",C33=C34,C33=C35,'Conference Counter'!AZ21='Conference Counter'!BB21,'Conference Counter'!AZ21&gt;'Conference Counter'!H51,'More Stats'!N33&gt;'More Stats'!N34),"GB",
IF(AND(D32="GB/MIN/CHI",C33=C34,C33=C35,'Conference Counter'!AZ21='Conference Counter'!BB21,'Conference Counter'!AZ21&gt;'Conference Counter'!H51,'More Stats'!N33&lt;'More Stats'!N34),"MIN",
IF(AND(D32="GB/MIN/CHI",C33=C34,C33=C35,'Conference Counter'!AZ21&gt;'Conference Counter'!BB21,'Conference Counter'!AZ21='Conference Counter'!H51,'More Stats'!N33&gt;'More Stats'!N35),"GB",
IF(AND(D32="GB/MIN/CHI",C33=C34,C33=C35,'Conference Counter'!AZ21&gt;'Conference Counter'!BB21,'Conference Counter'!AZ21='Conference Counter'!H51,'More Stats'!N33&lt;'More Stats'!N35),"CHI",
IF(AND(D32="GB/MIN/CHI",C33=C34,C33=C35,'Conference Counter'!BB21&gt;'Conference Counter'!AZ21,'Conference Counter'!BB21='Conference Counter'!H51,'More Stats'!N34&gt;'More Stats'!N35),"MIN",
IF(AND(D32="GB/MIN/CHI",C33=C34,C33=C35,'Conference Counter'!BB21&gt;'Conference Counter'!AZ21,'Conference Counter'!BB21='Conference Counter'!H51,'More Stats'!N34&lt;'More Stats'!N35),"CHI",
IF(AND(D32="GB/MIN/CHI",C33=C34,C33=C35,'Conference Counter'!AZ21='Conference Counter'!BB21,'Conference Counter'!AZ21='Conference Counter'!H51,'More Stats'!N33&gt;'More Stats'!N34,'More Stats'!N33&gt;'More Stats'!N35),"GB",
IF(AND(D32="GB/MIN/CHI",C33=C34,C33=C35,'Conference Counter'!AZ21='Conference Counter'!BB21,'Conference Counter'!AZ21='Conference Counter'!H51,'More Stats'!N34&gt;'More Stats'!N33,'More Stats'!N34&gt;'More Stats'!N35),"MIN",
IF(AND(D32="GB/MIN/CHI",C33=C34,C33=C35,'Conference Counter'!AZ21='Conference Counter'!BB21,'Conference Counter'!AZ21='Conference Counter'!H51,'More Stats'!N35&gt;'More Stats'!N33,'More Stats'!N35&gt;'More Stats'!N34),"CHI",
IF(AND(D32="GB/MIN/CHI",C33=C34,C33=C35,'Conference Counter'!AZ21='Conference Counter'!BB21,'Conference Counter'!AZ21='Conference Counter'!H51,'More Stats'!N33='More Stats'!N34,'More Stats'!N33&gt;'More Stats'!N35,'More Stats'!L33&gt;'More Stats'!L34),"GB",
IF(AND(D32="GB/MIN/CHI",C33=C34,C33=C35,'Conference Counter'!AZ21='Conference Counter'!BB21,'Conference Counter'!AZ21='Conference Counter'!H51,'More Stats'!N33='More Stats'!N34,'More Stats'!N33&gt;'More Stats'!N35,'More Stats'!L33&lt;'More Stats'!L34),"MIN",
IF(AND(D32="GB/MIN/CHI",C33=C34,C33=C35,'Conference Counter'!AZ21='Conference Counter'!BB21,'Conference Counter'!AZ21='Conference Counter'!H51,'More Stats'!N33&gt;'More Stats'!N34,'More Stats'!N33='More Stats'!N35,'More Stats'!L33&gt;'More Stats'!L35),"GB",
IF(AND(D32="GB/MIN/CHI",C33=C34,C33=C35,'Conference Counter'!AZ21='Conference Counter'!BB21,'Conference Counter'!AZ21='Conference Counter'!H51,'More Stats'!N33&gt;'More Stats'!N34,'More Stats'!N33='More Stats'!N35,'More Stats'!L33&lt;'More Stats'!L35),"CHI",
IF(AND(D32="GB/MIN/CHI",C33=C34,C33=C35,'Conference Counter'!AZ21='Conference Counter'!BB21,'Conference Counter'!AZ21='Conference Counter'!H51,'More Stats'!N34&gt;'More Stats'!N33,'More Stats'!N34='More Stats'!N35,'More Stats'!L34&gt;'More Stats'!L35),"MIN",
IF(AND(D32="GB/MIN/CHI",C33=C34,C33=C35,'Conference Counter'!AZ21='Conference Counter'!BB21,'Conference Counter'!AZ21='Conference Counter'!H51,'More Stats'!N34&gt;'More Stats'!N33,'More Stats'!N34='More Stats'!N35,'More Stats'!L34&lt;'More Stats'!L35),"CHI",
IF(AND(D32="GB/MIN/CHI",C33=C34,C33=C35,'Conference Counter'!AZ21='Conference Counter'!BB21,'Conference Counter'!AZ21='Conference Counter'!H51,'More Stats'!N33='More Stats'!N34,'More Stats'!N33='More Stats'!N35,'More Stats'!L33&gt;'More Stats'!L34,'More Stats'!L33&gt;'More Stats'!L35,),"GB",
IF(AND(D32="GB/MIN/CHI",C33=C34,C33=C35,'Conference Counter'!AZ21='Conference Counter'!BB21,'Conference Counter'!AZ21='Conference Counter'!H51,'More Stats'!N33='More Stats'!N34,'More Stats'!N33='More Stats'!N35,'More Stats'!L34&gt;'More Stats'!L33,'More Stats'!L34&gt;'More Stats'!L35,),"MIN",
IF(AND(D32="GB/MIN/CHI",C33=C34,C33=C35,'Conference Counter'!AZ21='Conference Counter'!BB21,'Conference Counter'!AZ21='Conference Counter'!H51,'More Stats'!N33='More Stats'!N34,'More Stats'!N33='More Stats'!N35,'More Stats'!L35&gt;'More Stats'!L33,'More Stats'!L35&gt;'More Stats'!L34,),"CHI",
IF(AND(D32="DET/MIN/CHI",C32&gt;C34,C32&gt;C35),"DET",
IF(AND(D32="DET/MIN/CHI",C34&gt;C32,C34&gt;C35),"MIN",
IF(AND(D32="DET/MIN/CHI",C35&gt;C32,C35&gt;C34),"CHI",
IF(AND(D32="DET/MIN/CHI",C32=C34,C32&gt;C35,'Conference Counter'!AX21&gt;'Conference Counter'!BB21),"DET",
IF(AND(D32="DET/MIN/CHI",C32=C34,C32&gt;C35,'Conference Counter'!AX21&lt;'Conference Counter'!BB21),"MIN",
IF(AND(D32="DET/MIN/CHI",C32=C34,C32&gt;C35,'Conference Counter'!AX21='Conference Counter'!BB21,'More Stats'!N32&gt;'More Stats'!N34),"DET",
IF(AND(D32="DET/MIN/CHI",C32=C34,C32&gt;C35,'Conference Counter'!AX21='Conference Counter'!BB21,'More Stats'!N32&lt;'More Stats'!N34),"MIN",
IF(AND(D32="DET/MIN/CHI",C32=C34,C32&gt;C35,'Conference Counter'!AX21='Conference Counter'!BB21,'More Stats'!N32='More Stats'!N34,'More Stats'!L32&gt;'More Stats'!L34),"DET",
IF(AND(D32="DET/MIN/CHI",C32=C34,C32&gt;C35,'Conference Counter'!AX21='Conference Counter'!BB21,'More Stats'!N32='More Stats'!N34,'More Stats'!L32&lt;'More Stats'!L34),"MIN",
IF(AND(D32="DET/MIN/CHI",C32&gt;C34,C32=C35,'Conference Counter'!AX21&gt;'Conference Counter'!H51),"DET",
IF(AND(D32="DET/MIN/CHI",C32&gt;C34,C32=C35,'Conference Counter'!AX21&lt;'Conference Counter'!H51),"CHI",
IF(AND(D32="DET/MIN/CHI",C32&gt;C34,C32=C35,'Conference Counter'!AX21='Conference Counter'!H51,'More Stats'!N32&gt;'More Stats'!N35),"DET",
IF(AND(D32="DET/MIN/CHI",C32&gt;C34,C32=C35,'Conference Counter'!AX21='Conference Counter'!H51,'More Stats'!N32&lt;'More Stats'!N35),"CHI",
IF(AND(D32="DET/MIN/CHI",C32&gt;C34,C32=C35,'Conference Counter'!AX21='Conference Counter'!H51,'More Stats'!N32='More Stats'!N35,'More Stats'!L32&gt;'More Stats'!L35),"DET",
IF(AND(D32="DET/MIN/CHI",C32&gt;C34,C32=C35,'Conference Counter'!AX21='Conference Counter'!H51,'More Stats'!N32='More Stats'!N35,'More Stats'!L32&lt;'More Stats'!L35),"CHI",
IF(AND(D32="DET/MIN/CHI",C34&gt;C32,C34=C35,'Conference Counter'!BB21&gt;'Conference Counter'!H51),"MIN",
IF(AND(D32="DET/MIN/CHI",C34&gt;C32,C34=C35,'Conference Counter'!BB21&lt;'Conference Counter'!H51),"CHI",
IF(AND(D32="DET/MIN/CHI",C34&gt;C32,C34=C35,'Conference Counter'!BB21='Conference Counter'!H51,'More Stats'!N34&gt;'More Stats'!N35),"MIN",
IF(AND(D32="DET/MIN/CHI",C34&gt;C32,C34=C35,'Conference Counter'!BB21='Conference Counter'!H51,'More Stats'!N34&lt;'More Stats'!N35),"CHI",
IF(AND(D32="DET/MIN/CHI",C34&gt;C32,C34=C35,'Conference Counter'!BB21='Conference Counter'!H51,'More Stats'!N34='More Stats'!N35,'More Stats'!L34&gt;'More Stats'!L35),"MIN",
IF(AND(D32="DET/MIN/CHI",C34&gt;C32,C34=C35,'Conference Counter'!BB21='Conference Counter'!H51,'More Stats'!N34='More Stats'!N35,'More Stats'!L34&lt;'More Stats'!L35),"CHI",
IF(AND(D32="DET/MIN/CHI",C32=C34,C32=C35,'Conference Counter'!AX21&gt;'Conference Counter'!BB21,'Conference Counter'!AX21&gt;'Conference Counter'!H51),"DET",
IF(AND(D32="DET/MIN/CHI",C32=C34,C32=C35,'Conference Counter'!BB21&gt;'Conference Counter'!AX21,'Conference Counter'!BB21&gt;'Conference Counter'!H51),"MIN",
IF(AND(D32="DET/MIN/CHI",C32=C34,C32=C35,'Conference Counter'!H51&gt;'Conference Counter'!AX21,'Conference Counter'!H51&gt;'Conference Counter'!BB21),"CHI",
IF(AND(D32="DET/MIN/CHI",C32=C34,C32=C35,'Conference Counter'!AX21='Conference Counter'!BB21,'Conference Counter'!AX21&gt;'Conference Counter'!H51,'More Stats'!N32&gt;'More Stats'!N34),"DET",
IF(AND(D32="DET/MIN/CHI",C32=C34,C32=C35,'Conference Counter'!AX21='Conference Counter'!BB21,'Conference Counter'!AX21&gt;'Conference Counter'!H51,'More Stats'!N32&lt;'More Stats'!N34),"MIN",
IF(AND(D32="DET/MIN/CHI",C32=C34,C32=C35,'Conference Counter'!AX21&gt;'Conference Counter'!BB21,'Conference Counter'!AX21='Conference Counter'!H51,'More Stats'!N32&gt;'More Stats'!N35),"DET",
IF(AND(D32="DET/MIN/CHI",C32=C34,C32=C35,'Conference Counter'!AX21&gt;'Conference Counter'!BB21,'Conference Counter'!AX21='Conference Counter'!H51,'More Stats'!N32&lt;'More Stats'!N35),"CHI",
IF(AND(D32="DET/MIN/CHI",C32=C34,C32=C35,'Conference Counter'!BB21&gt;'Conference Counter'!AX21,'Conference Counter'!BB21='Conference Counter'!H51,'More Stats'!N34&gt;'More Stats'!N35),"MIN",
IF(AND(D32="DET/MIN/CHI",C32=C34,C32=C35,'Conference Counter'!BB21&gt;'Conference Counter'!AX21,'Conference Counter'!BB21='Conference Counter'!H51,'More Stats'!N34&lt;'More Stats'!N35),"CHI",
IF(AND(D32="DET/MIN/CHI",C32=C34,C32=C35,'Conference Counter'!AX21='Conference Counter'!BB21,'Conference Counter'!AX21='Conference Counter'!H51,'More Stats'!N32&gt;'More Stats'!N34,'More Stats'!N32&gt;'More Stats'!N35),"DET",
IF(AND(D32="DET/MIN/CHI",C32=C34,C32=C35,'Conference Counter'!AX21='Conference Counter'!BB21,'Conference Counter'!AX21='Conference Counter'!H51,'More Stats'!N34&gt;'More Stats'!N32,'More Stats'!N34&gt;'More Stats'!N35),"MIN",
IF(AND(D32="DET/MIN/CHI",C32=C34,C32=C35,'Conference Counter'!AX21='Conference Counter'!BB21,'Conference Counter'!AX21='Conference Counter'!H51,'More Stats'!N35&gt;'More Stats'!N32,'More Stats'!N35&gt;'More Stats'!N34),"CHI",
IF(AND(D32="DET/MIN/CHI",C32=C34,C32=C35,'Conference Counter'!AX21='Conference Counter'!BB21,'Conference Counter'!AX21='Conference Counter'!H51,'More Stats'!N32='More Stats'!N34,'More Stats'!N32&gt;'More Stats'!N35,'More Stats'!L32&gt;'More Stats'!L34),"DET",
IF(AND(D32="DET/MIN/CHI",C32=C34,C32=C35,'Conference Counter'!AX21='Conference Counter'!BB21,'Conference Counter'!AX21='Conference Counter'!H51,'More Stats'!N32='More Stats'!N34,'More Stats'!N32&gt;'More Stats'!N35,'More Stats'!L32&lt;'More Stats'!L34),"MIN",
IF(AND(D32="DET/MIN/CHI",C32=C34,C32=C35,'Conference Counter'!AX21='Conference Counter'!BB21,'Conference Counter'!AX21='Conference Counter'!H51,'More Stats'!N32&gt;'More Stats'!N34,'More Stats'!N32='More Stats'!N35,'More Stats'!L32&gt;'More Stats'!L35),"DET",
IF(AND(D32="DET/MIN/CHI",C32=C34,C32=C35,'Conference Counter'!AX21='Conference Counter'!BB21,'Conference Counter'!AX21='Conference Counter'!H51,'More Stats'!N32&gt;'More Stats'!N34,'More Stats'!N32='More Stats'!N35,'More Stats'!L32&lt;'More Stats'!L35),"CHI",
IF(AND(D32="DET/MIN/CHI",C32=C34,C32=C35,'Conference Counter'!AX21='Conference Counter'!BB21,'Conference Counter'!AX21='Conference Counter'!H51,'More Stats'!N34&gt;'More Stats'!N32,'More Stats'!N34='More Stats'!N35,'More Stats'!L34&gt;'More Stats'!L35),"MIN",
IF(AND(D32="DET/MIN/CHI",C32=C34,C32=C35,'Conference Counter'!AX21='Conference Counter'!BB21,'Conference Counter'!AX21='Conference Counter'!H51,'More Stats'!N34&gt;'More Stats'!N32,'More Stats'!N34='More Stats'!N35,'More Stats'!L34&lt;'More Stats'!L35),"CHI",
IF(AND(D32="DET/MIN/CHI",C32=C34,C32=C35,'Conference Counter'!AX21='Conference Counter'!BB21,'Conference Counter'!AX21='Conference Counter'!H51,'More Stats'!N32='More Stats'!N34,'More Stats'!N32='More Stats'!N35,'More Stats'!L32&gt;'More Stats'!L34,'More Stats'!L32&gt;'More Stats'!L35,),"DET",
IF(AND(D32="DET/MIN/CHI",C32=C34,C32=C35,'Conference Counter'!AX21='Conference Counter'!BB21,'Conference Counter'!AX21='Conference Counter'!H51,'More Stats'!N32='More Stats'!N34,'More Stats'!N32='More Stats'!N35,'More Stats'!L34&gt;'More Stats'!L32,'More Stats'!L34&gt;'More Stats'!L35,),"MIN",
IF(AND(D32="DET/MIN/CHI",C32=C34,C32=C35,'Conference Counter'!AX21='Conference Counter'!BB21,'Conference Counter'!AX21='Conference Counter'!H51,'More Stats'!N32='More Stats'!N34,'More Stats'!N32='More Stats'!N35,'More Stats'!L35&gt;'More Stats'!L32,'More Stats'!L35&gt;'More Stats'!L34,),"CHI",
IF(AND(D32="DET/GB/CHI",C32&gt;C33,C32&gt;C35),"DET",
IF(AND(D32="DET/GB/CHI",C33&gt;C32,C33&gt;C35),"GB",
IF(AND(D32="DET/GB/CHI",C35&gt;C32,C35&gt;C33),"CHI",
IF(AND(D32="DET/GB/CHI",C32=C33,C32&gt;C35,'Conference Counter'!AX21&gt;'Conference Counter'!AZ21),"DET",
IF(AND(D32="DET/GB/CHI",C32=C33,C32&gt;C35,'Conference Counter'!AX21&lt;'Conference Counter'!AZ21),"GB",
IF(AND(D32="DET/GB/CHI",C32=C33,C32&gt;C35,'Conference Counter'!AX21='Conference Counter'!AZ21,'More Stats'!N32&gt;'More Stats'!N33),"DET",
IF(AND(D32="DET/GB/CHI",C32=C33,C32&gt;C35,'Conference Counter'!AX21='Conference Counter'!AZ21,'More Stats'!N32&lt;'More Stats'!N33),"GB",
IF(AND(D32="DET/GB/CHI",C32=C33,C32&gt;C35,'Conference Counter'!AX21='Conference Counter'!AZ21,'More Stats'!N32='More Stats'!N33,'More Stats'!L32&gt;'More Stats'!L33),"DET",
IF(AND(D32="DET/GB/CHI",C32=C33,C32&gt;C35,'Conference Counter'!AX21='Conference Counter'!AZ21,'More Stats'!N32='More Stats'!N33,'More Stats'!L32&lt;'More Stats'!L33),"GB",
IF(AND(D32="DET/GB/CHI",C32&gt;C33,C32=C35,'Conference Counter'!AX21&gt;'Conference Counter'!H51),"DET",
IF(AND(D32="DET/GB/CHI",C32&gt;C33,C32=C35,'Conference Counter'!AX21&lt;'Conference Counter'!H51),"CHI",
IF(AND(D32="DET/GB/CHI",C32&gt;C33,C32=C35,'Conference Counter'!AX21='Conference Counter'!H51,'More Stats'!N32&gt;'More Stats'!N35),"DET",
IF(AND(D32="DET/GB/CHI",C32&gt;C33,C32=C35,'Conference Counter'!AX21='Conference Counter'!H51,'More Stats'!N32&lt;'More Stats'!N35),"CHI",
IF(AND(D32="DET/GB/CHI",C32&gt;C33,C32=C35,'Conference Counter'!AX21='Conference Counter'!H51,'More Stats'!N32='More Stats'!N35,'More Stats'!L32&gt;'More Stats'!L35),"DET",
IF(AND(D32="DET/GB/CHI",C32&gt;C33,C32=C35,'Conference Counter'!AX21='Conference Counter'!H51,'More Stats'!N32='More Stats'!N35,'More Stats'!L32&lt;'More Stats'!L35),"CHI",
IF(AND(D32="DET/GB/CHI",C33&gt;C32,C33=C35,'Conference Counter'!AZ21&gt;'Conference Counter'!H51),"GB",
IF(AND(D32="DET/GB/CHI",C33&gt;C32,C33=C35,'Conference Counter'!AZ21&lt;'Conference Counter'!H51),"CHI",
IF(AND(D32="DET/GB/CHI",C33&gt;C32,C33=C35,'Conference Counter'!AZ21='Conference Counter'!H51,'More Stats'!N33&gt;'More Stats'!N35),"GB",
IF(AND(D32="DET/GB/CHI",C33&gt;C32,C33=C35,'Conference Counter'!AZ21='Conference Counter'!H51,'More Stats'!N33&lt;'More Stats'!N35),"CHI",
IF(AND(D32="DET/GB/CHI",C33&gt;C32,C33=C35,'Conference Counter'!AZ21='Conference Counter'!H51,'More Stats'!N33='More Stats'!N35,'More Stats'!L33&gt;'More Stats'!L35),"GB",
IF(AND(D32="DET/GB/CHI",C33&gt;C32,C33=C35,'Conference Counter'!AZ21='Conference Counter'!H51,'More Stats'!N33='More Stats'!N35,'More Stats'!L33&lt;'More Stats'!L35),"CHI",
IF(AND(D32="DET/GB/CHI",C32=C33,C32=C35,'Conference Counter'!AX21&gt;'Conference Counter'!AZ21,'Conference Counter'!AX21&gt;'Conference Counter'!H51),"DET",
IF(AND(D32="DET/GB/CHI",C32=C33,C32=C35,'Conference Counter'!AZ21&gt;'Conference Counter'!AX21,'Conference Counter'!AZ21&gt;'Conference Counter'!H51),"GB",
IF(AND(D32="DET/GB/CHI",C32=C33,C32=C35,'Conference Counter'!H51&gt;'Conference Counter'!AX21,'Conference Counter'!H51&gt;'Conference Counter'!AZ21),"CHI",
IF(AND(D32="DET/GB/CHI",C32=C33,C32=C35,'Conference Counter'!AX21='Conference Counter'!AZ21,'Conference Counter'!AX21&gt;'Conference Counter'!H51,'More Stats'!N32&gt;'More Stats'!N33),"DET",
IF(AND(D32="DET/GB/CHI",C32=C33,C32=C35,'Conference Counter'!AX21='Conference Counter'!AZ21,'Conference Counter'!AX21&gt;'Conference Counter'!H51,'More Stats'!N32&lt;'More Stats'!N33),"GB",
IF(AND(D32="DET/GB/CHI",C32=C33,C32=C35,'Conference Counter'!AX21&gt;'Conference Counter'!AZ21,'Conference Counter'!AX21='Conference Counter'!H51,'More Stats'!N32&gt;'More Stats'!N35),"DET",
IF(AND(D32="DET/GB/CHI",C32=C33,C32=C35,'Conference Counter'!AX21&gt;'Conference Counter'!AZ21,'Conference Counter'!AX21='Conference Counter'!H51,'More Stats'!N32&lt;'More Stats'!N35),"CHI",
IF(AND(D32="DET/GB/CHI",C32=C33,C32=C35,'Conference Counter'!AZ21&gt;'Conference Counter'!AX21,'Conference Counter'!AZ21='Conference Counter'!H51,'More Stats'!N33&gt;'More Stats'!N35),"GB",
IF(AND(D32="DET/GB/CHI",C32=C33,C32=C35,'Conference Counter'!AZ21&gt;'Conference Counter'!AX21,'Conference Counter'!AZ21='Conference Counter'!H51,'More Stats'!N33&lt;'More Stats'!N35),"CHI",
IF(AND(D32="DET/GB/CHI",C32=C33,C32=C35,'Conference Counter'!AX21='Conference Counter'!AZ21,'Conference Counter'!AX21='Conference Counter'!H51,'More Stats'!N32&gt;'More Stats'!N33,'More Stats'!N32&gt;'More Stats'!N35),"DET",
IF(AND(D32="DET/GB/CHI",C32=C33,C32=C35,'Conference Counter'!AX21='Conference Counter'!AZ21,'Conference Counter'!AX21='Conference Counter'!H51,'More Stats'!N33&gt;'More Stats'!N32,'More Stats'!N33&gt;'More Stats'!N35),"GB",
IF(AND(D32="DET/GB/CHI",C32=C33,C32=C35,'Conference Counter'!AX21='Conference Counter'!AZ21,'Conference Counter'!AX21='Conference Counter'!H51,'More Stats'!N35&gt;'More Stats'!N32,'More Stats'!N35&gt;'More Stats'!N33),"CHI",
IF(AND(D32="DET/GB/CHI",C32=C33,C32=C35,'Conference Counter'!AX21='Conference Counter'!AZ21,'Conference Counter'!AX21='Conference Counter'!H51,'More Stats'!N32='More Stats'!N33,'More Stats'!N32&gt;'More Stats'!N35,'More Stats'!L32&gt;'More Stats'!L33),"DET",
IF(AND(D32="DET/GB/CHI",C32=C33,C32=C35,'Conference Counter'!AX21='Conference Counter'!AZ21,'Conference Counter'!AX21='Conference Counter'!H51,'More Stats'!N32='More Stats'!N33,'More Stats'!N32&gt;'More Stats'!N35,'More Stats'!L32&lt;'More Stats'!L33),"GB",
IF(AND(D32="DET/GB/CHI",C32=C33,C32=C35,'Conference Counter'!AX21='Conference Counter'!AZ21,'Conference Counter'!AX21='Conference Counter'!H51,'More Stats'!N32&gt;'More Stats'!N33,'More Stats'!N32='More Stats'!N35,'More Stats'!L32&gt;'More Stats'!L35),"DET",
IF(AND(D32="DET/GB/CHI",C32=C33,C32=C35,'Conference Counter'!AX21='Conference Counter'!AZ21,'Conference Counter'!AX21='Conference Counter'!H51,'More Stats'!N32&gt;'More Stats'!N33,'More Stats'!N32='More Stats'!N35,'More Stats'!L32&lt;'More Stats'!L35),"CHI",
IF(AND(D32="DET/GB/CHI",C32=C33,C32=C35,'Conference Counter'!AX21='Conference Counter'!AZ21,'Conference Counter'!AX21='Conference Counter'!H51,'More Stats'!N33&gt;'More Stats'!N32,'More Stats'!N33='More Stats'!N35,'More Stats'!L33&gt;'More Stats'!L35),"GB",
IF(AND(D32="DET/GB/CHI",C32=C33,C32=C35,'Conference Counter'!AX21='Conference Counter'!AZ21,'Conference Counter'!AX21='Conference Counter'!H51,'More Stats'!N33&gt;'More Stats'!N32,'More Stats'!N33='More Stats'!N35,'More Stats'!L33&lt;'More Stats'!L35),"CHI",
IF(AND(D32="DET/GB/CHI",C32=C33,C32=C35,'Conference Counter'!AX21='Conference Counter'!AZ21,'Conference Counter'!AX21='Conference Counter'!H51,'More Stats'!N32='More Stats'!N33,'More Stats'!N32='More Stats'!N35,'More Stats'!L32&gt;'More Stats'!L33,'More Stats'!L32&gt;'More Stats'!L35,),"DET",
IF(AND(D32="DET/GB/CHI",C32=C33,C32=C35,'Conference Counter'!AX21='Conference Counter'!AZ21,'Conference Counter'!AX21='Conference Counter'!H51,'More Stats'!N32='More Stats'!N33,'More Stats'!N32='More Stats'!N35,'More Stats'!L33&gt;'More Stats'!L32,'More Stats'!L33&gt;'More Stats'!L35,),"GB",
IF(AND(D32="DET/GB/CHI",C32=C33,C32=C35,'Conference Counter'!AX21='Conference Counter'!AZ21,'Conference Counter'!AX21='Conference Counter'!H51,'More Stats'!N32='More Stats'!N33,'More Stats'!N32='More Stats'!N35,'More Stats'!L35&gt;'More Stats'!L32,'More Stats'!L35&gt;'More Stats'!L33,),"CHI",
IF(AND(D32="DET/GB/MIN",C32&gt;C33,C32&gt;C34),"DET",
IF(AND(D32="DET/GB/MIN",C33&gt;C32,C33&gt;C34),"GB",
IF(AND(D32="DET/GB/MIN",C34&gt;C32,C34&gt;C33),"MIN",
IF(AND(D32="DET/GB/MIN",C32=C33,C32&gt;C34,'Conference Counter'!AX21&gt;'Conference Counter'!AZ21),"DET",
IF(AND(D32="DET/GB/MIN",C32=C33,C32&gt;C34,'Conference Counter'!AX21&lt;'Conference Counter'!AZ21),"GB",
IF(AND(D32="DET/GB/MIN",C32=C33,C32&gt;C34,'Conference Counter'!AX21='Conference Counter'!AZ21,'More Stats'!N32&gt;'More Stats'!N33),"DET",
IF(AND(D32="DET/GB/MIN",C32=C33,C32&gt;C34,'Conference Counter'!AX21='Conference Counter'!AZ21,'More Stats'!N32&lt;'More Stats'!N33),"GB",
IF(AND(D32="DET/GB/MIN",C32=C33,C32&gt;C34,'Conference Counter'!AX21='Conference Counter'!AZ21,'More Stats'!N32='More Stats'!N33,'More Stats'!L32&gt;'More Stats'!L33),"DET",
IF(AND(D32="DET/GB/MIN",C32=C33,C32&gt;C34,'Conference Counter'!AX21='Conference Counter'!AZ21,'More Stats'!N32='More Stats'!N33,'More Stats'!L32&lt;'More Stats'!L33),"GB",
IF(AND(D32="DET/GB/MIN",C32&gt;C33,C32=C34,'Conference Counter'!AX21&gt;'Conference Counter'!BB21),"DET",
IF(AND(D32="DET/GB/MIN",C32&gt;C33,C32=C34,'Conference Counter'!AX21&lt;'Conference Counter'!BB21),"MIN",
IF(AND(D32="DET/GB/MIN",C32&gt;C33,C32=C34,'Conference Counter'!AX21='Conference Counter'!BB21,'More Stats'!N32&gt;'More Stats'!N34),"DET",
IF(AND(D32="DET/GB/MIN",C32&gt;C33,C32=C34,'Conference Counter'!AX21='Conference Counter'!BB21,'More Stats'!N32&lt;'More Stats'!N34),"MIN",
IF(AND(D32="DET/GB/MIN",C32&gt;C33,C32=C34,'Conference Counter'!AX21='Conference Counter'!BB21,'More Stats'!N32='More Stats'!N34,'More Stats'!L32&gt;'More Stats'!L34),"DET",
IF(AND(D32="DET/GB/MIN",C32&gt;C33,C32=C34,'Conference Counter'!AX21='Conference Counter'!BB21,'More Stats'!N32='More Stats'!N34,'More Stats'!L32&lt;'More Stats'!L34),"MIN",
IF(AND(D32="DET/GB/MIN",C33&gt;C32,C33=C34,'Conference Counter'!AZ21&gt;'Conference Counter'!BB21),"GB",
IF(AND(D32="DET/GB/MIN",C33&gt;C32,C33=C34,'Conference Counter'!AZ21&lt;'Conference Counter'!BB21),"MIN",
IF(AND(D32="DET/GB/MIN",C33&gt;C32,C33=C34,'Conference Counter'!AZ21='Conference Counter'!BB21,'More Stats'!N33&gt;'More Stats'!N34),"GB",
IF(AND(D32="DET/GB/MIN",C33&gt;C32,C33=C34,'Conference Counter'!AZ21='Conference Counter'!BB21,'More Stats'!N33&lt;'More Stats'!N34),"MIN",
IF(AND(D32="DET/GB/MIN",C33&gt;C32,C33=C34,'Conference Counter'!AZ21='Conference Counter'!BB21,'More Stats'!N33='More Stats'!N34,'More Stats'!L33&gt;'More Stats'!L34),"GB",
IF(AND(D32="DET/GB/MIN",C33&gt;C32,C33=C34,'Conference Counter'!AZ21='Conference Counter'!BB21,'More Stats'!N33='More Stats'!N34,'More Stats'!L33&lt;'More Stats'!L34),"MIN",
IF(AND(D32="DET/GB/MIN",C32=C33,C32=C34,'Conference Counter'!AX21&gt;'Conference Counter'!AZ21,'Conference Counter'!AX21&gt;'Conference Counter'!BB21),"DET",
IF(AND(D32="DET/GB/MIN",C32=C33,C32=C34,'Conference Counter'!AZ21&gt;'Conference Counter'!AX21,'Conference Counter'!AZ21&gt;'Conference Counter'!BB21),"GB",
IF(AND(D32="DET/GB/MIN",C32=C33,C32=C34,'Conference Counter'!BB21&gt;'Conference Counter'!AX21,'Conference Counter'!BB21&gt;'Conference Counter'!AZ21),"MIN",
IF(AND(D32="DET/GB/MIN",C32=C33,C32=C34,'Conference Counter'!AX21='Conference Counter'!AZ21,'Conference Counter'!AX21&gt;'Conference Counter'!BB21,'More Stats'!N32&gt;'More Stats'!N33),"DET",
IF(AND(D32="DET/GB/MIN",C32=C33,C32=C34,'Conference Counter'!AX21='Conference Counter'!AZ21,'Conference Counter'!AX21&gt;'Conference Counter'!BB21,'More Stats'!N32&lt;'More Stats'!N33),"GB",
IF(AND(D32="DET/GB/MIN",C32=C33,C32=C34,'Conference Counter'!AX21&gt;'Conference Counter'!AZ21,'Conference Counter'!AX21='Conference Counter'!BB21,'More Stats'!N32&gt;'More Stats'!N34),"DET",
IF(AND(D32="DET/GB/MIN",C32=C33,C32=C34,'Conference Counter'!AX21&gt;'Conference Counter'!AZ21,'Conference Counter'!AX21='Conference Counter'!BB21,'More Stats'!N32&lt;'More Stats'!N34),"MIN",
IF(AND(D32="DET/GB/MIN",C32=C33,C32=C34,'Conference Counter'!AZ21&gt;'Conference Counter'!AX21,'Conference Counter'!AZ21='Conference Counter'!BB21,'More Stats'!N33&gt;'More Stats'!N34),"GB",
IF(AND(D32="DET/GB/MIN",C32=C33,C32=C34,'Conference Counter'!AZ21&gt;'Conference Counter'!AX21,'Conference Counter'!AZ21='Conference Counter'!BB21,'More Stats'!N33&lt;'More Stats'!N34),"MIN",
IF(AND(D32="DET/GB/MIN",C32=C33,C32=C34,'Conference Counter'!AX21='Conference Counter'!AZ21,'Conference Counter'!AX21='Conference Counter'!BB21,'More Stats'!N32&gt;'More Stats'!N33,'More Stats'!N32&gt;'More Stats'!N34),"DET",
IF(AND(D32="DET/GB/MIN",C32=C33,C32=C34,'Conference Counter'!AX21='Conference Counter'!AZ21,'Conference Counter'!AX21='Conference Counter'!BB21,'More Stats'!N33&gt;'More Stats'!N32,'More Stats'!N33&gt;'More Stats'!N34),"GB",
IF(AND(D32="DET/GB/MIN",C32=C33,C32=C34,'Conference Counter'!AX21='Conference Counter'!AZ21,'Conference Counter'!AX21='Conference Counter'!BB21,'More Stats'!N34&gt;'More Stats'!N32,'More Stats'!N34&gt;'More Stats'!N33),"MIN",
IF(AND(D32="DET/GB/MIN",C32=C33,C32=C34,'Conference Counter'!AX21='Conference Counter'!AZ21,'Conference Counter'!AX21='Conference Counter'!BB21,'More Stats'!N32='More Stats'!N33,'More Stats'!N32&gt;'More Stats'!N34,'More Stats'!L32&gt;'More Stats'!L33),"DET",
IF(AND(D32="DET/GB/MIN",C32=C33,C32=C34,'Conference Counter'!AX21='Conference Counter'!AZ21,'Conference Counter'!AX21='Conference Counter'!BB21,'More Stats'!N32='More Stats'!N33,'More Stats'!N32&gt;'More Stats'!N34,'More Stats'!L32&lt;'More Stats'!L33),"GB",
IF(AND(D32="DET/GB/MIN",C32=C33,C32=C34,'Conference Counter'!AX21='Conference Counter'!AZ21,'Conference Counter'!AX21='Conference Counter'!BB21,'More Stats'!N32&gt;'More Stats'!N33,'More Stats'!N32='More Stats'!N34,'More Stats'!L32&gt;'More Stats'!L34),"DET",
IF(AND(D32="DET/GB/MIN",C32=C33,C32=C34,'Conference Counter'!AX21='Conference Counter'!AZ21,'Conference Counter'!AX21='Conference Counter'!BB21,'More Stats'!N32&gt;'More Stats'!N33,'More Stats'!N32='More Stats'!N34,'More Stats'!L32&lt;'More Stats'!L34),"MIN",
IF(AND(D32="DET/GB/MIN",C32=C33,C32=C34,'Conference Counter'!AX21='Conference Counter'!AZ21,'Conference Counter'!AX21='Conference Counter'!BB21,'More Stats'!N33&gt;'More Stats'!N32,'More Stats'!N33='More Stats'!N34,'More Stats'!L33&gt;'More Stats'!L34),"GB",
IF(AND(D32="DET/GB/MIN",C32=C33,C32=C34,'Conference Counter'!AX21='Conference Counter'!AZ21,'Conference Counter'!AX21='Conference Counter'!BB21,'More Stats'!N33&gt;'More Stats'!N32,'More Stats'!N33='More Stats'!N34,'More Stats'!L33&lt;'More Stats'!L34),"MIN",
IF(AND(D32="DET/GB/MIN",C32=C33,C32=C34,'Conference Counter'!AX21='Conference Counter'!AZ21,'Conference Counter'!AX21='Conference Counter'!BB21,'More Stats'!N32='More Stats'!N33,'More Stats'!N32='More Stats'!N34,'More Stats'!L32&gt;'More Stats'!L33,'More Stats'!L32&gt;'More Stats'!L34,),"DET",
IF(AND(D32="DET/GB/MIN",C32=C33,C32=C34,'Conference Counter'!AX21='Conference Counter'!AZ21,'Conference Counter'!AX21='Conference Counter'!BB21,'More Stats'!N32='More Stats'!N33,'More Stats'!N32='More Stats'!N34,'More Stats'!L33&gt;'More Stats'!L32,'More Stats'!L33&gt;'More Stats'!L34,),"GB",
IF(AND(D32="DET/GB/MIN",C32=C33,C32=C34,'Conference Counter'!AX21='Conference Counter'!AZ21,'Conference Counter'!AX21='Conference Counter'!BB21,'More Stats'!N32='More Stats'!N33,'More Stats'!N32='More Stats'!N34,'More Stats'!L34&gt;'More Stats'!L32,'More Stats'!L34&gt;'More Stats'!L33,),"MIN",
IF(AND(D32="DET/GB/MIN/CHI",C32&gt;C33,C32&gt;C34,C32&gt;C35),"DET",
IF(AND(D32="DET/GB/MIN/CHI",C33&gt;C32,C33&gt;C34,C33&gt;C35),"GB",
IF(AND(D32="DET/GB/MIN/CHI",C34&gt;C32,C34&gt;C33,C34&gt;C35),"MIN",
IF(AND(D32="DET/GB/MIN/CHI",C35&gt;C32,C35&gt;C33,C35&gt;C34),"CHI",
"TBD"))))))))))))))))))))))))))))))))))))))))))))))))))))))))))))))))))))))))))))))))))))))))))))))))))))))))))))))))))))))))))))))))))))))))))))))))))))))))))))))))))))))))))))))))))))))))))))))))))))))))))))))))))))))))))))))))))))))))))))</f>
        <v>DET</v>
      </c>
      <c r="F32" s="276"/>
      <c r="G32" s="268"/>
      <c r="H32" s="268"/>
      <c r="I32" s="268"/>
      <c r="J32" s="268"/>
      <c r="K32" s="268"/>
      <c r="L32" s="268"/>
      <c r="M32" s="268"/>
      <c r="N32" s="268" t="s">
        <v>153</v>
      </c>
      <c r="O32" s="267">
        <v>0.4117647058823529</v>
      </c>
      <c r="P32" s="281">
        <v>0.4166666666666667</v>
      </c>
      <c r="Q32" s="282">
        <v>-8.0</v>
      </c>
      <c r="R32" s="268">
        <v>318.0</v>
      </c>
      <c r="S32" s="268"/>
      <c r="T32" s="268"/>
      <c r="U32" s="268"/>
      <c r="V32" s="268"/>
      <c r="W32" s="268"/>
      <c r="X32" s="268"/>
      <c r="Y32" s="268"/>
      <c r="Z32" s="268"/>
      <c r="AA32" s="268"/>
      <c r="AB32" s="268"/>
      <c r="AC32" s="268"/>
      <c r="AD32" s="268"/>
      <c r="AE32" s="268"/>
      <c r="AF32" s="268"/>
      <c r="AG32" s="268"/>
      <c r="AH32" s="268"/>
      <c r="AI32" s="268"/>
      <c r="AJ32" s="268"/>
      <c r="AK32" s="268"/>
      <c r="AL32" s="268"/>
      <c r="AM32" s="268"/>
    </row>
    <row r="33">
      <c r="A33" s="266" t="s">
        <v>146</v>
      </c>
      <c r="B33" s="267">
        <f t="array" ref="B33">INDEX('More Stats'!E33,0)</f>
        <v>0.5294117647</v>
      </c>
      <c r="C33" s="268">
        <f t="array" ref="C33">INDEX('Div Record Counter'!AZ20,0)</f>
        <v>3</v>
      </c>
      <c r="D33" s="268"/>
      <c r="E33" s="268"/>
      <c r="F33" s="268"/>
      <c r="G33" s="268"/>
      <c r="H33" s="268"/>
      <c r="I33" s="268"/>
      <c r="J33" s="268"/>
      <c r="K33" s="268"/>
      <c r="L33" s="268"/>
      <c r="M33" s="268"/>
      <c r="N33" s="268" t="s">
        <v>178</v>
      </c>
      <c r="O33" s="267">
        <v>0.4117647058823529</v>
      </c>
      <c r="P33" s="281">
        <v>0.4166666666666667</v>
      </c>
      <c r="Q33" s="282">
        <v>-20.0</v>
      </c>
      <c r="R33" s="268">
        <v>347.0</v>
      </c>
      <c r="S33" s="268"/>
      <c r="T33" s="268"/>
      <c r="U33" s="268"/>
      <c r="V33" s="291" t="s">
        <v>746</v>
      </c>
      <c r="W33" s="292"/>
      <c r="X33" s="268"/>
      <c r="Y33" s="268"/>
      <c r="Z33" s="268"/>
      <c r="AA33" s="268"/>
      <c r="AB33" s="268"/>
      <c r="AC33" s="268"/>
      <c r="AD33" s="268"/>
      <c r="AE33" s="268"/>
      <c r="AF33" s="268"/>
      <c r="AG33" s="268"/>
      <c r="AH33" s="268"/>
      <c r="AI33" s="268"/>
      <c r="AJ33" s="268"/>
      <c r="AK33" s="268"/>
      <c r="AL33" s="268"/>
      <c r="AM33" s="268"/>
    </row>
    <row r="34">
      <c r="A34" s="266" t="s">
        <v>154</v>
      </c>
      <c r="B34" s="267">
        <f t="array" ref="B34">INDEX('More Stats'!E34,0)</f>
        <v>0.4705882353</v>
      </c>
      <c r="C34" s="268">
        <f t="array" ref="C34">INDEX('Div Record Counter'!BB20,0)</f>
        <v>1</v>
      </c>
      <c r="D34" s="268"/>
      <c r="E34" s="268"/>
      <c r="F34" s="268"/>
      <c r="G34" s="268"/>
      <c r="H34" s="268"/>
      <c r="I34" s="268"/>
      <c r="J34" s="268"/>
      <c r="K34" s="268"/>
      <c r="L34" s="268"/>
      <c r="M34" s="268"/>
      <c r="N34" s="268" t="s">
        <v>144</v>
      </c>
      <c r="O34" s="267">
        <v>0.23529411764705882</v>
      </c>
      <c r="P34" s="281">
        <v>0.25</v>
      </c>
      <c r="Q34" s="282">
        <v>-31.0</v>
      </c>
      <c r="R34" s="268">
        <v>341.0</v>
      </c>
      <c r="S34" s="268"/>
      <c r="T34" s="268"/>
      <c r="U34" s="268"/>
      <c r="V34" s="289"/>
      <c r="W34" s="268"/>
      <c r="X34" s="268"/>
      <c r="Y34" s="268"/>
      <c r="Z34" s="268"/>
      <c r="AA34" s="268"/>
      <c r="AB34" s="268"/>
      <c r="AC34" s="268"/>
      <c r="AD34" s="268"/>
      <c r="AE34" s="268"/>
      <c r="AF34" s="268"/>
      <c r="AG34" s="268"/>
      <c r="AH34" s="268"/>
      <c r="AI34" s="268"/>
      <c r="AJ34" s="268"/>
      <c r="AK34" s="268"/>
      <c r="AL34" s="268"/>
      <c r="AM34" s="268"/>
    </row>
    <row r="35">
      <c r="A35" s="266" t="s">
        <v>152</v>
      </c>
      <c r="B35" s="267">
        <f t="array" ref="B35">INDEX('More Stats'!E35,0)</f>
        <v>0.5882352941</v>
      </c>
      <c r="C35" s="268">
        <f t="array" ref="C35">INDEX('Div Record Counter'!BD20,0)</f>
        <v>5</v>
      </c>
      <c r="D35" s="268"/>
      <c r="E35" s="268"/>
      <c r="F35" s="268"/>
      <c r="G35" s="268"/>
      <c r="H35" s="268"/>
      <c r="I35" s="268"/>
      <c r="J35" s="268"/>
      <c r="K35" s="268"/>
      <c r="L35" s="268"/>
      <c r="M35" s="268"/>
      <c r="N35" s="268" t="s">
        <v>124</v>
      </c>
      <c r="O35" s="267">
        <v>0.23529411764705882</v>
      </c>
      <c r="P35" s="281">
        <v>0.25</v>
      </c>
      <c r="Q35" s="282">
        <v>-36.0</v>
      </c>
      <c r="R35" s="268">
        <v>339.0</v>
      </c>
      <c r="S35" s="268"/>
      <c r="T35" s="268"/>
      <c r="U35" s="268"/>
      <c r="V35" s="285" t="s">
        <v>747</v>
      </c>
      <c r="W35" s="268"/>
      <c r="X35" s="268"/>
      <c r="Y35" s="268"/>
      <c r="Z35" s="268"/>
      <c r="AA35" s="268"/>
      <c r="AB35" s="268"/>
      <c r="AC35" s="268"/>
      <c r="AD35" s="268"/>
      <c r="AE35" s="268"/>
      <c r="AF35" s="268"/>
      <c r="AG35" s="268"/>
      <c r="AH35" s="268"/>
      <c r="AI35" s="268"/>
      <c r="AJ35" s="268"/>
      <c r="AK35" s="268"/>
      <c r="AL35" s="268"/>
      <c r="AM35" s="268"/>
    </row>
    <row r="36">
      <c r="A36" s="284"/>
      <c r="B36" s="284"/>
      <c r="C36" s="284"/>
      <c r="D36" s="284"/>
      <c r="E36" s="284"/>
      <c r="F36" s="268"/>
      <c r="G36" s="268"/>
      <c r="H36" s="268"/>
      <c r="I36" s="268"/>
      <c r="J36" s="268"/>
      <c r="K36" s="268"/>
      <c r="L36" s="268"/>
      <c r="M36" s="268"/>
      <c r="N36" s="268" t="s">
        <v>151</v>
      </c>
      <c r="O36" s="267">
        <v>0.17647058823529413</v>
      </c>
      <c r="P36" s="281">
        <v>0.16666666666666666</v>
      </c>
      <c r="Q36" s="282">
        <v>-51.0</v>
      </c>
      <c r="R36" s="268">
        <v>342.0</v>
      </c>
      <c r="S36" s="268"/>
      <c r="T36" s="268"/>
      <c r="U36" s="268"/>
      <c r="V36" s="285" t="s">
        <v>748</v>
      </c>
      <c r="W36" s="268"/>
      <c r="X36" s="268"/>
      <c r="Y36" s="268"/>
      <c r="Z36" s="268"/>
      <c r="AA36" s="268"/>
      <c r="AB36" s="268"/>
      <c r="AC36" s="268"/>
      <c r="AD36" s="268"/>
      <c r="AE36" s="268"/>
      <c r="AF36" s="268"/>
      <c r="AG36" s="268"/>
      <c r="AH36" s="268"/>
      <c r="AI36" s="268"/>
      <c r="AJ36" s="268"/>
      <c r="AK36" s="268"/>
      <c r="AL36" s="268"/>
      <c r="AM36" s="268"/>
    </row>
    <row r="37">
      <c r="A37" s="266" t="s">
        <v>168</v>
      </c>
      <c r="B37" s="267">
        <f t="array" ref="B37">INDEX('More Stats'!E37,0)</f>
        <v>0.4705882353</v>
      </c>
      <c r="C37" s="268">
        <f t="array" ref="C37">INDEX('Div Record Counter'!BF20,0)</f>
        <v>3</v>
      </c>
      <c r="D37" s="268" t="str">
        <f>IF(AND(B37&gt;B38,B37&gt;B39,B37&gt;B40),"TB",
IF(AND(B38&gt;B37,B38&gt;B39,B38&gt;B40),"NO",
IF(AND(B39&gt;B37,B39&gt;B38,B39&gt;B40),"ATL",
IF(AND(B40&gt;B37,B40&gt;B38,B40&gt;B39),"CAR",
IF(AND(B37&gt;B39,B37&gt;B40,B37=B38),"TB/NO",
IF(AND(B37&gt;B38,B37&gt;B40,B37=B39),"TB/ATL",
IF(AND(B37&gt;B38,B37&gt;B39,B37=B40),"TB/CAR",
IF(AND(B38&gt;B37,B38&gt;B40,B38=B39),"NO/ATL",
IF(AND(B38&gt;B37,B38&gt;B39,B38=B40),"NO/CAR",
IF(AND(B39&gt;B37,B39&gt;B38,B39=B40),"ATL/CAR",
IF(AND(B38&gt;B37,B39&gt;B37,B40&gt;B37,B38=B39,B38=B40),"NO/ATL/CAR",
IF(AND(B37&gt;B38,B39&gt;B38,B40&gt;B38,B37=B39,B37=B40),"TB/ATL/CAR",
IF(AND(B37&gt;B39,B38&gt;B39,B40&gt;B39,B37=B38,B37=B40),"TB/NO/CAR",
IF(AND(B37&gt;B40,B38&gt;B40,B39&gt;B40,B37=B38,B37=B39),"TB/NO/ATL",
IF(AND(B37=B38,B37=B39,B37=B40),"TB/NO/ATL/CAR",
"wtf")))))))))))))))</f>
        <v>NO</v>
      </c>
      <c r="E37" s="268" t="str">
        <f>IF(D37="TB","TB",
IF(D37="NO","NO",
IF(D37="ATL","ATL",
IF(D37="CAR","CAR",
IF(AND(D37="TB/NO",'Week 15'!C7="TB",'Week 18'!C17="TB"),"TB",
IF(AND(D37="TB/NO",'Week 15'!C7="NO",'Week 18'!C17="NO"),"NO",
IF(AND(D37="TB/NO",C37&gt;C38),"TB",
IF(AND(D37="TB/NO",C37&lt;C38),"NO",
IF(AND(D37="TB/NO",C37=C38,'Conference Counter'!B56&gt;'Conference Counter'!D56),"TB",
IF(AND(D37="TB/NO",C37=C38,'Conference Counter'!B56&lt;'Conference Counter'!D56),"NO",
IF(AND(D37="TB/NO",C37=C38,'Conference Counter'!B56='Conference Counter'!D56,'More Stats'!N37&gt;'More Stats'!N38),"TB",
IF(AND(D37="TB/NO",C37=C38,'Conference Counter'!B56='Conference Counter'!D56,'More Stats'!N37&lt;'More Stats'!N38),"NO",
IF(AND(D37="TB/NO",C37=C38,'Conference Counter'!B56='Conference Counter'!D56,'More Stats'!N37='More Stats'!N38,'More Stats'!L37&gt;'More Stats'!L38),"TB",
IF(AND(D37="TB/NO",C37=C38,'Conference Counter'!B56='Conference Counter'!D56,'More Stats'!N37='More Stats'!N38,'More Stats'!L37&lt;'More Stats'!L38),"NO",
IF(AND(D37="TB/ATL",'Week 8'!C5="TB",'Week 16'!C7="TB"),"TB",
IF(AND(D37="TB/ATL",'Week 8'!C5="ATL",'Week 16'!C7="ATL"),"ATL",
IF(AND(D37="TB/ATL",C37&gt;C39),"TB",
IF(AND(D37="TB/ATL",C37&lt;C39),"ATL",
IF(AND(D37="TB/ATL",C37=C39,'Conference Counter'!B56&gt;'Conference Counter'!F56),"TB",
IF(AND(D37="TB/ATL",C37=C39,'Conference Counter'!B56&lt;'Conference Counter'!F56),"ATL",
IF(AND(D37="TB/ATL",C37=C39,'Conference Counter'!B56='Conference Counter'!F56,'More Stats'!N37&gt;'More Stats'!N39),"TB",
IF(AND(D37="TB/ATL",C37=C39,'Conference Counter'!B56='Conference Counter'!F56,'More Stats'!N37&lt;'More Stats'!N39),"ATL",
IF(AND(D37="TB/ATL",C37=C39,'Conference Counter'!B56='Conference Counter'!F56,'More Stats'!N37='More Stats'!N39,'More Stats'!L37&gt;'More Stats'!L39),"TB",
IF(AND(D37="TB/ATL",C37=C39,'Conference Counter'!B56='Conference Counter'!F56,'More Stats'!N37='More Stats'!N39,'More Stats'!L37&lt;'More Stats'!L39),"ATL",
IF(AND(D37="TB/CAR",'Week 7'!C7="TB",'Week 12'!C18="TB"),"TB",
IF(AND(D37="TB/CAR",'Week 7'!C7="CAR",'Week 12'!C18="CAR"),"CAR",
IF(AND(D37="TB/CAR",C37&gt;C40),"TB",
IF(AND(D37="TB/CAR",C37&lt;C40),"CAR",
IF(AND(D37="TB/CAR",C37=C40,'Conference Counter'!B56&gt;'Conference Counter'!H56),"TB",
IF(AND(D37="TB/CAR",C37=C40,'Conference Counter'!B56&lt;'Conference Counter'!H56),"CAR",
IF(AND(D37="TB/CAR",C37=C40,'Conference Counter'!B56='Conference Counter'!H56,'More Stats'!N37&gt;'More Stats'!N40),"TB",
IF(AND(D37="TB/CAR",C37=C40,'Conference Counter'!B56='Conference Counter'!H56,'More Stats'!N37&lt;'More Stats'!N40),"CAR",
IF(AND(D37="TB/CAR",C37=C40,'Conference Counter'!B56='Conference Counter'!H56,'More Stats'!N37='More Stats'!N40,'More Stats'!L37&gt;'More Stats'!L40),"TB",
IF(AND(D37="TB/CAR",C37=C40,'Conference Counter'!B56='Conference Counter'!H56,'More Stats'!N37='More Stats'!N40,'More Stats'!L37&lt;'More Stats'!L40),"CAR",
IF(AND(D37="NO/ATL",'Week 4'!C18="NO",'Week 17'!C5="NO"),"NO",
IF(AND(D37="NO/ATL",'Week 4'!C18="ATL",'Week 17'!C5="ATL"),"ATL",
IF(AND(D37="NO/ATL",C38&gt;C39),"NO",
IF(AND(D37="NO/ATL",C38&lt;C39),"ATL",
IF(AND(D37="NO/ATL",C38=C39,'Conference Counter'!D56&gt;'Conference Counter'!F56),"NO",
IF(AND(D37="NO/ATL",C38=C39,'Conference Counter'!D56&lt;'Conference Counter'!F56),"ATL",
IF(AND(D37="NO/ATL",C38=C39,'Conference Counter'!D56='Conference Counter'!F56,'More Stats'!N38&gt;'More Stats'!N39),"NO",
IF(AND(D37="NO/ATL",C38=C39,'Conference Counter'!D56='Conference Counter'!F56,'More Stats'!N38&lt;'More Stats'!N39),"ATL",
IF(AND(D37="NO/ATL",C38=C39,'Conference Counter'!D56='Conference Counter'!F56,'More Stats'!N38='More Stats'!N39,'More Stats'!L38&gt;'More Stats'!L39),"NO",
IF(AND(D37="NO/ATL",C38=C39,'Conference Counter'!D56='Conference Counter'!F56,'More Stats'!N38='More Stats'!N39,'More Stats'!L38&lt;'More Stats'!L39),"ATL",
IF(AND(D37="NO/CAR",'Week 10'!C9="NO",'Week 14'!C5="NO"),"NO",
IF(AND(D37="NO/CAR",'Week 10'!C9="CAR",'Week 14'!C5="CAR"),"CAR",
IF(AND(D37="NO/CAR",C38&gt;C40),"NO",
IF(AND(D37="NO/CAR",C38&lt;C40),"CAR",
IF(AND(D37="NO/CAR",C38=C39,'Conference Counter'!D56&gt;'Conference Counter'!H56),"NO",
IF(AND(D37="NO/CAR",C38=C39,'Conference Counter'!D56&lt;'Conference Counter'!H56),"CAR",
IF(AND(D37="NO/CAR",C38=C39,'Conference Counter'!D56='Conference Counter'!H56,'More Stats'!N38&gt;'More Stats'!N40),"NO",
IF(AND(D37="NO/CAR",C38=C39,'Conference Counter'!D56='Conference Counter'!H56,'More Stats'!N38&lt;'More Stats'!N40),"CAR",
IF(AND(D37="NO/CAR",C38=C39,'Conference Counter'!D56='Conference Counter'!H56,'More Stats'!N38='More Stats'!N40,'More Stats'!L38&gt;'More Stats'!L40),"NO",
IF(AND(D37="NO/CAR",C38=C39,'Conference Counter'!D56='Conference Counter'!H56,'More Stats'!N38='More Stats'!N40,'More Stats'!L38&lt;'More Stats'!L40),"CAR",
IF(AND(D37="ATL/CAR",'Week 2'!C4="ATL",'Week 18'!C4="ATL"),"ATL",
IF(AND(D37="ATL/CAR",'Week 2'!C4="CAR",'Week 18'!C4="CAR"),"CAR",
IF(AND(D37="ATL/CAR",C39&gt;C40),"ATL",
IF(AND(D37="ATL/CAR",C39&lt;C40),"CAR",
IF(AND(D37="ATL/CAR",C39=C40,'Conference Counter'!F56&gt;'Conference Counter'!H56),"ATL",
IF(AND(D37="ATL/CAR",C39=C40,'Conference Counter'!F56&lt;'Conference Counter'!H56),"CAR",
IF(AND(D37="ATL/CAR",C39=C40,'Conference Counter'!F56='Conference Counter'!H56,'More Stats'!N39&gt;'More Stats'!N40),"ATL",
IF(AND(D37="ATL/CAR",C39=C40,'Conference Counter'!F56='Conference Counter'!H56,'More Stats'!N39&lt;'More Stats'!N40),"CAR",
IF(AND(D37="ATL/CAR",C39=C40,'Conference Counter'!F56='Conference Counter'!H56,'More Stats'!N39='More Stats'!N40,'More Stats'!L39&gt;'More Stats'!L40),"ATL",
IF(AND(D37="ATL/CAR",C39=C40,'Conference Counter'!F56='Conference Counter'!H56,'More Stats'!N39='More Stats'!N40,'More Stats'!L39&lt;'More Stats'!L40),"CAR",
IF(AND(D37="NO/ATL/CAR",C38&gt;C39,C38&gt;C40),"NO",
IF(AND(D37="NO/ATL/CAR",C39&gt;C38,C39&gt;C40),"ATL",
IF(AND(D37="NO/ATL/CAR",C40&gt;C38,C40&gt;C39),"CAR",
IF(AND(D37="NO/ATL/CAR",C38=C39,C38&gt;C40,'Conference Counter'!D56&gt;'Conference Counter'!F56),"NO",
IF(AND(D37="NO/ATL/CAR",C38=C39,C38&gt;C40,'Conference Counter'!D56&lt;'Conference Counter'!F56),"ATL",
IF(AND(D37="NO/ATL/CAR",C38=C39,C38&gt;C40,'Conference Counter'!D56='Conference Counter'!F56,'More Stats'!N38&gt;'More Stats'!N39),"NO",
IF(AND(D37="NO/ATL/CAR",C38=C39,C38&gt;C40,'Conference Counter'!D56='Conference Counter'!F56,'More Stats'!N38&lt;'More Stats'!N39),"ATL",
IF(AND(D37="NO/ATL/CAR",C38=C39,C38&gt;C40,'Conference Counter'!D56='Conference Counter'!F56,'More Stats'!N38='More Stats'!N39,'More Stats'!L38&gt;'More Stats'!L39),"NO",
IF(AND(D37="NO/ATL/CAR",C38=C39,C38&gt;C40,'Conference Counter'!D56='Conference Counter'!F56,'More Stats'!N38='More Stats'!N39,'More Stats'!L38&lt;'More Stats'!L39),"ATL",
IF(AND(D37="NO/ATL/CAR",C38&gt;C39,C38=C40,'Conference Counter'!D56&gt;'Conference Counter'!H56),"NO",
IF(AND(D37="NO/ATL/CAR",C38&gt;C39,C38=C40,'Conference Counter'!D56&lt;'Conference Counter'!H56),"CAR",
IF(AND(D37="NO/ATL/CAR",C38&gt;C39,C38=C40,'Conference Counter'!D56='Conference Counter'!H56,'More Stats'!N38&gt;'More Stats'!N40),"NO",
IF(AND(D37="NO/ATL/CAR",C38&gt;C39,C38=C40,'Conference Counter'!D56='Conference Counter'!H56,'More Stats'!N38&lt;'More Stats'!N40),"CAR",
IF(AND(D37="NO/ATL/CAR",C38&gt;C39,C38=C40,'Conference Counter'!D56='Conference Counter'!H56,'More Stats'!N38='More Stats'!N40,'More Stats'!L38&gt;'More Stats'!L40),"NO",
IF(AND(D37="NO/ATL/CAR",C38&gt;C39,C38=C40,'Conference Counter'!D56='Conference Counter'!H56,'More Stats'!N38='More Stats'!N40,'More Stats'!L38&lt;'More Stats'!L40),"CAR",
IF(AND(D37="NO/ATL/CAR",C39&gt;C38,C39=C40,'Conference Counter'!F56&gt;'Conference Counter'!H56),"ATL",
IF(AND(D37="NO/ATL/CAR",C39&gt;C38,C39=C40,'Conference Counter'!F56&lt;'Conference Counter'!H56),"CAR",
IF(AND(D37="NO/ATL/CAR",C39&gt;C38,C39=C40,'Conference Counter'!F56='Conference Counter'!H56,'More Stats'!N39&gt;'More Stats'!N40),"ATL",
IF(AND(D37="NO/ATL/CAR",C39&gt;C38,C39=C40,'Conference Counter'!F56='Conference Counter'!H56,'More Stats'!N39&lt;'More Stats'!N40),"CAR",
IF(AND(D37="NO/ATL/CAR",C39&gt;C38,C39=C40,'Conference Counter'!F56='Conference Counter'!H56,'More Stats'!N39='More Stats'!N40,'More Stats'!L39&gt;'More Stats'!L40),"ATL",
IF(AND(D37="NO/ATL/CAR",C39&gt;C38,C39=C40,'Conference Counter'!F56='Conference Counter'!H56,'More Stats'!N39='More Stats'!N40,'More Stats'!L39&lt;'More Stats'!L40),"CAR",
IF(AND(D37="NO/ATL/CAR",C38=C39,C38=C40,'Conference Counter'!D56&gt;'Conference Counter'!F56,'Conference Counter'!D56&gt;'Conference Counter'!H56),"NO",
IF(AND(D37="NO/ATL/CAR",C38=C39,C38=C40,'Conference Counter'!F56&gt;'Conference Counter'!D56,'Conference Counter'!F56&gt;'Conference Counter'!H56),"ATL",
IF(AND(D37="NO/ATL/CAR",C38=C39,C38=C40,'Conference Counter'!H56&gt;'Conference Counter'!D56,'Conference Counter'!H56&gt;'Conference Counter'!F56),"CAR",
IF(AND(D37="NO/ATL/CAR",C38=C39,C38=C40,'Conference Counter'!D56='Conference Counter'!F56,'Conference Counter'!D56&gt;'Conference Counter'!H56,'More Stats'!N38&gt;'More Stats'!N39),"NO",
IF(AND(D37="NO/ATL/CAR",C38=C39,C38=C40,'Conference Counter'!D56='Conference Counter'!F56,'Conference Counter'!D56&gt;'Conference Counter'!H56,'More Stats'!N38&lt;'More Stats'!N39),"ATL",
IF(AND(D37="NO/ATL/CAR",C38=C39,C38=C40,'Conference Counter'!D56&gt;'Conference Counter'!F56,'Conference Counter'!D56='Conference Counter'!H56,'More Stats'!N38&gt;'More Stats'!N40),"NO",
IF(AND(D37="NO/ATL/CAR",C38=C39,C38=C40,'Conference Counter'!D56&gt;'Conference Counter'!F56,'Conference Counter'!D56='Conference Counter'!H56,'More Stats'!N38&lt;'More Stats'!N40),"CAR",
IF(AND(D37="NO/ATL/CAR",C38=C39,C38=C40,'Conference Counter'!F56&gt;'Conference Counter'!D56,'Conference Counter'!F56='Conference Counter'!H56,'More Stats'!N39&gt;'More Stats'!N40),"ATL",
IF(AND(D37="NO/ATL/CAR",C38=C39,C38=C40,'Conference Counter'!F56&gt;'Conference Counter'!D56,'Conference Counter'!F56='Conference Counter'!H56,'More Stats'!N39&lt;'More Stats'!N40),"CAR",
IF(AND(D37="NO/ATL/CAR",C38=C39,C38=C40,'Conference Counter'!D56='Conference Counter'!F56,'Conference Counter'!D56='Conference Counter'!H56,'More Stats'!N38&gt;'More Stats'!N39,'More Stats'!N38&gt;'More Stats'!N40),"NO",
IF(AND(D37="NO/ATL/CAR",C38=C39,C38=C40,'Conference Counter'!D56='Conference Counter'!F56,'Conference Counter'!D56='Conference Counter'!H56,'More Stats'!N39&gt;'More Stats'!N38,'More Stats'!N39&gt;'More Stats'!N40),"ATL",
IF(AND(D37="NO/ATL/CAR",C38=C39,C38=C40,'Conference Counter'!D56='Conference Counter'!F56,'Conference Counter'!D56='Conference Counter'!H56,'More Stats'!N40&gt;'More Stats'!N38,'More Stats'!N40&gt;'More Stats'!N39),"CAR",
IF(AND(D37="NO/ATL/CAR",C38=C39,C38=C40,'Conference Counter'!D56='Conference Counter'!F56,'Conference Counter'!D56='Conference Counter'!H56,'More Stats'!N38='More Stats'!N39,'More Stats'!N38&gt;'More Stats'!N40,'More Stats'!L38&gt;'More Stats'!L39),"NO",
IF(AND(D37="NO/ATL/CAR",C38=C39,C38=C40,'Conference Counter'!D56='Conference Counter'!F56,'Conference Counter'!D56='Conference Counter'!H56,'More Stats'!N38='More Stats'!N39,'More Stats'!N38&gt;'More Stats'!N40,'More Stats'!L38&lt;'More Stats'!L39),"ATL",
IF(AND(D37="NO/ATL/CAR",C38=C39,C38=C40,'Conference Counter'!D56='Conference Counter'!F56,'Conference Counter'!D56='Conference Counter'!H56,'More Stats'!N38&gt;'More Stats'!N39,'More Stats'!N38='More Stats'!N40,'More Stats'!L38&gt;'More Stats'!L40),"NO",
IF(AND(D37="NO/ATL/CAR",C38=C39,C38=C40,'Conference Counter'!D56='Conference Counter'!F56,'Conference Counter'!D56='Conference Counter'!H56,'More Stats'!N38&gt;'More Stats'!N39,'More Stats'!N38='More Stats'!N40,'More Stats'!L38&lt;'More Stats'!L40),"CAR",
IF(AND(D37="NO/ATL/CAR",C38=C39,C38=C40,'Conference Counter'!D56='Conference Counter'!F56,'Conference Counter'!D56='Conference Counter'!H56,'More Stats'!N39&gt;'More Stats'!N38,'More Stats'!N39='More Stats'!N40,'More Stats'!L39&gt;'More Stats'!L40),"ATL",
IF(AND(D37="NO/ATL/CAR",C38=C39,C38=C40,'Conference Counter'!D56='Conference Counter'!F56,'Conference Counter'!D56='Conference Counter'!H56,'More Stats'!N39&gt;'More Stats'!N38,'More Stats'!N39='More Stats'!N40,'More Stats'!L39&lt;'More Stats'!L40),"CAR",
IF(AND(D37="NO/ATL/CAR",C38=C39,C38=C40,'Conference Counter'!D56='Conference Counter'!F56,'Conference Counter'!D56='Conference Counter'!H56,'More Stats'!N38='More Stats'!N39,'More Stats'!N38='More Stats'!N40,'More Stats'!L38&gt;'More Stats'!L39,'More Stats'!L38&gt;'More Stats'!L40,),"NO",
IF(AND(D37="NO/ATL/CAR",C38=C39,C38=C40,'Conference Counter'!D56='Conference Counter'!F56,'Conference Counter'!D56='Conference Counter'!H56,'More Stats'!N38='More Stats'!N39,'More Stats'!N38='More Stats'!N40,'More Stats'!L39&gt;'More Stats'!L38,'More Stats'!L39&gt;'More Stats'!L40,),"ATL",
IF(AND(D37="NO/ATL/CAR",C38=C39,C38=C40,'Conference Counter'!D56='Conference Counter'!F56,'Conference Counter'!D56='Conference Counter'!H56,'More Stats'!N38='More Stats'!N39,'More Stats'!N38='More Stats'!N40,'More Stats'!L40&gt;'More Stats'!L38,'More Stats'!L40&gt;'More Stats'!L39,),"CAR",
IF(AND(D37="TB/ATL/CAR",C37&gt;C39,C37&gt;C40),"TB",
IF(AND(D37="TB/ATL/CAR",C39&gt;C37,C39&gt;C40),"ATL",
IF(AND(D37="TB/ATL/CAR",C40&gt;C37,C40&gt;C39),"CAR",
IF(AND(D37="TB/ATL/CAR",C37=C39,C37&gt;C40,'Conference Counter'!B56&gt;'Conference Counter'!F56),"TB",
IF(AND(D37="TB/ATL/CAR",C37=C39,C37&gt;C40,'Conference Counter'!B56&lt;'Conference Counter'!F56),"ATL",
IF(AND(D37="TB/ATL/CAR",C37=C39,C37&gt;C40,'Conference Counter'!B56='Conference Counter'!F56,'More Stats'!N37&gt;'More Stats'!N39),"TB",
IF(AND(D37="TB/ATL/CAR",C37=C39,C37&gt;C40,'Conference Counter'!B56='Conference Counter'!F56,'More Stats'!N37&lt;'More Stats'!N39),"ATL",
IF(AND(D37="TB/ATL/CAR",C37=C39,C37&gt;C40,'Conference Counter'!B56='Conference Counter'!F56,'More Stats'!N37='More Stats'!N39,'More Stats'!L37&gt;'More Stats'!L39),"TB",
IF(AND(D37="TB/ATL/CAR",C37=C39,C37&gt;C40,'Conference Counter'!B56='Conference Counter'!F56,'More Stats'!N37='More Stats'!N39,'More Stats'!L37&lt;'More Stats'!L39),"ATL",
IF(AND(D37="TB/ATL/CAR",C37&gt;C39,C37=C40,'Conference Counter'!B56&gt;'Conference Counter'!H56),"TB",
IF(AND(D37="TB/ATL/CAR",C37&gt;C39,C37=C40,'Conference Counter'!B56&lt;'Conference Counter'!H56),"CAR",
IF(AND(D37="TB/ATL/CAR",C37&gt;C39,C37=C40,'Conference Counter'!B56='Conference Counter'!H56,'More Stats'!N37&gt;'More Stats'!N39),"TB",
IF(AND(D37="TB/ATL/CAR",C37&gt;C39,C37=C40,'Conference Counter'!B56='Conference Counter'!H56,'More Stats'!N37&lt;'More Stats'!N39),"CAR",
IF(AND(D37="TB/ATL/CAR",C37&gt;C39,C37=C40,'Conference Counter'!B56='Conference Counter'!H56,'More Stats'!N37='More Stats'!N39,'More Stats'!L37&gt;'More Stats'!L39),"TB",
IF(AND(D37="TB/ATL/CAR",C37&gt;C39,C37=C40,'Conference Counter'!B56='Conference Counter'!H56,'More Stats'!N37='More Stats'!N39,'More Stats'!L37&lt;'More Stats'!L39),"CAR",
IF(AND(D37="TB/ATL/CAR",C39&gt;C37,C39=C40,'Conference Counter'!F56&gt;'Conference Counter'!H56),"ATL",
IF(AND(D37="TB/ATL/CAR",C39&gt;C37,C39=C40,'Conference Counter'!F56&lt;'Conference Counter'!H56),"CAR",
IF(AND(D37="TB/ATL/CAR",C39&gt;C37,C39=C40,'Conference Counter'!F56='Conference Counter'!H56,'More Stats'!N39&gt;'More Stats'!N40),"ATL",
IF(AND(D37="TB/ATL/CAR",C39&gt;C37,C39=C40,'Conference Counter'!F56='Conference Counter'!H56,'More Stats'!N39&lt;'More Stats'!N40),"CAR",
IF(AND(D37="TB/ATL/CAR",C39&gt;C37,C39=C40,'Conference Counter'!F56='Conference Counter'!H56,'More Stats'!N39='More Stats'!N40,'More Stats'!L39&gt;'More Stats'!L40),"ATL",
IF(AND(D37="TB/ATL/CAR",C39&gt;C37,C39=C40,'Conference Counter'!F56='Conference Counter'!H56,'More Stats'!N39='More Stats'!N40,'More Stats'!L39&lt;'More Stats'!L40),"CAR",
IF(AND(D37="TB/ATL/CAR",C37=C39,C37=C40,'Conference Counter'!B56&gt;'Conference Counter'!F56,'Conference Counter'!B56&gt;'Conference Counter'!H56),"TB",
IF(AND(D37="TB/ATL/CAR",C37=C39,C37=C40,'Conference Counter'!F56&gt;'Conference Counter'!B56,'Conference Counter'!F56&gt;'Conference Counter'!H56),"ATL",
IF(AND(D37="TB/ATL/CAR",C37=C39,C37=C40,'Conference Counter'!H56&gt;'Conference Counter'!B56,'Conference Counter'!H56&gt;'Conference Counter'!F56),"CAR",
IF(AND(D37="TB/ATL/CAR",C37=C39,C37=C40,'Conference Counter'!B56='Conference Counter'!F56,'Conference Counter'!B56&gt;'Conference Counter'!H56,'More Stats'!N37&gt;'More Stats'!N39),"TB",
IF(AND(D37="TB/ATL/CAR",C37=C39,C37=C40,'Conference Counter'!B56='Conference Counter'!F56,'Conference Counter'!B56&gt;'Conference Counter'!H56,'More Stats'!N37&lt;'More Stats'!N39),"ATL",
IF(AND(D37="TB/ATL/CAR",C37=C39,C37=C40,'Conference Counter'!B56&gt;'Conference Counter'!F56,'Conference Counter'!B56='Conference Counter'!H56,'More Stats'!N37&gt;'More Stats'!N40),"TB",
IF(AND(D37="TB/ATL/CAR",C37=C39,C37=C40,'Conference Counter'!B56&gt;'Conference Counter'!F56,'Conference Counter'!B56='Conference Counter'!H56,'More Stats'!N37&lt;'More Stats'!N40),"CAR",
IF(AND(D37="TB/ATL/CAR",C37=C39,C37=C40,'Conference Counter'!F56&gt;'Conference Counter'!B56,'Conference Counter'!F56='Conference Counter'!H56,'More Stats'!N39&gt;'More Stats'!N40),"ATL",
IF(AND(D37="TB/ATL/CAR",C37=C39,C37=C40,'Conference Counter'!F56&gt;'Conference Counter'!B56,'Conference Counter'!F56='Conference Counter'!H56,'More Stats'!N39&lt;'More Stats'!N40),"CAR",
IF(AND(D37="TB/ATL/CAR",C37=C39,C37=C40,'Conference Counter'!B56='Conference Counter'!F56,'Conference Counter'!B56='Conference Counter'!H56,'More Stats'!N37&gt;'More Stats'!N39,'More Stats'!N37&gt;'More Stats'!N40),"TB",
IF(AND(D37="TB/ATL/CAR",C37=C39,C37=C40,'Conference Counter'!B56='Conference Counter'!F56,'Conference Counter'!B56='Conference Counter'!H56,'More Stats'!N39&gt;'More Stats'!N37,'More Stats'!N39&gt;'More Stats'!N40),"ATL",
IF(AND(D37="TB/ATL/CAR",C37=C39,C37=C40,'Conference Counter'!B56='Conference Counter'!F56,'Conference Counter'!B56='Conference Counter'!H56,'More Stats'!N40&gt;'More Stats'!N37,'More Stats'!N40&gt;'More Stats'!N39),"CAR",
IF(AND(D37="TB/ATL/CAR",C37=C39,C37=C40,'Conference Counter'!B56='Conference Counter'!F56,'Conference Counter'!B56='Conference Counter'!H56,'More Stats'!N37='More Stats'!N39,'More Stats'!N37&gt;'More Stats'!N40,'More Stats'!L37&gt;'More Stats'!L39),"TB",
IF(AND(D37="TB/ATL/CAR",C37=C39,C37=C40,'Conference Counter'!B56='Conference Counter'!F56,'Conference Counter'!B56='Conference Counter'!H56,'More Stats'!N37='More Stats'!N39,'More Stats'!N37&gt;'More Stats'!N40,'More Stats'!L37&lt;'More Stats'!L39),"ATL",
IF(AND(D37="TB/ATL/CAR",C37=C39,C37=C40,'Conference Counter'!B56='Conference Counter'!F56,'Conference Counter'!B56='Conference Counter'!H56,'More Stats'!N37&gt;'More Stats'!N39,'More Stats'!N37='More Stats'!N40,'More Stats'!L37&gt;'More Stats'!L40),"TB",
IF(AND(D37="TB/ATL/CAR",C37=C39,C37=C40,'Conference Counter'!B56='Conference Counter'!F56,'Conference Counter'!B56='Conference Counter'!H56,'More Stats'!N37&gt;'More Stats'!N39,'More Stats'!N37='More Stats'!N40,'More Stats'!L37&lt;'More Stats'!L40),"CAR",
IF(AND(D37="TB/ATL/CAR",C37=C39,C37=C40,'Conference Counter'!B56='Conference Counter'!F56,'Conference Counter'!B56='Conference Counter'!H56,'More Stats'!N39&gt;'More Stats'!N37,'More Stats'!N39='More Stats'!N40,'More Stats'!L39&gt;'More Stats'!L40),"ATL",
IF(AND(D37="TB/ATL/CAR",C37=C39,C37=C40,'Conference Counter'!B56='Conference Counter'!F56,'Conference Counter'!B56='Conference Counter'!H56,'More Stats'!N39&gt;'More Stats'!N37,'More Stats'!N39='More Stats'!N40,'More Stats'!L39&lt;'More Stats'!L40),"CAR",
IF(AND(D37="TB/ATL/CAR",C37=C39,C37=C40,'Conference Counter'!B56='Conference Counter'!F56,'Conference Counter'!B56='Conference Counter'!H56,'More Stats'!N37='More Stats'!N39,'More Stats'!N37='More Stats'!N40,'More Stats'!L37&gt;'More Stats'!L39,'More Stats'!L37&gt;'More Stats'!L40,),"TB",
IF(AND(D37="TB/ATL/CAR",C37=C39,C37=C40,'Conference Counter'!B56='Conference Counter'!F56,'Conference Counter'!B56='Conference Counter'!H56,'More Stats'!N37='More Stats'!N39,'More Stats'!N37='More Stats'!N40,'More Stats'!L39&gt;'More Stats'!L37,'More Stats'!L39&gt;'More Stats'!L40,),"ATL",
IF(AND(D37="TB/ATL/CAR",C37=C39,C37=C40,'Conference Counter'!B56='Conference Counter'!F56,'Conference Counter'!B56='Conference Counter'!H56,'More Stats'!N37='More Stats'!N39,'More Stats'!N37='More Stats'!N40,'More Stats'!L40&gt;'More Stats'!L37,'More Stats'!L40&gt;'More Stats'!L39,),"CAR",
IF(AND(D37="TB/NO/CAR",C37&gt;C38,C37&gt;C40),"TB",
IF(AND(D37="TB/NO/CAR",C38&gt;C37,C38&gt;C40),"NO",
IF(AND(D37="TB/NO/CAR",C40&gt;C37,C40&gt;C38),"CAR",
IF(AND(D37="TB/NO/CAR",C37=C38,C37&gt;C40,'Conference Counter'!B56&gt;'Conference Counter'!D56),"TB",
IF(AND(D37="TB/NO/CAR",C37=C38,C37&gt;C40,'Conference Counter'!B56&lt;'Conference Counter'!D56),"NO",
IF(AND(D37="TB/NO/CAR",C37=C38,C37&gt;C40,'Conference Counter'!B56='Conference Counter'!D56,'More Stats'!N37&gt;'More Stats'!N38),"TB",
IF(AND(D37="TB/NO/CAR",C37=C38,C37&gt;C40,'Conference Counter'!B56='Conference Counter'!D56,'More Stats'!N37&lt;'More Stats'!N38),"NO",
IF(AND(D37="TB/NO/CAR",C37=C38,C37&gt;C40,'Conference Counter'!B56='Conference Counter'!D56,'More Stats'!N37='More Stats'!N38,'More Stats'!L37&gt;'More Stats'!L38),"TB",
IF(AND(D37="TB/NO/CAR",C37=C38,C37&gt;C40,'Conference Counter'!B56='Conference Counter'!D56,'More Stats'!N37='More Stats'!N38,'More Stats'!L37&lt;'More Stats'!L38),"NO",
IF(AND(D37="TB/NO/CAR",C37&gt;C38,C37=C40,'Conference Counter'!B56&gt;'Conference Counter'!H56),"TB",
IF(AND(D37="TB/NO/CAR",C37&gt;C38,C37=C40,'Conference Counter'!B56&lt;'Conference Counter'!H56),"CAR",
IF(AND(D37="TB/NO/CAR",C37&gt;C38,C37=C40,'Conference Counter'!B56='Conference Counter'!H56,'More Stats'!N37&gt;'More Stats'!N40),"TB",
IF(AND(D37="TB/NO/CAR",C37&gt;C38,C37=C40,'Conference Counter'!B56='Conference Counter'!H56,'More Stats'!N37&lt;'More Stats'!N40),"CAR",
IF(AND(D37="TB/NO/CAR",C37&gt;C38,C37=C40,'Conference Counter'!B56='Conference Counter'!H56,'More Stats'!N37='More Stats'!N40,'More Stats'!L37&gt;'More Stats'!L40),"TB",
IF(AND(D37="TB/NO/CAR",C37&gt;C38,C37=C40,'Conference Counter'!B56='Conference Counter'!H56,'More Stats'!N37='More Stats'!N40,'More Stats'!L37&lt;'More Stats'!L40),"CAR",
IF(AND(D37="TB/NO/CAR",C38&gt;C37,C38=C40,'Conference Counter'!D56&gt;'Conference Counter'!H56),"NO",
IF(AND(D37="TB/NO/CAR",C38&gt;C37,C38=C40,'Conference Counter'!D56&lt;'Conference Counter'!H56),"CAR",
IF(AND(D37="TB/NO/CAR",C38&gt;C37,C38=C40,'Conference Counter'!D56='Conference Counter'!H56,'More Stats'!N38&gt;'More Stats'!N40),"NO",
IF(AND(D37="TB/NO/CAR",C38&gt;C37,C38=C40,'Conference Counter'!D56='Conference Counter'!H56,'More Stats'!N38&lt;'More Stats'!N40),"CAR",
IF(AND(D37="TB/NO/CAR",C38&gt;C37,C38=C40,'Conference Counter'!D56='Conference Counter'!H56,'More Stats'!N38='More Stats'!N40,'More Stats'!L38&gt;'More Stats'!L40),"NO",
IF(AND(D37="TB/NO/CAR",C38&gt;C37,C38=C40,'Conference Counter'!D56='Conference Counter'!H56,'More Stats'!N38='More Stats'!N40,'More Stats'!L38&lt;'More Stats'!L40),"CAR",
IF(AND(D37="TB/NO/CAR",C37=C38,C37=C40,'Conference Counter'!B56&gt;'Conference Counter'!D56,'Conference Counter'!B56&gt;'Conference Counter'!H56),"TB",
IF(AND(D37="TB/NO/CAR",C37=C38,C37=C40,'Conference Counter'!D56&gt;'Conference Counter'!B56,'Conference Counter'!D56&gt;'Conference Counter'!H56),"NO",
IF(AND(D37="TB/NO/CAR",C37=C38,C37=C40,'Conference Counter'!H56&gt;'Conference Counter'!B56,'Conference Counter'!H56&gt;'Conference Counter'!D56),"CAR",
IF(AND(D37="TB/NO/CAR",C37=C38,C37=C40,'Conference Counter'!B56='Conference Counter'!D56,'Conference Counter'!B56&gt;'Conference Counter'!H56,'More Stats'!N37&gt;'More Stats'!N38),"TB",
IF(AND(D37="TB/NO/CAR",C37=C38,C37=C40,'Conference Counter'!B56='Conference Counter'!D56,'Conference Counter'!B56&gt;'Conference Counter'!H56,'More Stats'!N37&lt;'More Stats'!N38),"NO",
IF(AND(D37="TB/NO/CAR",C37=C38,C37=C40,'Conference Counter'!B56&gt;'Conference Counter'!D56,'Conference Counter'!B56='Conference Counter'!H56,'More Stats'!N37&gt;'More Stats'!N40),"TB",
IF(AND(D37="TB/NO/CAR",C37=C38,C37=C40,'Conference Counter'!B56&gt;'Conference Counter'!D56,'Conference Counter'!B56='Conference Counter'!H56,'More Stats'!N37&lt;'More Stats'!N40),"CAR",
IF(AND(D37="TB/NO/CAR",C37=C38,C37=C40,'Conference Counter'!D56&gt;'Conference Counter'!B56,'Conference Counter'!D56='Conference Counter'!H56,'More Stats'!N38&gt;'More Stats'!N40),"NO",
IF(AND(D37="TB/NO/CAR",C37=C38,C37=C40,'Conference Counter'!D56&gt;'Conference Counter'!B56,'Conference Counter'!D56='Conference Counter'!H56,'More Stats'!N38&lt;'More Stats'!N40),"CAR",
IF(AND(D37="TB/NO/CAR",C37=C38,C37=C40,'Conference Counter'!B56='Conference Counter'!D56,'Conference Counter'!B56='Conference Counter'!H56,'More Stats'!N37&gt;'More Stats'!N38,'More Stats'!N37&gt;'More Stats'!N40),"TB",
IF(AND(D37="TB/NO/CAR",C37=C38,C37=C40,'Conference Counter'!B56='Conference Counter'!D56,'Conference Counter'!B56='Conference Counter'!H56,'More Stats'!N38&gt;'More Stats'!N37,'More Stats'!N38&gt;'More Stats'!N40),"NO",
IF(AND(D37="TB/NO/CAR",C37=C38,C37=C40,'Conference Counter'!B56='Conference Counter'!D56,'Conference Counter'!B56='Conference Counter'!H56,'More Stats'!N40&gt;'More Stats'!N37,'More Stats'!N40&gt;'More Stats'!N38),"CAR",
IF(AND(D37="TB/NO/CAR",C37=C38,C37=C40,'Conference Counter'!B56='Conference Counter'!D56,'Conference Counter'!B56='Conference Counter'!H56,'More Stats'!N37='More Stats'!N38,'More Stats'!N37&gt;'More Stats'!N40,'More Stats'!L37&gt;'More Stats'!L38),"TB",
IF(AND(D37="TB/NO/CAR",C37=C38,C37=C40,'Conference Counter'!B56='Conference Counter'!D56,'Conference Counter'!B56='Conference Counter'!H56,'More Stats'!N37='More Stats'!N38,'More Stats'!N37&gt;'More Stats'!N40,'More Stats'!L37&lt;'More Stats'!L38),"NO",
IF(AND(D37="TB/NO/CAR",C37=C38,C37=C40,'Conference Counter'!B56='Conference Counter'!D56,'Conference Counter'!B56='Conference Counter'!H56,'More Stats'!N37&gt;'More Stats'!N38,'More Stats'!N37='More Stats'!N40,'More Stats'!L37&gt;'More Stats'!L40),"TB",
IF(AND(D37="TB/NO/CAR",C37=C38,C37=C40,'Conference Counter'!B56='Conference Counter'!D56,'Conference Counter'!B56='Conference Counter'!H56,'More Stats'!N37&gt;'More Stats'!N38,'More Stats'!N37='More Stats'!N40,'More Stats'!L37&lt;'More Stats'!L40),"CAR",
IF(AND(D37="TB/NO/CAR",C37=C38,C37=C40,'Conference Counter'!B56='Conference Counter'!D56,'Conference Counter'!B56='Conference Counter'!H56,'More Stats'!N38&gt;'More Stats'!N37,'More Stats'!N38='More Stats'!N40,'More Stats'!L38&gt;'More Stats'!L40),"NO",
IF(AND(D37="TB/NO/CAR",C37=C38,C37=C40,'Conference Counter'!B56='Conference Counter'!D56,'Conference Counter'!B56='Conference Counter'!H56,'More Stats'!N38&gt;'More Stats'!N37,'More Stats'!N38='More Stats'!N40,'More Stats'!L38&lt;'More Stats'!L40),"CAR",
IF(AND(D37="TB/NO/CAR",C37=C38,C37=C40,'Conference Counter'!B56='Conference Counter'!D56,'Conference Counter'!B56='Conference Counter'!H56,'More Stats'!N37='More Stats'!N38,'More Stats'!N37='More Stats'!N40,'More Stats'!L37&gt;'More Stats'!L38,'More Stats'!L37&gt;'More Stats'!L40,),"TB",
IF(AND(D37="TB/NO/CAR",C37=C38,C37=C40,'Conference Counter'!B56='Conference Counter'!D56,'Conference Counter'!B56='Conference Counter'!H56,'More Stats'!N37='More Stats'!N38,'More Stats'!N37='More Stats'!N40,'More Stats'!L38&gt;'More Stats'!L37,'More Stats'!L38&gt;'More Stats'!L40,),"NO",
IF(AND(D37="TB/NO/CAR",C37=C38,C37=C40,'Conference Counter'!B56='Conference Counter'!D56,'Conference Counter'!B56='Conference Counter'!H56,'More Stats'!N37='More Stats'!N38,'More Stats'!N37='More Stats'!N40,'More Stats'!L40&gt;'More Stats'!L37,'More Stats'!L40&gt;'More Stats'!L38,),"CAR",
IF(AND(D37="TB/NO/ATL",C37&gt;C38,C37&gt;C39),"TB",
IF(AND(D37="TB/NO/ATL",C38&gt;C37,C38&gt;C39),"NO",
IF(AND(D37="TB/NO/ATL",C39&gt;C37,C39&gt;C38),"ATL",
IF(AND(D37="TB/NO/ATL",C37=C38,C37&gt;C39,'Conference Counter'!B56&gt;'Conference Counter'!D56),"TB",
IF(AND(D37="TB/NO/ATL",C37=C38,C37&gt;C39,'Conference Counter'!B56&lt;'Conference Counter'!D56),"NO",
IF(AND(D37="TB/NO/ATL",C37=C38,C37&gt;C39,'Conference Counter'!B56='Conference Counter'!D56,'More Stats'!N37&gt;'More Stats'!N38),"TB",
IF(AND(D37="TB/NO/ATL",C37=C38,C37&gt;C39,'Conference Counter'!B56='Conference Counter'!D56,'More Stats'!N37&lt;'More Stats'!N38),"NO",
IF(AND(D37="TB/NO/ATL",C37=C38,C37&gt;C39,'Conference Counter'!B56='Conference Counter'!D56,'More Stats'!N37='More Stats'!N38,'More Stats'!L37&gt;'More Stats'!L38),"TB",
IF(AND(D37="TB/NO/ATL",C37=C38,C37&gt;C39,'Conference Counter'!B56='Conference Counter'!D56,'More Stats'!N37='More Stats'!N38,'More Stats'!L37&lt;'More Stats'!L38),"NO",
IF(AND(D37="TB/NO/ATL",C37&gt;C38,C37=C39,'Conference Counter'!B56&gt;'Conference Counter'!F56),"TB",
IF(AND(D37="TB/NO/ATL",C37&gt;C38,C37=C39,'Conference Counter'!B56&lt;'Conference Counter'!F56),"ATL",
IF(AND(D37="TB/NO/ATL",C37&gt;C38,C37=C39,'Conference Counter'!B56='Conference Counter'!F56,'More Stats'!N37&gt;'More Stats'!N39),"TB",
IF(AND(D37="TB/NO/ATL",C37&gt;C38,C37=C39,'Conference Counter'!B56='Conference Counter'!F56,'More Stats'!N37&lt;'More Stats'!N39),"ATL",
IF(AND(D37="TB/NO/ATL",C37&gt;C38,C37=C39,'Conference Counter'!B56='Conference Counter'!F56,'More Stats'!N37='More Stats'!N39,'More Stats'!L37&gt;'More Stats'!L39),"TB",
IF(AND(D37="TB/NO/ATL",C37&gt;C38,C37=C39,'Conference Counter'!B56='Conference Counter'!F56,'More Stats'!N37='More Stats'!N39,'More Stats'!L37&lt;'More Stats'!L39),"ATL",
IF(AND(D37="TB/NO/ATL",C38&gt;C37,C38=C39,'Conference Counter'!D56&gt;'Conference Counter'!F56),"NO",
IF(AND(D37="TB/NO/ATL",C38&gt;C37,C38=C39,'Conference Counter'!D56&lt;'Conference Counter'!F56),"ATL",
IF(AND(D37="TB/NO/ATL",C38&gt;C37,C38=C39,'Conference Counter'!D56='Conference Counter'!F56,'More Stats'!N38&gt;'More Stats'!N39),"NO",
IF(AND(D37="TB/NO/ATL",C38&gt;C37,C38=C39,'Conference Counter'!D56='Conference Counter'!F56,'More Stats'!N38&lt;'More Stats'!N39),"ATL",
IF(AND(D37="TB/NO/ATL",C38&gt;C37,C38=C39,'Conference Counter'!D56='Conference Counter'!F56,'More Stats'!N38='More Stats'!N39,'More Stats'!L38&gt;'More Stats'!L39),"NO",
IF(AND(D37="TB/NO/ATL",C38&gt;C37,C38=C39,'Conference Counter'!D56='Conference Counter'!F56,'More Stats'!N38='More Stats'!N39,'More Stats'!L38&lt;'More Stats'!L39),"ATL",
IF(AND(D37="TB/NO/ATL",C37=C38,C37=C39,'Conference Counter'!B56&gt;'Conference Counter'!D56,'Conference Counter'!B56&gt;'Conference Counter'!F56),"TB",
IF(AND(D37="TB/NO/ATL",C37=C38,C37=C39,'Conference Counter'!D56&gt;'Conference Counter'!B56,'Conference Counter'!D56&gt;'Conference Counter'!F56),"NO",
IF(AND(D37="TB/NO/ATL",C37=C38,C37=C39,'Conference Counter'!F56&gt;'Conference Counter'!B56,'Conference Counter'!F56&gt;'Conference Counter'!D56),"ATL",
IF(AND(D37="TB/NO/ATL",C37=C38,C37=C39,'Conference Counter'!B56='Conference Counter'!D56,'Conference Counter'!B56&gt;'Conference Counter'!F56,'More Stats'!N37&gt;'More Stats'!N38),"TB",
IF(AND(D37="TB/NO/ATL",C37=C38,C37=C39,'Conference Counter'!B56='Conference Counter'!D56,'Conference Counter'!B56&gt;'Conference Counter'!F56,'More Stats'!N37&lt;'More Stats'!N38),"NO",
IF(AND(D37="TB/NO/ATL",C37=C38,C37=C39,'Conference Counter'!B56&gt;'Conference Counter'!D56,'Conference Counter'!B56='Conference Counter'!F56,'More Stats'!N37&gt;'More Stats'!N39),"TB",
IF(AND(D37="TB/NO/ATL",C37=C38,C37=C39,'Conference Counter'!B56&gt;'Conference Counter'!D56,'Conference Counter'!B56='Conference Counter'!F56,'More Stats'!N37&lt;'More Stats'!N39),"ATL",
IF(AND(D37="TB/NO/ATL",C37=C38,C37=C39,'Conference Counter'!D56&gt;'Conference Counter'!B56,'Conference Counter'!D56='Conference Counter'!F56,'More Stats'!N38&gt;'More Stats'!N39),"NO",
IF(AND(D37="TB/NO/ATL",C37=C38,C37=C39,'Conference Counter'!D56&gt;'Conference Counter'!B56,'Conference Counter'!D56='Conference Counter'!F56,'More Stats'!N38&lt;'More Stats'!N39),"ATL",
IF(AND(D37="TB/NO/ATL",C37=C38,C37=C39,'Conference Counter'!B56='Conference Counter'!D56,'Conference Counter'!B56='Conference Counter'!F56,'More Stats'!N37&gt;'More Stats'!N38,'More Stats'!N37&gt;'More Stats'!N39),"TB",
IF(AND(D37="TB/NO/ATL",C37=C38,C37=C39,'Conference Counter'!B56='Conference Counter'!D56,'Conference Counter'!B56='Conference Counter'!F56,'More Stats'!N38&gt;'More Stats'!N37,'More Stats'!N38&gt;'More Stats'!N39),"NO",
IF(AND(D37="TB/NO/ATL",C37=C38,C37=C39,'Conference Counter'!B56='Conference Counter'!D56,'Conference Counter'!B56='Conference Counter'!F56,'More Stats'!N39&gt;'More Stats'!N37,'More Stats'!N39&gt;'More Stats'!N38),"ATL",
IF(AND(D37="TB/NO/ATL",C37=C38,C37=C39,'Conference Counter'!B56='Conference Counter'!D56,'Conference Counter'!B56='Conference Counter'!F56,'More Stats'!N37='More Stats'!N38,'More Stats'!N37&gt;'More Stats'!N39,'More Stats'!L37&gt;'More Stats'!L38),"TB",
IF(AND(D37="TB/NO/ATL",C37=C38,C37=C39,'Conference Counter'!B56='Conference Counter'!D56,'Conference Counter'!B56='Conference Counter'!F56,'More Stats'!N37='More Stats'!N38,'More Stats'!N37&gt;'More Stats'!N39,'More Stats'!L37&lt;'More Stats'!L38),"NO",
IF(AND(D37="TB/NO/ATL",C37=C38,C37=C39,'Conference Counter'!B56='Conference Counter'!D56,'Conference Counter'!B56='Conference Counter'!F56,'More Stats'!N37&gt;'More Stats'!N38,'More Stats'!N37='More Stats'!N39,'More Stats'!L37&gt;'More Stats'!L39),"TB",
IF(AND(D37="TB/NO/ATL",C37=C38,C37=C39,'Conference Counter'!B56='Conference Counter'!D56,'Conference Counter'!B56='Conference Counter'!F56,'More Stats'!N37&gt;'More Stats'!N38,'More Stats'!N37='More Stats'!N39,'More Stats'!L37&lt;'More Stats'!L39),"ATL",
IF(AND(D37="TB/NO/ATL",C37=C38,C37=C39,'Conference Counter'!B56='Conference Counter'!D56,'Conference Counter'!B56='Conference Counter'!F56,'More Stats'!N38&gt;'More Stats'!N37,'More Stats'!N38='More Stats'!N39,'More Stats'!L38&gt;'More Stats'!L39),"NO",
IF(AND(D37="TB/NO/ATL",C37=C38,C37=C39,'Conference Counter'!B56='Conference Counter'!D56,'Conference Counter'!B56='Conference Counter'!F56,'More Stats'!N38&gt;'More Stats'!N37,'More Stats'!N38='More Stats'!N39,'More Stats'!L38&lt;'More Stats'!L39),"ATL",
IF(AND(D37="TB/NO/ATL",C37=C38,C37=C39,'Conference Counter'!B56='Conference Counter'!D56,'Conference Counter'!B56='Conference Counter'!F56,'More Stats'!N37='More Stats'!N38,'More Stats'!N37='More Stats'!N39,'More Stats'!L37&gt;'More Stats'!L38,'More Stats'!L37&gt;'More Stats'!L39,),"TB",
IF(AND(D37="TB/NO/ATL",C37=C38,C37=C39,'Conference Counter'!B56='Conference Counter'!D56,'Conference Counter'!B56='Conference Counter'!F56,'More Stats'!N37='More Stats'!N38,'More Stats'!N37='More Stats'!N39,'More Stats'!L38&gt;'More Stats'!L37,'More Stats'!L38&gt;'More Stats'!L39,),"NO",
IF(AND(D37="TB/NO/ATL",C37=C38,C37=C39,'Conference Counter'!B56='Conference Counter'!D56,'Conference Counter'!B56='Conference Counter'!F56,'More Stats'!N37='More Stats'!N38,'More Stats'!N37='More Stats'!N39,'More Stats'!L39&gt;'More Stats'!L37,'More Stats'!L39&gt;'More Stats'!L38,),"ATL",
IF(AND(D37="TB/NO/ATL/CAR",C37&gt;C38,C37&gt;C39,C37&gt;C40),"TB",
IF(AND(D37="TB/NO/ATL/CAR",C38&gt;C37,C38&gt;C39,C38&gt;C40),"NO",
IF(AND(D37="TB/NO/ATL/CAR",C39&gt;C37,C39&gt;C38,C39&gt;C40),"ATL",
IF(AND(D37="TB/NO/ATL/CAR",C40&gt;C37,C40&gt;C38,C40&gt;C39),"CAR",
"TBD"))))))))))))))))))))))))))))))))))))))))))))))))))))))))))))))))))))))))))))))))))))))))))))))))))))))))))))))))))))))))))))))))))))))))))))))))))))))))))))))))))))))))))))))))))))))))))))))))))))))))))))))))))))))))))))))))))))))))))))</f>
        <v>NO</v>
      </c>
      <c r="F37" s="276"/>
      <c r="G37" s="268"/>
      <c r="H37" s="268"/>
      <c r="I37" s="268"/>
      <c r="J37" s="268"/>
      <c r="K37" s="268"/>
      <c r="L37" s="268"/>
      <c r="M37" s="268"/>
      <c r="N37" s="268" t="s">
        <v>120</v>
      </c>
      <c r="O37" s="267">
        <v>0.17647058823529413</v>
      </c>
      <c r="P37" s="281">
        <v>0.16666666666666666</v>
      </c>
      <c r="Q37" s="282">
        <v>-52.0</v>
      </c>
      <c r="R37" s="268">
        <v>304.0</v>
      </c>
      <c r="S37" s="268"/>
      <c r="T37" s="268"/>
      <c r="U37" s="268"/>
      <c r="V37" s="285" t="s">
        <v>749</v>
      </c>
      <c r="W37" s="268"/>
      <c r="X37" s="268"/>
      <c r="Y37" s="268"/>
      <c r="Z37" s="268"/>
      <c r="AA37" s="268"/>
      <c r="AB37" s="268"/>
      <c r="AC37" s="268"/>
      <c r="AD37" s="268"/>
      <c r="AE37" s="268"/>
      <c r="AF37" s="268"/>
      <c r="AG37" s="268"/>
      <c r="AH37" s="268"/>
      <c r="AI37" s="268"/>
      <c r="AJ37" s="268"/>
      <c r="AK37" s="268"/>
      <c r="AL37" s="268"/>
      <c r="AM37" s="268"/>
    </row>
    <row r="38">
      <c r="A38" s="266" t="s">
        <v>174</v>
      </c>
      <c r="B38" s="267">
        <f t="array" ref="B38">INDEX('More Stats'!E38,0)</f>
        <v>0.5294117647</v>
      </c>
      <c r="C38" s="268">
        <f t="array" ref="C38">INDEX('Div Record Counter'!BH20,0)</f>
        <v>4</v>
      </c>
      <c r="D38" s="268"/>
      <c r="E38" s="268"/>
      <c r="F38" s="268"/>
      <c r="G38" s="268"/>
      <c r="H38" s="268"/>
      <c r="I38" s="268"/>
      <c r="J38" s="268"/>
      <c r="K38" s="268"/>
      <c r="L38" s="268"/>
      <c r="M38" s="268"/>
      <c r="N38" s="284"/>
      <c r="O38" s="284"/>
      <c r="P38" s="284"/>
      <c r="Q38" s="284"/>
      <c r="R38" s="284"/>
      <c r="S38" s="268"/>
      <c r="T38" s="268"/>
      <c r="U38" s="268"/>
      <c r="V38" s="278" t="s">
        <v>725</v>
      </c>
      <c r="W38" s="268"/>
      <c r="X38" s="268"/>
      <c r="Y38" s="268"/>
      <c r="Z38" s="268"/>
      <c r="AA38" s="268"/>
      <c r="AB38" s="268"/>
      <c r="AC38" s="268"/>
      <c r="AD38" s="268"/>
      <c r="AE38" s="268"/>
      <c r="AF38" s="268"/>
      <c r="AG38" s="268"/>
      <c r="AH38" s="268"/>
      <c r="AI38" s="268"/>
      <c r="AJ38" s="268"/>
      <c r="AK38" s="268"/>
      <c r="AL38" s="268"/>
      <c r="AM38" s="268"/>
    </row>
    <row r="39">
      <c r="A39" s="266" t="s">
        <v>140</v>
      </c>
      <c r="B39" s="267">
        <f t="array" ref="B39">INDEX('More Stats'!E39,0)</f>
        <v>0.4705882353</v>
      </c>
      <c r="C39" s="268">
        <f t="array" ref="C39">INDEX('Div Record Counter'!BJ20,0)</f>
        <v>4</v>
      </c>
      <c r="D39" s="268"/>
      <c r="E39" s="268"/>
      <c r="F39" s="268"/>
      <c r="G39" s="268"/>
      <c r="H39" s="268"/>
      <c r="I39" s="268"/>
      <c r="J39" s="268"/>
      <c r="K39" s="268"/>
      <c r="L39" s="268"/>
      <c r="M39" s="268"/>
      <c r="N39" s="279" t="s">
        <v>728</v>
      </c>
      <c r="O39" s="264" t="s">
        <v>7</v>
      </c>
      <c r="P39" s="264" t="s">
        <v>727</v>
      </c>
      <c r="Q39" s="264" t="s">
        <v>21</v>
      </c>
      <c r="R39" s="264" t="s">
        <v>17</v>
      </c>
      <c r="S39" s="268"/>
      <c r="T39" s="268"/>
      <c r="U39" s="268"/>
      <c r="V39" s="285" t="s">
        <v>750</v>
      </c>
      <c r="W39" s="268"/>
      <c r="X39" s="268"/>
      <c r="Y39" s="268"/>
      <c r="Z39" s="268"/>
      <c r="AA39" s="268"/>
      <c r="AB39" s="268"/>
      <c r="AC39" s="268"/>
      <c r="AD39" s="268"/>
      <c r="AE39" s="268"/>
      <c r="AF39" s="268"/>
      <c r="AG39" s="268"/>
      <c r="AH39" s="268"/>
      <c r="AI39" s="268"/>
      <c r="AJ39" s="268"/>
      <c r="AK39" s="268"/>
      <c r="AL39" s="268"/>
      <c r="AM39" s="268"/>
    </row>
    <row r="40">
      <c r="A40" s="266" t="s">
        <v>184</v>
      </c>
      <c r="B40" s="267">
        <f t="array" ref="B40">INDEX('More Stats'!E40,0)</f>
        <v>0.2352941176</v>
      </c>
      <c r="C40" s="268">
        <f t="array" ref="C40">INDEX('Div Record Counter'!BL20,0)</f>
        <v>1</v>
      </c>
      <c r="D40" s="268"/>
      <c r="E40" s="268"/>
      <c r="F40" s="268"/>
      <c r="G40" s="268"/>
      <c r="H40" s="268"/>
      <c r="I40" s="268"/>
      <c r="J40" s="268"/>
      <c r="K40" s="268"/>
      <c r="L40" s="268"/>
      <c r="M40" s="268"/>
      <c r="N40" s="268" t="str">
        <f>IF(G18&lt;&gt;"SF","SF","")</f>
        <v>SF</v>
      </c>
      <c r="O40" s="267">
        <f t="array" ref="O40">IF(N40="SF",INDEX(B22,0),"")</f>
        <v>0.5882352941</v>
      </c>
      <c r="P40" s="281">
        <f t="array" ref="P40">IF(N40="SF",INDEX('Conference Counter'!AH21,0),"")</f>
        <v>0.5833333333</v>
      </c>
      <c r="Q40" s="282">
        <f t="array" ref="Q40">IF(N40="SF",INDEX('More Stats'!N22,0),"")</f>
        <v>14</v>
      </c>
      <c r="R40" s="268">
        <f t="array" ref="R40">IF(N40="SF",INDEX('More Stats'!L22,0),"")</f>
        <v>333</v>
      </c>
      <c r="S40" s="268"/>
      <c r="T40" s="268"/>
      <c r="U40" s="268"/>
      <c r="V40" s="285" t="s">
        <v>733</v>
      </c>
      <c r="W40" s="268"/>
      <c r="X40" s="268"/>
      <c r="Y40" s="268"/>
      <c r="Z40" s="268"/>
      <c r="AA40" s="268"/>
      <c r="AB40" s="268"/>
      <c r="AC40" s="268"/>
      <c r="AD40" s="268"/>
      <c r="AE40" s="268"/>
      <c r="AF40" s="268"/>
      <c r="AG40" s="268"/>
      <c r="AH40" s="268"/>
      <c r="AI40" s="268"/>
      <c r="AJ40" s="268"/>
      <c r="AK40" s="268"/>
      <c r="AL40" s="268"/>
      <c r="AM40" s="268"/>
    </row>
    <row r="41">
      <c r="A41" s="284"/>
      <c r="B41" s="284"/>
      <c r="C41" s="284"/>
      <c r="D41" s="284"/>
      <c r="E41" s="284"/>
      <c r="F41" s="268"/>
      <c r="G41" s="268"/>
      <c r="H41" s="268"/>
      <c r="I41" s="268"/>
      <c r="J41" s="268"/>
      <c r="K41" s="268"/>
      <c r="L41" s="268"/>
      <c r="M41" s="268"/>
      <c r="N41" s="268" t="str">
        <f>IF(G18&lt;&gt;"LAR","LAR","")</f>
        <v/>
      </c>
      <c r="O41" s="268" t="str">
        <f t="array" ref="O41">IF(N41="LAR",INDEX(B23,0),"")</f>
        <v/>
      </c>
      <c r="P41" s="268" t="str">
        <f t="array" ref="P41">IF(N41="LAR",INDEX('Conference Counter'!AJ21,0),"")</f>
        <v/>
      </c>
      <c r="Q41" s="268" t="str">
        <f t="array" ref="Q41">IF(N41="LAR",INDEX('More Stats'!N23,0),"")</f>
        <v/>
      </c>
      <c r="R41" s="268" t="str">
        <f t="array" ref="R41">IF(N41="LAR",INDEX('More Stats'!L23,0),"")</f>
        <v/>
      </c>
      <c r="S41" s="268"/>
      <c r="T41" s="268"/>
      <c r="U41" s="268"/>
      <c r="V41" s="285" t="s">
        <v>751</v>
      </c>
      <c r="W41" s="268"/>
      <c r="X41" s="268"/>
      <c r="Y41" s="268"/>
      <c r="Z41" s="268"/>
      <c r="AA41" s="268"/>
      <c r="AB41" s="268"/>
      <c r="AC41" s="268"/>
      <c r="AD41" s="268"/>
      <c r="AE41" s="268"/>
      <c r="AF41" s="268"/>
      <c r="AG41" s="268"/>
      <c r="AH41" s="268"/>
      <c r="AI41" s="268"/>
      <c r="AJ41" s="268"/>
      <c r="AK41" s="268"/>
      <c r="AL41" s="268"/>
      <c r="AM41" s="268"/>
    </row>
    <row r="42">
      <c r="A42" s="268"/>
      <c r="B42" s="268"/>
      <c r="C42" s="268"/>
      <c r="D42" s="268"/>
      <c r="E42" s="268"/>
      <c r="F42" s="268"/>
      <c r="G42" s="268"/>
      <c r="H42" s="268"/>
      <c r="I42" s="268"/>
      <c r="J42" s="268"/>
      <c r="K42" s="268"/>
      <c r="L42" s="268"/>
      <c r="M42" s="268"/>
      <c r="N42" s="268" t="str">
        <f>IF(G18&lt;&gt;"SEA","SEA","")</f>
        <v>SEA</v>
      </c>
      <c r="O42" s="267">
        <f t="array" ref="O42">IF(N42="SEA",INDEX(B24,0),"")</f>
        <v>0.7058823529</v>
      </c>
      <c r="P42" s="281">
        <f t="array" ref="P42">IF(N42="SEA",INDEX('Conference Counter'!AL21,0),"")</f>
        <v>0.75</v>
      </c>
      <c r="Q42" s="282">
        <f t="array" ref="Q42">IF(N42="SEA",INDEX('More Stats'!N24,0),"")</f>
        <v>31</v>
      </c>
      <c r="R42" s="268">
        <f t="array" ref="R42">IF(N42="SEA",INDEX('More Stats'!L24,0),"")</f>
        <v>371</v>
      </c>
      <c r="S42" s="268"/>
      <c r="T42" s="268"/>
      <c r="U42" s="268"/>
      <c r="V42" s="285" t="s">
        <v>734</v>
      </c>
      <c r="W42" s="268"/>
      <c r="X42" s="268"/>
      <c r="Y42" s="268"/>
      <c r="Z42" s="268"/>
      <c r="AA42" s="268"/>
      <c r="AB42" s="268"/>
      <c r="AC42" s="268"/>
      <c r="AD42" s="268"/>
      <c r="AE42" s="268"/>
      <c r="AF42" s="268"/>
      <c r="AG42" s="268"/>
      <c r="AH42" s="268"/>
      <c r="AI42" s="268"/>
      <c r="AJ42" s="268"/>
      <c r="AK42" s="268"/>
      <c r="AL42" s="268"/>
      <c r="AM42" s="268"/>
    </row>
    <row r="43">
      <c r="A43" s="268"/>
      <c r="B43" s="268"/>
      <c r="C43" s="268"/>
      <c r="D43" s="268"/>
      <c r="E43" s="268"/>
      <c r="F43" s="268"/>
      <c r="G43" s="268"/>
      <c r="H43" s="268"/>
      <c r="I43" s="268"/>
      <c r="J43" s="268"/>
      <c r="K43" s="268"/>
      <c r="L43" s="268"/>
      <c r="M43" s="268"/>
      <c r="N43" s="268" t="str">
        <f>IF(G18&lt;&gt;"AZ","AZ","")</f>
        <v>AZ</v>
      </c>
      <c r="O43" s="267">
        <f t="array" ref="O43">IF(N43="AZ",INDEX(B25,0),"")</f>
        <v>0.2941176471</v>
      </c>
      <c r="P43" s="281">
        <f t="array" ref="P43">IF(N43="AZ",INDEX('Conference Counter'!AN21,0),"")</f>
        <v>0.25</v>
      </c>
      <c r="Q43" s="282">
        <f t="array" ref="Q43">IF(N43="AZ",INDEX('More Stats'!N25,0),"")</f>
        <v>-40</v>
      </c>
      <c r="R43" s="268">
        <f t="array" ref="R43">IF(N43="AZ",INDEX('More Stats'!L25,0),"")</f>
        <v>330</v>
      </c>
      <c r="S43" s="268"/>
      <c r="T43" s="268"/>
      <c r="U43" s="268"/>
      <c r="V43" s="285" t="s">
        <v>745</v>
      </c>
      <c r="W43" s="268"/>
      <c r="X43" s="268"/>
      <c r="Y43" s="268"/>
      <c r="Z43" s="268"/>
      <c r="AA43" s="268"/>
      <c r="AB43" s="268"/>
      <c r="AC43" s="268"/>
      <c r="AD43" s="268"/>
      <c r="AE43" s="268"/>
      <c r="AF43" s="268"/>
      <c r="AG43" s="268"/>
      <c r="AH43" s="268"/>
      <c r="AI43" s="268"/>
      <c r="AJ43" s="268"/>
      <c r="AK43" s="268"/>
      <c r="AL43" s="268"/>
      <c r="AM43" s="268"/>
    </row>
    <row r="44">
      <c r="A44" s="268"/>
      <c r="B44" s="268"/>
      <c r="C44" s="268"/>
      <c r="D44" s="268"/>
      <c r="E44" s="268"/>
      <c r="F44" s="268"/>
      <c r="G44" s="268"/>
      <c r="H44" s="268"/>
      <c r="I44" s="268"/>
      <c r="J44" s="268"/>
      <c r="K44" s="268"/>
      <c r="L44" s="268"/>
      <c r="M44" s="268"/>
      <c r="N44" s="268" t="str">
        <f>IF(G19&lt;&gt;"DAL","DAL","")</f>
        <v>DAL</v>
      </c>
      <c r="O44" s="267">
        <f t="array" ref="O44">IF(N44="DAL",INDEX(B27,0),"")</f>
        <v>0.6470588235</v>
      </c>
      <c r="P44" s="281">
        <f t="array" ref="P44">IF(N44="DAL",INDEX('Conference Counter'!AP21,0),"")</f>
        <v>0.6666666667</v>
      </c>
      <c r="Q44" s="282">
        <f t="array" ref="Q44">IF(N44="DAL",INDEX('More Stats'!N27,0),"")</f>
        <v>20</v>
      </c>
      <c r="R44" s="268">
        <f t="array" ref="R44">IF(N44="DAL",INDEX('More Stats'!L27,0),"")</f>
        <v>342</v>
      </c>
      <c r="S44" s="268"/>
      <c r="T44" s="268"/>
      <c r="U44" s="268"/>
      <c r="V44" s="285" t="s">
        <v>736</v>
      </c>
      <c r="W44" s="268"/>
      <c r="X44" s="268"/>
      <c r="Y44" s="268"/>
      <c r="Z44" s="268"/>
      <c r="AA44" s="268"/>
      <c r="AB44" s="268"/>
      <c r="AC44" s="268"/>
      <c r="AD44" s="268"/>
      <c r="AE44" s="268"/>
      <c r="AF44" s="268"/>
      <c r="AG44" s="268"/>
      <c r="AH44" s="268"/>
      <c r="AI44" s="268"/>
      <c r="AJ44" s="268"/>
      <c r="AK44" s="268"/>
      <c r="AL44" s="268"/>
      <c r="AM44" s="268"/>
    </row>
    <row r="45">
      <c r="A45" s="268"/>
      <c r="B45" s="268"/>
      <c r="C45" s="268"/>
      <c r="D45" s="268"/>
      <c r="E45" s="268"/>
      <c r="F45" s="268"/>
      <c r="G45" s="268"/>
      <c r="H45" s="268"/>
      <c r="I45" s="268"/>
      <c r="J45" s="268"/>
      <c r="K45" s="268"/>
      <c r="L45" s="268"/>
      <c r="M45" s="268"/>
      <c r="N45" s="268" t="str">
        <f>IF(G19&lt;&gt;"PHI","PHI","")</f>
        <v/>
      </c>
      <c r="O45" s="268" t="str">
        <f t="array" ref="O45">IF(N45="PHI",INDEX(B28,0),"")</f>
        <v/>
      </c>
      <c r="P45" s="268" t="str">
        <f t="array" ref="P45">IF(N45="PHI",INDEX('Conference Counter'!AR21,0),"")</f>
        <v/>
      </c>
      <c r="Q45" s="268" t="str">
        <f t="array" ref="Q45">IF(N45="PHI",INDEX('More Stats'!N28,0),"")</f>
        <v/>
      </c>
      <c r="R45" s="268" t="str">
        <f t="array" ref="R45">IF(N45="PHI",INDEX('More Stats'!L28,0),"")</f>
        <v/>
      </c>
      <c r="S45" s="268"/>
      <c r="T45" s="268"/>
      <c r="U45" s="268"/>
      <c r="V45" s="285" t="s">
        <v>737</v>
      </c>
      <c r="W45" s="268"/>
      <c r="X45" s="268"/>
      <c r="Y45" s="268"/>
      <c r="Z45" s="268"/>
      <c r="AA45" s="268"/>
      <c r="AB45" s="268"/>
      <c r="AC45" s="268"/>
      <c r="AD45" s="268"/>
      <c r="AE45" s="268"/>
      <c r="AF45" s="268"/>
      <c r="AG45" s="268"/>
      <c r="AH45" s="268"/>
      <c r="AI45" s="268"/>
      <c r="AJ45" s="268"/>
      <c r="AK45" s="268"/>
      <c r="AL45" s="268"/>
      <c r="AM45" s="268"/>
    </row>
    <row r="46">
      <c r="A46" s="268"/>
      <c r="B46" s="268"/>
      <c r="C46" s="268"/>
      <c r="D46" s="268"/>
      <c r="E46" s="268"/>
      <c r="F46" s="268"/>
      <c r="G46" s="268"/>
      <c r="H46" s="268"/>
      <c r="I46" s="268"/>
      <c r="J46" s="268"/>
      <c r="K46" s="268"/>
      <c r="L46" s="268"/>
      <c r="M46" s="268"/>
      <c r="N46" s="268" t="str">
        <f>IF(G19&lt;&gt;"NYG","NYG","")</f>
        <v>NYG</v>
      </c>
      <c r="O46" s="267">
        <f t="array" ref="O46">IF(N46="NYG",INDEX(B29,0),"")</f>
        <v>0.2352941176</v>
      </c>
      <c r="P46" s="281">
        <f t="array" ref="P46">IF(N46="NYG",INDEX('Conference Counter'!AT21,0),"")</f>
        <v>0.08333333333</v>
      </c>
      <c r="Q46" s="282">
        <f t="array" ref="Q46">IF(N46="NYG",INDEX('More Stats'!N29,0),"")</f>
        <v>-37</v>
      </c>
      <c r="R46" s="268">
        <f t="array" ref="R46">IF(N46="NYG",INDEX('More Stats'!L29,0),"")</f>
        <v>298</v>
      </c>
      <c r="S46" s="268"/>
      <c r="T46" s="268"/>
      <c r="U46" s="268"/>
      <c r="V46" s="285" t="s">
        <v>752</v>
      </c>
      <c r="W46" s="268"/>
      <c r="X46" s="268"/>
      <c r="Y46" s="268"/>
      <c r="Z46" s="268"/>
      <c r="AA46" s="268"/>
      <c r="AB46" s="268"/>
      <c r="AC46" s="268"/>
      <c r="AD46" s="268"/>
      <c r="AE46" s="268"/>
      <c r="AF46" s="268"/>
      <c r="AG46" s="268"/>
      <c r="AH46" s="268"/>
      <c r="AI46" s="268"/>
      <c r="AJ46" s="268"/>
      <c r="AK46" s="268"/>
      <c r="AL46" s="268"/>
      <c r="AM46" s="268"/>
    </row>
    <row r="47">
      <c r="A47" s="268"/>
      <c r="B47" s="268"/>
      <c r="C47" s="268"/>
      <c r="D47" s="268"/>
      <c r="E47" s="268"/>
      <c r="F47" s="268"/>
      <c r="G47" s="268"/>
      <c r="H47" s="268"/>
      <c r="I47" s="268"/>
      <c r="J47" s="268"/>
      <c r="K47" s="268"/>
      <c r="L47" s="268"/>
      <c r="M47" s="268"/>
      <c r="N47" s="268" t="str">
        <f>IF(G19&lt;&gt;"WSH","WSH","")</f>
        <v>WSH</v>
      </c>
      <c r="O47" s="267">
        <f t="array" ref="O47">IF(N47="WSH",INDEX(B30,0),"")</f>
        <v>0.3529411765</v>
      </c>
      <c r="P47" s="281">
        <f t="array" ref="P47">IF(N47="WSH",INDEX('Conference Counter'!AV21,0),"")</f>
        <v>0.25</v>
      </c>
      <c r="Q47" s="282">
        <f t="array" ref="Q47">IF(N47="WSH",INDEX('More Stats'!N30,0),"")</f>
        <v>0</v>
      </c>
      <c r="R47" s="268">
        <f t="array" ref="R47">IF(N47="WSH",INDEX('More Stats'!L30,0),"")</f>
        <v>0</v>
      </c>
      <c r="S47" s="268"/>
      <c r="T47" s="268"/>
      <c r="U47" s="268"/>
      <c r="V47" s="285" t="s">
        <v>739</v>
      </c>
      <c r="W47" s="268"/>
      <c r="X47" s="268"/>
      <c r="Y47" s="268"/>
      <c r="Z47" s="268"/>
      <c r="AA47" s="268"/>
      <c r="AB47" s="268"/>
      <c r="AC47" s="268"/>
      <c r="AD47" s="268"/>
      <c r="AE47" s="268"/>
      <c r="AF47" s="268"/>
      <c r="AG47" s="268"/>
      <c r="AH47" s="268"/>
      <c r="AI47" s="268"/>
      <c r="AJ47" s="268"/>
      <c r="AK47" s="268"/>
      <c r="AL47" s="268"/>
      <c r="AM47" s="268"/>
    </row>
    <row r="48">
      <c r="A48" s="268"/>
      <c r="B48" s="268"/>
      <c r="C48" s="268"/>
      <c r="D48" s="268"/>
      <c r="E48" s="268"/>
      <c r="F48" s="268"/>
      <c r="G48" s="268"/>
      <c r="H48" s="268"/>
      <c r="I48" s="268"/>
      <c r="J48" s="268"/>
      <c r="K48" s="268"/>
      <c r="L48" s="268"/>
      <c r="M48" s="268"/>
      <c r="N48" s="268" t="str">
        <f>IF(G20&lt;&gt;"DET","DET","")</f>
        <v/>
      </c>
      <c r="O48" s="268" t="str">
        <f t="array" ref="O48">IF(N48="DET",INDEX(B32,0),"")</f>
        <v/>
      </c>
      <c r="P48" s="268" t="str">
        <f t="array" ref="P48">IF(N48="DET",INDEX('Conference Counter'!AX21,0),"")</f>
        <v/>
      </c>
      <c r="Q48" s="268" t="str">
        <f t="array" ref="Q48">IF(N48="DET",INDEX('More Stats'!N32,0),"")</f>
        <v/>
      </c>
      <c r="R48" s="268" t="str">
        <f t="array" ref="R48">IF(N48="DET",INDEX('More Stats'!L32,0),"")</f>
        <v/>
      </c>
      <c r="S48" s="268"/>
      <c r="T48" s="268"/>
      <c r="U48" s="268"/>
      <c r="V48" s="285"/>
      <c r="W48" s="268"/>
      <c r="X48" s="268"/>
      <c r="Y48" s="268"/>
      <c r="Z48" s="268"/>
      <c r="AA48" s="268"/>
      <c r="AB48" s="268"/>
      <c r="AC48" s="268"/>
      <c r="AD48" s="268"/>
      <c r="AE48" s="268"/>
      <c r="AF48" s="268"/>
      <c r="AG48" s="268"/>
      <c r="AH48" s="268"/>
      <c r="AI48" s="268"/>
      <c r="AJ48" s="268"/>
      <c r="AK48" s="268"/>
      <c r="AL48" s="268"/>
      <c r="AM48" s="268"/>
    </row>
    <row r="49">
      <c r="A49" s="268"/>
      <c r="B49" s="268"/>
      <c r="C49" s="268"/>
      <c r="D49" s="268"/>
      <c r="E49" s="268"/>
      <c r="F49" s="268"/>
      <c r="G49" s="268"/>
      <c r="H49" s="268"/>
      <c r="I49" s="268"/>
      <c r="J49" s="268"/>
      <c r="K49" s="268"/>
      <c r="L49" s="268"/>
      <c r="M49" s="268"/>
      <c r="N49" s="268" t="str">
        <f>IF(G20&lt;&gt;"GB","GB","")</f>
        <v>GB</v>
      </c>
      <c r="O49" s="267">
        <f t="array" ref="O49">IF(N49="GB",INDEX(B33,0),"")</f>
        <v>0.5294117647</v>
      </c>
      <c r="P49" s="281">
        <f t="array" ref="P49">IF(N49="GB",INDEX('Conference Counter'!AZ21,0),"")</f>
        <v>0.5</v>
      </c>
      <c r="Q49" s="282">
        <f t="array" ref="Q49">IF(N49="GB",INDEX('More Stats'!N33,0),"")</f>
        <v>3</v>
      </c>
      <c r="R49" s="268">
        <f t="array" ref="R49">IF(N49="GB",INDEX('More Stats'!L33,0),"")</f>
        <v>357</v>
      </c>
      <c r="S49" s="268"/>
      <c r="T49" s="268"/>
      <c r="U49" s="268"/>
      <c r="V49" s="285"/>
      <c r="W49" s="268"/>
      <c r="X49" s="268"/>
      <c r="Y49" s="268"/>
      <c r="Z49" s="268"/>
      <c r="AA49" s="268"/>
      <c r="AB49" s="268"/>
      <c r="AC49" s="268"/>
      <c r="AD49" s="268"/>
      <c r="AE49" s="268"/>
      <c r="AF49" s="268"/>
      <c r="AG49" s="268"/>
      <c r="AH49" s="268"/>
      <c r="AI49" s="268"/>
      <c r="AJ49" s="268"/>
      <c r="AK49" s="268"/>
      <c r="AL49" s="268"/>
      <c r="AM49" s="268"/>
    </row>
    <row r="50">
      <c r="A50" s="268"/>
      <c r="B50" s="268"/>
      <c r="C50" s="268"/>
      <c r="D50" s="268"/>
      <c r="E50" s="268"/>
      <c r="F50" s="268"/>
      <c r="G50" s="268"/>
      <c r="H50" s="268"/>
      <c r="I50" s="268"/>
      <c r="J50" s="268"/>
      <c r="K50" s="268"/>
      <c r="L50" s="268"/>
      <c r="M50" s="268"/>
      <c r="N50" s="268" t="str">
        <f>IF(G20&lt;&gt;"MIN","MIN","")</f>
        <v>MIN</v>
      </c>
      <c r="O50" s="267">
        <f t="array" ref="O50">IF(N50="MIN",INDEX(B34,0),"")</f>
        <v>0.4705882353</v>
      </c>
      <c r="P50" s="281">
        <f t="array" ref="P50">IF(N50="MIN",INDEX('Conference Counter'!BB21,0),"")</f>
        <v>0.5</v>
      </c>
      <c r="Q50" s="282">
        <f t="array" ref="Q50">IF(N50="MIN",INDEX('More Stats'!N34,0),"")</f>
        <v>-2</v>
      </c>
      <c r="R50" s="268">
        <f t="array" ref="R50">IF(N50="MIN",INDEX('More Stats'!L34,0),"")</f>
        <v>321</v>
      </c>
      <c r="S50" s="268"/>
      <c r="T50" s="268"/>
      <c r="U50" s="268"/>
      <c r="V50" s="278" t="s">
        <v>740</v>
      </c>
      <c r="W50" s="268"/>
      <c r="X50" s="268"/>
      <c r="Y50" s="268"/>
      <c r="Z50" s="268"/>
      <c r="AA50" s="268"/>
      <c r="AB50" s="268"/>
      <c r="AC50" s="268"/>
      <c r="AD50" s="268"/>
      <c r="AE50" s="268"/>
      <c r="AF50" s="268"/>
      <c r="AG50" s="268"/>
      <c r="AH50" s="268"/>
      <c r="AI50" s="268"/>
      <c r="AJ50" s="268"/>
      <c r="AK50" s="268"/>
      <c r="AL50" s="268"/>
      <c r="AM50" s="268"/>
    </row>
    <row r="51">
      <c r="A51" s="268"/>
      <c r="B51" s="268"/>
      <c r="C51" s="268"/>
      <c r="D51" s="268"/>
      <c r="E51" s="268"/>
      <c r="F51" s="268"/>
      <c r="G51" s="268"/>
      <c r="H51" s="268"/>
      <c r="I51" s="268"/>
      <c r="J51" s="268"/>
      <c r="K51" s="268"/>
      <c r="L51" s="268"/>
      <c r="M51" s="268"/>
      <c r="N51" s="268" t="str">
        <f>IF(G20&lt;&gt;"CHI","CHI","")</f>
        <v>CHI</v>
      </c>
      <c r="O51" s="267">
        <f t="array" ref="O51">IF(N51="CHI",INDEX(B35,0),"")</f>
        <v>0.5882352941</v>
      </c>
      <c r="P51" s="281">
        <f t="array" ref="P51">IF(N51="CHI",INDEX('Conference Counter'!BD21,0),"")</f>
        <v>0.75</v>
      </c>
      <c r="Q51" s="282">
        <f t="array" ref="Q51">IF(N51="CHI",INDEX('More Stats'!N35,0),"")</f>
        <v>25</v>
      </c>
      <c r="R51" s="268">
        <f t="array" ref="R51">IF(N51="CHI",INDEX('More Stats'!L35,0),"")</f>
        <v>377</v>
      </c>
      <c r="S51" s="268"/>
      <c r="T51" s="268"/>
      <c r="U51" s="268"/>
      <c r="V51" s="289"/>
      <c r="W51" s="268"/>
      <c r="X51" s="268"/>
      <c r="Y51" s="268"/>
      <c r="Z51" s="268"/>
      <c r="AA51" s="268"/>
      <c r="AB51" s="268"/>
      <c r="AC51" s="268"/>
      <c r="AD51" s="268"/>
      <c r="AE51" s="268"/>
      <c r="AF51" s="268"/>
      <c r="AG51" s="268"/>
      <c r="AH51" s="268"/>
      <c r="AI51" s="268"/>
      <c r="AJ51" s="268"/>
      <c r="AK51" s="268"/>
      <c r="AL51" s="268"/>
      <c r="AM51" s="268"/>
    </row>
    <row r="52">
      <c r="A52" s="268"/>
      <c r="B52" s="268"/>
      <c r="C52" s="268"/>
      <c r="D52" s="268"/>
      <c r="E52" s="268"/>
      <c r="F52" s="268"/>
      <c r="G52" s="268"/>
      <c r="H52" s="268"/>
      <c r="I52" s="268"/>
      <c r="J52" s="268"/>
      <c r="K52" s="268"/>
      <c r="L52" s="268"/>
      <c r="M52" s="268"/>
      <c r="N52" s="268" t="str">
        <f>IF(G21&lt;&gt;"TB","TB","")</f>
        <v>TB</v>
      </c>
      <c r="O52" s="267">
        <f t="array" ref="O52">IF(N52="TB",INDEX(B37,0),"")</f>
        <v>0.4705882353</v>
      </c>
      <c r="P52" s="281">
        <f t="array" ref="P52">IF(N52="TB",INDEX('Conference Counter'!BF21,0),"")</f>
        <v>0.4166666667</v>
      </c>
      <c r="Q52" s="282">
        <f t="array" ref="Q52">IF(N52="TB",INDEX('More Stats'!N37,0),"")</f>
        <v>-9</v>
      </c>
      <c r="R52" s="268">
        <f t="array" ref="R52">IF(N52="TB",INDEX('More Stats'!L37,0),"")</f>
        <v>330</v>
      </c>
      <c r="S52" s="268"/>
      <c r="T52" s="268"/>
      <c r="U52" s="268"/>
      <c r="V52" s="285" t="s">
        <v>753</v>
      </c>
      <c r="W52" s="268"/>
      <c r="X52" s="268"/>
      <c r="Y52" s="268"/>
      <c r="Z52" s="268"/>
      <c r="AA52" s="268"/>
      <c r="AB52" s="268"/>
      <c r="AC52" s="268"/>
      <c r="AD52" s="268"/>
      <c r="AE52" s="268"/>
      <c r="AF52" s="268"/>
      <c r="AG52" s="268"/>
      <c r="AH52" s="268"/>
      <c r="AI52" s="268"/>
      <c r="AJ52" s="268"/>
      <c r="AK52" s="268"/>
      <c r="AL52" s="268"/>
      <c r="AM52" s="268"/>
    </row>
    <row r="53">
      <c r="A53" s="268"/>
      <c r="B53" s="268"/>
      <c r="C53" s="268"/>
      <c r="D53" s="268"/>
      <c r="E53" s="268"/>
      <c r="F53" s="268"/>
      <c r="G53" s="268"/>
      <c r="H53" s="268"/>
      <c r="I53" s="268"/>
      <c r="J53" s="268"/>
      <c r="K53" s="268"/>
      <c r="L53" s="268"/>
      <c r="M53" s="268"/>
      <c r="N53" s="268" t="str">
        <f>IF(G21&lt;&gt;"NO","NO","")</f>
        <v/>
      </c>
      <c r="O53" s="268" t="str">
        <f t="array" ref="O53">IF(N53="NO",INDEX(B38,0),"")</f>
        <v/>
      </c>
      <c r="P53" s="268" t="str">
        <f t="array" ref="P53">IF(N53="NO",INDEX('Conference Counter'!BH21,0),"")</f>
        <v/>
      </c>
      <c r="Q53" s="268" t="str">
        <f t="array" ref="Q53">IF(N53="NO",INDEX('More Stats'!N38,0),"")</f>
        <v/>
      </c>
      <c r="R53" s="268" t="str">
        <f t="array" ref="R53">IF(N53="NO",INDEX('More Stats'!L38,0),"")</f>
        <v/>
      </c>
      <c r="S53" s="268"/>
      <c r="T53" s="268"/>
      <c r="U53" s="268"/>
      <c r="V53" s="285" t="s">
        <v>754</v>
      </c>
      <c r="W53" s="268"/>
      <c r="X53" s="268"/>
      <c r="Y53" s="268"/>
      <c r="Z53" s="268"/>
      <c r="AA53" s="268"/>
      <c r="AB53" s="268"/>
      <c r="AC53" s="268"/>
      <c r="AD53" s="268"/>
      <c r="AE53" s="268"/>
      <c r="AF53" s="268"/>
      <c r="AG53" s="268"/>
      <c r="AH53" s="268"/>
      <c r="AI53" s="268"/>
      <c r="AJ53" s="268"/>
      <c r="AK53" s="268"/>
      <c r="AL53" s="268"/>
      <c r="AM53" s="268"/>
    </row>
    <row r="54">
      <c r="A54" s="268"/>
      <c r="B54" s="268"/>
      <c r="C54" s="268"/>
      <c r="D54" s="268"/>
      <c r="E54" s="268"/>
      <c r="F54" s="268"/>
      <c r="G54" s="268"/>
      <c r="H54" s="268"/>
      <c r="I54" s="268"/>
      <c r="J54" s="268"/>
      <c r="K54" s="268"/>
      <c r="L54" s="268"/>
      <c r="M54" s="268"/>
      <c r="N54" s="268" t="str">
        <f>IF(G21&lt;&gt;"ATL","ATL","")</f>
        <v>ATL</v>
      </c>
      <c r="O54" s="267">
        <f t="array" ref="O54">IF(N54="ATL",INDEX(B39,0),"")</f>
        <v>0.4705882353</v>
      </c>
      <c r="P54" s="281">
        <f t="array" ref="P54">IF(N54="ATL",INDEX('Conference Counter'!BJ21,0),"")</f>
        <v>0.5</v>
      </c>
      <c r="Q54" s="282">
        <f t="array" ref="Q54">IF(N54="ATL",INDEX('More Stats'!N39,0),"")</f>
        <v>-7</v>
      </c>
      <c r="R54" s="268">
        <f t="array" ref="R54">IF(N54="ATL",INDEX('More Stats'!L39,0),"")</f>
        <v>340</v>
      </c>
      <c r="S54" s="268"/>
      <c r="T54" s="268"/>
      <c r="U54" s="268"/>
      <c r="V54" s="285" t="s">
        <v>755</v>
      </c>
      <c r="W54" s="268"/>
      <c r="X54" s="268"/>
      <c r="Y54" s="268"/>
      <c r="Z54" s="268"/>
      <c r="AA54" s="268"/>
      <c r="AB54" s="268"/>
      <c r="AC54" s="268"/>
      <c r="AD54" s="268"/>
      <c r="AE54" s="268"/>
      <c r="AF54" s="268"/>
      <c r="AG54" s="268"/>
      <c r="AH54" s="268"/>
      <c r="AI54" s="268"/>
      <c r="AJ54" s="268"/>
      <c r="AK54" s="268"/>
      <c r="AL54" s="268"/>
      <c r="AM54" s="268"/>
    </row>
    <row r="55">
      <c r="A55" s="268"/>
      <c r="B55" s="268"/>
      <c r="C55" s="268"/>
      <c r="D55" s="268"/>
      <c r="E55" s="268"/>
      <c r="F55" s="268"/>
      <c r="G55" s="268"/>
      <c r="H55" s="268"/>
      <c r="I55" s="268"/>
      <c r="J55" s="268"/>
      <c r="K55" s="268"/>
      <c r="L55" s="268"/>
      <c r="M55" s="268"/>
      <c r="N55" s="268" t="str">
        <f>IF(G21&lt;&gt;"CAR","CAR","")</f>
        <v>CAR</v>
      </c>
      <c r="O55" s="267">
        <f t="array" ref="O55">IF(N55="CAR",INDEX(B40,0),"")</f>
        <v>0.2352941176</v>
      </c>
      <c r="P55" s="281">
        <f t="array" ref="P55">IF(N55="CAR",INDEX('Conference Counter'!BL21,0),"")</f>
        <v>0.08333333333</v>
      </c>
      <c r="Q55" s="282">
        <f t="array" ref="Q55">IF(N55="CAR",INDEX('More Stats'!N40,0),"")</f>
        <v>-32</v>
      </c>
      <c r="R55" s="268">
        <f t="array" ref="R55">IF(N55="CAR",INDEX('More Stats'!L40,0),"")</f>
        <v>300</v>
      </c>
      <c r="S55" s="268"/>
      <c r="T55" s="268"/>
      <c r="U55" s="268"/>
      <c r="V55" s="285" t="s">
        <v>733</v>
      </c>
      <c r="W55" s="268"/>
      <c r="X55" s="268"/>
      <c r="Y55" s="268"/>
      <c r="Z55" s="268"/>
      <c r="AA55" s="268"/>
      <c r="AB55" s="268"/>
      <c r="AC55" s="268"/>
      <c r="AD55" s="268"/>
      <c r="AE55" s="268"/>
      <c r="AF55" s="268"/>
      <c r="AG55" s="268"/>
      <c r="AH55" s="268"/>
      <c r="AI55" s="268"/>
      <c r="AJ55" s="268"/>
      <c r="AK55" s="268"/>
      <c r="AL55" s="268"/>
      <c r="AM55" s="268"/>
    </row>
    <row r="56">
      <c r="A56" s="268"/>
      <c r="B56" s="268"/>
      <c r="C56" s="268"/>
      <c r="D56" s="268"/>
      <c r="E56" s="268"/>
      <c r="F56" s="268"/>
      <c r="G56" s="268"/>
      <c r="H56" s="268"/>
      <c r="I56" s="268"/>
      <c r="J56" s="268"/>
      <c r="K56" s="268"/>
      <c r="L56" s="268"/>
      <c r="M56" s="268"/>
      <c r="N56" s="284"/>
      <c r="O56" s="284"/>
      <c r="P56" s="284"/>
      <c r="Q56" s="284"/>
      <c r="R56" s="284"/>
      <c r="S56" s="268"/>
      <c r="T56" s="268"/>
      <c r="U56" s="268"/>
      <c r="V56" s="285" t="s">
        <v>751</v>
      </c>
      <c r="W56" s="268"/>
      <c r="X56" s="268"/>
      <c r="Y56" s="268"/>
      <c r="Z56" s="268"/>
      <c r="AA56" s="268"/>
      <c r="AB56" s="268"/>
      <c r="AC56" s="268"/>
      <c r="AD56" s="268"/>
      <c r="AE56" s="268"/>
      <c r="AF56" s="268"/>
      <c r="AG56" s="268"/>
      <c r="AH56" s="268"/>
      <c r="AI56" s="268"/>
      <c r="AJ56" s="268"/>
      <c r="AK56" s="268"/>
      <c r="AL56" s="268"/>
      <c r="AM56" s="268"/>
    </row>
    <row r="57">
      <c r="A57" s="268"/>
      <c r="B57" s="268"/>
      <c r="C57" s="268"/>
      <c r="D57" s="268"/>
      <c r="E57" s="268"/>
      <c r="F57" s="268"/>
      <c r="G57" s="268"/>
      <c r="H57" s="268"/>
      <c r="I57" s="268"/>
      <c r="J57" s="268"/>
      <c r="K57" s="268"/>
      <c r="L57" s="268"/>
      <c r="M57" s="268"/>
      <c r="N57" s="268" t="str">
        <f t="array" ref="N57:R72">SORT(N40:R55,2,FALSE,3,FALSE,4,FALSE,5,FALSE)</f>
        <v/>
      </c>
      <c r="O57" s="268" t="s">
        <v>706</v>
      </c>
      <c r="P57" s="268" t="s">
        <v>706</v>
      </c>
      <c r="Q57" s="268" t="s">
        <v>706</v>
      </c>
      <c r="R57" s="268" t="s">
        <v>706</v>
      </c>
      <c r="S57" s="268"/>
      <c r="T57" s="268"/>
      <c r="U57" s="268"/>
      <c r="V57" s="285" t="s">
        <v>734</v>
      </c>
      <c r="W57" s="268"/>
      <c r="X57" s="268"/>
      <c r="Y57" s="268"/>
      <c r="Z57" s="268"/>
      <c r="AA57" s="268"/>
      <c r="AB57" s="268"/>
      <c r="AC57" s="268"/>
      <c r="AD57" s="268"/>
      <c r="AE57" s="268"/>
      <c r="AF57" s="268"/>
      <c r="AG57" s="268"/>
      <c r="AH57" s="268"/>
      <c r="AI57" s="268"/>
      <c r="AJ57" s="268"/>
      <c r="AK57" s="268"/>
      <c r="AL57" s="268"/>
      <c r="AM57" s="268"/>
    </row>
    <row r="58">
      <c r="A58" s="268"/>
      <c r="B58" s="268"/>
      <c r="C58" s="268"/>
      <c r="D58" s="268"/>
      <c r="E58" s="268"/>
      <c r="F58" s="268"/>
      <c r="G58" s="268"/>
      <c r="H58" s="268"/>
      <c r="I58" s="268"/>
      <c r="J58" s="268"/>
      <c r="K58" s="268"/>
      <c r="L58" s="268"/>
      <c r="M58" s="268"/>
      <c r="N58" s="268" t="s">
        <v>706</v>
      </c>
      <c r="O58" s="268" t="s">
        <v>706</v>
      </c>
      <c r="P58" s="268" t="s">
        <v>706</v>
      </c>
      <c r="Q58" s="268" t="s">
        <v>706</v>
      </c>
      <c r="R58" s="268" t="s">
        <v>706</v>
      </c>
      <c r="S58" s="268"/>
      <c r="T58" s="268"/>
      <c r="U58" s="268"/>
      <c r="V58" s="285" t="s">
        <v>745</v>
      </c>
      <c r="W58" s="268"/>
      <c r="X58" s="268"/>
      <c r="Y58" s="268"/>
      <c r="Z58" s="268"/>
      <c r="AA58" s="268"/>
      <c r="AB58" s="268"/>
      <c r="AC58" s="268"/>
      <c r="AD58" s="268"/>
      <c r="AE58" s="268"/>
      <c r="AF58" s="268"/>
      <c r="AG58" s="268"/>
      <c r="AH58" s="268"/>
      <c r="AI58" s="268"/>
      <c r="AJ58" s="268"/>
      <c r="AK58" s="268"/>
      <c r="AL58" s="268"/>
      <c r="AM58" s="268"/>
    </row>
    <row r="59">
      <c r="A59" s="268"/>
      <c r="B59" s="268"/>
      <c r="C59" s="268"/>
      <c r="D59" s="268"/>
      <c r="E59" s="268"/>
      <c r="F59" s="268"/>
      <c r="G59" s="268"/>
      <c r="H59" s="268"/>
      <c r="I59" s="268"/>
      <c r="J59" s="268"/>
      <c r="K59" s="268"/>
      <c r="L59" s="268"/>
      <c r="M59" s="268"/>
      <c r="N59" s="268" t="s">
        <v>706</v>
      </c>
      <c r="O59" s="268" t="s">
        <v>706</v>
      </c>
      <c r="P59" s="268" t="s">
        <v>706</v>
      </c>
      <c r="Q59" s="268" t="s">
        <v>706</v>
      </c>
      <c r="R59" s="268" t="s">
        <v>706</v>
      </c>
      <c r="S59" s="268"/>
      <c r="T59" s="268"/>
      <c r="U59" s="268"/>
      <c r="V59" s="285" t="s">
        <v>736</v>
      </c>
      <c r="W59" s="268"/>
      <c r="X59" s="268"/>
      <c r="Y59" s="268"/>
      <c r="Z59" s="268"/>
      <c r="AA59" s="268"/>
      <c r="AB59" s="268"/>
      <c r="AC59" s="268"/>
      <c r="AD59" s="268"/>
      <c r="AE59" s="268"/>
      <c r="AF59" s="268"/>
      <c r="AG59" s="268"/>
      <c r="AH59" s="268"/>
      <c r="AI59" s="268"/>
      <c r="AJ59" s="268"/>
      <c r="AK59" s="268"/>
      <c r="AL59" s="268"/>
      <c r="AM59" s="268"/>
    </row>
    <row r="60">
      <c r="A60" s="268"/>
      <c r="B60" s="268"/>
      <c r="C60" s="268"/>
      <c r="D60" s="268"/>
      <c r="E60" s="268"/>
      <c r="F60" s="268"/>
      <c r="G60" s="268"/>
      <c r="H60" s="268"/>
      <c r="I60" s="268"/>
      <c r="J60" s="268"/>
      <c r="K60" s="268"/>
      <c r="L60" s="268"/>
      <c r="M60" s="268"/>
      <c r="N60" s="268" t="s">
        <v>706</v>
      </c>
      <c r="O60" s="268" t="s">
        <v>706</v>
      </c>
      <c r="P60" s="268" t="s">
        <v>706</v>
      </c>
      <c r="Q60" s="268" t="s">
        <v>706</v>
      </c>
      <c r="R60" s="268" t="s">
        <v>706</v>
      </c>
      <c r="S60" s="268"/>
      <c r="T60" s="268"/>
      <c r="U60" s="268"/>
      <c r="V60" s="285" t="s">
        <v>737</v>
      </c>
      <c r="W60" s="268"/>
      <c r="X60" s="268"/>
      <c r="Y60" s="268"/>
      <c r="Z60" s="268"/>
      <c r="AA60" s="268"/>
      <c r="AB60" s="268"/>
      <c r="AC60" s="268"/>
      <c r="AD60" s="268"/>
      <c r="AE60" s="268"/>
      <c r="AF60" s="268"/>
      <c r="AG60" s="268"/>
      <c r="AH60" s="268"/>
      <c r="AI60" s="268"/>
      <c r="AJ60" s="268"/>
      <c r="AK60" s="268"/>
      <c r="AL60" s="268"/>
      <c r="AM60" s="268"/>
    </row>
    <row r="61">
      <c r="A61" s="268"/>
      <c r="B61" s="268"/>
      <c r="C61" s="268"/>
      <c r="D61" s="268"/>
      <c r="E61" s="268"/>
      <c r="F61" s="268"/>
      <c r="G61" s="268"/>
      <c r="H61" s="268"/>
      <c r="I61" s="268"/>
      <c r="J61" s="268"/>
      <c r="K61" s="268"/>
      <c r="L61" s="268"/>
      <c r="M61" s="268"/>
      <c r="N61" s="290" t="s">
        <v>109</v>
      </c>
      <c r="O61" s="267">
        <v>0.7058823529411765</v>
      </c>
      <c r="P61" s="281">
        <v>0.75</v>
      </c>
      <c r="Q61" s="282">
        <v>31.0</v>
      </c>
      <c r="R61" s="268">
        <v>371.0</v>
      </c>
      <c r="S61" s="268"/>
      <c r="T61" s="268"/>
      <c r="U61" s="268"/>
      <c r="V61" s="285" t="s">
        <v>752</v>
      </c>
      <c r="W61" s="268"/>
      <c r="X61" s="268"/>
      <c r="Y61" s="268"/>
      <c r="Z61" s="268"/>
      <c r="AA61" s="268"/>
      <c r="AB61" s="268"/>
      <c r="AC61" s="268"/>
      <c r="AD61" s="268"/>
      <c r="AE61" s="268"/>
      <c r="AF61" s="268"/>
      <c r="AG61" s="268"/>
      <c r="AH61" s="268"/>
      <c r="AI61" s="268"/>
      <c r="AJ61" s="268"/>
      <c r="AK61" s="268"/>
      <c r="AL61" s="268"/>
      <c r="AM61" s="268"/>
    </row>
    <row r="62">
      <c r="A62" s="268"/>
      <c r="B62" s="268"/>
      <c r="C62" s="268"/>
      <c r="D62" s="268"/>
      <c r="E62" s="268"/>
      <c r="F62" s="268"/>
      <c r="G62" s="268"/>
      <c r="H62" s="268"/>
      <c r="I62" s="268"/>
      <c r="J62" s="268"/>
      <c r="K62" s="268"/>
      <c r="L62" s="268"/>
      <c r="M62" s="268"/>
      <c r="N62" s="290" t="s">
        <v>118</v>
      </c>
      <c r="O62" s="267">
        <v>0.6470588235294118</v>
      </c>
      <c r="P62" s="281">
        <v>0.6666666666666666</v>
      </c>
      <c r="Q62" s="282">
        <v>20.0</v>
      </c>
      <c r="R62" s="268">
        <v>342.0</v>
      </c>
      <c r="S62" s="268"/>
      <c r="T62" s="268"/>
      <c r="U62" s="268"/>
      <c r="V62" s="285" t="s">
        <v>739</v>
      </c>
      <c r="W62" s="268"/>
      <c r="X62" s="268"/>
      <c r="Y62" s="268"/>
      <c r="Z62" s="268"/>
      <c r="AA62" s="268"/>
      <c r="AB62" s="268"/>
      <c r="AC62" s="268"/>
      <c r="AD62" s="268"/>
      <c r="AE62" s="268"/>
      <c r="AF62" s="268"/>
      <c r="AG62" s="268"/>
      <c r="AH62" s="268"/>
      <c r="AI62" s="268"/>
      <c r="AJ62" s="268"/>
      <c r="AK62" s="268"/>
      <c r="AL62" s="268"/>
      <c r="AM62" s="268"/>
    </row>
    <row r="63">
      <c r="A63" s="268"/>
      <c r="B63" s="268"/>
      <c r="C63" s="268"/>
      <c r="D63" s="268"/>
      <c r="E63" s="268"/>
      <c r="F63" s="268"/>
      <c r="G63" s="268"/>
      <c r="H63" s="268"/>
      <c r="I63" s="268"/>
      <c r="J63" s="268"/>
      <c r="K63" s="268"/>
      <c r="L63" s="268"/>
      <c r="M63" s="268"/>
      <c r="N63" s="290" t="s">
        <v>152</v>
      </c>
      <c r="O63" s="267">
        <v>0.5882352941176471</v>
      </c>
      <c r="P63" s="281">
        <v>0.75</v>
      </c>
      <c r="Q63" s="282">
        <v>25.0</v>
      </c>
      <c r="R63" s="268">
        <v>377.0</v>
      </c>
      <c r="S63" s="268"/>
      <c r="T63" s="268"/>
      <c r="U63" s="268"/>
      <c r="V63" s="285"/>
      <c r="W63" s="268"/>
      <c r="X63" s="268"/>
      <c r="Y63" s="268"/>
      <c r="Z63" s="268"/>
      <c r="AA63" s="268"/>
      <c r="AB63" s="268"/>
      <c r="AC63" s="268"/>
      <c r="AD63" s="268"/>
      <c r="AE63" s="268"/>
      <c r="AF63" s="268"/>
      <c r="AG63" s="268"/>
      <c r="AH63" s="268"/>
      <c r="AI63" s="268"/>
      <c r="AJ63" s="268"/>
      <c r="AK63" s="268"/>
      <c r="AL63" s="268"/>
      <c r="AM63" s="268"/>
    </row>
    <row r="64">
      <c r="A64" s="268"/>
      <c r="B64" s="268"/>
      <c r="C64" s="268"/>
      <c r="D64" s="268"/>
      <c r="E64" s="268"/>
      <c r="F64" s="268"/>
      <c r="G64" s="268"/>
      <c r="H64" s="268"/>
      <c r="I64" s="268"/>
      <c r="J64" s="268"/>
      <c r="K64" s="268"/>
      <c r="L64" s="268"/>
      <c r="M64" s="268"/>
      <c r="N64" s="268" t="s">
        <v>85</v>
      </c>
      <c r="O64" s="267">
        <v>0.5882352941176471</v>
      </c>
      <c r="P64" s="281">
        <v>0.5833333333333334</v>
      </c>
      <c r="Q64" s="282">
        <v>14.0</v>
      </c>
      <c r="R64" s="268">
        <v>333.0</v>
      </c>
      <c r="S64" s="268"/>
      <c r="T64" s="268"/>
      <c r="U64" s="268"/>
      <c r="V64" s="285"/>
      <c r="W64" s="268"/>
      <c r="X64" s="268"/>
      <c r="Y64" s="268"/>
      <c r="Z64" s="268"/>
      <c r="AA64" s="268"/>
      <c r="AB64" s="268"/>
      <c r="AC64" s="268"/>
      <c r="AD64" s="268"/>
      <c r="AE64" s="268"/>
      <c r="AF64" s="268"/>
      <c r="AG64" s="268"/>
      <c r="AH64" s="268"/>
      <c r="AI64" s="268"/>
      <c r="AJ64" s="268"/>
      <c r="AK64" s="268"/>
      <c r="AL64" s="268"/>
      <c r="AM64" s="268"/>
    </row>
    <row r="65">
      <c r="A65" s="268"/>
      <c r="B65" s="268"/>
      <c r="C65" s="268"/>
      <c r="D65" s="268"/>
      <c r="E65" s="268"/>
      <c r="F65" s="268"/>
      <c r="G65" s="268"/>
      <c r="H65" s="268"/>
      <c r="I65" s="268"/>
      <c r="J65" s="268"/>
      <c r="K65" s="268"/>
      <c r="L65" s="268"/>
      <c r="M65" s="268"/>
      <c r="N65" s="268" t="s">
        <v>146</v>
      </c>
      <c r="O65" s="267">
        <v>0.5294117647058824</v>
      </c>
      <c r="P65" s="281">
        <v>0.5</v>
      </c>
      <c r="Q65" s="282">
        <v>3.0</v>
      </c>
      <c r="R65" s="268">
        <v>357.0</v>
      </c>
      <c r="S65" s="268"/>
      <c r="T65" s="268"/>
      <c r="U65" s="268"/>
      <c r="V65" s="289"/>
      <c r="W65" s="268"/>
      <c r="X65" s="268"/>
      <c r="Y65" s="268"/>
      <c r="Z65" s="268"/>
      <c r="AA65" s="268"/>
      <c r="AB65" s="268"/>
      <c r="AC65" s="268"/>
      <c r="AD65" s="268"/>
      <c r="AE65" s="268"/>
      <c r="AF65" s="268"/>
      <c r="AG65" s="268"/>
      <c r="AH65" s="268"/>
      <c r="AI65" s="268"/>
      <c r="AJ65" s="268"/>
      <c r="AK65" s="268"/>
      <c r="AL65" s="268"/>
      <c r="AM65" s="268"/>
    </row>
    <row r="66">
      <c r="A66" s="268"/>
      <c r="B66" s="268"/>
      <c r="C66" s="268"/>
      <c r="D66" s="268"/>
      <c r="E66" s="268"/>
      <c r="F66" s="268"/>
      <c r="G66" s="268"/>
      <c r="H66" s="268"/>
      <c r="I66" s="268"/>
      <c r="J66" s="268"/>
      <c r="K66" s="268"/>
      <c r="L66" s="268"/>
      <c r="M66" s="268"/>
      <c r="N66" s="268" t="s">
        <v>154</v>
      </c>
      <c r="O66" s="267">
        <v>0.47058823529411764</v>
      </c>
      <c r="P66" s="281">
        <v>0.5</v>
      </c>
      <c r="Q66" s="282">
        <v>-2.0</v>
      </c>
      <c r="R66" s="268">
        <v>321.0</v>
      </c>
      <c r="S66" s="268"/>
      <c r="T66" s="268"/>
      <c r="U66" s="268"/>
      <c r="V66" s="285" t="s">
        <v>756</v>
      </c>
      <c r="W66" s="268"/>
      <c r="X66" s="268"/>
      <c r="Y66" s="268"/>
      <c r="Z66" s="268"/>
      <c r="AA66" s="268"/>
      <c r="AB66" s="268"/>
      <c r="AC66" s="268"/>
      <c r="AD66" s="268"/>
      <c r="AE66" s="268"/>
      <c r="AF66" s="268"/>
      <c r="AG66" s="268"/>
      <c r="AH66" s="268"/>
      <c r="AI66" s="268"/>
      <c r="AJ66" s="268"/>
      <c r="AK66" s="268"/>
      <c r="AL66" s="268"/>
      <c r="AM66" s="268"/>
    </row>
    <row r="67">
      <c r="A67" s="268"/>
      <c r="B67" s="268"/>
      <c r="C67" s="268"/>
      <c r="D67" s="268"/>
      <c r="E67" s="268"/>
      <c r="F67" s="268"/>
      <c r="G67" s="268"/>
      <c r="H67" s="268"/>
      <c r="I67" s="268"/>
      <c r="J67" s="268"/>
      <c r="K67" s="268"/>
      <c r="L67" s="268"/>
      <c r="M67" s="268"/>
      <c r="N67" s="268" t="s">
        <v>140</v>
      </c>
      <c r="O67" s="267">
        <v>0.47058823529411764</v>
      </c>
      <c r="P67" s="281">
        <v>0.5</v>
      </c>
      <c r="Q67" s="282">
        <v>-7.0</v>
      </c>
      <c r="R67" s="268">
        <v>340.0</v>
      </c>
      <c r="S67" s="268"/>
      <c r="T67" s="268"/>
      <c r="U67" s="268"/>
      <c r="V67" s="285"/>
      <c r="W67" s="268"/>
      <c r="X67" s="268"/>
      <c r="Y67" s="268"/>
      <c r="Z67" s="268"/>
      <c r="AA67" s="268"/>
      <c r="AB67" s="268"/>
      <c r="AC67" s="268"/>
      <c r="AD67" s="268"/>
      <c r="AE67" s="268"/>
      <c r="AF67" s="268"/>
      <c r="AG67" s="268"/>
      <c r="AH67" s="268"/>
      <c r="AI67" s="268"/>
      <c r="AJ67" s="268"/>
      <c r="AK67" s="268"/>
      <c r="AL67" s="268"/>
      <c r="AM67" s="268"/>
    </row>
    <row r="68">
      <c r="A68" s="268"/>
      <c r="B68" s="268"/>
      <c r="C68" s="268"/>
      <c r="D68" s="268"/>
      <c r="E68" s="268"/>
      <c r="F68" s="268"/>
      <c r="G68" s="268"/>
      <c r="H68" s="268"/>
      <c r="I68" s="268"/>
      <c r="J68" s="268"/>
      <c r="K68" s="268"/>
      <c r="L68" s="268"/>
      <c r="M68" s="268"/>
      <c r="N68" s="268" t="s">
        <v>168</v>
      </c>
      <c r="O68" s="267">
        <v>0.47058823529411764</v>
      </c>
      <c r="P68" s="281">
        <v>0.4166666666666667</v>
      </c>
      <c r="Q68" s="282">
        <v>-9.0</v>
      </c>
      <c r="R68" s="268">
        <v>330.0</v>
      </c>
      <c r="S68" s="268"/>
      <c r="T68" s="268"/>
      <c r="U68" s="268"/>
      <c r="V68" s="285"/>
      <c r="W68" s="268"/>
      <c r="X68" s="268"/>
      <c r="Y68" s="268"/>
      <c r="Z68" s="268"/>
      <c r="AA68" s="268"/>
      <c r="AB68" s="268"/>
      <c r="AC68" s="268"/>
      <c r="AD68" s="268"/>
      <c r="AE68" s="268"/>
      <c r="AF68" s="268"/>
      <c r="AG68" s="268"/>
      <c r="AH68" s="268"/>
      <c r="AI68" s="268"/>
      <c r="AJ68" s="268"/>
      <c r="AK68" s="268"/>
      <c r="AL68" s="268"/>
      <c r="AM68" s="268"/>
    </row>
    <row r="69">
      <c r="A69" s="268"/>
      <c r="B69" s="268"/>
      <c r="C69" s="268"/>
      <c r="D69" s="268"/>
      <c r="E69" s="268"/>
      <c r="F69" s="268"/>
      <c r="G69" s="268"/>
      <c r="H69" s="268"/>
      <c r="I69" s="268"/>
      <c r="J69" s="268"/>
      <c r="K69" s="268"/>
      <c r="L69" s="268"/>
      <c r="M69" s="268"/>
      <c r="N69" s="268" t="s">
        <v>129</v>
      </c>
      <c r="O69" s="267">
        <v>0.35294117647058826</v>
      </c>
      <c r="P69" s="281">
        <v>0.25</v>
      </c>
      <c r="Q69" s="282">
        <v>0.0</v>
      </c>
      <c r="R69" s="268">
        <v>0.0</v>
      </c>
      <c r="S69" s="268"/>
      <c r="T69" s="268"/>
      <c r="U69" s="268"/>
      <c r="V69" s="285"/>
      <c r="W69" s="268"/>
      <c r="X69" s="268"/>
      <c r="Y69" s="268"/>
      <c r="Z69" s="268"/>
      <c r="AA69" s="268"/>
      <c r="AB69" s="268"/>
      <c r="AC69" s="268"/>
      <c r="AD69" s="268"/>
      <c r="AE69" s="268"/>
      <c r="AF69" s="268"/>
      <c r="AG69" s="268"/>
      <c r="AH69" s="268"/>
      <c r="AI69" s="268"/>
      <c r="AJ69" s="268"/>
      <c r="AK69" s="268"/>
      <c r="AL69" s="268"/>
      <c r="AM69" s="268"/>
    </row>
    <row r="70">
      <c r="A70" s="268"/>
      <c r="B70" s="268"/>
      <c r="C70" s="268"/>
      <c r="D70" s="268"/>
      <c r="E70" s="268"/>
      <c r="F70" s="268"/>
      <c r="G70" s="268"/>
      <c r="H70" s="268"/>
      <c r="I70" s="268"/>
      <c r="J70" s="268"/>
      <c r="K70" s="268"/>
      <c r="L70" s="268"/>
      <c r="M70" s="268"/>
      <c r="N70" s="268" t="s">
        <v>117</v>
      </c>
      <c r="O70" s="267">
        <v>0.29411764705882354</v>
      </c>
      <c r="P70" s="281">
        <v>0.25</v>
      </c>
      <c r="Q70" s="282">
        <v>-40.0</v>
      </c>
      <c r="R70" s="268">
        <v>330.0</v>
      </c>
      <c r="S70" s="268"/>
      <c r="T70" s="268"/>
      <c r="U70" s="268"/>
      <c r="V70" s="285"/>
      <c r="W70" s="268"/>
      <c r="X70" s="268"/>
      <c r="Y70" s="268"/>
      <c r="Z70" s="268"/>
      <c r="AA70" s="268"/>
      <c r="AB70" s="268"/>
      <c r="AC70" s="268"/>
      <c r="AD70" s="268"/>
      <c r="AE70" s="268"/>
      <c r="AF70" s="268"/>
      <c r="AG70" s="268"/>
      <c r="AH70" s="268"/>
      <c r="AI70" s="268"/>
      <c r="AJ70" s="268"/>
      <c r="AK70" s="268"/>
      <c r="AL70" s="268"/>
      <c r="AM70" s="268"/>
    </row>
    <row r="71">
      <c r="A71" s="268"/>
      <c r="B71" s="268"/>
      <c r="C71" s="268"/>
      <c r="D71" s="268"/>
      <c r="E71" s="268"/>
      <c r="F71" s="268"/>
      <c r="G71" s="268"/>
      <c r="H71" s="268"/>
      <c r="I71" s="268"/>
      <c r="J71" s="268"/>
      <c r="K71" s="268"/>
      <c r="L71" s="268"/>
      <c r="M71" s="268"/>
      <c r="N71" s="268" t="s">
        <v>184</v>
      </c>
      <c r="O71" s="267">
        <v>0.23529411764705882</v>
      </c>
      <c r="P71" s="281">
        <v>0.08333333333333333</v>
      </c>
      <c r="Q71" s="282">
        <v>-32.0</v>
      </c>
      <c r="R71" s="268">
        <v>300.0</v>
      </c>
      <c r="S71" s="268"/>
      <c r="T71" s="268"/>
      <c r="U71" s="268"/>
      <c r="V71" s="285"/>
      <c r="W71" s="268"/>
      <c r="X71" s="268"/>
      <c r="Y71" s="268"/>
      <c r="Z71" s="268"/>
      <c r="AA71" s="268"/>
      <c r="AB71" s="268"/>
      <c r="AC71" s="268"/>
      <c r="AD71" s="268"/>
      <c r="AE71" s="268"/>
      <c r="AF71" s="268"/>
      <c r="AG71" s="268"/>
      <c r="AH71" s="268"/>
      <c r="AI71" s="268"/>
      <c r="AJ71" s="268"/>
      <c r="AK71" s="268"/>
      <c r="AL71" s="268"/>
      <c r="AM71" s="268"/>
    </row>
    <row r="72">
      <c r="A72" s="268"/>
      <c r="B72" s="268"/>
      <c r="C72" s="268"/>
      <c r="D72" s="268"/>
      <c r="E72" s="268"/>
      <c r="F72" s="268"/>
      <c r="G72" s="268"/>
      <c r="H72" s="268"/>
      <c r="I72" s="268"/>
      <c r="J72" s="268"/>
      <c r="K72" s="268"/>
      <c r="L72" s="268"/>
      <c r="M72" s="268"/>
      <c r="N72" s="268" t="s">
        <v>125</v>
      </c>
      <c r="O72" s="267">
        <v>0.23529411764705882</v>
      </c>
      <c r="P72" s="281">
        <v>0.08333333333333333</v>
      </c>
      <c r="Q72" s="282">
        <v>-37.0</v>
      </c>
      <c r="R72" s="268">
        <v>298.0</v>
      </c>
      <c r="S72" s="268"/>
      <c r="T72" s="268"/>
      <c r="U72" s="268"/>
      <c r="V72" s="285"/>
      <c r="W72" s="268"/>
      <c r="X72" s="268"/>
      <c r="Y72" s="268"/>
      <c r="Z72" s="268"/>
      <c r="AA72" s="268"/>
      <c r="AB72" s="268"/>
      <c r="AC72" s="268"/>
      <c r="AD72" s="268"/>
      <c r="AE72" s="268"/>
      <c r="AF72" s="268"/>
      <c r="AG72" s="268"/>
      <c r="AH72" s="268"/>
      <c r="AI72" s="268"/>
      <c r="AJ72" s="268"/>
      <c r="AK72" s="268"/>
      <c r="AL72" s="268"/>
      <c r="AM72" s="268"/>
    </row>
    <row r="73">
      <c r="A73" s="268"/>
      <c r="B73" s="268"/>
      <c r="C73" s="268"/>
      <c r="D73" s="268"/>
      <c r="E73" s="268"/>
      <c r="F73" s="268"/>
      <c r="G73" s="268"/>
      <c r="H73" s="268"/>
      <c r="I73" s="268"/>
      <c r="J73" s="268"/>
      <c r="K73" s="268"/>
      <c r="L73" s="268"/>
      <c r="M73" s="268"/>
      <c r="N73" s="284"/>
      <c r="O73" s="284"/>
      <c r="P73" s="284"/>
      <c r="Q73" s="284"/>
      <c r="R73" s="284"/>
      <c r="S73" s="268"/>
      <c r="T73" s="268"/>
      <c r="U73" s="268"/>
      <c r="V73" s="285"/>
      <c r="W73" s="268"/>
      <c r="X73" s="268"/>
      <c r="Y73" s="268"/>
      <c r="Z73" s="268"/>
      <c r="AA73" s="268"/>
      <c r="AB73" s="268"/>
      <c r="AC73" s="268"/>
      <c r="AD73" s="268"/>
      <c r="AE73" s="268"/>
      <c r="AF73" s="268"/>
      <c r="AG73" s="268"/>
      <c r="AH73" s="268"/>
      <c r="AI73" s="268"/>
      <c r="AJ73" s="268"/>
      <c r="AK73" s="268"/>
      <c r="AL73" s="268"/>
      <c r="AM73" s="268"/>
    </row>
    <row r="74">
      <c r="A74" s="268"/>
      <c r="B74" s="268"/>
      <c r="C74" s="268"/>
      <c r="D74" s="268"/>
      <c r="E74" s="268"/>
      <c r="F74" s="268"/>
      <c r="G74" s="268"/>
      <c r="H74" s="268"/>
      <c r="I74" s="268"/>
      <c r="J74" s="268"/>
      <c r="K74" s="268"/>
      <c r="L74" s="268"/>
      <c r="M74" s="268"/>
      <c r="N74" s="268"/>
      <c r="O74" s="268"/>
      <c r="P74" s="268"/>
      <c r="Q74" s="268"/>
      <c r="R74" s="268"/>
      <c r="S74" s="268"/>
      <c r="T74" s="268"/>
      <c r="U74" s="268"/>
      <c r="V74" s="285"/>
      <c r="W74" s="268"/>
      <c r="X74" s="268"/>
      <c r="Y74" s="268"/>
      <c r="Z74" s="268"/>
      <c r="AA74" s="268"/>
      <c r="AB74" s="268"/>
      <c r="AC74" s="268"/>
      <c r="AD74" s="268"/>
      <c r="AE74" s="268"/>
      <c r="AF74" s="268"/>
      <c r="AG74" s="268"/>
      <c r="AH74" s="268"/>
      <c r="AI74" s="268"/>
      <c r="AJ74" s="268"/>
      <c r="AK74" s="268"/>
      <c r="AL74" s="268"/>
      <c r="AM74" s="268"/>
    </row>
    <row r="75">
      <c r="A75" s="268"/>
      <c r="B75" s="268"/>
      <c r="C75" s="268"/>
      <c r="D75" s="268"/>
      <c r="E75" s="268"/>
      <c r="F75" s="268"/>
      <c r="G75" s="268"/>
      <c r="H75" s="268"/>
      <c r="I75" s="268"/>
      <c r="J75" s="268"/>
      <c r="K75" s="268"/>
      <c r="L75" s="268"/>
      <c r="M75" s="268"/>
      <c r="N75" s="268"/>
      <c r="O75" s="268"/>
      <c r="P75" s="268"/>
      <c r="Q75" s="268"/>
      <c r="R75" s="268"/>
      <c r="S75" s="268"/>
      <c r="T75" s="268"/>
      <c r="U75" s="268"/>
      <c r="V75" s="285"/>
      <c r="W75" s="268"/>
      <c r="X75" s="268"/>
      <c r="Y75" s="268"/>
      <c r="Z75" s="268"/>
      <c r="AA75" s="268"/>
      <c r="AB75" s="268"/>
      <c r="AC75" s="268"/>
      <c r="AD75" s="268"/>
      <c r="AE75" s="268"/>
      <c r="AF75" s="268"/>
      <c r="AG75" s="268"/>
      <c r="AH75" s="268"/>
      <c r="AI75" s="268"/>
      <c r="AJ75" s="268"/>
      <c r="AK75" s="268"/>
      <c r="AL75" s="268"/>
      <c r="AM75" s="268"/>
    </row>
    <row r="76">
      <c r="A76" s="268"/>
      <c r="B76" s="268"/>
      <c r="C76" s="268"/>
      <c r="D76" s="268"/>
      <c r="E76" s="268"/>
      <c r="F76" s="268"/>
      <c r="G76" s="268"/>
      <c r="H76" s="268"/>
      <c r="I76" s="268"/>
      <c r="J76" s="268"/>
      <c r="K76" s="268"/>
      <c r="L76" s="268"/>
      <c r="M76" s="268"/>
      <c r="N76" s="268"/>
      <c r="O76" s="268"/>
      <c r="P76" s="268"/>
      <c r="Q76" s="268"/>
      <c r="R76" s="268"/>
      <c r="S76" s="268"/>
      <c r="T76" s="268"/>
      <c r="U76" s="268"/>
      <c r="V76" s="285"/>
      <c r="W76" s="268"/>
      <c r="X76" s="268"/>
      <c r="Y76" s="268"/>
      <c r="Z76" s="268"/>
      <c r="AA76" s="268"/>
      <c r="AB76" s="268"/>
      <c r="AC76" s="268"/>
      <c r="AD76" s="268"/>
      <c r="AE76" s="268"/>
      <c r="AF76" s="268"/>
      <c r="AG76" s="268"/>
      <c r="AH76" s="268"/>
      <c r="AI76" s="268"/>
      <c r="AJ76" s="268"/>
      <c r="AK76" s="268"/>
      <c r="AL76" s="268"/>
      <c r="AM76" s="268"/>
    </row>
    <row r="77">
      <c r="A77" s="268"/>
      <c r="B77" s="268"/>
      <c r="C77" s="268"/>
      <c r="D77" s="268"/>
      <c r="E77" s="268"/>
      <c r="F77" s="268"/>
      <c r="G77" s="268"/>
      <c r="H77" s="268"/>
      <c r="I77" s="268"/>
      <c r="J77" s="268"/>
      <c r="K77" s="268"/>
      <c r="L77" s="268"/>
      <c r="M77" s="268"/>
      <c r="N77" s="268"/>
      <c r="O77" s="268"/>
      <c r="P77" s="268"/>
      <c r="Q77" s="268"/>
      <c r="R77" s="268"/>
      <c r="S77" s="268"/>
      <c r="T77" s="268"/>
      <c r="U77" s="268"/>
      <c r="V77" s="285"/>
      <c r="W77" s="268"/>
      <c r="X77" s="268"/>
      <c r="Y77" s="268"/>
      <c r="Z77" s="268"/>
      <c r="AA77" s="268"/>
      <c r="AB77" s="268"/>
      <c r="AC77" s="268"/>
      <c r="AD77" s="268"/>
      <c r="AE77" s="268"/>
      <c r="AF77" s="268"/>
      <c r="AG77" s="268"/>
      <c r="AH77" s="268"/>
      <c r="AI77" s="268"/>
      <c r="AJ77" s="268"/>
      <c r="AK77" s="268"/>
      <c r="AL77" s="268"/>
      <c r="AM77" s="268"/>
    </row>
    <row r="78">
      <c r="A78" s="268"/>
      <c r="B78" s="268"/>
      <c r="C78" s="268"/>
      <c r="D78" s="268"/>
      <c r="E78" s="268"/>
      <c r="F78" s="268"/>
      <c r="G78" s="268"/>
      <c r="H78" s="268"/>
      <c r="I78" s="268"/>
      <c r="J78" s="268"/>
      <c r="K78" s="268"/>
      <c r="L78" s="268"/>
      <c r="M78" s="268"/>
      <c r="N78" s="268"/>
      <c r="O78" s="268"/>
      <c r="P78" s="268"/>
      <c r="Q78" s="268"/>
      <c r="R78" s="268"/>
      <c r="S78" s="268"/>
      <c r="T78" s="268"/>
      <c r="U78" s="268"/>
      <c r="V78" s="285"/>
      <c r="W78" s="268"/>
      <c r="X78" s="268"/>
      <c r="Y78" s="268"/>
      <c r="Z78" s="268"/>
      <c r="AA78" s="268"/>
      <c r="AB78" s="268"/>
      <c r="AC78" s="268"/>
      <c r="AD78" s="268"/>
      <c r="AE78" s="268"/>
      <c r="AF78" s="268"/>
      <c r="AG78" s="268"/>
      <c r="AH78" s="268"/>
      <c r="AI78" s="268"/>
      <c r="AJ78" s="268"/>
      <c r="AK78" s="268"/>
      <c r="AL78" s="268"/>
      <c r="AM78" s="268"/>
    </row>
    <row r="79">
      <c r="A79" s="268"/>
      <c r="B79" s="268"/>
      <c r="C79" s="268"/>
      <c r="D79" s="268"/>
      <c r="E79" s="268"/>
      <c r="F79" s="268"/>
      <c r="G79" s="268"/>
      <c r="H79" s="268"/>
      <c r="I79" s="268"/>
      <c r="J79" s="268"/>
      <c r="K79" s="268"/>
      <c r="L79" s="268"/>
      <c r="M79" s="268"/>
      <c r="N79" s="268"/>
      <c r="O79" s="268"/>
      <c r="P79" s="268"/>
      <c r="Q79" s="268"/>
      <c r="R79" s="268"/>
      <c r="S79" s="268"/>
      <c r="T79" s="268"/>
      <c r="U79" s="268"/>
      <c r="V79" s="285"/>
      <c r="W79" s="268"/>
      <c r="X79" s="268"/>
      <c r="Y79" s="268"/>
      <c r="Z79" s="268"/>
      <c r="AA79" s="268"/>
      <c r="AB79" s="268"/>
      <c r="AC79" s="268"/>
      <c r="AD79" s="268"/>
      <c r="AE79" s="268"/>
      <c r="AF79" s="268"/>
      <c r="AG79" s="268"/>
      <c r="AH79" s="268"/>
      <c r="AI79" s="268"/>
      <c r="AJ79" s="268"/>
      <c r="AK79" s="268"/>
      <c r="AL79" s="268"/>
      <c r="AM79" s="268"/>
    </row>
    <row r="80">
      <c r="A80" s="268"/>
      <c r="B80" s="268"/>
      <c r="C80" s="268"/>
      <c r="D80" s="268"/>
      <c r="E80" s="268"/>
      <c r="F80" s="268"/>
      <c r="G80" s="268"/>
      <c r="H80" s="268"/>
      <c r="I80" s="268"/>
      <c r="J80" s="268"/>
      <c r="K80" s="268"/>
      <c r="L80" s="268"/>
      <c r="M80" s="268"/>
      <c r="N80" s="268"/>
      <c r="O80" s="268"/>
      <c r="P80" s="268"/>
      <c r="Q80" s="268"/>
      <c r="R80" s="268"/>
      <c r="S80" s="268"/>
      <c r="T80" s="268"/>
      <c r="U80" s="268"/>
      <c r="V80" s="285"/>
      <c r="W80" s="268"/>
      <c r="X80" s="268"/>
      <c r="Y80" s="268"/>
      <c r="Z80" s="268"/>
      <c r="AA80" s="268"/>
      <c r="AB80" s="268"/>
      <c r="AC80" s="268"/>
      <c r="AD80" s="268"/>
      <c r="AE80" s="268"/>
      <c r="AF80" s="268"/>
      <c r="AG80" s="268"/>
      <c r="AH80" s="268"/>
      <c r="AI80" s="268"/>
      <c r="AJ80" s="268"/>
      <c r="AK80" s="268"/>
      <c r="AL80" s="268"/>
      <c r="AM80" s="268"/>
    </row>
    <row r="81">
      <c r="A81" s="268"/>
      <c r="B81" s="268"/>
      <c r="C81" s="268"/>
      <c r="D81" s="268"/>
      <c r="E81" s="268"/>
      <c r="F81" s="268"/>
      <c r="G81" s="268"/>
      <c r="H81" s="268"/>
      <c r="I81" s="268"/>
      <c r="J81" s="268"/>
      <c r="K81" s="268"/>
      <c r="L81" s="268"/>
      <c r="M81" s="268"/>
      <c r="N81" s="268"/>
      <c r="O81" s="268"/>
      <c r="P81" s="268"/>
      <c r="Q81" s="268"/>
      <c r="R81" s="268"/>
      <c r="S81" s="268"/>
      <c r="T81" s="268"/>
      <c r="U81" s="268"/>
      <c r="V81" s="285"/>
      <c r="W81" s="268"/>
      <c r="X81" s="268"/>
      <c r="Y81" s="268"/>
      <c r="Z81" s="268"/>
      <c r="AA81" s="268"/>
      <c r="AB81" s="268"/>
      <c r="AC81" s="268"/>
      <c r="AD81" s="268"/>
      <c r="AE81" s="268"/>
      <c r="AF81" s="268"/>
      <c r="AG81" s="268"/>
      <c r="AH81" s="268"/>
      <c r="AI81" s="268"/>
      <c r="AJ81" s="268"/>
      <c r="AK81" s="268"/>
      <c r="AL81" s="268"/>
      <c r="AM81" s="268"/>
    </row>
    <row r="82">
      <c r="A82" s="268"/>
      <c r="B82" s="268"/>
      <c r="C82" s="268"/>
      <c r="D82" s="268"/>
      <c r="E82" s="268"/>
      <c r="F82" s="268"/>
      <c r="G82" s="268"/>
      <c r="H82" s="268"/>
      <c r="I82" s="268"/>
      <c r="J82" s="268"/>
      <c r="K82" s="268"/>
      <c r="L82" s="268"/>
      <c r="M82" s="268"/>
      <c r="N82" s="268"/>
      <c r="O82" s="268"/>
      <c r="P82" s="268"/>
      <c r="Q82" s="268"/>
      <c r="R82" s="268"/>
      <c r="S82" s="268"/>
      <c r="T82" s="268"/>
      <c r="U82" s="268"/>
      <c r="V82" s="285"/>
      <c r="W82" s="268"/>
      <c r="X82" s="268"/>
      <c r="Y82" s="268"/>
      <c r="Z82" s="268"/>
      <c r="AA82" s="268"/>
      <c r="AB82" s="268"/>
      <c r="AC82" s="268"/>
      <c r="AD82" s="268"/>
      <c r="AE82" s="268"/>
      <c r="AF82" s="268"/>
      <c r="AG82" s="268"/>
      <c r="AH82" s="268"/>
      <c r="AI82" s="268"/>
      <c r="AJ82" s="268"/>
      <c r="AK82" s="268"/>
      <c r="AL82" s="268"/>
      <c r="AM82" s="268"/>
    </row>
    <row r="83">
      <c r="A83" s="268"/>
      <c r="B83" s="268"/>
      <c r="C83" s="268"/>
      <c r="D83" s="268"/>
      <c r="E83" s="268"/>
      <c r="F83" s="268"/>
      <c r="G83" s="268"/>
      <c r="H83" s="268"/>
      <c r="I83" s="268"/>
      <c r="J83" s="268"/>
      <c r="K83" s="268"/>
      <c r="L83" s="268"/>
      <c r="M83" s="268"/>
      <c r="N83" s="268"/>
      <c r="O83" s="268"/>
      <c r="P83" s="268"/>
      <c r="Q83" s="268"/>
      <c r="R83" s="268"/>
      <c r="S83" s="268"/>
      <c r="T83" s="268"/>
      <c r="U83" s="268"/>
      <c r="V83" s="285"/>
      <c r="W83" s="268"/>
      <c r="X83" s="268"/>
      <c r="Y83" s="268"/>
      <c r="Z83" s="268"/>
      <c r="AA83" s="268"/>
      <c r="AB83" s="268"/>
      <c r="AC83" s="268"/>
      <c r="AD83" s="268"/>
      <c r="AE83" s="268"/>
      <c r="AF83" s="268"/>
      <c r="AG83" s="268"/>
      <c r="AH83" s="268"/>
      <c r="AI83" s="268"/>
      <c r="AJ83" s="268"/>
      <c r="AK83" s="268"/>
      <c r="AL83" s="268"/>
      <c r="AM83" s="268"/>
    </row>
    <row r="84">
      <c r="A84" s="268"/>
      <c r="B84" s="268"/>
      <c r="C84" s="268"/>
      <c r="D84" s="268"/>
      <c r="E84" s="268"/>
      <c r="F84" s="268"/>
      <c r="G84" s="268"/>
      <c r="H84" s="268"/>
      <c r="I84" s="268"/>
      <c r="J84" s="268"/>
      <c r="K84" s="268"/>
      <c r="L84" s="268"/>
      <c r="M84" s="268"/>
      <c r="N84" s="268"/>
      <c r="O84" s="268"/>
      <c r="P84" s="268"/>
      <c r="Q84" s="268"/>
      <c r="R84" s="268"/>
      <c r="S84" s="268"/>
      <c r="T84" s="268"/>
      <c r="U84" s="268"/>
      <c r="V84" s="285"/>
      <c r="W84" s="268"/>
      <c r="X84" s="268"/>
      <c r="Y84" s="268"/>
      <c r="Z84" s="268"/>
      <c r="AA84" s="268"/>
      <c r="AB84" s="268"/>
      <c r="AC84" s="268"/>
      <c r="AD84" s="268"/>
      <c r="AE84" s="268"/>
      <c r="AF84" s="268"/>
      <c r="AG84" s="268"/>
      <c r="AH84" s="268"/>
      <c r="AI84" s="268"/>
      <c r="AJ84" s="268"/>
      <c r="AK84" s="268"/>
      <c r="AL84" s="268"/>
      <c r="AM84" s="268"/>
    </row>
    <row r="85">
      <c r="A85" s="268"/>
      <c r="B85" s="268"/>
      <c r="C85" s="268"/>
      <c r="D85" s="268"/>
      <c r="E85" s="268"/>
      <c r="F85" s="268"/>
      <c r="G85" s="268"/>
      <c r="H85" s="268"/>
      <c r="I85" s="268"/>
      <c r="J85" s="268"/>
      <c r="K85" s="268"/>
      <c r="L85" s="268"/>
      <c r="M85" s="268"/>
      <c r="N85" s="268"/>
      <c r="O85" s="268"/>
      <c r="P85" s="268"/>
      <c r="Q85" s="268"/>
      <c r="R85" s="268"/>
      <c r="S85" s="268"/>
      <c r="T85" s="268"/>
      <c r="U85" s="268"/>
      <c r="V85" s="285"/>
      <c r="W85" s="268"/>
      <c r="X85" s="268"/>
      <c r="Y85" s="268"/>
      <c r="Z85" s="268"/>
      <c r="AA85" s="268"/>
      <c r="AB85" s="268"/>
      <c r="AC85" s="268"/>
      <c r="AD85" s="268"/>
      <c r="AE85" s="268"/>
      <c r="AF85" s="268"/>
      <c r="AG85" s="268"/>
      <c r="AH85" s="268"/>
      <c r="AI85" s="268"/>
      <c r="AJ85" s="268"/>
      <c r="AK85" s="268"/>
      <c r="AL85" s="268"/>
      <c r="AM85" s="268"/>
    </row>
    <row r="86">
      <c r="A86" s="268"/>
      <c r="B86" s="268"/>
      <c r="C86" s="268"/>
      <c r="D86" s="268"/>
      <c r="E86" s="268"/>
      <c r="F86" s="268"/>
      <c r="G86" s="268"/>
      <c r="H86" s="268"/>
      <c r="I86" s="268"/>
      <c r="J86" s="268"/>
      <c r="K86" s="268"/>
      <c r="L86" s="268"/>
      <c r="M86" s="268"/>
      <c r="N86" s="268"/>
      <c r="O86" s="268"/>
      <c r="P86" s="268"/>
      <c r="Q86" s="268"/>
      <c r="R86" s="268"/>
      <c r="S86" s="268"/>
      <c r="T86" s="268"/>
      <c r="U86" s="268"/>
      <c r="V86" s="285"/>
      <c r="W86" s="268"/>
      <c r="X86" s="268"/>
      <c r="Y86" s="268"/>
      <c r="Z86" s="268"/>
      <c r="AA86" s="268"/>
      <c r="AB86" s="268"/>
      <c r="AC86" s="268"/>
      <c r="AD86" s="268"/>
      <c r="AE86" s="268"/>
      <c r="AF86" s="268"/>
      <c r="AG86" s="268"/>
      <c r="AH86" s="268"/>
      <c r="AI86" s="268"/>
      <c r="AJ86" s="268"/>
      <c r="AK86" s="268"/>
      <c r="AL86" s="268"/>
      <c r="AM86" s="268"/>
    </row>
    <row r="87">
      <c r="A87" s="268"/>
      <c r="B87" s="268"/>
      <c r="C87" s="268"/>
      <c r="D87" s="268"/>
      <c r="E87" s="268"/>
      <c r="F87" s="268"/>
      <c r="G87" s="268"/>
      <c r="H87" s="268"/>
      <c r="I87" s="268"/>
      <c r="J87" s="268"/>
      <c r="K87" s="268"/>
      <c r="L87" s="268"/>
      <c r="M87" s="268"/>
      <c r="N87" s="268"/>
      <c r="O87" s="268"/>
      <c r="P87" s="268"/>
      <c r="Q87" s="268"/>
      <c r="R87" s="268"/>
      <c r="S87" s="268"/>
      <c r="T87" s="268"/>
      <c r="U87" s="268"/>
      <c r="V87" s="285"/>
      <c r="W87" s="268"/>
      <c r="X87" s="268"/>
      <c r="Y87" s="268"/>
      <c r="Z87" s="268"/>
      <c r="AA87" s="268"/>
      <c r="AB87" s="268"/>
      <c r="AC87" s="268"/>
      <c r="AD87" s="268"/>
      <c r="AE87" s="268"/>
      <c r="AF87" s="268"/>
      <c r="AG87" s="268"/>
      <c r="AH87" s="268"/>
      <c r="AI87" s="268"/>
      <c r="AJ87" s="268"/>
      <c r="AK87" s="268"/>
      <c r="AL87" s="268"/>
      <c r="AM87" s="268"/>
    </row>
    <row r="88">
      <c r="A88" s="268"/>
      <c r="B88" s="268"/>
      <c r="C88" s="268"/>
      <c r="D88" s="268"/>
      <c r="E88" s="268"/>
      <c r="F88" s="268"/>
      <c r="G88" s="268"/>
      <c r="H88" s="268"/>
      <c r="I88" s="268"/>
      <c r="J88" s="268"/>
      <c r="K88" s="268"/>
      <c r="L88" s="268"/>
      <c r="M88" s="268"/>
      <c r="N88" s="268"/>
      <c r="O88" s="268"/>
      <c r="P88" s="268"/>
      <c r="Q88" s="268"/>
      <c r="R88" s="268"/>
      <c r="S88" s="268"/>
      <c r="T88" s="268"/>
      <c r="U88" s="268"/>
      <c r="V88" s="285"/>
      <c r="W88" s="268"/>
      <c r="X88" s="268"/>
      <c r="Y88" s="268"/>
      <c r="Z88" s="268"/>
      <c r="AA88" s="268"/>
      <c r="AB88" s="268"/>
      <c r="AC88" s="268"/>
      <c r="AD88" s="268"/>
      <c r="AE88" s="268"/>
      <c r="AF88" s="268"/>
      <c r="AG88" s="268"/>
      <c r="AH88" s="268"/>
      <c r="AI88" s="268"/>
      <c r="AJ88" s="268"/>
      <c r="AK88" s="268"/>
      <c r="AL88" s="268"/>
      <c r="AM88" s="268"/>
    </row>
    <row r="89">
      <c r="A89" s="268"/>
      <c r="B89" s="268"/>
      <c r="C89" s="268"/>
      <c r="D89" s="268"/>
      <c r="E89" s="268"/>
      <c r="F89" s="268"/>
      <c r="G89" s="268"/>
      <c r="H89" s="268"/>
      <c r="I89" s="268"/>
      <c r="J89" s="268"/>
      <c r="K89" s="268"/>
      <c r="L89" s="268"/>
      <c r="M89" s="268"/>
      <c r="N89" s="268"/>
      <c r="O89" s="268"/>
      <c r="P89" s="268"/>
      <c r="Q89" s="268"/>
      <c r="R89" s="268"/>
      <c r="S89" s="268"/>
      <c r="T89" s="268"/>
      <c r="U89" s="268"/>
      <c r="V89" s="285"/>
      <c r="W89" s="268"/>
      <c r="X89" s="268"/>
      <c r="Y89" s="268"/>
      <c r="Z89" s="268"/>
      <c r="AA89" s="268"/>
      <c r="AB89" s="268"/>
      <c r="AC89" s="268"/>
      <c r="AD89" s="268"/>
      <c r="AE89" s="268"/>
      <c r="AF89" s="268"/>
      <c r="AG89" s="268"/>
      <c r="AH89" s="268"/>
      <c r="AI89" s="268"/>
      <c r="AJ89" s="268"/>
      <c r="AK89" s="268"/>
      <c r="AL89" s="268"/>
      <c r="AM89" s="268"/>
    </row>
    <row r="90">
      <c r="A90" s="268"/>
      <c r="B90" s="268"/>
      <c r="C90" s="268"/>
      <c r="D90" s="268"/>
      <c r="E90" s="268"/>
      <c r="F90" s="268"/>
      <c r="G90" s="268"/>
      <c r="H90" s="268"/>
      <c r="I90" s="268"/>
      <c r="J90" s="268"/>
      <c r="K90" s="268"/>
      <c r="L90" s="268"/>
      <c r="M90" s="268"/>
      <c r="N90" s="268"/>
      <c r="O90" s="268"/>
      <c r="P90" s="268"/>
      <c r="Q90" s="268"/>
      <c r="R90" s="268"/>
      <c r="S90" s="268"/>
      <c r="T90" s="268"/>
      <c r="U90" s="268"/>
      <c r="V90" s="285"/>
      <c r="W90" s="268"/>
      <c r="X90" s="268"/>
      <c r="Y90" s="268"/>
      <c r="Z90" s="268"/>
      <c r="AA90" s="268"/>
      <c r="AB90" s="268"/>
      <c r="AC90" s="268"/>
      <c r="AD90" s="268"/>
      <c r="AE90" s="268"/>
      <c r="AF90" s="268"/>
      <c r="AG90" s="268"/>
      <c r="AH90" s="268"/>
      <c r="AI90" s="268"/>
      <c r="AJ90" s="268"/>
      <c r="AK90" s="268"/>
      <c r="AL90" s="268"/>
      <c r="AM90" s="268"/>
    </row>
    <row r="91">
      <c r="A91" s="268"/>
      <c r="B91" s="268"/>
      <c r="C91" s="268"/>
      <c r="D91" s="268"/>
      <c r="E91" s="268"/>
      <c r="F91" s="268"/>
      <c r="G91" s="268"/>
      <c r="H91" s="268"/>
      <c r="I91" s="268"/>
      <c r="J91" s="268"/>
      <c r="K91" s="268"/>
      <c r="L91" s="268"/>
      <c r="M91" s="268"/>
      <c r="N91" s="268"/>
      <c r="O91" s="268"/>
      <c r="P91" s="268"/>
      <c r="Q91" s="268"/>
      <c r="R91" s="268"/>
      <c r="S91" s="268"/>
      <c r="T91" s="268"/>
      <c r="U91" s="268"/>
      <c r="V91" s="285"/>
      <c r="W91" s="268"/>
      <c r="X91" s="268"/>
      <c r="Y91" s="268"/>
      <c r="Z91" s="268"/>
      <c r="AA91" s="268"/>
      <c r="AB91" s="268"/>
      <c r="AC91" s="268"/>
      <c r="AD91" s="268"/>
      <c r="AE91" s="268"/>
      <c r="AF91" s="268"/>
      <c r="AG91" s="268"/>
      <c r="AH91" s="268"/>
      <c r="AI91" s="268"/>
      <c r="AJ91" s="268"/>
      <c r="AK91" s="268"/>
      <c r="AL91" s="268"/>
      <c r="AM91" s="268"/>
    </row>
    <row r="92">
      <c r="A92" s="268"/>
      <c r="B92" s="268"/>
      <c r="C92" s="268"/>
      <c r="D92" s="268"/>
      <c r="E92" s="268"/>
      <c r="F92" s="268"/>
      <c r="G92" s="268"/>
      <c r="H92" s="268"/>
      <c r="I92" s="268"/>
      <c r="J92" s="268"/>
      <c r="K92" s="268"/>
      <c r="L92" s="268"/>
      <c r="M92" s="268"/>
      <c r="N92" s="268"/>
      <c r="O92" s="268"/>
      <c r="P92" s="268"/>
      <c r="Q92" s="268"/>
      <c r="R92" s="268"/>
      <c r="S92" s="268"/>
      <c r="T92" s="268"/>
      <c r="U92" s="268"/>
      <c r="V92" s="285"/>
      <c r="W92" s="268"/>
      <c r="X92" s="268"/>
      <c r="Y92" s="268"/>
      <c r="Z92" s="268"/>
      <c r="AA92" s="268"/>
      <c r="AB92" s="268"/>
      <c r="AC92" s="268"/>
      <c r="AD92" s="268"/>
      <c r="AE92" s="268"/>
      <c r="AF92" s="268"/>
      <c r="AG92" s="268"/>
      <c r="AH92" s="268"/>
      <c r="AI92" s="268"/>
      <c r="AJ92" s="268"/>
      <c r="AK92" s="268"/>
      <c r="AL92" s="268"/>
      <c r="AM92" s="268"/>
    </row>
    <row r="93">
      <c r="A93" s="268"/>
      <c r="B93" s="268"/>
      <c r="C93" s="268"/>
      <c r="D93" s="268"/>
      <c r="E93" s="268"/>
      <c r="F93" s="268"/>
      <c r="G93" s="268"/>
      <c r="H93" s="268"/>
      <c r="I93" s="268"/>
      <c r="J93" s="268"/>
      <c r="K93" s="268"/>
      <c r="L93" s="268"/>
      <c r="M93" s="268"/>
      <c r="N93" s="268"/>
      <c r="O93" s="268"/>
      <c r="P93" s="268"/>
      <c r="Q93" s="268"/>
      <c r="R93" s="268"/>
      <c r="S93" s="268"/>
      <c r="T93" s="268"/>
      <c r="U93" s="268"/>
      <c r="V93" s="285"/>
      <c r="W93" s="268"/>
      <c r="X93" s="268"/>
      <c r="Y93" s="268"/>
      <c r="Z93" s="268"/>
      <c r="AA93" s="268"/>
      <c r="AB93" s="268"/>
      <c r="AC93" s="268"/>
      <c r="AD93" s="268"/>
      <c r="AE93" s="268"/>
      <c r="AF93" s="268"/>
      <c r="AG93" s="268"/>
      <c r="AH93" s="268"/>
      <c r="AI93" s="268"/>
      <c r="AJ93" s="268"/>
      <c r="AK93" s="268"/>
      <c r="AL93" s="268"/>
      <c r="AM93" s="268"/>
    </row>
    <row r="94">
      <c r="A94" s="268"/>
      <c r="B94" s="268"/>
      <c r="C94" s="268"/>
      <c r="D94" s="268"/>
      <c r="E94" s="268"/>
      <c r="F94" s="268"/>
      <c r="G94" s="268"/>
      <c r="H94" s="268"/>
      <c r="I94" s="268"/>
      <c r="J94" s="268"/>
      <c r="K94" s="268"/>
      <c r="L94" s="268"/>
      <c r="M94" s="268"/>
      <c r="N94" s="268"/>
      <c r="O94" s="268"/>
      <c r="P94" s="268"/>
      <c r="Q94" s="268"/>
      <c r="R94" s="268"/>
      <c r="S94" s="268"/>
      <c r="T94" s="268"/>
      <c r="U94" s="268"/>
      <c r="V94" s="285"/>
      <c r="W94" s="268"/>
      <c r="X94" s="268"/>
      <c r="Y94" s="268"/>
      <c r="Z94" s="268"/>
      <c r="AA94" s="268"/>
      <c r="AB94" s="268"/>
      <c r="AC94" s="268"/>
      <c r="AD94" s="268"/>
      <c r="AE94" s="268"/>
      <c r="AF94" s="268"/>
      <c r="AG94" s="268"/>
      <c r="AH94" s="268"/>
      <c r="AI94" s="268"/>
      <c r="AJ94" s="268"/>
      <c r="AK94" s="268"/>
      <c r="AL94" s="268"/>
      <c r="AM94" s="268"/>
    </row>
    <row r="95">
      <c r="A95" s="268"/>
      <c r="B95" s="268"/>
      <c r="C95" s="268"/>
      <c r="D95" s="268"/>
      <c r="E95" s="268"/>
      <c r="F95" s="268"/>
      <c r="G95" s="268"/>
      <c r="H95" s="268"/>
      <c r="I95" s="268"/>
      <c r="J95" s="268"/>
      <c r="K95" s="268"/>
      <c r="L95" s="268"/>
      <c r="M95" s="268"/>
      <c r="N95" s="268"/>
      <c r="O95" s="268"/>
      <c r="P95" s="268"/>
      <c r="Q95" s="268"/>
      <c r="R95" s="268"/>
      <c r="S95" s="268"/>
      <c r="T95" s="268"/>
      <c r="U95" s="268"/>
      <c r="V95" s="285"/>
      <c r="W95" s="268"/>
      <c r="X95" s="268"/>
      <c r="Y95" s="268"/>
      <c r="Z95" s="268"/>
      <c r="AA95" s="268"/>
      <c r="AB95" s="268"/>
      <c r="AC95" s="268"/>
      <c r="AD95" s="268"/>
      <c r="AE95" s="268"/>
      <c r="AF95" s="268"/>
      <c r="AG95" s="268"/>
      <c r="AH95" s="268"/>
      <c r="AI95" s="268"/>
      <c r="AJ95" s="268"/>
      <c r="AK95" s="268"/>
      <c r="AL95" s="268"/>
      <c r="AM95" s="268"/>
    </row>
    <row r="96">
      <c r="A96" s="268"/>
      <c r="B96" s="268"/>
      <c r="C96" s="268"/>
      <c r="D96" s="268"/>
      <c r="E96" s="268"/>
      <c r="F96" s="268"/>
      <c r="G96" s="268"/>
      <c r="H96" s="268"/>
      <c r="I96" s="268"/>
      <c r="J96" s="268"/>
      <c r="K96" s="268"/>
      <c r="L96" s="268"/>
      <c r="M96" s="268"/>
      <c r="N96" s="268"/>
      <c r="O96" s="268"/>
      <c r="P96" s="268"/>
      <c r="Q96" s="268"/>
      <c r="R96" s="268"/>
      <c r="S96" s="268"/>
      <c r="T96" s="268"/>
      <c r="U96" s="268"/>
      <c r="V96" s="285"/>
      <c r="W96" s="268"/>
      <c r="X96" s="268"/>
      <c r="Y96" s="268"/>
      <c r="Z96" s="268"/>
      <c r="AA96" s="268"/>
      <c r="AB96" s="268"/>
      <c r="AC96" s="268"/>
      <c r="AD96" s="268"/>
      <c r="AE96" s="268"/>
      <c r="AF96" s="268"/>
      <c r="AG96" s="268"/>
      <c r="AH96" s="268"/>
      <c r="AI96" s="268"/>
      <c r="AJ96" s="268"/>
      <c r="AK96" s="268"/>
      <c r="AL96" s="268"/>
      <c r="AM96" s="268"/>
    </row>
    <row r="97">
      <c r="A97" s="268"/>
      <c r="B97" s="268"/>
      <c r="C97" s="268"/>
      <c r="D97" s="268"/>
      <c r="E97" s="268"/>
      <c r="F97" s="268"/>
      <c r="G97" s="268"/>
      <c r="H97" s="268"/>
      <c r="I97" s="268"/>
      <c r="J97" s="268"/>
      <c r="K97" s="268"/>
      <c r="L97" s="268"/>
      <c r="M97" s="268"/>
      <c r="N97" s="268"/>
      <c r="O97" s="268"/>
      <c r="P97" s="268"/>
      <c r="Q97" s="268"/>
      <c r="R97" s="268"/>
      <c r="S97" s="268"/>
      <c r="T97" s="268"/>
      <c r="U97" s="268"/>
      <c r="V97" s="285"/>
      <c r="W97" s="268"/>
      <c r="X97" s="268"/>
      <c r="Y97" s="268"/>
      <c r="Z97" s="268"/>
      <c r="AA97" s="268"/>
      <c r="AB97" s="268"/>
      <c r="AC97" s="268"/>
      <c r="AD97" s="268"/>
      <c r="AE97" s="268"/>
      <c r="AF97" s="268"/>
      <c r="AG97" s="268"/>
      <c r="AH97" s="268"/>
      <c r="AI97" s="268"/>
      <c r="AJ97" s="268"/>
      <c r="AK97" s="268"/>
      <c r="AL97" s="268"/>
      <c r="AM97" s="268"/>
    </row>
    <row r="98">
      <c r="A98" s="268"/>
      <c r="B98" s="268"/>
      <c r="C98" s="268"/>
      <c r="D98" s="268"/>
      <c r="E98" s="268"/>
      <c r="F98" s="268"/>
      <c r="G98" s="268"/>
      <c r="H98" s="268"/>
      <c r="I98" s="268"/>
      <c r="J98" s="268"/>
      <c r="K98" s="268"/>
      <c r="L98" s="268"/>
      <c r="M98" s="268"/>
      <c r="N98" s="268"/>
      <c r="O98" s="268"/>
      <c r="P98" s="268"/>
      <c r="Q98" s="268"/>
      <c r="R98" s="268"/>
      <c r="S98" s="268"/>
      <c r="T98" s="268"/>
      <c r="U98" s="268"/>
      <c r="V98" s="285"/>
      <c r="W98" s="268"/>
      <c r="X98" s="268"/>
      <c r="Y98" s="268"/>
      <c r="Z98" s="268"/>
      <c r="AA98" s="268"/>
      <c r="AB98" s="268"/>
      <c r="AC98" s="268"/>
      <c r="AD98" s="268"/>
      <c r="AE98" s="268"/>
      <c r="AF98" s="268"/>
      <c r="AG98" s="268"/>
      <c r="AH98" s="268"/>
      <c r="AI98" s="268"/>
      <c r="AJ98" s="268"/>
      <c r="AK98" s="268"/>
      <c r="AL98" s="268"/>
      <c r="AM98" s="268"/>
    </row>
    <row r="99">
      <c r="A99" s="268"/>
      <c r="B99" s="268"/>
      <c r="C99" s="268"/>
      <c r="D99" s="268"/>
      <c r="E99" s="268"/>
      <c r="F99" s="268"/>
      <c r="G99" s="268"/>
      <c r="H99" s="268"/>
      <c r="I99" s="268"/>
      <c r="J99" s="268"/>
      <c r="K99" s="268"/>
      <c r="L99" s="268"/>
      <c r="M99" s="268"/>
      <c r="N99" s="268"/>
      <c r="O99" s="268"/>
      <c r="P99" s="268"/>
      <c r="Q99" s="268"/>
      <c r="R99" s="268"/>
      <c r="S99" s="268"/>
      <c r="T99" s="268"/>
      <c r="U99" s="268"/>
      <c r="V99" s="285"/>
      <c r="W99" s="268"/>
      <c r="X99" s="268"/>
      <c r="Y99" s="268"/>
      <c r="Z99" s="268"/>
      <c r="AA99" s="268"/>
      <c r="AB99" s="268"/>
      <c r="AC99" s="268"/>
      <c r="AD99" s="268"/>
      <c r="AE99" s="268"/>
      <c r="AF99" s="268"/>
      <c r="AG99" s="268"/>
      <c r="AH99" s="268"/>
      <c r="AI99" s="268"/>
      <c r="AJ99" s="268"/>
      <c r="AK99" s="268"/>
      <c r="AL99" s="268"/>
      <c r="AM99" s="268"/>
    </row>
    <row r="100">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85"/>
      <c r="W100" s="268"/>
      <c r="X100" s="268"/>
      <c r="Y100" s="268"/>
      <c r="Z100" s="268"/>
      <c r="AA100" s="268"/>
      <c r="AB100" s="268"/>
      <c r="AC100" s="268"/>
      <c r="AD100" s="268"/>
      <c r="AE100" s="268"/>
      <c r="AF100" s="268"/>
      <c r="AG100" s="268"/>
      <c r="AH100" s="268"/>
      <c r="AI100" s="268"/>
      <c r="AJ100" s="268"/>
      <c r="AK100" s="268"/>
      <c r="AL100" s="268"/>
      <c r="AM100" s="268"/>
    </row>
    <row r="10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85"/>
      <c r="W101" s="268"/>
      <c r="X101" s="268"/>
      <c r="Y101" s="268"/>
      <c r="Z101" s="268"/>
      <c r="AA101" s="268"/>
      <c r="AB101" s="268"/>
      <c r="AC101" s="268"/>
      <c r="AD101" s="268"/>
      <c r="AE101" s="268"/>
      <c r="AF101" s="268"/>
      <c r="AG101" s="268"/>
      <c r="AH101" s="268"/>
      <c r="AI101" s="268"/>
      <c r="AJ101" s="268"/>
      <c r="AK101" s="268"/>
      <c r="AL101" s="268"/>
      <c r="AM101" s="268"/>
    </row>
    <row r="102">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85"/>
      <c r="W102" s="268"/>
      <c r="X102" s="268"/>
      <c r="Y102" s="268"/>
      <c r="Z102" s="268"/>
      <c r="AA102" s="268"/>
      <c r="AB102" s="268"/>
      <c r="AC102" s="268"/>
      <c r="AD102" s="268"/>
      <c r="AE102" s="268"/>
      <c r="AF102" s="268"/>
      <c r="AG102" s="268"/>
      <c r="AH102" s="268"/>
      <c r="AI102" s="268"/>
      <c r="AJ102" s="268"/>
      <c r="AK102" s="268"/>
      <c r="AL102" s="268"/>
      <c r="AM102" s="268"/>
    </row>
    <row r="103">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85"/>
      <c r="W103" s="268"/>
      <c r="X103" s="268"/>
      <c r="Y103" s="268"/>
      <c r="Z103" s="268"/>
      <c r="AA103" s="268"/>
      <c r="AB103" s="268"/>
      <c r="AC103" s="268"/>
      <c r="AD103" s="268"/>
      <c r="AE103" s="268"/>
      <c r="AF103" s="268"/>
      <c r="AG103" s="268"/>
      <c r="AH103" s="268"/>
      <c r="AI103" s="268"/>
      <c r="AJ103" s="268"/>
      <c r="AK103" s="268"/>
      <c r="AL103" s="268"/>
      <c r="AM103" s="268"/>
    </row>
    <row r="104">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85"/>
      <c r="W104" s="268"/>
      <c r="X104" s="268"/>
      <c r="Y104" s="268"/>
      <c r="Z104" s="268"/>
      <c r="AA104" s="268"/>
      <c r="AB104" s="268"/>
      <c r="AC104" s="268"/>
      <c r="AD104" s="268"/>
      <c r="AE104" s="268"/>
      <c r="AF104" s="268"/>
      <c r="AG104" s="268"/>
      <c r="AH104" s="268"/>
      <c r="AI104" s="268"/>
      <c r="AJ104" s="268"/>
      <c r="AK104" s="268"/>
      <c r="AL104" s="268"/>
      <c r="AM104" s="268"/>
    </row>
    <row r="105">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85"/>
      <c r="W105" s="268"/>
      <c r="X105" s="268"/>
      <c r="Y105" s="268"/>
      <c r="Z105" s="268"/>
      <c r="AA105" s="268"/>
      <c r="AB105" s="268"/>
      <c r="AC105" s="268"/>
      <c r="AD105" s="268"/>
      <c r="AE105" s="268"/>
      <c r="AF105" s="268"/>
      <c r="AG105" s="268"/>
      <c r="AH105" s="268"/>
      <c r="AI105" s="268"/>
      <c r="AJ105" s="268"/>
      <c r="AK105" s="268"/>
      <c r="AL105" s="268"/>
      <c r="AM105" s="268"/>
    </row>
    <row r="106">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85"/>
      <c r="W106" s="268"/>
      <c r="X106" s="268"/>
      <c r="Y106" s="268"/>
      <c r="Z106" s="268"/>
      <c r="AA106" s="268"/>
      <c r="AB106" s="268"/>
      <c r="AC106" s="268"/>
      <c r="AD106" s="268"/>
      <c r="AE106" s="268"/>
      <c r="AF106" s="268"/>
      <c r="AG106" s="268"/>
      <c r="AH106" s="268"/>
      <c r="AI106" s="268"/>
      <c r="AJ106" s="268"/>
      <c r="AK106" s="268"/>
      <c r="AL106" s="268"/>
      <c r="AM106" s="268"/>
    </row>
    <row r="107">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85"/>
      <c r="W107" s="268"/>
      <c r="X107" s="268"/>
      <c r="Y107" s="268"/>
      <c r="Z107" s="268"/>
      <c r="AA107" s="268"/>
      <c r="AB107" s="268"/>
      <c r="AC107" s="268"/>
      <c r="AD107" s="268"/>
      <c r="AE107" s="268"/>
      <c r="AF107" s="268"/>
      <c r="AG107" s="268"/>
      <c r="AH107" s="268"/>
      <c r="AI107" s="268"/>
      <c r="AJ107" s="268"/>
      <c r="AK107" s="268"/>
      <c r="AL107" s="268"/>
      <c r="AM107" s="268"/>
    </row>
    <row r="108">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85"/>
      <c r="W108" s="268"/>
      <c r="X108" s="268"/>
      <c r="Y108" s="268"/>
      <c r="Z108" s="268"/>
      <c r="AA108" s="268"/>
      <c r="AB108" s="268"/>
      <c r="AC108" s="268"/>
      <c r="AD108" s="268"/>
      <c r="AE108" s="268"/>
      <c r="AF108" s="268"/>
      <c r="AG108" s="268"/>
      <c r="AH108" s="268"/>
      <c r="AI108" s="268"/>
      <c r="AJ108" s="268"/>
      <c r="AK108" s="268"/>
      <c r="AL108" s="268"/>
      <c r="AM108" s="268"/>
    </row>
    <row r="10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85"/>
      <c r="W109" s="268"/>
      <c r="X109" s="268"/>
      <c r="Y109" s="268"/>
      <c r="Z109" s="268"/>
      <c r="AA109" s="268"/>
      <c r="AB109" s="268"/>
      <c r="AC109" s="268"/>
      <c r="AD109" s="268"/>
      <c r="AE109" s="268"/>
      <c r="AF109" s="268"/>
      <c r="AG109" s="268"/>
      <c r="AH109" s="268"/>
      <c r="AI109" s="268"/>
      <c r="AJ109" s="268"/>
      <c r="AK109" s="268"/>
      <c r="AL109" s="268"/>
      <c r="AM109" s="268"/>
    </row>
    <row r="110">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85"/>
      <c r="W110" s="268"/>
      <c r="X110" s="268"/>
      <c r="Y110" s="268"/>
      <c r="Z110" s="268"/>
      <c r="AA110" s="268"/>
      <c r="AB110" s="268"/>
      <c r="AC110" s="268"/>
      <c r="AD110" s="268"/>
      <c r="AE110" s="268"/>
      <c r="AF110" s="268"/>
      <c r="AG110" s="268"/>
      <c r="AH110" s="268"/>
      <c r="AI110" s="268"/>
      <c r="AJ110" s="268"/>
      <c r="AK110" s="268"/>
      <c r="AL110" s="268"/>
      <c r="AM110" s="268"/>
    </row>
    <row r="11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85"/>
      <c r="W111" s="268"/>
      <c r="X111" s="268"/>
      <c r="Y111" s="268"/>
      <c r="Z111" s="268"/>
      <c r="AA111" s="268"/>
      <c r="AB111" s="268"/>
      <c r="AC111" s="268"/>
      <c r="AD111" s="268"/>
      <c r="AE111" s="268"/>
      <c r="AF111" s="268"/>
      <c r="AG111" s="268"/>
      <c r="AH111" s="268"/>
      <c r="AI111" s="268"/>
      <c r="AJ111" s="268"/>
      <c r="AK111" s="268"/>
      <c r="AL111" s="268"/>
      <c r="AM111" s="268"/>
    </row>
    <row r="112">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85"/>
      <c r="W112" s="268"/>
      <c r="X112" s="268"/>
      <c r="Y112" s="268"/>
      <c r="Z112" s="268"/>
      <c r="AA112" s="268"/>
      <c r="AB112" s="268"/>
      <c r="AC112" s="268"/>
      <c r="AD112" s="268"/>
      <c r="AE112" s="268"/>
      <c r="AF112" s="268"/>
      <c r="AG112" s="268"/>
      <c r="AH112" s="268"/>
      <c r="AI112" s="268"/>
      <c r="AJ112" s="268"/>
      <c r="AK112" s="268"/>
      <c r="AL112" s="268"/>
      <c r="AM112" s="268"/>
    </row>
    <row r="113">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85"/>
      <c r="W113" s="268"/>
      <c r="X113" s="268"/>
      <c r="Y113" s="268"/>
      <c r="Z113" s="268"/>
      <c r="AA113" s="268"/>
      <c r="AB113" s="268"/>
      <c r="AC113" s="268"/>
      <c r="AD113" s="268"/>
      <c r="AE113" s="268"/>
      <c r="AF113" s="268"/>
      <c r="AG113" s="268"/>
      <c r="AH113" s="268"/>
      <c r="AI113" s="268"/>
      <c r="AJ113" s="268"/>
      <c r="AK113" s="268"/>
      <c r="AL113" s="268"/>
      <c r="AM113" s="268"/>
    </row>
    <row r="114">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85"/>
      <c r="W114" s="268"/>
      <c r="X114" s="268"/>
      <c r="Y114" s="268"/>
      <c r="Z114" s="268"/>
      <c r="AA114" s="268"/>
      <c r="AB114" s="268"/>
      <c r="AC114" s="268"/>
      <c r="AD114" s="268"/>
      <c r="AE114" s="268"/>
      <c r="AF114" s="268"/>
      <c r="AG114" s="268"/>
      <c r="AH114" s="268"/>
      <c r="AI114" s="268"/>
      <c r="AJ114" s="268"/>
      <c r="AK114" s="268"/>
      <c r="AL114" s="268"/>
      <c r="AM114" s="268"/>
    </row>
    <row r="115">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85"/>
      <c r="W115" s="268"/>
      <c r="X115" s="268"/>
      <c r="Y115" s="268"/>
      <c r="Z115" s="268"/>
      <c r="AA115" s="268"/>
      <c r="AB115" s="268"/>
      <c r="AC115" s="268"/>
      <c r="AD115" s="268"/>
      <c r="AE115" s="268"/>
      <c r="AF115" s="268"/>
      <c r="AG115" s="268"/>
      <c r="AH115" s="268"/>
      <c r="AI115" s="268"/>
      <c r="AJ115" s="268"/>
      <c r="AK115" s="268"/>
      <c r="AL115" s="268"/>
      <c r="AM115" s="268"/>
    </row>
    <row r="116">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85"/>
      <c r="W116" s="268"/>
      <c r="X116" s="268"/>
      <c r="Y116" s="268"/>
      <c r="Z116" s="268"/>
      <c r="AA116" s="268"/>
      <c r="AB116" s="268"/>
      <c r="AC116" s="268"/>
      <c r="AD116" s="268"/>
      <c r="AE116" s="268"/>
      <c r="AF116" s="268"/>
      <c r="AG116" s="268"/>
      <c r="AH116" s="268"/>
      <c r="AI116" s="268"/>
      <c r="AJ116" s="268"/>
      <c r="AK116" s="268"/>
      <c r="AL116" s="268"/>
      <c r="AM116" s="268"/>
    </row>
    <row r="117">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85"/>
      <c r="W117" s="268"/>
      <c r="X117" s="268"/>
      <c r="Y117" s="268"/>
      <c r="Z117" s="268"/>
      <c r="AA117" s="268"/>
      <c r="AB117" s="268"/>
      <c r="AC117" s="268"/>
      <c r="AD117" s="268"/>
      <c r="AE117" s="268"/>
      <c r="AF117" s="268"/>
      <c r="AG117" s="268"/>
      <c r="AH117" s="268"/>
      <c r="AI117" s="268"/>
      <c r="AJ117" s="268"/>
      <c r="AK117" s="268"/>
      <c r="AL117" s="268"/>
      <c r="AM117" s="268"/>
    </row>
    <row r="118">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85"/>
      <c r="W118" s="268"/>
      <c r="X118" s="268"/>
      <c r="Y118" s="268"/>
      <c r="Z118" s="268"/>
      <c r="AA118" s="268"/>
      <c r="AB118" s="268"/>
      <c r="AC118" s="268"/>
      <c r="AD118" s="268"/>
      <c r="AE118" s="268"/>
      <c r="AF118" s="268"/>
      <c r="AG118" s="268"/>
      <c r="AH118" s="268"/>
      <c r="AI118" s="268"/>
      <c r="AJ118" s="268"/>
      <c r="AK118" s="268"/>
      <c r="AL118" s="268"/>
      <c r="AM118" s="268"/>
    </row>
    <row r="11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85"/>
      <c r="W119" s="268"/>
      <c r="X119" s="268"/>
      <c r="Y119" s="268"/>
      <c r="Z119" s="268"/>
      <c r="AA119" s="268"/>
      <c r="AB119" s="268"/>
      <c r="AC119" s="268"/>
      <c r="AD119" s="268"/>
      <c r="AE119" s="268"/>
      <c r="AF119" s="268"/>
      <c r="AG119" s="268"/>
      <c r="AH119" s="268"/>
      <c r="AI119" s="268"/>
      <c r="AJ119" s="268"/>
      <c r="AK119" s="268"/>
      <c r="AL119" s="268"/>
      <c r="AM119" s="268"/>
    </row>
    <row r="120">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85"/>
      <c r="W120" s="268"/>
      <c r="X120" s="268"/>
      <c r="Y120" s="268"/>
      <c r="Z120" s="268"/>
      <c r="AA120" s="268"/>
      <c r="AB120" s="268"/>
      <c r="AC120" s="268"/>
      <c r="AD120" s="268"/>
      <c r="AE120" s="268"/>
      <c r="AF120" s="268"/>
      <c r="AG120" s="268"/>
      <c r="AH120" s="268"/>
      <c r="AI120" s="268"/>
      <c r="AJ120" s="268"/>
      <c r="AK120" s="268"/>
      <c r="AL120" s="268"/>
      <c r="AM120" s="268"/>
    </row>
    <row r="12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85"/>
      <c r="W121" s="268"/>
      <c r="X121" s="268"/>
      <c r="Y121" s="268"/>
      <c r="Z121" s="268"/>
      <c r="AA121" s="268"/>
      <c r="AB121" s="268"/>
      <c r="AC121" s="268"/>
      <c r="AD121" s="268"/>
      <c r="AE121" s="268"/>
      <c r="AF121" s="268"/>
      <c r="AG121" s="268"/>
      <c r="AH121" s="268"/>
      <c r="AI121" s="268"/>
      <c r="AJ121" s="268"/>
      <c r="AK121" s="268"/>
      <c r="AL121" s="268"/>
      <c r="AM121" s="268"/>
    </row>
    <row r="122">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85"/>
      <c r="W122" s="268"/>
      <c r="X122" s="268"/>
      <c r="Y122" s="268"/>
      <c r="Z122" s="268"/>
      <c r="AA122" s="268"/>
      <c r="AB122" s="268"/>
      <c r="AC122" s="268"/>
      <c r="AD122" s="268"/>
      <c r="AE122" s="268"/>
      <c r="AF122" s="268"/>
      <c r="AG122" s="268"/>
      <c r="AH122" s="268"/>
      <c r="AI122" s="268"/>
      <c r="AJ122" s="268"/>
      <c r="AK122" s="268"/>
      <c r="AL122" s="268"/>
      <c r="AM122" s="268"/>
    </row>
    <row r="123">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85"/>
      <c r="W123" s="268"/>
      <c r="X123" s="268"/>
      <c r="Y123" s="268"/>
      <c r="Z123" s="268"/>
      <c r="AA123" s="268"/>
      <c r="AB123" s="268"/>
      <c r="AC123" s="268"/>
      <c r="AD123" s="268"/>
      <c r="AE123" s="268"/>
      <c r="AF123" s="268"/>
      <c r="AG123" s="268"/>
      <c r="AH123" s="268"/>
      <c r="AI123" s="268"/>
      <c r="AJ123" s="268"/>
      <c r="AK123" s="268"/>
      <c r="AL123" s="268"/>
      <c r="AM123" s="268"/>
    </row>
    <row r="124">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85"/>
      <c r="W124" s="268"/>
      <c r="X124" s="268"/>
      <c r="Y124" s="268"/>
      <c r="Z124" s="268"/>
      <c r="AA124" s="268"/>
      <c r="AB124" s="268"/>
      <c r="AC124" s="268"/>
      <c r="AD124" s="268"/>
      <c r="AE124" s="268"/>
      <c r="AF124" s="268"/>
      <c r="AG124" s="268"/>
      <c r="AH124" s="268"/>
      <c r="AI124" s="268"/>
      <c r="AJ124" s="268"/>
      <c r="AK124" s="268"/>
      <c r="AL124" s="268"/>
      <c r="AM124" s="268"/>
    </row>
    <row r="125">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85"/>
      <c r="W125" s="268"/>
      <c r="X125" s="268"/>
      <c r="Y125" s="268"/>
      <c r="Z125" s="268"/>
      <c r="AA125" s="268"/>
      <c r="AB125" s="268"/>
      <c r="AC125" s="268"/>
      <c r="AD125" s="268"/>
      <c r="AE125" s="268"/>
      <c r="AF125" s="268"/>
      <c r="AG125" s="268"/>
      <c r="AH125" s="268"/>
      <c r="AI125" s="268"/>
      <c r="AJ125" s="268"/>
      <c r="AK125" s="268"/>
      <c r="AL125" s="268"/>
      <c r="AM125" s="268"/>
    </row>
    <row r="126">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85"/>
      <c r="W126" s="268"/>
      <c r="X126" s="268"/>
      <c r="Y126" s="268"/>
      <c r="Z126" s="268"/>
      <c r="AA126" s="268"/>
      <c r="AB126" s="268"/>
      <c r="AC126" s="268"/>
      <c r="AD126" s="268"/>
      <c r="AE126" s="268"/>
      <c r="AF126" s="268"/>
      <c r="AG126" s="268"/>
      <c r="AH126" s="268"/>
      <c r="AI126" s="268"/>
      <c r="AJ126" s="268"/>
      <c r="AK126" s="268"/>
      <c r="AL126" s="268"/>
      <c r="AM126" s="268"/>
    </row>
    <row r="127">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85"/>
      <c r="W127" s="268"/>
      <c r="X127" s="268"/>
      <c r="Y127" s="268"/>
      <c r="Z127" s="268"/>
      <c r="AA127" s="268"/>
      <c r="AB127" s="268"/>
      <c r="AC127" s="268"/>
      <c r="AD127" s="268"/>
      <c r="AE127" s="268"/>
      <c r="AF127" s="268"/>
      <c r="AG127" s="268"/>
      <c r="AH127" s="268"/>
      <c r="AI127" s="268"/>
      <c r="AJ127" s="268"/>
      <c r="AK127" s="268"/>
      <c r="AL127" s="268"/>
      <c r="AM127" s="268"/>
    </row>
    <row r="128">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85"/>
      <c r="W128" s="268"/>
      <c r="X128" s="268"/>
      <c r="Y128" s="268"/>
      <c r="Z128" s="268"/>
      <c r="AA128" s="268"/>
      <c r="AB128" s="268"/>
      <c r="AC128" s="268"/>
      <c r="AD128" s="268"/>
      <c r="AE128" s="268"/>
      <c r="AF128" s="268"/>
      <c r="AG128" s="268"/>
      <c r="AH128" s="268"/>
      <c r="AI128" s="268"/>
      <c r="AJ128" s="268"/>
      <c r="AK128" s="268"/>
      <c r="AL128" s="268"/>
      <c r="AM128" s="268"/>
    </row>
    <row r="12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85"/>
      <c r="W129" s="268"/>
      <c r="X129" s="268"/>
      <c r="Y129" s="268"/>
      <c r="Z129" s="268"/>
      <c r="AA129" s="268"/>
      <c r="AB129" s="268"/>
      <c r="AC129" s="268"/>
      <c r="AD129" s="268"/>
      <c r="AE129" s="268"/>
      <c r="AF129" s="268"/>
      <c r="AG129" s="268"/>
      <c r="AH129" s="268"/>
      <c r="AI129" s="268"/>
      <c r="AJ129" s="268"/>
      <c r="AK129" s="268"/>
      <c r="AL129" s="268"/>
      <c r="AM129" s="268"/>
    </row>
    <row r="130">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85"/>
      <c r="W130" s="268"/>
      <c r="X130" s="268"/>
      <c r="Y130" s="268"/>
      <c r="Z130" s="268"/>
      <c r="AA130" s="268"/>
      <c r="AB130" s="268"/>
      <c r="AC130" s="268"/>
      <c r="AD130" s="268"/>
      <c r="AE130" s="268"/>
      <c r="AF130" s="268"/>
      <c r="AG130" s="268"/>
      <c r="AH130" s="268"/>
      <c r="AI130" s="268"/>
      <c r="AJ130" s="268"/>
      <c r="AK130" s="268"/>
      <c r="AL130" s="268"/>
      <c r="AM130" s="268"/>
    </row>
    <row r="13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85"/>
      <c r="W131" s="268"/>
      <c r="X131" s="268"/>
      <c r="Y131" s="268"/>
      <c r="Z131" s="268"/>
      <c r="AA131" s="268"/>
      <c r="AB131" s="268"/>
      <c r="AC131" s="268"/>
      <c r="AD131" s="268"/>
      <c r="AE131" s="268"/>
      <c r="AF131" s="268"/>
      <c r="AG131" s="268"/>
      <c r="AH131" s="268"/>
      <c r="AI131" s="268"/>
      <c r="AJ131" s="268"/>
      <c r="AK131" s="268"/>
      <c r="AL131" s="268"/>
      <c r="AM131" s="268"/>
    </row>
    <row r="132">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85"/>
      <c r="W132" s="268"/>
      <c r="X132" s="268"/>
      <c r="Y132" s="268"/>
      <c r="Z132" s="268"/>
      <c r="AA132" s="268"/>
      <c r="AB132" s="268"/>
      <c r="AC132" s="268"/>
      <c r="AD132" s="268"/>
      <c r="AE132" s="268"/>
      <c r="AF132" s="268"/>
      <c r="AG132" s="268"/>
      <c r="AH132" s="268"/>
      <c r="AI132" s="268"/>
      <c r="AJ132" s="268"/>
      <c r="AK132" s="268"/>
      <c r="AL132" s="268"/>
      <c r="AM132" s="268"/>
    </row>
    <row r="133">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85"/>
      <c r="W133" s="268"/>
      <c r="X133" s="268"/>
      <c r="Y133" s="268"/>
      <c r="Z133" s="268"/>
      <c r="AA133" s="268"/>
      <c r="AB133" s="268"/>
      <c r="AC133" s="268"/>
      <c r="AD133" s="268"/>
      <c r="AE133" s="268"/>
      <c r="AF133" s="268"/>
      <c r="AG133" s="268"/>
      <c r="AH133" s="268"/>
      <c r="AI133" s="268"/>
      <c r="AJ133" s="268"/>
      <c r="AK133" s="268"/>
      <c r="AL133" s="268"/>
      <c r="AM133" s="268"/>
    </row>
    <row r="134">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85"/>
      <c r="W134" s="268"/>
      <c r="X134" s="268"/>
      <c r="Y134" s="268"/>
      <c r="Z134" s="268"/>
      <c r="AA134" s="268"/>
      <c r="AB134" s="268"/>
      <c r="AC134" s="268"/>
      <c r="AD134" s="268"/>
      <c r="AE134" s="268"/>
      <c r="AF134" s="268"/>
      <c r="AG134" s="268"/>
      <c r="AH134" s="268"/>
      <c r="AI134" s="268"/>
      <c r="AJ134" s="268"/>
      <c r="AK134" s="268"/>
      <c r="AL134" s="268"/>
      <c r="AM134" s="268"/>
    </row>
    <row r="135">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85"/>
      <c r="W135" s="268"/>
      <c r="X135" s="268"/>
      <c r="Y135" s="268"/>
      <c r="Z135" s="268"/>
      <c r="AA135" s="268"/>
      <c r="AB135" s="268"/>
      <c r="AC135" s="268"/>
      <c r="AD135" s="268"/>
      <c r="AE135" s="268"/>
      <c r="AF135" s="268"/>
      <c r="AG135" s="268"/>
      <c r="AH135" s="268"/>
      <c r="AI135" s="268"/>
      <c r="AJ135" s="268"/>
      <c r="AK135" s="268"/>
      <c r="AL135" s="268"/>
      <c r="AM135" s="268"/>
    </row>
    <row r="136">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85"/>
      <c r="W136" s="268"/>
      <c r="X136" s="268"/>
      <c r="Y136" s="268"/>
      <c r="Z136" s="268"/>
      <c r="AA136" s="268"/>
      <c r="AB136" s="268"/>
      <c r="AC136" s="268"/>
      <c r="AD136" s="268"/>
      <c r="AE136" s="268"/>
      <c r="AF136" s="268"/>
      <c r="AG136" s="268"/>
      <c r="AH136" s="268"/>
      <c r="AI136" s="268"/>
      <c r="AJ136" s="268"/>
      <c r="AK136" s="268"/>
      <c r="AL136" s="268"/>
      <c r="AM136" s="268"/>
    </row>
    <row r="137">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85"/>
      <c r="W137" s="268"/>
      <c r="X137" s="268"/>
      <c r="Y137" s="268"/>
      <c r="Z137" s="268"/>
      <c r="AA137" s="268"/>
      <c r="AB137" s="268"/>
      <c r="AC137" s="268"/>
      <c r="AD137" s="268"/>
      <c r="AE137" s="268"/>
      <c r="AF137" s="268"/>
      <c r="AG137" s="268"/>
      <c r="AH137" s="268"/>
      <c r="AI137" s="268"/>
      <c r="AJ137" s="268"/>
      <c r="AK137" s="268"/>
      <c r="AL137" s="268"/>
      <c r="AM137" s="268"/>
    </row>
    <row r="138">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85"/>
      <c r="W138" s="268"/>
      <c r="X138" s="268"/>
      <c r="Y138" s="268"/>
      <c r="Z138" s="268"/>
      <c r="AA138" s="268"/>
      <c r="AB138" s="268"/>
      <c r="AC138" s="268"/>
      <c r="AD138" s="268"/>
      <c r="AE138" s="268"/>
      <c r="AF138" s="268"/>
      <c r="AG138" s="268"/>
      <c r="AH138" s="268"/>
      <c r="AI138" s="268"/>
      <c r="AJ138" s="268"/>
      <c r="AK138" s="268"/>
      <c r="AL138" s="268"/>
      <c r="AM138" s="268"/>
    </row>
    <row r="13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85"/>
      <c r="W139" s="268"/>
      <c r="X139" s="268"/>
      <c r="Y139" s="268"/>
      <c r="Z139" s="268"/>
      <c r="AA139" s="268"/>
      <c r="AB139" s="268"/>
      <c r="AC139" s="268"/>
      <c r="AD139" s="268"/>
      <c r="AE139" s="268"/>
      <c r="AF139" s="268"/>
      <c r="AG139" s="268"/>
      <c r="AH139" s="268"/>
      <c r="AI139" s="268"/>
      <c r="AJ139" s="268"/>
      <c r="AK139" s="268"/>
      <c r="AL139" s="268"/>
      <c r="AM139" s="268"/>
    </row>
    <row r="14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85"/>
      <c r="W140" s="268"/>
      <c r="X140" s="268"/>
      <c r="Y140" s="268"/>
      <c r="Z140" s="268"/>
      <c r="AA140" s="268"/>
      <c r="AB140" s="268"/>
      <c r="AC140" s="268"/>
      <c r="AD140" s="268"/>
      <c r="AE140" s="268"/>
      <c r="AF140" s="268"/>
      <c r="AG140" s="268"/>
      <c r="AH140" s="268"/>
      <c r="AI140" s="268"/>
      <c r="AJ140" s="268"/>
      <c r="AK140" s="268"/>
      <c r="AL140" s="268"/>
      <c r="AM140" s="268"/>
    </row>
    <row r="14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85"/>
      <c r="W141" s="268"/>
      <c r="X141" s="268"/>
      <c r="Y141" s="268"/>
      <c r="Z141" s="268"/>
      <c r="AA141" s="268"/>
      <c r="AB141" s="268"/>
      <c r="AC141" s="268"/>
      <c r="AD141" s="268"/>
      <c r="AE141" s="268"/>
      <c r="AF141" s="268"/>
      <c r="AG141" s="268"/>
      <c r="AH141" s="268"/>
      <c r="AI141" s="268"/>
      <c r="AJ141" s="268"/>
      <c r="AK141" s="268"/>
      <c r="AL141" s="268"/>
      <c r="AM141" s="268"/>
    </row>
    <row r="142">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85"/>
      <c r="W142" s="268"/>
      <c r="X142" s="268"/>
      <c r="Y142" s="268"/>
      <c r="Z142" s="268"/>
      <c r="AA142" s="268"/>
      <c r="AB142" s="268"/>
      <c r="AC142" s="268"/>
      <c r="AD142" s="268"/>
      <c r="AE142" s="268"/>
      <c r="AF142" s="268"/>
      <c r="AG142" s="268"/>
      <c r="AH142" s="268"/>
      <c r="AI142" s="268"/>
      <c r="AJ142" s="268"/>
      <c r="AK142" s="268"/>
      <c r="AL142" s="268"/>
      <c r="AM142" s="268"/>
    </row>
    <row r="143">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85"/>
      <c r="W143" s="268"/>
      <c r="X143" s="268"/>
      <c r="Y143" s="268"/>
      <c r="Z143" s="268"/>
      <c r="AA143" s="268"/>
      <c r="AB143" s="268"/>
      <c r="AC143" s="268"/>
      <c r="AD143" s="268"/>
      <c r="AE143" s="268"/>
      <c r="AF143" s="268"/>
      <c r="AG143" s="268"/>
      <c r="AH143" s="268"/>
      <c r="AI143" s="268"/>
      <c r="AJ143" s="268"/>
      <c r="AK143" s="268"/>
      <c r="AL143" s="268"/>
      <c r="AM143" s="268"/>
    </row>
    <row r="144">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85"/>
      <c r="W144" s="268"/>
      <c r="X144" s="268"/>
      <c r="Y144" s="268"/>
      <c r="Z144" s="268"/>
      <c r="AA144" s="268"/>
      <c r="AB144" s="268"/>
      <c r="AC144" s="268"/>
      <c r="AD144" s="268"/>
      <c r="AE144" s="268"/>
      <c r="AF144" s="268"/>
      <c r="AG144" s="268"/>
      <c r="AH144" s="268"/>
      <c r="AI144" s="268"/>
      <c r="AJ144" s="268"/>
      <c r="AK144" s="268"/>
      <c r="AL144" s="268"/>
      <c r="AM144" s="268"/>
    </row>
    <row r="145">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85"/>
      <c r="W145" s="268"/>
      <c r="X145" s="268"/>
      <c r="Y145" s="268"/>
      <c r="Z145" s="268"/>
      <c r="AA145" s="268"/>
      <c r="AB145" s="268"/>
      <c r="AC145" s="268"/>
      <c r="AD145" s="268"/>
      <c r="AE145" s="268"/>
      <c r="AF145" s="268"/>
      <c r="AG145" s="268"/>
      <c r="AH145" s="268"/>
      <c r="AI145" s="268"/>
      <c r="AJ145" s="268"/>
      <c r="AK145" s="268"/>
      <c r="AL145" s="268"/>
      <c r="AM145" s="268"/>
    </row>
    <row r="14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85"/>
      <c r="W146" s="268"/>
      <c r="X146" s="268"/>
      <c r="Y146" s="268"/>
      <c r="Z146" s="268"/>
      <c r="AA146" s="268"/>
      <c r="AB146" s="268"/>
      <c r="AC146" s="268"/>
      <c r="AD146" s="268"/>
      <c r="AE146" s="268"/>
      <c r="AF146" s="268"/>
      <c r="AG146" s="268"/>
      <c r="AH146" s="268"/>
      <c r="AI146" s="268"/>
      <c r="AJ146" s="268"/>
      <c r="AK146" s="268"/>
      <c r="AL146" s="268"/>
      <c r="AM146" s="268"/>
    </row>
    <row r="147">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85"/>
      <c r="W147" s="268"/>
      <c r="X147" s="268"/>
      <c r="Y147" s="268"/>
      <c r="Z147" s="268"/>
      <c r="AA147" s="268"/>
      <c r="AB147" s="268"/>
      <c r="AC147" s="268"/>
      <c r="AD147" s="268"/>
      <c r="AE147" s="268"/>
      <c r="AF147" s="268"/>
      <c r="AG147" s="268"/>
      <c r="AH147" s="268"/>
      <c r="AI147" s="268"/>
      <c r="AJ147" s="268"/>
      <c r="AK147" s="268"/>
      <c r="AL147" s="268"/>
      <c r="AM147" s="268"/>
    </row>
    <row r="148">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85"/>
      <c r="W148" s="268"/>
      <c r="X148" s="268"/>
      <c r="Y148" s="268"/>
      <c r="Z148" s="268"/>
      <c r="AA148" s="268"/>
      <c r="AB148" s="268"/>
      <c r="AC148" s="268"/>
      <c r="AD148" s="268"/>
      <c r="AE148" s="268"/>
      <c r="AF148" s="268"/>
      <c r="AG148" s="268"/>
      <c r="AH148" s="268"/>
      <c r="AI148" s="268"/>
      <c r="AJ148" s="268"/>
      <c r="AK148" s="268"/>
      <c r="AL148" s="268"/>
      <c r="AM148" s="268"/>
    </row>
    <row r="14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85"/>
      <c r="W149" s="268"/>
      <c r="X149" s="268"/>
      <c r="Y149" s="268"/>
      <c r="Z149" s="268"/>
      <c r="AA149" s="268"/>
      <c r="AB149" s="268"/>
      <c r="AC149" s="268"/>
      <c r="AD149" s="268"/>
      <c r="AE149" s="268"/>
      <c r="AF149" s="268"/>
      <c r="AG149" s="268"/>
      <c r="AH149" s="268"/>
      <c r="AI149" s="268"/>
      <c r="AJ149" s="268"/>
      <c r="AK149" s="268"/>
      <c r="AL149" s="268"/>
      <c r="AM149" s="268"/>
    </row>
    <row r="150">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85"/>
      <c r="W150" s="268"/>
      <c r="X150" s="268"/>
      <c r="Y150" s="268"/>
      <c r="Z150" s="268"/>
      <c r="AA150" s="268"/>
      <c r="AB150" s="268"/>
      <c r="AC150" s="268"/>
      <c r="AD150" s="268"/>
      <c r="AE150" s="268"/>
      <c r="AF150" s="268"/>
      <c r="AG150" s="268"/>
      <c r="AH150" s="268"/>
      <c r="AI150" s="268"/>
      <c r="AJ150" s="268"/>
      <c r="AK150" s="268"/>
      <c r="AL150" s="268"/>
      <c r="AM150" s="268"/>
    </row>
    <row r="15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85"/>
      <c r="W151" s="268"/>
      <c r="X151" s="268"/>
      <c r="Y151" s="268"/>
      <c r="Z151" s="268"/>
      <c r="AA151" s="268"/>
      <c r="AB151" s="268"/>
      <c r="AC151" s="268"/>
      <c r="AD151" s="268"/>
      <c r="AE151" s="268"/>
      <c r="AF151" s="268"/>
      <c r="AG151" s="268"/>
      <c r="AH151" s="268"/>
      <c r="AI151" s="268"/>
      <c r="AJ151" s="268"/>
      <c r="AK151" s="268"/>
      <c r="AL151" s="268"/>
      <c r="AM151" s="268"/>
    </row>
    <row r="152">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85"/>
      <c r="W152" s="268"/>
      <c r="X152" s="268"/>
      <c r="Y152" s="268"/>
      <c r="Z152" s="268"/>
      <c r="AA152" s="268"/>
      <c r="AB152" s="268"/>
      <c r="AC152" s="268"/>
      <c r="AD152" s="268"/>
      <c r="AE152" s="268"/>
      <c r="AF152" s="268"/>
      <c r="AG152" s="268"/>
      <c r="AH152" s="268"/>
      <c r="AI152" s="268"/>
      <c r="AJ152" s="268"/>
      <c r="AK152" s="268"/>
      <c r="AL152" s="268"/>
      <c r="AM152" s="268"/>
    </row>
    <row r="153">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85"/>
      <c r="W153" s="268"/>
      <c r="X153" s="268"/>
      <c r="Y153" s="268"/>
      <c r="Z153" s="268"/>
      <c r="AA153" s="268"/>
      <c r="AB153" s="268"/>
      <c r="AC153" s="268"/>
      <c r="AD153" s="268"/>
      <c r="AE153" s="268"/>
      <c r="AF153" s="268"/>
      <c r="AG153" s="268"/>
      <c r="AH153" s="268"/>
      <c r="AI153" s="268"/>
      <c r="AJ153" s="268"/>
      <c r="AK153" s="268"/>
      <c r="AL153" s="268"/>
      <c r="AM153" s="268"/>
    </row>
    <row r="154">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85"/>
      <c r="W154" s="268"/>
      <c r="X154" s="268"/>
      <c r="Y154" s="268"/>
      <c r="Z154" s="268"/>
      <c r="AA154" s="268"/>
      <c r="AB154" s="268"/>
      <c r="AC154" s="268"/>
      <c r="AD154" s="268"/>
      <c r="AE154" s="268"/>
      <c r="AF154" s="268"/>
      <c r="AG154" s="268"/>
      <c r="AH154" s="268"/>
      <c r="AI154" s="268"/>
      <c r="AJ154" s="268"/>
      <c r="AK154" s="268"/>
      <c r="AL154" s="268"/>
      <c r="AM154" s="268"/>
    </row>
    <row r="155">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85"/>
      <c r="W155" s="268"/>
      <c r="X155" s="268"/>
      <c r="Y155" s="268"/>
      <c r="Z155" s="268"/>
      <c r="AA155" s="268"/>
      <c r="AB155" s="268"/>
      <c r="AC155" s="268"/>
      <c r="AD155" s="268"/>
      <c r="AE155" s="268"/>
      <c r="AF155" s="268"/>
      <c r="AG155" s="268"/>
      <c r="AH155" s="268"/>
      <c r="AI155" s="268"/>
      <c r="AJ155" s="268"/>
      <c r="AK155" s="268"/>
      <c r="AL155" s="268"/>
      <c r="AM155" s="268"/>
    </row>
    <row r="156">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85"/>
      <c r="W156" s="268"/>
      <c r="X156" s="268"/>
      <c r="Y156" s="268"/>
      <c r="Z156" s="268"/>
      <c r="AA156" s="268"/>
      <c r="AB156" s="268"/>
      <c r="AC156" s="268"/>
      <c r="AD156" s="268"/>
      <c r="AE156" s="268"/>
      <c r="AF156" s="268"/>
      <c r="AG156" s="268"/>
      <c r="AH156" s="268"/>
      <c r="AI156" s="268"/>
      <c r="AJ156" s="268"/>
      <c r="AK156" s="268"/>
      <c r="AL156" s="268"/>
      <c r="AM156" s="268"/>
    </row>
    <row r="157">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85"/>
      <c r="W157" s="268"/>
      <c r="X157" s="268"/>
      <c r="Y157" s="268"/>
      <c r="Z157" s="268"/>
      <c r="AA157" s="268"/>
      <c r="AB157" s="268"/>
      <c r="AC157" s="268"/>
      <c r="AD157" s="268"/>
      <c r="AE157" s="268"/>
      <c r="AF157" s="268"/>
      <c r="AG157" s="268"/>
      <c r="AH157" s="268"/>
      <c r="AI157" s="268"/>
      <c r="AJ157" s="268"/>
      <c r="AK157" s="268"/>
      <c r="AL157" s="268"/>
      <c r="AM157" s="268"/>
    </row>
    <row r="158">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85"/>
      <c r="W158" s="268"/>
      <c r="X158" s="268"/>
      <c r="Y158" s="268"/>
      <c r="Z158" s="268"/>
      <c r="AA158" s="268"/>
      <c r="AB158" s="268"/>
      <c r="AC158" s="268"/>
      <c r="AD158" s="268"/>
      <c r="AE158" s="268"/>
      <c r="AF158" s="268"/>
      <c r="AG158" s="268"/>
      <c r="AH158" s="268"/>
      <c r="AI158" s="268"/>
      <c r="AJ158" s="268"/>
      <c r="AK158" s="268"/>
      <c r="AL158" s="268"/>
      <c r="AM158" s="268"/>
    </row>
    <row r="15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85"/>
      <c r="W159" s="268"/>
      <c r="X159" s="268"/>
      <c r="Y159" s="268"/>
      <c r="Z159" s="268"/>
      <c r="AA159" s="268"/>
      <c r="AB159" s="268"/>
      <c r="AC159" s="268"/>
      <c r="AD159" s="268"/>
      <c r="AE159" s="268"/>
      <c r="AF159" s="268"/>
      <c r="AG159" s="268"/>
      <c r="AH159" s="268"/>
      <c r="AI159" s="268"/>
      <c r="AJ159" s="268"/>
      <c r="AK159" s="268"/>
      <c r="AL159" s="268"/>
      <c r="AM159" s="268"/>
    </row>
    <row r="160">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85"/>
      <c r="W160" s="268"/>
      <c r="X160" s="268"/>
      <c r="Y160" s="268"/>
      <c r="Z160" s="268"/>
      <c r="AA160" s="268"/>
      <c r="AB160" s="268"/>
      <c r="AC160" s="268"/>
      <c r="AD160" s="268"/>
      <c r="AE160" s="268"/>
      <c r="AF160" s="268"/>
      <c r="AG160" s="268"/>
      <c r="AH160" s="268"/>
      <c r="AI160" s="268"/>
      <c r="AJ160" s="268"/>
      <c r="AK160" s="268"/>
      <c r="AL160" s="268"/>
      <c r="AM160" s="268"/>
    </row>
    <row r="16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85"/>
      <c r="W161" s="268"/>
      <c r="X161" s="268"/>
      <c r="Y161" s="268"/>
      <c r="Z161" s="268"/>
      <c r="AA161" s="268"/>
      <c r="AB161" s="268"/>
      <c r="AC161" s="268"/>
      <c r="AD161" s="268"/>
      <c r="AE161" s="268"/>
      <c r="AF161" s="268"/>
      <c r="AG161" s="268"/>
      <c r="AH161" s="268"/>
      <c r="AI161" s="268"/>
      <c r="AJ161" s="268"/>
      <c r="AK161" s="268"/>
      <c r="AL161" s="268"/>
      <c r="AM161" s="268"/>
    </row>
    <row r="162">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85"/>
      <c r="W162" s="268"/>
      <c r="X162" s="268"/>
      <c r="Y162" s="268"/>
      <c r="Z162" s="268"/>
      <c r="AA162" s="268"/>
      <c r="AB162" s="268"/>
      <c r="AC162" s="268"/>
      <c r="AD162" s="268"/>
      <c r="AE162" s="268"/>
      <c r="AF162" s="268"/>
      <c r="AG162" s="268"/>
      <c r="AH162" s="268"/>
      <c r="AI162" s="268"/>
      <c r="AJ162" s="268"/>
      <c r="AK162" s="268"/>
      <c r="AL162" s="268"/>
      <c r="AM162" s="268"/>
    </row>
    <row r="163">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85"/>
      <c r="W163" s="268"/>
      <c r="X163" s="268"/>
      <c r="Y163" s="268"/>
      <c r="Z163" s="268"/>
      <c r="AA163" s="268"/>
      <c r="AB163" s="268"/>
      <c r="AC163" s="268"/>
      <c r="AD163" s="268"/>
      <c r="AE163" s="268"/>
      <c r="AF163" s="268"/>
      <c r="AG163" s="268"/>
      <c r="AH163" s="268"/>
      <c r="AI163" s="268"/>
      <c r="AJ163" s="268"/>
      <c r="AK163" s="268"/>
      <c r="AL163" s="268"/>
      <c r="AM163" s="268"/>
    </row>
    <row r="164">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85"/>
      <c r="W164" s="268"/>
      <c r="X164" s="268"/>
      <c r="Y164" s="268"/>
      <c r="Z164" s="268"/>
      <c r="AA164" s="268"/>
      <c r="AB164" s="268"/>
      <c r="AC164" s="268"/>
      <c r="AD164" s="268"/>
      <c r="AE164" s="268"/>
      <c r="AF164" s="268"/>
      <c r="AG164" s="268"/>
      <c r="AH164" s="268"/>
      <c r="AI164" s="268"/>
      <c r="AJ164" s="268"/>
      <c r="AK164" s="268"/>
      <c r="AL164" s="268"/>
      <c r="AM164" s="268"/>
    </row>
    <row r="165">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85"/>
      <c r="W165" s="268"/>
      <c r="X165" s="268"/>
      <c r="Y165" s="268"/>
      <c r="Z165" s="268"/>
      <c r="AA165" s="268"/>
      <c r="AB165" s="268"/>
      <c r="AC165" s="268"/>
      <c r="AD165" s="268"/>
      <c r="AE165" s="268"/>
      <c r="AF165" s="268"/>
      <c r="AG165" s="268"/>
      <c r="AH165" s="268"/>
      <c r="AI165" s="268"/>
      <c r="AJ165" s="268"/>
      <c r="AK165" s="268"/>
      <c r="AL165" s="268"/>
      <c r="AM165" s="268"/>
    </row>
    <row r="166">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85"/>
      <c r="W166" s="268"/>
      <c r="X166" s="268"/>
      <c r="Y166" s="268"/>
      <c r="Z166" s="268"/>
      <c r="AA166" s="268"/>
      <c r="AB166" s="268"/>
      <c r="AC166" s="268"/>
      <c r="AD166" s="268"/>
      <c r="AE166" s="268"/>
      <c r="AF166" s="268"/>
      <c r="AG166" s="268"/>
      <c r="AH166" s="268"/>
      <c r="AI166" s="268"/>
      <c r="AJ166" s="268"/>
      <c r="AK166" s="268"/>
      <c r="AL166" s="268"/>
      <c r="AM166" s="268"/>
    </row>
    <row r="167">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85"/>
      <c r="W167" s="268"/>
      <c r="X167" s="268"/>
      <c r="Y167" s="268"/>
      <c r="Z167" s="268"/>
      <c r="AA167" s="268"/>
      <c r="AB167" s="268"/>
      <c r="AC167" s="268"/>
      <c r="AD167" s="268"/>
      <c r="AE167" s="268"/>
      <c r="AF167" s="268"/>
      <c r="AG167" s="268"/>
      <c r="AH167" s="268"/>
      <c r="AI167" s="268"/>
      <c r="AJ167" s="268"/>
      <c r="AK167" s="268"/>
      <c r="AL167" s="268"/>
      <c r="AM167" s="268"/>
    </row>
    <row r="168">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85"/>
      <c r="W168" s="268"/>
      <c r="X168" s="268"/>
      <c r="Y168" s="268"/>
      <c r="Z168" s="268"/>
      <c r="AA168" s="268"/>
      <c r="AB168" s="268"/>
      <c r="AC168" s="268"/>
      <c r="AD168" s="268"/>
      <c r="AE168" s="268"/>
      <c r="AF168" s="268"/>
      <c r="AG168" s="268"/>
      <c r="AH168" s="268"/>
      <c r="AI168" s="268"/>
      <c r="AJ168" s="268"/>
      <c r="AK168" s="268"/>
      <c r="AL168" s="268"/>
      <c r="AM168" s="268"/>
    </row>
    <row r="16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85"/>
      <c r="W169" s="268"/>
      <c r="X169" s="268"/>
      <c r="Y169" s="268"/>
      <c r="Z169" s="268"/>
      <c r="AA169" s="268"/>
      <c r="AB169" s="268"/>
      <c r="AC169" s="268"/>
      <c r="AD169" s="268"/>
      <c r="AE169" s="268"/>
      <c r="AF169" s="268"/>
      <c r="AG169" s="268"/>
      <c r="AH169" s="268"/>
      <c r="AI169" s="268"/>
      <c r="AJ169" s="268"/>
      <c r="AK169" s="268"/>
      <c r="AL169" s="268"/>
      <c r="AM169" s="268"/>
    </row>
    <row r="170">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85"/>
      <c r="W170" s="268"/>
      <c r="X170" s="268"/>
      <c r="Y170" s="268"/>
      <c r="Z170" s="268"/>
      <c r="AA170" s="268"/>
      <c r="AB170" s="268"/>
      <c r="AC170" s="268"/>
      <c r="AD170" s="268"/>
      <c r="AE170" s="268"/>
      <c r="AF170" s="268"/>
      <c r="AG170" s="268"/>
      <c r="AH170" s="268"/>
      <c r="AI170" s="268"/>
      <c r="AJ170" s="268"/>
      <c r="AK170" s="268"/>
      <c r="AL170" s="268"/>
      <c r="AM170" s="268"/>
    </row>
    <row r="17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85"/>
      <c r="W171" s="268"/>
      <c r="X171" s="268"/>
      <c r="Y171" s="268"/>
      <c r="Z171" s="268"/>
      <c r="AA171" s="268"/>
      <c r="AB171" s="268"/>
      <c r="AC171" s="268"/>
      <c r="AD171" s="268"/>
      <c r="AE171" s="268"/>
      <c r="AF171" s="268"/>
      <c r="AG171" s="268"/>
      <c r="AH171" s="268"/>
      <c r="AI171" s="268"/>
      <c r="AJ171" s="268"/>
      <c r="AK171" s="268"/>
      <c r="AL171" s="268"/>
      <c r="AM171" s="268"/>
    </row>
    <row r="172">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85"/>
      <c r="W172" s="268"/>
      <c r="X172" s="268"/>
      <c r="Y172" s="268"/>
      <c r="Z172" s="268"/>
      <c r="AA172" s="268"/>
      <c r="AB172" s="268"/>
      <c r="AC172" s="268"/>
      <c r="AD172" s="268"/>
      <c r="AE172" s="268"/>
      <c r="AF172" s="268"/>
      <c r="AG172" s="268"/>
      <c r="AH172" s="268"/>
      <c r="AI172" s="268"/>
      <c r="AJ172" s="268"/>
      <c r="AK172" s="268"/>
      <c r="AL172" s="268"/>
      <c r="AM172" s="268"/>
    </row>
    <row r="173">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85"/>
      <c r="W173" s="268"/>
      <c r="X173" s="268"/>
      <c r="Y173" s="268"/>
      <c r="Z173" s="268"/>
      <c r="AA173" s="268"/>
      <c r="AB173" s="268"/>
      <c r="AC173" s="268"/>
      <c r="AD173" s="268"/>
      <c r="AE173" s="268"/>
      <c r="AF173" s="268"/>
      <c r="AG173" s="268"/>
      <c r="AH173" s="268"/>
      <c r="AI173" s="268"/>
      <c r="AJ173" s="268"/>
      <c r="AK173" s="268"/>
      <c r="AL173" s="268"/>
      <c r="AM173" s="268"/>
    </row>
    <row r="174">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85"/>
      <c r="W174" s="268"/>
      <c r="X174" s="268"/>
      <c r="Y174" s="268"/>
      <c r="Z174" s="268"/>
      <c r="AA174" s="268"/>
      <c r="AB174" s="268"/>
      <c r="AC174" s="268"/>
      <c r="AD174" s="268"/>
      <c r="AE174" s="268"/>
      <c r="AF174" s="268"/>
      <c r="AG174" s="268"/>
      <c r="AH174" s="268"/>
      <c r="AI174" s="268"/>
      <c r="AJ174" s="268"/>
      <c r="AK174" s="268"/>
      <c r="AL174" s="268"/>
      <c r="AM174" s="268"/>
    </row>
    <row r="175">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85"/>
      <c r="W175" s="268"/>
      <c r="X175" s="268"/>
      <c r="Y175" s="268"/>
      <c r="Z175" s="268"/>
      <c r="AA175" s="268"/>
      <c r="AB175" s="268"/>
      <c r="AC175" s="268"/>
      <c r="AD175" s="268"/>
      <c r="AE175" s="268"/>
      <c r="AF175" s="268"/>
      <c r="AG175" s="268"/>
      <c r="AH175" s="268"/>
      <c r="AI175" s="268"/>
      <c r="AJ175" s="268"/>
      <c r="AK175" s="268"/>
      <c r="AL175" s="268"/>
      <c r="AM175" s="268"/>
    </row>
    <row r="176">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85"/>
      <c r="W176" s="268"/>
      <c r="X176" s="268"/>
      <c r="Y176" s="268"/>
      <c r="Z176" s="268"/>
      <c r="AA176" s="268"/>
      <c r="AB176" s="268"/>
      <c r="AC176" s="268"/>
      <c r="AD176" s="268"/>
      <c r="AE176" s="268"/>
      <c r="AF176" s="268"/>
      <c r="AG176" s="268"/>
      <c r="AH176" s="268"/>
      <c r="AI176" s="268"/>
      <c r="AJ176" s="268"/>
      <c r="AK176" s="268"/>
      <c r="AL176" s="268"/>
      <c r="AM176" s="268"/>
    </row>
    <row r="177">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85"/>
      <c r="W177" s="268"/>
      <c r="X177" s="268"/>
      <c r="Y177" s="268"/>
      <c r="Z177" s="268"/>
      <c r="AA177" s="268"/>
      <c r="AB177" s="268"/>
      <c r="AC177" s="268"/>
      <c r="AD177" s="268"/>
      <c r="AE177" s="268"/>
      <c r="AF177" s="268"/>
      <c r="AG177" s="268"/>
      <c r="AH177" s="268"/>
      <c r="AI177" s="268"/>
      <c r="AJ177" s="268"/>
      <c r="AK177" s="268"/>
      <c r="AL177" s="268"/>
      <c r="AM177" s="268"/>
    </row>
    <row r="178">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85"/>
      <c r="W178" s="268"/>
      <c r="X178" s="268"/>
      <c r="Y178" s="268"/>
      <c r="Z178" s="268"/>
      <c r="AA178" s="268"/>
      <c r="AB178" s="268"/>
      <c r="AC178" s="268"/>
      <c r="AD178" s="268"/>
      <c r="AE178" s="268"/>
      <c r="AF178" s="268"/>
      <c r="AG178" s="268"/>
      <c r="AH178" s="268"/>
      <c r="AI178" s="268"/>
      <c r="AJ178" s="268"/>
      <c r="AK178" s="268"/>
      <c r="AL178" s="268"/>
      <c r="AM178" s="268"/>
    </row>
    <row r="17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85"/>
      <c r="W179" s="268"/>
      <c r="X179" s="268"/>
      <c r="Y179" s="268"/>
      <c r="Z179" s="268"/>
      <c r="AA179" s="268"/>
      <c r="AB179" s="268"/>
      <c r="AC179" s="268"/>
      <c r="AD179" s="268"/>
      <c r="AE179" s="268"/>
      <c r="AF179" s="268"/>
      <c r="AG179" s="268"/>
      <c r="AH179" s="268"/>
      <c r="AI179" s="268"/>
      <c r="AJ179" s="268"/>
      <c r="AK179" s="268"/>
      <c r="AL179" s="268"/>
      <c r="AM179" s="268"/>
    </row>
    <row r="180">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85"/>
      <c r="W180" s="268"/>
      <c r="X180" s="268"/>
      <c r="Y180" s="268"/>
      <c r="Z180" s="268"/>
      <c r="AA180" s="268"/>
      <c r="AB180" s="268"/>
      <c r="AC180" s="268"/>
      <c r="AD180" s="268"/>
      <c r="AE180" s="268"/>
      <c r="AF180" s="268"/>
      <c r="AG180" s="268"/>
      <c r="AH180" s="268"/>
      <c r="AI180" s="268"/>
      <c r="AJ180" s="268"/>
      <c r="AK180" s="268"/>
      <c r="AL180" s="268"/>
      <c r="AM180" s="268"/>
    </row>
    <row r="18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85"/>
      <c r="W181" s="268"/>
      <c r="X181" s="268"/>
      <c r="Y181" s="268"/>
      <c r="Z181" s="268"/>
      <c r="AA181" s="268"/>
      <c r="AB181" s="268"/>
      <c r="AC181" s="268"/>
      <c r="AD181" s="268"/>
      <c r="AE181" s="268"/>
      <c r="AF181" s="268"/>
      <c r="AG181" s="268"/>
      <c r="AH181" s="268"/>
      <c r="AI181" s="268"/>
      <c r="AJ181" s="268"/>
      <c r="AK181" s="268"/>
      <c r="AL181" s="268"/>
      <c r="AM181" s="268"/>
    </row>
    <row r="182">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85"/>
      <c r="W182" s="268"/>
      <c r="X182" s="268"/>
      <c r="Y182" s="268"/>
      <c r="Z182" s="268"/>
      <c r="AA182" s="268"/>
      <c r="AB182" s="268"/>
      <c r="AC182" s="268"/>
      <c r="AD182" s="268"/>
      <c r="AE182" s="268"/>
      <c r="AF182" s="268"/>
      <c r="AG182" s="268"/>
      <c r="AH182" s="268"/>
      <c r="AI182" s="268"/>
      <c r="AJ182" s="268"/>
      <c r="AK182" s="268"/>
      <c r="AL182" s="268"/>
      <c r="AM182" s="268"/>
    </row>
    <row r="183">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85"/>
      <c r="W183" s="268"/>
      <c r="X183" s="268"/>
      <c r="Y183" s="268"/>
      <c r="Z183" s="268"/>
      <c r="AA183" s="268"/>
      <c r="AB183" s="268"/>
      <c r="AC183" s="268"/>
      <c r="AD183" s="268"/>
      <c r="AE183" s="268"/>
      <c r="AF183" s="268"/>
      <c r="AG183" s="268"/>
      <c r="AH183" s="268"/>
      <c r="AI183" s="268"/>
      <c r="AJ183" s="268"/>
      <c r="AK183" s="268"/>
      <c r="AL183" s="268"/>
      <c r="AM183" s="268"/>
    </row>
    <row r="184">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85"/>
      <c r="W184" s="268"/>
      <c r="X184" s="268"/>
      <c r="Y184" s="268"/>
      <c r="Z184" s="268"/>
      <c r="AA184" s="268"/>
      <c r="AB184" s="268"/>
      <c r="AC184" s="268"/>
      <c r="AD184" s="268"/>
      <c r="AE184" s="268"/>
      <c r="AF184" s="268"/>
      <c r="AG184" s="268"/>
      <c r="AH184" s="268"/>
      <c r="AI184" s="268"/>
      <c r="AJ184" s="268"/>
      <c r="AK184" s="268"/>
      <c r="AL184" s="268"/>
      <c r="AM184" s="268"/>
    </row>
    <row r="185">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85"/>
      <c r="W185" s="268"/>
      <c r="X185" s="268"/>
      <c r="Y185" s="268"/>
      <c r="Z185" s="268"/>
      <c r="AA185" s="268"/>
      <c r="AB185" s="268"/>
      <c r="AC185" s="268"/>
      <c r="AD185" s="268"/>
      <c r="AE185" s="268"/>
      <c r="AF185" s="268"/>
      <c r="AG185" s="268"/>
      <c r="AH185" s="268"/>
      <c r="AI185" s="268"/>
      <c r="AJ185" s="268"/>
      <c r="AK185" s="268"/>
      <c r="AL185" s="268"/>
      <c r="AM185" s="268"/>
    </row>
    <row r="186">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85"/>
      <c r="W186" s="268"/>
      <c r="X186" s="268"/>
      <c r="Y186" s="268"/>
      <c r="Z186" s="268"/>
      <c r="AA186" s="268"/>
      <c r="AB186" s="268"/>
      <c r="AC186" s="268"/>
      <c r="AD186" s="268"/>
      <c r="AE186" s="268"/>
      <c r="AF186" s="268"/>
      <c r="AG186" s="268"/>
      <c r="AH186" s="268"/>
      <c r="AI186" s="268"/>
      <c r="AJ186" s="268"/>
      <c r="AK186" s="268"/>
      <c r="AL186" s="268"/>
      <c r="AM186" s="268"/>
    </row>
    <row r="187">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85"/>
      <c r="W187" s="268"/>
      <c r="X187" s="268"/>
      <c r="Y187" s="268"/>
      <c r="Z187" s="268"/>
      <c r="AA187" s="268"/>
      <c r="AB187" s="268"/>
      <c r="AC187" s="268"/>
      <c r="AD187" s="268"/>
      <c r="AE187" s="268"/>
      <c r="AF187" s="268"/>
      <c r="AG187" s="268"/>
      <c r="AH187" s="268"/>
      <c r="AI187" s="268"/>
      <c r="AJ187" s="268"/>
      <c r="AK187" s="268"/>
      <c r="AL187" s="268"/>
      <c r="AM187" s="268"/>
    </row>
    <row r="188">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85"/>
      <c r="W188" s="268"/>
      <c r="X188" s="268"/>
      <c r="Y188" s="268"/>
      <c r="Z188" s="268"/>
      <c r="AA188" s="268"/>
      <c r="AB188" s="268"/>
      <c r="AC188" s="268"/>
      <c r="AD188" s="268"/>
      <c r="AE188" s="268"/>
      <c r="AF188" s="268"/>
      <c r="AG188" s="268"/>
      <c r="AH188" s="268"/>
      <c r="AI188" s="268"/>
      <c r="AJ188" s="268"/>
      <c r="AK188" s="268"/>
      <c r="AL188" s="268"/>
      <c r="AM188" s="268"/>
    </row>
    <row r="18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85"/>
      <c r="W189" s="268"/>
      <c r="X189" s="268"/>
      <c r="Y189" s="268"/>
      <c r="Z189" s="268"/>
      <c r="AA189" s="268"/>
      <c r="AB189" s="268"/>
      <c r="AC189" s="268"/>
      <c r="AD189" s="268"/>
      <c r="AE189" s="268"/>
      <c r="AF189" s="268"/>
      <c r="AG189" s="268"/>
      <c r="AH189" s="268"/>
      <c r="AI189" s="268"/>
      <c r="AJ189" s="268"/>
      <c r="AK189" s="268"/>
      <c r="AL189" s="268"/>
      <c r="AM189" s="268"/>
    </row>
    <row r="190">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85"/>
      <c r="W190" s="268"/>
      <c r="X190" s="268"/>
      <c r="Y190" s="268"/>
      <c r="Z190" s="268"/>
      <c r="AA190" s="268"/>
      <c r="AB190" s="268"/>
      <c r="AC190" s="268"/>
      <c r="AD190" s="268"/>
      <c r="AE190" s="268"/>
      <c r="AF190" s="268"/>
      <c r="AG190" s="268"/>
      <c r="AH190" s="268"/>
      <c r="AI190" s="268"/>
      <c r="AJ190" s="268"/>
      <c r="AK190" s="268"/>
      <c r="AL190" s="268"/>
      <c r="AM190" s="268"/>
    </row>
    <row r="19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85"/>
      <c r="W191" s="268"/>
      <c r="X191" s="268"/>
      <c r="Y191" s="268"/>
      <c r="Z191" s="268"/>
      <c r="AA191" s="268"/>
      <c r="AB191" s="268"/>
      <c r="AC191" s="268"/>
      <c r="AD191" s="268"/>
      <c r="AE191" s="268"/>
      <c r="AF191" s="268"/>
      <c r="AG191" s="268"/>
      <c r="AH191" s="268"/>
      <c r="AI191" s="268"/>
      <c r="AJ191" s="268"/>
      <c r="AK191" s="268"/>
      <c r="AL191" s="268"/>
      <c r="AM191" s="268"/>
    </row>
    <row r="192">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85"/>
      <c r="W192" s="268"/>
      <c r="X192" s="268"/>
      <c r="Y192" s="268"/>
      <c r="Z192" s="268"/>
      <c r="AA192" s="268"/>
      <c r="AB192" s="268"/>
      <c r="AC192" s="268"/>
      <c r="AD192" s="268"/>
      <c r="AE192" s="268"/>
      <c r="AF192" s="268"/>
      <c r="AG192" s="268"/>
      <c r="AH192" s="268"/>
      <c r="AI192" s="268"/>
      <c r="AJ192" s="268"/>
      <c r="AK192" s="268"/>
      <c r="AL192" s="268"/>
      <c r="AM192" s="268"/>
    </row>
    <row r="193">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85"/>
      <c r="W193" s="268"/>
      <c r="X193" s="268"/>
      <c r="Y193" s="268"/>
      <c r="Z193" s="268"/>
      <c r="AA193" s="268"/>
      <c r="AB193" s="268"/>
      <c r="AC193" s="268"/>
      <c r="AD193" s="268"/>
      <c r="AE193" s="268"/>
      <c r="AF193" s="268"/>
      <c r="AG193" s="268"/>
      <c r="AH193" s="268"/>
      <c r="AI193" s="268"/>
      <c r="AJ193" s="268"/>
      <c r="AK193" s="268"/>
      <c r="AL193" s="268"/>
      <c r="AM193" s="268"/>
    </row>
    <row r="194">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85"/>
      <c r="W194" s="268"/>
      <c r="X194" s="268"/>
      <c r="Y194" s="268"/>
      <c r="Z194" s="268"/>
      <c r="AA194" s="268"/>
      <c r="AB194" s="268"/>
      <c r="AC194" s="268"/>
      <c r="AD194" s="268"/>
      <c r="AE194" s="268"/>
      <c r="AF194" s="268"/>
      <c r="AG194" s="268"/>
      <c r="AH194" s="268"/>
      <c r="AI194" s="268"/>
      <c r="AJ194" s="268"/>
      <c r="AK194" s="268"/>
      <c r="AL194" s="268"/>
      <c r="AM194" s="268"/>
    </row>
    <row r="195">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85"/>
      <c r="W195" s="268"/>
      <c r="X195" s="268"/>
      <c r="Y195" s="268"/>
      <c r="Z195" s="268"/>
      <c r="AA195" s="268"/>
      <c r="AB195" s="268"/>
      <c r="AC195" s="268"/>
      <c r="AD195" s="268"/>
      <c r="AE195" s="268"/>
      <c r="AF195" s="268"/>
      <c r="AG195" s="268"/>
      <c r="AH195" s="268"/>
      <c r="AI195" s="268"/>
      <c r="AJ195" s="268"/>
      <c r="AK195" s="268"/>
      <c r="AL195" s="268"/>
      <c r="AM195" s="268"/>
    </row>
    <row r="196">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85"/>
      <c r="W196" s="268"/>
      <c r="X196" s="268"/>
      <c r="Y196" s="268"/>
      <c r="Z196" s="268"/>
      <c r="AA196" s="268"/>
      <c r="AB196" s="268"/>
      <c r="AC196" s="268"/>
      <c r="AD196" s="268"/>
      <c r="AE196" s="268"/>
      <c r="AF196" s="268"/>
      <c r="AG196" s="268"/>
      <c r="AH196" s="268"/>
      <c r="AI196" s="268"/>
      <c r="AJ196" s="268"/>
      <c r="AK196" s="268"/>
      <c r="AL196" s="268"/>
      <c r="AM196" s="268"/>
    </row>
    <row r="197">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85"/>
      <c r="W197" s="268"/>
      <c r="X197" s="268"/>
      <c r="Y197" s="268"/>
      <c r="Z197" s="268"/>
      <c r="AA197" s="268"/>
      <c r="AB197" s="268"/>
      <c r="AC197" s="268"/>
      <c r="AD197" s="268"/>
      <c r="AE197" s="268"/>
      <c r="AF197" s="268"/>
      <c r="AG197" s="268"/>
      <c r="AH197" s="268"/>
      <c r="AI197" s="268"/>
      <c r="AJ197" s="268"/>
      <c r="AK197" s="268"/>
      <c r="AL197" s="268"/>
      <c r="AM197" s="268"/>
    </row>
    <row r="198">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85"/>
      <c r="W198" s="268"/>
      <c r="X198" s="268"/>
      <c r="Y198" s="268"/>
      <c r="Z198" s="268"/>
      <c r="AA198" s="268"/>
      <c r="AB198" s="268"/>
      <c r="AC198" s="268"/>
      <c r="AD198" s="268"/>
      <c r="AE198" s="268"/>
      <c r="AF198" s="268"/>
      <c r="AG198" s="268"/>
      <c r="AH198" s="268"/>
      <c r="AI198" s="268"/>
      <c r="AJ198" s="268"/>
      <c r="AK198" s="268"/>
      <c r="AL198" s="268"/>
      <c r="AM198" s="268"/>
    </row>
    <row r="1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85"/>
      <c r="W199" s="268"/>
      <c r="X199" s="268"/>
      <c r="Y199" s="268"/>
      <c r="Z199" s="268"/>
      <c r="AA199" s="268"/>
      <c r="AB199" s="268"/>
      <c r="AC199" s="268"/>
      <c r="AD199" s="268"/>
      <c r="AE199" s="268"/>
      <c r="AF199" s="268"/>
      <c r="AG199" s="268"/>
      <c r="AH199" s="268"/>
      <c r="AI199" s="268"/>
      <c r="AJ199" s="268"/>
      <c r="AK199" s="268"/>
      <c r="AL199" s="268"/>
      <c r="AM199" s="268"/>
    </row>
    <row r="200">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85"/>
      <c r="W200" s="268"/>
      <c r="X200" s="268"/>
      <c r="Y200" s="268"/>
      <c r="Z200" s="268"/>
      <c r="AA200" s="268"/>
      <c r="AB200" s="268"/>
      <c r="AC200" s="268"/>
      <c r="AD200" s="268"/>
      <c r="AE200" s="268"/>
      <c r="AF200" s="268"/>
      <c r="AG200" s="268"/>
      <c r="AH200" s="268"/>
      <c r="AI200" s="268"/>
      <c r="AJ200" s="268"/>
      <c r="AK200" s="268"/>
      <c r="AL200" s="268"/>
      <c r="AM200" s="268"/>
    </row>
    <row r="20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85"/>
      <c r="W201" s="268"/>
      <c r="X201" s="268"/>
      <c r="Y201" s="268"/>
      <c r="Z201" s="268"/>
      <c r="AA201" s="268"/>
      <c r="AB201" s="268"/>
      <c r="AC201" s="268"/>
      <c r="AD201" s="268"/>
      <c r="AE201" s="268"/>
      <c r="AF201" s="268"/>
      <c r="AG201" s="268"/>
      <c r="AH201" s="268"/>
      <c r="AI201" s="268"/>
      <c r="AJ201" s="268"/>
      <c r="AK201" s="268"/>
      <c r="AL201" s="268"/>
      <c r="AM201" s="268"/>
    </row>
    <row r="202">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85"/>
      <c r="W202" s="268"/>
      <c r="X202" s="268"/>
      <c r="Y202" s="268"/>
      <c r="Z202" s="268"/>
      <c r="AA202" s="268"/>
      <c r="AB202" s="268"/>
      <c r="AC202" s="268"/>
      <c r="AD202" s="268"/>
      <c r="AE202" s="268"/>
      <c r="AF202" s="268"/>
      <c r="AG202" s="268"/>
      <c r="AH202" s="268"/>
      <c r="AI202" s="268"/>
      <c r="AJ202" s="268"/>
      <c r="AK202" s="268"/>
      <c r="AL202" s="268"/>
      <c r="AM202" s="268"/>
    </row>
    <row r="203">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85"/>
      <c r="W203" s="268"/>
      <c r="X203" s="268"/>
      <c r="Y203" s="268"/>
      <c r="Z203" s="268"/>
      <c r="AA203" s="268"/>
      <c r="AB203" s="268"/>
      <c r="AC203" s="268"/>
      <c r="AD203" s="268"/>
      <c r="AE203" s="268"/>
      <c r="AF203" s="268"/>
      <c r="AG203" s="268"/>
      <c r="AH203" s="268"/>
      <c r="AI203" s="268"/>
      <c r="AJ203" s="268"/>
      <c r="AK203" s="268"/>
      <c r="AL203" s="268"/>
      <c r="AM203" s="268"/>
    </row>
    <row r="204">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85"/>
      <c r="W204" s="268"/>
      <c r="X204" s="268"/>
      <c r="Y204" s="268"/>
      <c r="Z204" s="268"/>
      <c r="AA204" s="268"/>
      <c r="AB204" s="268"/>
      <c r="AC204" s="268"/>
      <c r="AD204" s="268"/>
      <c r="AE204" s="268"/>
      <c r="AF204" s="268"/>
      <c r="AG204" s="268"/>
      <c r="AH204" s="268"/>
      <c r="AI204" s="268"/>
      <c r="AJ204" s="268"/>
      <c r="AK204" s="268"/>
      <c r="AL204" s="268"/>
      <c r="AM204" s="268"/>
    </row>
    <row r="20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85"/>
      <c r="W205" s="268"/>
      <c r="X205" s="268"/>
      <c r="Y205" s="268"/>
      <c r="Z205" s="268"/>
      <c r="AA205" s="268"/>
      <c r="AB205" s="268"/>
      <c r="AC205" s="268"/>
      <c r="AD205" s="268"/>
      <c r="AE205" s="268"/>
      <c r="AF205" s="268"/>
      <c r="AG205" s="268"/>
      <c r="AH205" s="268"/>
      <c r="AI205" s="268"/>
      <c r="AJ205" s="268"/>
      <c r="AK205" s="268"/>
      <c r="AL205" s="268"/>
      <c r="AM205" s="268"/>
    </row>
    <row r="206">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85"/>
      <c r="W206" s="268"/>
      <c r="X206" s="268"/>
      <c r="Y206" s="268"/>
      <c r="Z206" s="268"/>
      <c r="AA206" s="268"/>
      <c r="AB206" s="268"/>
      <c r="AC206" s="268"/>
      <c r="AD206" s="268"/>
      <c r="AE206" s="268"/>
      <c r="AF206" s="268"/>
      <c r="AG206" s="268"/>
      <c r="AH206" s="268"/>
      <c r="AI206" s="268"/>
      <c r="AJ206" s="268"/>
      <c r="AK206" s="268"/>
      <c r="AL206" s="268"/>
      <c r="AM206" s="268"/>
    </row>
    <row r="207">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85"/>
      <c r="W207" s="268"/>
      <c r="X207" s="268"/>
      <c r="Y207" s="268"/>
      <c r="Z207" s="268"/>
      <c r="AA207" s="268"/>
      <c r="AB207" s="268"/>
      <c r="AC207" s="268"/>
      <c r="AD207" s="268"/>
      <c r="AE207" s="268"/>
      <c r="AF207" s="268"/>
      <c r="AG207" s="268"/>
      <c r="AH207" s="268"/>
      <c r="AI207" s="268"/>
      <c r="AJ207" s="268"/>
      <c r="AK207" s="268"/>
      <c r="AL207" s="268"/>
      <c r="AM207" s="268"/>
    </row>
    <row r="208">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85"/>
      <c r="W208" s="268"/>
      <c r="X208" s="268"/>
      <c r="Y208" s="268"/>
      <c r="Z208" s="268"/>
      <c r="AA208" s="268"/>
      <c r="AB208" s="268"/>
      <c r="AC208" s="268"/>
      <c r="AD208" s="268"/>
      <c r="AE208" s="268"/>
      <c r="AF208" s="268"/>
      <c r="AG208" s="268"/>
      <c r="AH208" s="268"/>
      <c r="AI208" s="268"/>
      <c r="AJ208" s="268"/>
      <c r="AK208" s="268"/>
      <c r="AL208" s="268"/>
      <c r="AM208" s="268"/>
    </row>
    <row r="20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85"/>
      <c r="W209" s="268"/>
      <c r="X209" s="268"/>
      <c r="Y209" s="268"/>
      <c r="Z209" s="268"/>
      <c r="AA209" s="268"/>
      <c r="AB209" s="268"/>
      <c r="AC209" s="268"/>
      <c r="AD209" s="268"/>
      <c r="AE209" s="268"/>
      <c r="AF209" s="268"/>
      <c r="AG209" s="268"/>
      <c r="AH209" s="268"/>
      <c r="AI209" s="268"/>
      <c r="AJ209" s="268"/>
      <c r="AK209" s="268"/>
      <c r="AL209" s="268"/>
      <c r="AM209" s="268"/>
    </row>
    <row r="210">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85"/>
      <c r="W210" s="268"/>
      <c r="X210" s="268"/>
      <c r="Y210" s="268"/>
      <c r="Z210" s="268"/>
      <c r="AA210" s="268"/>
      <c r="AB210" s="268"/>
      <c r="AC210" s="268"/>
      <c r="AD210" s="268"/>
      <c r="AE210" s="268"/>
      <c r="AF210" s="268"/>
      <c r="AG210" s="268"/>
      <c r="AH210" s="268"/>
      <c r="AI210" s="268"/>
      <c r="AJ210" s="268"/>
      <c r="AK210" s="268"/>
      <c r="AL210" s="268"/>
      <c r="AM210" s="268"/>
    </row>
    <row r="21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85"/>
      <c r="W211" s="268"/>
      <c r="X211" s="268"/>
      <c r="Y211" s="268"/>
      <c r="Z211" s="268"/>
      <c r="AA211" s="268"/>
      <c r="AB211" s="268"/>
      <c r="AC211" s="268"/>
      <c r="AD211" s="268"/>
      <c r="AE211" s="268"/>
      <c r="AF211" s="268"/>
      <c r="AG211" s="268"/>
      <c r="AH211" s="268"/>
      <c r="AI211" s="268"/>
      <c r="AJ211" s="268"/>
      <c r="AK211" s="268"/>
      <c r="AL211" s="268"/>
      <c r="AM211" s="268"/>
    </row>
    <row r="212">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85"/>
      <c r="W212" s="268"/>
      <c r="X212" s="268"/>
      <c r="Y212" s="268"/>
      <c r="Z212" s="268"/>
      <c r="AA212" s="268"/>
      <c r="AB212" s="268"/>
      <c r="AC212" s="268"/>
      <c r="AD212" s="268"/>
      <c r="AE212" s="268"/>
      <c r="AF212" s="268"/>
      <c r="AG212" s="268"/>
      <c r="AH212" s="268"/>
      <c r="AI212" s="268"/>
      <c r="AJ212" s="268"/>
      <c r="AK212" s="268"/>
      <c r="AL212" s="268"/>
      <c r="AM212" s="268"/>
    </row>
    <row r="213">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85"/>
      <c r="W213" s="268"/>
      <c r="X213" s="268"/>
      <c r="Y213" s="268"/>
      <c r="Z213" s="268"/>
      <c r="AA213" s="268"/>
      <c r="AB213" s="268"/>
      <c r="AC213" s="268"/>
      <c r="AD213" s="268"/>
      <c r="AE213" s="268"/>
      <c r="AF213" s="268"/>
      <c r="AG213" s="268"/>
      <c r="AH213" s="268"/>
      <c r="AI213" s="268"/>
      <c r="AJ213" s="268"/>
      <c r="AK213" s="268"/>
      <c r="AL213" s="268"/>
      <c r="AM213" s="268"/>
    </row>
    <row r="214">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85"/>
      <c r="W214" s="268"/>
      <c r="X214" s="268"/>
      <c r="Y214" s="268"/>
      <c r="Z214" s="268"/>
      <c r="AA214" s="268"/>
      <c r="AB214" s="268"/>
      <c r="AC214" s="268"/>
      <c r="AD214" s="268"/>
      <c r="AE214" s="268"/>
      <c r="AF214" s="268"/>
      <c r="AG214" s="268"/>
      <c r="AH214" s="268"/>
      <c r="AI214" s="268"/>
      <c r="AJ214" s="268"/>
      <c r="AK214" s="268"/>
      <c r="AL214" s="268"/>
      <c r="AM214" s="268"/>
    </row>
    <row r="21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85"/>
      <c r="W215" s="268"/>
      <c r="X215" s="268"/>
      <c r="Y215" s="268"/>
      <c r="Z215" s="268"/>
      <c r="AA215" s="268"/>
      <c r="AB215" s="268"/>
      <c r="AC215" s="268"/>
      <c r="AD215" s="268"/>
      <c r="AE215" s="268"/>
      <c r="AF215" s="268"/>
      <c r="AG215" s="268"/>
      <c r="AH215" s="268"/>
      <c r="AI215" s="268"/>
      <c r="AJ215" s="268"/>
      <c r="AK215" s="268"/>
      <c r="AL215" s="268"/>
      <c r="AM215" s="268"/>
    </row>
    <row r="216">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85"/>
      <c r="W216" s="268"/>
      <c r="X216" s="268"/>
      <c r="Y216" s="268"/>
      <c r="Z216" s="268"/>
      <c r="AA216" s="268"/>
      <c r="AB216" s="268"/>
      <c r="AC216" s="268"/>
      <c r="AD216" s="268"/>
      <c r="AE216" s="268"/>
      <c r="AF216" s="268"/>
      <c r="AG216" s="268"/>
      <c r="AH216" s="268"/>
      <c r="AI216" s="268"/>
      <c r="AJ216" s="268"/>
      <c r="AK216" s="268"/>
      <c r="AL216" s="268"/>
      <c r="AM216" s="268"/>
    </row>
    <row r="217">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85"/>
      <c r="W217" s="268"/>
      <c r="X217" s="268"/>
      <c r="Y217" s="268"/>
      <c r="Z217" s="268"/>
      <c r="AA217" s="268"/>
      <c r="AB217" s="268"/>
      <c r="AC217" s="268"/>
      <c r="AD217" s="268"/>
      <c r="AE217" s="268"/>
      <c r="AF217" s="268"/>
      <c r="AG217" s="268"/>
      <c r="AH217" s="268"/>
      <c r="AI217" s="268"/>
      <c r="AJ217" s="268"/>
      <c r="AK217" s="268"/>
      <c r="AL217" s="268"/>
      <c r="AM217" s="268"/>
    </row>
    <row r="218">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85"/>
      <c r="W218" s="268"/>
      <c r="X218" s="268"/>
      <c r="Y218" s="268"/>
      <c r="Z218" s="268"/>
      <c r="AA218" s="268"/>
      <c r="AB218" s="268"/>
      <c r="AC218" s="268"/>
      <c r="AD218" s="268"/>
      <c r="AE218" s="268"/>
      <c r="AF218" s="268"/>
      <c r="AG218" s="268"/>
      <c r="AH218" s="268"/>
      <c r="AI218" s="268"/>
      <c r="AJ218" s="268"/>
      <c r="AK218" s="268"/>
      <c r="AL218" s="268"/>
      <c r="AM218" s="268"/>
    </row>
    <row r="21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85"/>
      <c r="W219" s="268"/>
      <c r="X219" s="268"/>
      <c r="Y219" s="268"/>
      <c r="Z219" s="268"/>
      <c r="AA219" s="268"/>
      <c r="AB219" s="268"/>
      <c r="AC219" s="268"/>
      <c r="AD219" s="268"/>
      <c r="AE219" s="268"/>
      <c r="AF219" s="268"/>
      <c r="AG219" s="268"/>
      <c r="AH219" s="268"/>
      <c r="AI219" s="268"/>
      <c r="AJ219" s="268"/>
      <c r="AK219" s="268"/>
      <c r="AL219" s="268"/>
      <c r="AM219" s="268"/>
    </row>
    <row r="220">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85"/>
      <c r="W220" s="268"/>
      <c r="X220" s="268"/>
      <c r="Y220" s="268"/>
      <c r="Z220" s="268"/>
      <c r="AA220" s="268"/>
      <c r="AB220" s="268"/>
      <c r="AC220" s="268"/>
      <c r="AD220" s="268"/>
      <c r="AE220" s="268"/>
      <c r="AF220" s="268"/>
      <c r="AG220" s="268"/>
      <c r="AH220" s="268"/>
      <c r="AI220" s="268"/>
      <c r="AJ220" s="268"/>
      <c r="AK220" s="268"/>
      <c r="AL220" s="268"/>
      <c r="AM220" s="268"/>
    </row>
    <row r="22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85"/>
      <c r="W221" s="268"/>
      <c r="X221" s="268"/>
      <c r="Y221" s="268"/>
      <c r="Z221" s="268"/>
      <c r="AA221" s="268"/>
      <c r="AB221" s="268"/>
      <c r="AC221" s="268"/>
      <c r="AD221" s="268"/>
      <c r="AE221" s="268"/>
      <c r="AF221" s="268"/>
      <c r="AG221" s="268"/>
      <c r="AH221" s="268"/>
      <c r="AI221" s="268"/>
      <c r="AJ221" s="268"/>
      <c r="AK221" s="268"/>
      <c r="AL221" s="268"/>
      <c r="AM221" s="268"/>
    </row>
    <row r="222">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85"/>
      <c r="W222" s="268"/>
      <c r="X222" s="268"/>
      <c r="Y222" s="268"/>
      <c r="Z222" s="268"/>
      <c r="AA222" s="268"/>
      <c r="AB222" s="268"/>
      <c r="AC222" s="268"/>
      <c r="AD222" s="268"/>
      <c r="AE222" s="268"/>
      <c r="AF222" s="268"/>
      <c r="AG222" s="268"/>
      <c r="AH222" s="268"/>
      <c r="AI222" s="268"/>
      <c r="AJ222" s="268"/>
      <c r="AK222" s="268"/>
      <c r="AL222" s="268"/>
      <c r="AM222" s="268"/>
    </row>
    <row r="223">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85"/>
      <c r="W223" s="268"/>
      <c r="X223" s="268"/>
      <c r="Y223" s="268"/>
      <c r="Z223" s="268"/>
      <c r="AA223" s="268"/>
      <c r="AB223" s="268"/>
      <c r="AC223" s="268"/>
      <c r="AD223" s="268"/>
      <c r="AE223" s="268"/>
      <c r="AF223" s="268"/>
      <c r="AG223" s="268"/>
      <c r="AH223" s="268"/>
      <c r="AI223" s="268"/>
      <c r="AJ223" s="268"/>
      <c r="AK223" s="268"/>
      <c r="AL223" s="268"/>
      <c r="AM223" s="268"/>
    </row>
    <row r="224">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85"/>
      <c r="W224" s="268"/>
      <c r="X224" s="268"/>
      <c r="Y224" s="268"/>
      <c r="Z224" s="268"/>
      <c r="AA224" s="268"/>
      <c r="AB224" s="268"/>
      <c r="AC224" s="268"/>
      <c r="AD224" s="268"/>
      <c r="AE224" s="268"/>
      <c r="AF224" s="268"/>
      <c r="AG224" s="268"/>
      <c r="AH224" s="268"/>
      <c r="AI224" s="268"/>
      <c r="AJ224" s="268"/>
      <c r="AK224" s="268"/>
      <c r="AL224" s="268"/>
      <c r="AM224" s="268"/>
    </row>
    <row r="22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85"/>
      <c r="W225" s="268"/>
      <c r="X225" s="268"/>
      <c r="Y225" s="268"/>
      <c r="Z225" s="268"/>
      <c r="AA225" s="268"/>
      <c r="AB225" s="268"/>
      <c r="AC225" s="268"/>
      <c r="AD225" s="268"/>
      <c r="AE225" s="268"/>
      <c r="AF225" s="268"/>
      <c r="AG225" s="268"/>
      <c r="AH225" s="268"/>
      <c r="AI225" s="268"/>
      <c r="AJ225" s="268"/>
      <c r="AK225" s="268"/>
      <c r="AL225" s="268"/>
      <c r="AM225" s="268"/>
    </row>
    <row r="226">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85"/>
      <c r="W226" s="268"/>
      <c r="X226" s="268"/>
      <c r="Y226" s="268"/>
      <c r="Z226" s="268"/>
      <c r="AA226" s="268"/>
      <c r="AB226" s="268"/>
      <c r="AC226" s="268"/>
      <c r="AD226" s="268"/>
      <c r="AE226" s="268"/>
      <c r="AF226" s="268"/>
      <c r="AG226" s="268"/>
      <c r="AH226" s="268"/>
      <c r="AI226" s="268"/>
      <c r="AJ226" s="268"/>
      <c r="AK226" s="268"/>
      <c r="AL226" s="268"/>
      <c r="AM226" s="268"/>
    </row>
    <row r="227">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85"/>
      <c r="W227" s="268"/>
      <c r="X227" s="268"/>
      <c r="Y227" s="268"/>
      <c r="Z227" s="268"/>
      <c r="AA227" s="268"/>
      <c r="AB227" s="268"/>
      <c r="AC227" s="268"/>
      <c r="AD227" s="268"/>
      <c r="AE227" s="268"/>
      <c r="AF227" s="268"/>
      <c r="AG227" s="268"/>
      <c r="AH227" s="268"/>
      <c r="AI227" s="268"/>
      <c r="AJ227" s="268"/>
      <c r="AK227" s="268"/>
      <c r="AL227" s="268"/>
      <c r="AM227" s="268"/>
    </row>
    <row r="228">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85"/>
      <c r="W228" s="268"/>
      <c r="X228" s="268"/>
      <c r="Y228" s="268"/>
      <c r="Z228" s="268"/>
      <c r="AA228" s="268"/>
      <c r="AB228" s="268"/>
      <c r="AC228" s="268"/>
      <c r="AD228" s="268"/>
      <c r="AE228" s="268"/>
      <c r="AF228" s="268"/>
      <c r="AG228" s="268"/>
      <c r="AH228" s="268"/>
      <c r="AI228" s="268"/>
      <c r="AJ228" s="268"/>
      <c r="AK228" s="268"/>
      <c r="AL228" s="268"/>
      <c r="AM228" s="268"/>
    </row>
    <row r="22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85"/>
      <c r="W229" s="268"/>
      <c r="X229" s="268"/>
      <c r="Y229" s="268"/>
      <c r="Z229" s="268"/>
      <c r="AA229" s="268"/>
      <c r="AB229" s="268"/>
      <c r="AC229" s="268"/>
      <c r="AD229" s="268"/>
      <c r="AE229" s="268"/>
      <c r="AF229" s="268"/>
      <c r="AG229" s="268"/>
      <c r="AH229" s="268"/>
      <c r="AI229" s="268"/>
      <c r="AJ229" s="268"/>
      <c r="AK229" s="268"/>
      <c r="AL229" s="268"/>
      <c r="AM229" s="268"/>
    </row>
    <row r="230">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85"/>
      <c r="W230" s="268"/>
      <c r="X230" s="268"/>
      <c r="Y230" s="268"/>
      <c r="Z230" s="268"/>
      <c r="AA230" s="268"/>
      <c r="AB230" s="268"/>
      <c r="AC230" s="268"/>
      <c r="AD230" s="268"/>
      <c r="AE230" s="268"/>
      <c r="AF230" s="268"/>
      <c r="AG230" s="268"/>
      <c r="AH230" s="268"/>
      <c r="AI230" s="268"/>
      <c r="AJ230" s="268"/>
      <c r="AK230" s="268"/>
      <c r="AL230" s="268"/>
      <c r="AM230" s="268"/>
    </row>
    <row r="23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85"/>
      <c r="W231" s="268"/>
      <c r="X231" s="268"/>
      <c r="Y231" s="268"/>
      <c r="Z231" s="268"/>
      <c r="AA231" s="268"/>
      <c r="AB231" s="268"/>
      <c r="AC231" s="268"/>
      <c r="AD231" s="268"/>
      <c r="AE231" s="268"/>
      <c r="AF231" s="268"/>
      <c r="AG231" s="268"/>
      <c r="AH231" s="268"/>
      <c r="AI231" s="268"/>
      <c r="AJ231" s="268"/>
      <c r="AK231" s="268"/>
      <c r="AL231" s="268"/>
      <c r="AM231" s="268"/>
    </row>
    <row r="232">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85"/>
      <c r="W232" s="268"/>
      <c r="X232" s="268"/>
      <c r="Y232" s="268"/>
      <c r="Z232" s="268"/>
      <c r="AA232" s="268"/>
      <c r="AB232" s="268"/>
      <c r="AC232" s="268"/>
      <c r="AD232" s="268"/>
      <c r="AE232" s="268"/>
      <c r="AF232" s="268"/>
      <c r="AG232" s="268"/>
      <c r="AH232" s="268"/>
      <c r="AI232" s="268"/>
      <c r="AJ232" s="268"/>
      <c r="AK232" s="268"/>
      <c r="AL232" s="268"/>
      <c r="AM232" s="268"/>
    </row>
    <row r="233">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85"/>
      <c r="W233" s="268"/>
      <c r="X233" s="268"/>
      <c r="Y233" s="268"/>
      <c r="Z233" s="268"/>
      <c r="AA233" s="268"/>
      <c r="AB233" s="268"/>
      <c r="AC233" s="268"/>
      <c r="AD233" s="268"/>
      <c r="AE233" s="268"/>
      <c r="AF233" s="268"/>
      <c r="AG233" s="268"/>
      <c r="AH233" s="268"/>
      <c r="AI233" s="268"/>
      <c r="AJ233" s="268"/>
      <c r="AK233" s="268"/>
      <c r="AL233" s="268"/>
      <c r="AM233" s="268"/>
    </row>
    <row r="234">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85"/>
      <c r="W234" s="268"/>
      <c r="X234" s="268"/>
      <c r="Y234" s="268"/>
      <c r="Z234" s="268"/>
      <c r="AA234" s="268"/>
      <c r="AB234" s="268"/>
      <c r="AC234" s="268"/>
      <c r="AD234" s="268"/>
      <c r="AE234" s="268"/>
      <c r="AF234" s="268"/>
      <c r="AG234" s="268"/>
      <c r="AH234" s="268"/>
      <c r="AI234" s="268"/>
      <c r="AJ234" s="268"/>
      <c r="AK234" s="268"/>
      <c r="AL234" s="268"/>
      <c r="AM234" s="268"/>
    </row>
    <row r="2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85"/>
      <c r="W235" s="268"/>
      <c r="X235" s="268"/>
      <c r="Y235" s="268"/>
      <c r="Z235" s="268"/>
      <c r="AA235" s="268"/>
      <c r="AB235" s="268"/>
      <c r="AC235" s="268"/>
      <c r="AD235" s="268"/>
      <c r="AE235" s="268"/>
      <c r="AF235" s="268"/>
      <c r="AG235" s="268"/>
      <c r="AH235" s="268"/>
      <c r="AI235" s="268"/>
      <c r="AJ235" s="268"/>
      <c r="AK235" s="268"/>
      <c r="AL235" s="268"/>
      <c r="AM235" s="268"/>
    </row>
    <row r="236">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85"/>
      <c r="W236" s="268"/>
      <c r="X236" s="268"/>
      <c r="Y236" s="268"/>
      <c r="Z236" s="268"/>
      <c r="AA236" s="268"/>
      <c r="AB236" s="268"/>
      <c r="AC236" s="268"/>
      <c r="AD236" s="268"/>
      <c r="AE236" s="268"/>
      <c r="AF236" s="268"/>
      <c r="AG236" s="268"/>
      <c r="AH236" s="268"/>
      <c r="AI236" s="268"/>
      <c r="AJ236" s="268"/>
      <c r="AK236" s="268"/>
      <c r="AL236" s="268"/>
      <c r="AM236" s="268"/>
    </row>
    <row r="237">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85"/>
      <c r="W237" s="268"/>
      <c r="X237" s="268"/>
      <c r="Y237" s="268"/>
      <c r="Z237" s="268"/>
      <c r="AA237" s="268"/>
      <c r="AB237" s="268"/>
      <c r="AC237" s="268"/>
      <c r="AD237" s="268"/>
      <c r="AE237" s="268"/>
      <c r="AF237" s="268"/>
      <c r="AG237" s="268"/>
      <c r="AH237" s="268"/>
      <c r="AI237" s="268"/>
      <c r="AJ237" s="268"/>
      <c r="AK237" s="268"/>
      <c r="AL237" s="268"/>
      <c r="AM237" s="268"/>
    </row>
    <row r="238">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85"/>
      <c r="W238" s="268"/>
      <c r="X238" s="268"/>
      <c r="Y238" s="268"/>
      <c r="Z238" s="268"/>
      <c r="AA238" s="268"/>
      <c r="AB238" s="268"/>
      <c r="AC238" s="268"/>
      <c r="AD238" s="268"/>
      <c r="AE238" s="268"/>
      <c r="AF238" s="268"/>
      <c r="AG238" s="268"/>
      <c r="AH238" s="268"/>
      <c r="AI238" s="268"/>
      <c r="AJ238" s="268"/>
      <c r="AK238" s="268"/>
      <c r="AL238" s="268"/>
      <c r="AM238" s="268"/>
    </row>
    <row r="23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85"/>
      <c r="W239" s="268"/>
      <c r="X239" s="268"/>
      <c r="Y239" s="268"/>
      <c r="Z239" s="268"/>
      <c r="AA239" s="268"/>
      <c r="AB239" s="268"/>
      <c r="AC239" s="268"/>
      <c r="AD239" s="268"/>
      <c r="AE239" s="268"/>
      <c r="AF239" s="268"/>
      <c r="AG239" s="268"/>
      <c r="AH239" s="268"/>
      <c r="AI239" s="268"/>
      <c r="AJ239" s="268"/>
      <c r="AK239" s="268"/>
      <c r="AL239" s="268"/>
      <c r="AM239" s="268"/>
    </row>
    <row r="240">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85"/>
      <c r="W240" s="268"/>
      <c r="X240" s="268"/>
      <c r="Y240" s="268"/>
      <c r="Z240" s="268"/>
      <c r="AA240" s="268"/>
      <c r="AB240" s="268"/>
      <c r="AC240" s="268"/>
      <c r="AD240" s="268"/>
      <c r="AE240" s="268"/>
      <c r="AF240" s="268"/>
      <c r="AG240" s="268"/>
      <c r="AH240" s="268"/>
      <c r="AI240" s="268"/>
      <c r="AJ240" s="268"/>
      <c r="AK240" s="268"/>
      <c r="AL240" s="268"/>
      <c r="AM240" s="268"/>
    </row>
    <row r="24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85"/>
      <c r="W241" s="268"/>
      <c r="X241" s="268"/>
      <c r="Y241" s="268"/>
      <c r="Z241" s="268"/>
      <c r="AA241" s="268"/>
      <c r="AB241" s="268"/>
      <c r="AC241" s="268"/>
      <c r="AD241" s="268"/>
      <c r="AE241" s="268"/>
      <c r="AF241" s="268"/>
      <c r="AG241" s="268"/>
      <c r="AH241" s="268"/>
      <c r="AI241" s="268"/>
      <c r="AJ241" s="268"/>
      <c r="AK241" s="268"/>
      <c r="AL241" s="268"/>
      <c r="AM241" s="268"/>
    </row>
    <row r="242">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85"/>
      <c r="W242" s="268"/>
      <c r="X242" s="268"/>
      <c r="Y242" s="268"/>
      <c r="Z242" s="268"/>
      <c r="AA242" s="268"/>
      <c r="AB242" s="268"/>
      <c r="AC242" s="268"/>
      <c r="AD242" s="268"/>
      <c r="AE242" s="268"/>
      <c r="AF242" s="268"/>
      <c r="AG242" s="268"/>
      <c r="AH242" s="268"/>
      <c r="AI242" s="268"/>
      <c r="AJ242" s="268"/>
      <c r="AK242" s="268"/>
      <c r="AL242" s="268"/>
      <c r="AM242" s="268"/>
    </row>
    <row r="243">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85"/>
      <c r="W243" s="268"/>
      <c r="X243" s="268"/>
      <c r="Y243" s="268"/>
      <c r="Z243" s="268"/>
      <c r="AA243" s="268"/>
      <c r="AB243" s="268"/>
      <c r="AC243" s="268"/>
      <c r="AD243" s="268"/>
      <c r="AE243" s="268"/>
      <c r="AF243" s="268"/>
      <c r="AG243" s="268"/>
      <c r="AH243" s="268"/>
      <c r="AI243" s="268"/>
      <c r="AJ243" s="268"/>
      <c r="AK243" s="268"/>
      <c r="AL243" s="268"/>
      <c r="AM243" s="268"/>
    </row>
    <row r="244">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85"/>
      <c r="W244" s="268"/>
      <c r="X244" s="268"/>
      <c r="Y244" s="268"/>
      <c r="Z244" s="268"/>
      <c r="AA244" s="268"/>
      <c r="AB244" s="268"/>
      <c r="AC244" s="268"/>
      <c r="AD244" s="268"/>
      <c r="AE244" s="268"/>
      <c r="AF244" s="268"/>
      <c r="AG244" s="268"/>
      <c r="AH244" s="268"/>
      <c r="AI244" s="268"/>
      <c r="AJ244" s="268"/>
      <c r="AK244" s="268"/>
      <c r="AL244" s="268"/>
      <c r="AM244" s="268"/>
    </row>
    <row r="24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85"/>
      <c r="W245" s="268"/>
      <c r="X245" s="268"/>
      <c r="Y245" s="268"/>
      <c r="Z245" s="268"/>
      <c r="AA245" s="268"/>
      <c r="AB245" s="268"/>
      <c r="AC245" s="268"/>
      <c r="AD245" s="268"/>
      <c r="AE245" s="268"/>
      <c r="AF245" s="268"/>
      <c r="AG245" s="268"/>
      <c r="AH245" s="268"/>
      <c r="AI245" s="268"/>
      <c r="AJ245" s="268"/>
      <c r="AK245" s="268"/>
      <c r="AL245" s="268"/>
      <c r="AM245" s="268"/>
    </row>
    <row r="246">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85"/>
      <c r="W246" s="268"/>
      <c r="X246" s="268"/>
      <c r="Y246" s="268"/>
      <c r="Z246" s="268"/>
      <c r="AA246" s="268"/>
      <c r="AB246" s="268"/>
      <c r="AC246" s="268"/>
      <c r="AD246" s="268"/>
      <c r="AE246" s="268"/>
      <c r="AF246" s="268"/>
      <c r="AG246" s="268"/>
      <c r="AH246" s="268"/>
      <c r="AI246" s="268"/>
      <c r="AJ246" s="268"/>
      <c r="AK246" s="268"/>
      <c r="AL246" s="268"/>
      <c r="AM246" s="268"/>
    </row>
    <row r="247">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85"/>
      <c r="W247" s="268"/>
      <c r="X247" s="268"/>
      <c r="Y247" s="268"/>
      <c r="Z247" s="268"/>
      <c r="AA247" s="268"/>
      <c r="AB247" s="268"/>
      <c r="AC247" s="268"/>
      <c r="AD247" s="268"/>
      <c r="AE247" s="268"/>
      <c r="AF247" s="268"/>
      <c r="AG247" s="268"/>
      <c r="AH247" s="268"/>
      <c r="AI247" s="268"/>
      <c r="AJ247" s="268"/>
      <c r="AK247" s="268"/>
      <c r="AL247" s="268"/>
      <c r="AM247" s="268"/>
    </row>
    <row r="248">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85"/>
      <c r="W248" s="268"/>
      <c r="X248" s="268"/>
      <c r="Y248" s="268"/>
      <c r="Z248" s="268"/>
      <c r="AA248" s="268"/>
      <c r="AB248" s="268"/>
      <c r="AC248" s="268"/>
      <c r="AD248" s="268"/>
      <c r="AE248" s="268"/>
      <c r="AF248" s="268"/>
      <c r="AG248" s="268"/>
      <c r="AH248" s="268"/>
      <c r="AI248" s="268"/>
      <c r="AJ248" s="268"/>
      <c r="AK248" s="268"/>
      <c r="AL248" s="268"/>
      <c r="AM248" s="268"/>
    </row>
    <row r="24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85"/>
      <c r="W249" s="268"/>
      <c r="X249" s="268"/>
      <c r="Y249" s="268"/>
      <c r="Z249" s="268"/>
      <c r="AA249" s="268"/>
      <c r="AB249" s="268"/>
      <c r="AC249" s="268"/>
      <c r="AD249" s="268"/>
      <c r="AE249" s="268"/>
      <c r="AF249" s="268"/>
      <c r="AG249" s="268"/>
      <c r="AH249" s="268"/>
      <c r="AI249" s="268"/>
      <c r="AJ249" s="268"/>
      <c r="AK249" s="268"/>
      <c r="AL249" s="268"/>
      <c r="AM249" s="268"/>
    </row>
    <row r="250">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85"/>
      <c r="W250" s="268"/>
      <c r="X250" s="268"/>
      <c r="Y250" s="268"/>
      <c r="Z250" s="268"/>
      <c r="AA250" s="268"/>
      <c r="AB250" s="268"/>
      <c r="AC250" s="268"/>
      <c r="AD250" s="268"/>
      <c r="AE250" s="268"/>
      <c r="AF250" s="268"/>
      <c r="AG250" s="268"/>
      <c r="AH250" s="268"/>
      <c r="AI250" s="268"/>
      <c r="AJ250" s="268"/>
      <c r="AK250" s="268"/>
      <c r="AL250" s="268"/>
      <c r="AM250" s="268"/>
    </row>
    <row r="25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85"/>
      <c r="W251" s="268"/>
      <c r="X251" s="268"/>
      <c r="Y251" s="268"/>
      <c r="Z251" s="268"/>
      <c r="AA251" s="268"/>
      <c r="AB251" s="268"/>
      <c r="AC251" s="268"/>
      <c r="AD251" s="268"/>
      <c r="AE251" s="268"/>
      <c r="AF251" s="268"/>
      <c r="AG251" s="268"/>
      <c r="AH251" s="268"/>
      <c r="AI251" s="268"/>
      <c r="AJ251" s="268"/>
      <c r="AK251" s="268"/>
      <c r="AL251" s="268"/>
      <c r="AM251" s="268"/>
    </row>
    <row r="252">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85"/>
      <c r="W252" s="268"/>
      <c r="X252" s="268"/>
      <c r="Y252" s="268"/>
      <c r="Z252" s="268"/>
      <c r="AA252" s="268"/>
      <c r="AB252" s="268"/>
      <c r="AC252" s="268"/>
      <c r="AD252" s="268"/>
      <c r="AE252" s="268"/>
      <c r="AF252" s="268"/>
      <c r="AG252" s="268"/>
      <c r="AH252" s="268"/>
      <c r="AI252" s="268"/>
      <c r="AJ252" s="268"/>
      <c r="AK252" s="268"/>
      <c r="AL252" s="268"/>
      <c r="AM252" s="268"/>
    </row>
    <row r="253">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85"/>
      <c r="W253" s="268"/>
      <c r="X253" s="268"/>
      <c r="Y253" s="268"/>
      <c r="Z253" s="268"/>
      <c r="AA253" s="268"/>
      <c r="AB253" s="268"/>
      <c r="AC253" s="268"/>
      <c r="AD253" s="268"/>
      <c r="AE253" s="268"/>
      <c r="AF253" s="268"/>
      <c r="AG253" s="268"/>
      <c r="AH253" s="268"/>
      <c r="AI253" s="268"/>
      <c r="AJ253" s="268"/>
      <c r="AK253" s="268"/>
      <c r="AL253" s="268"/>
      <c r="AM253" s="268"/>
    </row>
    <row r="254">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85"/>
      <c r="W254" s="268"/>
      <c r="X254" s="268"/>
      <c r="Y254" s="268"/>
      <c r="Z254" s="268"/>
      <c r="AA254" s="268"/>
      <c r="AB254" s="268"/>
      <c r="AC254" s="268"/>
      <c r="AD254" s="268"/>
      <c r="AE254" s="268"/>
      <c r="AF254" s="268"/>
      <c r="AG254" s="268"/>
      <c r="AH254" s="268"/>
      <c r="AI254" s="268"/>
      <c r="AJ254" s="268"/>
      <c r="AK254" s="268"/>
      <c r="AL254" s="268"/>
      <c r="AM254" s="268"/>
    </row>
    <row r="25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85"/>
      <c r="W255" s="268"/>
      <c r="X255" s="268"/>
      <c r="Y255" s="268"/>
      <c r="Z255" s="268"/>
      <c r="AA255" s="268"/>
      <c r="AB255" s="268"/>
      <c r="AC255" s="268"/>
      <c r="AD255" s="268"/>
      <c r="AE255" s="268"/>
      <c r="AF255" s="268"/>
      <c r="AG255" s="268"/>
      <c r="AH255" s="268"/>
      <c r="AI255" s="268"/>
      <c r="AJ255" s="268"/>
      <c r="AK255" s="268"/>
      <c r="AL255" s="268"/>
      <c r="AM255" s="268"/>
    </row>
    <row r="256">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85"/>
      <c r="W256" s="268"/>
      <c r="X256" s="268"/>
      <c r="Y256" s="268"/>
      <c r="Z256" s="268"/>
      <c r="AA256" s="268"/>
      <c r="AB256" s="268"/>
      <c r="AC256" s="268"/>
      <c r="AD256" s="268"/>
      <c r="AE256" s="268"/>
      <c r="AF256" s="268"/>
      <c r="AG256" s="268"/>
      <c r="AH256" s="268"/>
      <c r="AI256" s="268"/>
      <c r="AJ256" s="268"/>
      <c r="AK256" s="268"/>
      <c r="AL256" s="268"/>
      <c r="AM256" s="268"/>
    </row>
    <row r="257">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85"/>
      <c r="W257" s="268"/>
      <c r="X257" s="268"/>
      <c r="Y257" s="268"/>
      <c r="Z257" s="268"/>
      <c r="AA257" s="268"/>
      <c r="AB257" s="268"/>
      <c r="AC257" s="268"/>
      <c r="AD257" s="268"/>
      <c r="AE257" s="268"/>
      <c r="AF257" s="268"/>
      <c r="AG257" s="268"/>
      <c r="AH257" s="268"/>
      <c r="AI257" s="268"/>
      <c r="AJ257" s="268"/>
      <c r="AK257" s="268"/>
      <c r="AL257" s="268"/>
      <c r="AM257" s="268"/>
    </row>
    <row r="258">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85"/>
      <c r="W258" s="268"/>
      <c r="X258" s="268"/>
      <c r="Y258" s="268"/>
      <c r="Z258" s="268"/>
      <c r="AA258" s="268"/>
      <c r="AB258" s="268"/>
      <c r="AC258" s="268"/>
      <c r="AD258" s="268"/>
      <c r="AE258" s="268"/>
      <c r="AF258" s="268"/>
      <c r="AG258" s="268"/>
      <c r="AH258" s="268"/>
      <c r="AI258" s="268"/>
      <c r="AJ258" s="268"/>
      <c r="AK258" s="268"/>
      <c r="AL258" s="268"/>
      <c r="AM258" s="268"/>
    </row>
    <row r="25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85"/>
      <c r="W259" s="268"/>
      <c r="X259" s="268"/>
      <c r="Y259" s="268"/>
      <c r="Z259" s="268"/>
      <c r="AA259" s="268"/>
      <c r="AB259" s="268"/>
      <c r="AC259" s="268"/>
      <c r="AD259" s="268"/>
      <c r="AE259" s="268"/>
      <c r="AF259" s="268"/>
      <c r="AG259" s="268"/>
      <c r="AH259" s="268"/>
      <c r="AI259" s="268"/>
      <c r="AJ259" s="268"/>
      <c r="AK259" s="268"/>
      <c r="AL259" s="268"/>
      <c r="AM259" s="268"/>
    </row>
    <row r="260">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85"/>
      <c r="W260" s="268"/>
      <c r="X260" s="268"/>
      <c r="Y260" s="268"/>
      <c r="Z260" s="268"/>
      <c r="AA260" s="268"/>
      <c r="AB260" s="268"/>
      <c r="AC260" s="268"/>
      <c r="AD260" s="268"/>
      <c r="AE260" s="268"/>
      <c r="AF260" s="268"/>
      <c r="AG260" s="268"/>
      <c r="AH260" s="268"/>
      <c r="AI260" s="268"/>
      <c r="AJ260" s="268"/>
      <c r="AK260" s="268"/>
      <c r="AL260" s="268"/>
      <c r="AM260" s="268"/>
    </row>
    <row r="26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85"/>
      <c r="W261" s="268"/>
      <c r="X261" s="268"/>
      <c r="Y261" s="268"/>
      <c r="Z261" s="268"/>
      <c r="AA261" s="268"/>
      <c r="AB261" s="268"/>
      <c r="AC261" s="268"/>
      <c r="AD261" s="268"/>
      <c r="AE261" s="268"/>
      <c r="AF261" s="268"/>
      <c r="AG261" s="268"/>
      <c r="AH261" s="268"/>
      <c r="AI261" s="268"/>
      <c r="AJ261" s="268"/>
      <c r="AK261" s="268"/>
      <c r="AL261" s="268"/>
      <c r="AM261" s="268"/>
    </row>
    <row r="262">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85"/>
      <c r="W262" s="268"/>
      <c r="X262" s="268"/>
      <c r="Y262" s="268"/>
      <c r="Z262" s="268"/>
      <c r="AA262" s="268"/>
      <c r="AB262" s="268"/>
      <c r="AC262" s="268"/>
      <c r="AD262" s="268"/>
      <c r="AE262" s="268"/>
      <c r="AF262" s="268"/>
      <c r="AG262" s="268"/>
      <c r="AH262" s="268"/>
      <c r="AI262" s="268"/>
      <c r="AJ262" s="268"/>
      <c r="AK262" s="268"/>
      <c r="AL262" s="268"/>
      <c r="AM262" s="268"/>
    </row>
    <row r="263">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85"/>
      <c r="W263" s="268"/>
      <c r="X263" s="268"/>
      <c r="Y263" s="268"/>
      <c r="Z263" s="268"/>
      <c r="AA263" s="268"/>
      <c r="AB263" s="268"/>
      <c r="AC263" s="268"/>
      <c r="AD263" s="268"/>
      <c r="AE263" s="268"/>
      <c r="AF263" s="268"/>
      <c r="AG263" s="268"/>
      <c r="AH263" s="268"/>
      <c r="AI263" s="268"/>
      <c r="AJ263" s="268"/>
      <c r="AK263" s="268"/>
      <c r="AL263" s="268"/>
      <c r="AM263" s="268"/>
    </row>
    <row r="264">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85"/>
      <c r="W264" s="268"/>
      <c r="X264" s="268"/>
      <c r="Y264" s="268"/>
      <c r="Z264" s="268"/>
      <c r="AA264" s="268"/>
      <c r="AB264" s="268"/>
      <c r="AC264" s="268"/>
      <c r="AD264" s="268"/>
      <c r="AE264" s="268"/>
      <c r="AF264" s="268"/>
      <c r="AG264" s="268"/>
      <c r="AH264" s="268"/>
      <c r="AI264" s="268"/>
      <c r="AJ264" s="268"/>
      <c r="AK264" s="268"/>
      <c r="AL264" s="268"/>
      <c r="AM264" s="268"/>
    </row>
    <row r="26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85"/>
      <c r="W265" s="268"/>
      <c r="X265" s="268"/>
      <c r="Y265" s="268"/>
      <c r="Z265" s="268"/>
      <c r="AA265" s="268"/>
      <c r="AB265" s="268"/>
      <c r="AC265" s="268"/>
      <c r="AD265" s="268"/>
      <c r="AE265" s="268"/>
      <c r="AF265" s="268"/>
      <c r="AG265" s="268"/>
      <c r="AH265" s="268"/>
      <c r="AI265" s="268"/>
      <c r="AJ265" s="268"/>
      <c r="AK265" s="268"/>
      <c r="AL265" s="268"/>
      <c r="AM265" s="268"/>
    </row>
    <row r="266">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85"/>
      <c r="W266" s="268"/>
      <c r="X266" s="268"/>
      <c r="Y266" s="268"/>
      <c r="Z266" s="268"/>
      <c r="AA266" s="268"/>
      <c r="AB266" s="268"/>
      <c r="AC266" s="268"/>
      <c r="AD266" s="268"/>
      <c r="AE266" s="268"/>
      <c r="AF266" s="268"/>
      <c r="AG266" s="268"/>
      <c r="AH266" s="268"/>
      <c r="AI266" s="268"/>
      <c r="AJ266" s="268"/>
      <c r="AK266" s="268"/>
      <c r="AL266" s="268"/>
      <c r="AM266" s="268"/>
    </row>
    <row r="267">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85"/>
      <c r="W267" s="268"/>
      <c r="X267" s="268"/>
      <c r="Y267" s="268"/>
      <c r="Z267" s="268"/>
      <c r="AA267" s="268"/>
      <c r="AB267" s="268"/>
      <c r="AC267" s="268"/>
      <c r="AD267" s="268"/>
      <c r="AE267" s="268"/>
      <c r="AF267" s="268"/>
      <c r="AG267" s="268"/>
      <c r="AH267" s="268"/>
      <c r="AI267" s="268"/>
      <c r="AJ267" s="268"/>
      <c r="AK267" s="268"/>
      <c r="AL267" s="268"/>
      <c r="AM267" s="268"/>
    </row>
    <row r="268">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85"/>
      <c r="W268" s="268"/>
      <c r="X268" s="268"/>
      <c r="Y268" s="268"/>
      <c r="Z268" s="268"/>
      <c r="AA268" s="268"/>
      <c r="AB268" s="268"/>
      <c r="AC268" s="268"/>
      <c r="AD268" s="268"/>
      <c r="AE268" s="268"/>
      <c r="AF268" s="268"/>
      <c r="AG268" s="268"/>
      <c r="AH268" s="268"/>
      <c r="AI268" s="268"/>
      <c r="AJ268" s="268"/>
      <c r="AK268" s="268"/>
      <c r="AL268" s="268"/>
      <c r="AM268" s="268"/>
    </row>
    <row r="26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85"/>
      <c r="W269" s="268"/>
      <c r="X269" s="268"/>
      <c r="Y269" s="268"/>
      <c r="Z269" s="268"/>
      <c r="AA269" s="268"/>
      <c r="AB269" s="268"/>
      <c r="AC269" s="268"/>
      <c r="AD269" s="268"/>
      <c r="AE269" s="268"/>
      <c r="AF269" s="268"/>
      <c r="AG269" s="268"/>
      <c r="AH269" s="268"/>
      <c r="AI269" s="268"/>
      <c r="AJ269" s="268"/>
      <c r="AK269" s="268"/>
      <c r="AL269" s="268"/>
      <c r="AM269" s="268"/>
    </row>
    <row r="270">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85"/>
      <c r="W270" s="268"/>
      <c r="X270" s="268"/>
      <c r="Y270" s="268"/>
      <c r="Z270" s="268"/>
      <c r="AA270" s="268"/>
      <c r="AB270" s="268"/>
      <c r="AC270" s="268"/>
      <c r="AD270" s="268"/>
      <c r="AE270" s="268"/>
      <c r="AF270" s="268"/>
      <c r="AG270" s="268"/>
      <c r="AH270" s="268"/>
      <c r="AI270" s="268"/>
      <c r="AJ270" s="268"/>
      <c r="AK270" s="268"/>
      <c r="AL270" s="268"/>
      <c r="AM270" s="268"/>
    </row>
    <row r="27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85"/>
      <c r="W271" s="268"/>
      <c r="X271" s="268"/>
      <c r="Y271" s="268"/>
      <c r="Z271" s="268"/>
      <c r="AA271" s="268"/>
      <c r="AB271" s="268"/>
      <c r="AC271" s="268"/>
      <c r="AD271" s="268"/>
      <c r="AE271" s="268"/>
      <c r="AF271" s="268"/>
      <c r="AG271" s="268"/>
      <c r="AH271" s="268"/>
      <c r="AI271" s="268"/>
      <c r="AJ271" s="268"/>
      <c r="AK271" s="268"/>
      <c r="AL271" s="268"/>
      <c r="AM271" s="268"/>
    </row>
    <row r="272">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85"/>
      <c r="W272" s="268"/>
      <c r="X272" s="268"/>
      <c r="Y272" s="268"/>
      <c r="Z272" s="268"/>
      <c r="AA272" s="268"/>
      <c r="AB272" s="268"/>
      <c r="AC272" s="268"/>
      <c r="AD272" s="268"/>
      <c r="AE272" s="268"/>
      <c r="AF272" s="268"/>
      <c r="AG272" s="268"/>
      <c r="AH272" s="268"/>
      <c r="AI272" s="268"/>
      <c r="AJ272" s="268"/>
      <c r="AK272" s="268"/>
      <c r="AL272" s="268"/>
      <c r="AM272" s="268"/>
    </row>
    <row r="273">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85"/>
      <c r="W273" s="268"/>
      <c r="X273" s="268"/>
      <c r="Y273" s="268"/>
      <c r="Z273" s="268"/>
      <c r="AA273" s="268"/>
      <c r="AB273" s="268"/>
      <c r="AC273" s="268"/>
      <c r="AD273" s="268"/>
      <c r="AE273" s="268"/>
      <c r="AF273" s="268"/>
      <c r="AG273" s="268"/>
      <c r="AH273" s="268"/>
      <c r="AI273" s="268"/>
      <c r="AJ273" s="268"/>
      <c r="AK273" s="268"/>
      <c r="AL273" s="268"/>
      <c r="AM273" s="268"/>
    </row>
    <row r="274">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85"/>
      <c r="W274" s="268"/>
      <c r="X274" s="268"/>
      <c r="Y274" s="268"/>
      <c r="Z274" s="268"/>
      <c r="AA274" s="268"/>
      <c r="AB274" s="268"/>
      <c r="AC274" s="268"/>
      <c r="AD274" s="268"/>
      <c r="AE274" s="268"/>
      <c r="AF274" s="268"/>
      <c r="AG274" s="268"/>
      <c r="AH274" s="268"/>
      <c r="AI274" s="268"/>
      <c r="AJ274" s="268"/>
      <c r="AK274" s="268"/>
      <c r="AL274" s="268"/>
      <c r="AM274" s="268"/>
    </row>
    <row r="27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85"/>
      <c r="W275" s="268"/>
      <c r="X275" s="268"/>
      <c r="Y275" s="268"/>
      <c r="Z275" s="268"/>
      <c r="AA275" s="268"/>
      <c r="AB275" s="268"/>
      <c r="AC275" s="268"/>
      <c r="AD275" s="268"/>
      <c r="AE275" s="268"/>
      <c r="AF275" s="268"/>
      <c r="AG275" s="268"/>
      <c r="AH275" s="268"/>
      <c r="AI275" s="268"/>
      <c r="AJ275" s="268"/>
      <c r="AK275" s="268"/>
      <c r="AL275" s="268"/>
      <c r="AM275" s="268"/>
    </row>
    <row r="276">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85"/>
      <c r="W276" s="268"/>
      <c r="X276" s="268"/>
      <c r="Y276" s="268"/>
      <c r="Z276" s="268"/>
      <c r="AA276" s="268"/>
      <c r="AB276" s="268"/>
      <c r="AC276" s="268"/>
      <c r="AD276" s="268"/>
      <c r="AE276" s="268"/>
      <c r="AF276" s="268"/>
      <c r="AG276" s="268"/>
      <c r="AH276" s="268"/>
      <c r="AI276" s="268"/>
      <c r="AJ276" s="268"/>
      <c r="AK276" s="268"/>
      <c r="AL276" s="268"/>
      <c r="AM276" s="268"/>
    </row>
    <row r="277">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85"/>
      <c r="W277" s="268"/>
      <c r="X277" s="268"/>
      <c r="Y277" s="268"/>
      <c r="Z277" s="268"/>
      <c r="AA277" s="268"/>
      <c r="AB277" s="268"/>
      <c r="AC277" s="268"/>
      <c r="AD277" s="268"/>
      <c r="AE277" s="268"/>
      <c r="AF277" s="268"/>
      <c r="AG277" s="268"/>
      <c r="AH277" s="268"/>
      <c r="AI277" s="268"/>
      <c r="AJ277" s="268"/>
      <c r="AK277" s="268"/>
      <c r="AL277" s="268"/>
      <c r="AM277" s="268"/>
    </row>
    <row r="278">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85"/>
      <c r="W278" s="268"/>
      <c r="X278" s="268"/>
      <c r="Y278" s="268"/>
      <c r="Z278" s="268"/>
      <c r="AA278" s="268"/>
      <c r="AB278" s="268"/>
      <c r="AC278" s="268"/>
      <c r="AD278" s="268"/>
      <c r="AE278" s="268"/>
      <c r="AF278" s="268"/>
      <c r="AG278" s="268"/>
      <c r="AH278" s="268"/>
      <c r="AI278" s="268"/>
      <c r="AJ278" s="268"/>
      <c r="AK278" s="268"/>
      <c r="AL278" s="268"/>
      <c r="AM278" s="268"/>
    </row>
    <row r="27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85"/>
      <c r="W279" s="268"/>
      <c r="X279" s="268"/>
      <c r="Y279" s="268"/>
      <c r="Z279" s="268"/>
      <c r="AA279" s="268"/>
      <c r="AB279" s="268"/>
      <c r="AC279" s="268"/>
      <c r="AD279" s="268"/>
      <c r="AE279" s="268"/>
      <c r="AF279" s="268"/>
      <c r="AG279" s="268"/>
      <c r="AH279" s="268"/>
      <c r="AI279" s="268"/>
      <c r="AJ279" s="268"/>
      <c r="AK279" s="268"/>
      <c r="AL279" s="268"/>
      <c r="AM279" s="268"/>
    </row>
    <row r="280">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85"/>
      <c r="W280" s="268"/>
      <c r="X280" s="268"/>
      <c r="Y280" s="268"/>
      <c r="Z280" s="268"/>
      <c r="AA280" s="268"/>
      <c r="AB280" s="268"/>
      <c r="AC280" s="268"/>
      <c r="AD280" s="268"/>
      <c r="AE280" s="268"/>
      <c r="AF280" s="268"/>
      <c r="AG280" s="268"/>
      <c r="AH280" s="268"/>
      <c r="AI280" s="268"/>
      <c r="AJ280" s="268"/>
      <c r="AK280" s="268"/>
      <c r="AL280" s="268"/>
      <c r="AM280" s="268"/>
    </row>
    <row r="28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85"/>
      <c r="W281" s="268"/>
      <c r="X281" s="268"/>
      <c r="Y281" s="268"/>
      <c r="Z281" s="268"/>
      <c r="AA281" s="268"/>
      <c r="AB281" s="268"/>
      <c r="AC281" s="268"/>
      <c r="AD281" s="268"/>
      <c r="AE281" s="268"/>
      <c r="AF281" s="268"/>
      <c r="AG281" s="268"/>
      <c r="AH281" s="268"/>
      <c r="AI281" s="268"/>
      <c r="AJ281" s="268"/>
      <c r="AK281" s="268"/>
      <c r="AL281" s="268"/>
      <c r="AM281" s="268"/>
    </row>
    <row r="282">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85"/>
      <c r="W282" s="268"/>
      <c r="X282" s="268"/>
      <c r="Y282" s="268"/>
      <c r="Z282" s="268"/>
      <c r="AA282" s="268"/>
      <c r="AB282" s="268"/>
      <c r="AC282" s="268"/>
      <c r="AD282" s="268"/>
      <c r="AE282" s="268"/>
      <c r="AF282" s="268"/>
      <c r="AG282" s="268"/>
      <c r="AH282" s="268"/>
      <c r="AI282" s="268"/>
      <c r="AJ282" s="268"/>
      <c r="AK282" s="268"/>
      <c r="AL282" s="268"/>
      <c r="AM282" s="268"/>
    </row>
    <row r="283">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85"/>
      <c r="W283" s="268"/>
      <c r="X283" s="268"/>
      <c r="Y283" s="268"/>
      <c r="Z283" s="268"/>
      <c r="AA283" s="268"/>
      <c r="AB283" s="268"/>
      <c r="AC283" s="268"/>
      <c r="AD283" s="268"/>
      <c r="AE283" s="268"/>
      <c r="AF283" s="268"/>
      <c r="AG283" s="268"/>
      <c r="AH283" s="268"/>
      <c r="AI283" s="268"/>
      <c r="AJ283" s="268"/>
      <c r="AK283" s="268"/>
      <c r="AL283" s="268"/>
      <c r="AM283" s="268"/>
    </row>
    <row r="284">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85"/>
      <c r="W284" s="268"/>
      <c r="X284" s="268"/>
      <c r="Y284" s="268"/>
      <c r="Z284" s="268"/>
      <c r="AA284" s="268"/>
      <c r="AB284" s="268"/>
      <c r="AC284" s="268"/>
      <c r="AD284" s="268"/>
      <c r="AE284" s="268"/>
      <c r="AF284" s="268"/>
      <c r="AG284" s="268"/>
      <c r="AH284" s="268"/>
      <c r="AI284" s="268"/>
      <c r="AJ284" s="268"/>
      <c r="AK284" s="268"/>
      <c r="AL284" s="268"/>
      <c r="AM284" s="268"/>
    </row>
    <row r="28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85"/>
      <c r="W285" s="268"/>
      <c r="X285" s="268"/>
      <c r="Y285" s="268"/>
      <c r="Z285" s="268"/>
      <c r="AA285" s="268"/>
      <c r="AB285" s="268"/>
      <c r="AC285" s="268"/>
      <c r="AD285" s="268"/>
      <c r="AE285" s="268"/>
      <c r="AF285" s="268"/>
      <c r="AG285" s="268"/>
      <c r="AH285" s="268"/>
      <c r="AI285" s="268"/>
      <c r="AJ285" s="268"/>
      <c r="AK285" s="268"/>
      <c r="AL285" s="268"/>
      <c r="AM285" s="268"/>
    </row>
    <row r="286">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85"/>
      <c r="W286" s="268"/>
      <c r="X286" s="268"/>
      <c r="Y286" s="268"/>
      <c r="Z286" s="268"/>
      <c r="AA286" s="268"/>
      <c r="AB286" s="268"/>
      <c r="AC286" s="268"/>
      <c r="AD286" s="268"/>
      <c r="AE286" s="268"/>
      <c r="AF286" s="268"/>
      <c r="AG286" s="268"/>
      <c r="AH286" s="268"/>
      <c r="AI286" s="268"/>
      <c r="AJ286" s="268"/>
      <c r="AK286" s="268"/>
      <c r="AL286" s="268"/>
      <c r="AM286" s="268"/>
    </row>
    <row r="287">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85"/>
      <c r="W287" s="268"/>
      <c r="X287" s="268"/>
      <c r="Y287" s="268"/>
      <c r="Z287" s="268"/>
      <c r="AA287" s="268"/>
      <c r="AB287" s="268"/>
      <c r="AC287" s="268"/>
      <c r="AD287" s="268"/>
      <c r="AE287" s="268"/>
      <c r="AF287" s="268"/>
      <c r="AG287" s="268"/>
      <c r="AH287" s="268"/>
      <c r="AI287" s="268"/>
      <c r="AJ287" s="268"/>
      <c r="AK287" s="268"/>
      <c r="AL287" s="268"/>
      <c r="AM287" s="268"/>
    </row>
    <row r="288">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85"/>
      <c r="W288" s="268"/>
      <c r="X288" s="268"/>
      <c r="Y288" s="268"/>
      <c r="Z288" s="268"/>
      <c r="AA288" s="268"/>
      <c r="AB288" s="268"/>
      <c r="AC288" s="268"/>
      <c r="AD288" s="268"/>
      <c r="AE288" s="268"/>
      <c r="AF288" s="268"/>
      <c r="AG288" s="268"/>
      <c r="AH288" s="268"/>
      <c r="AI288" s="268"/>
      <c r="AJ288" s="268"/>
      <c r="AK288" s="268"/>
      <c r="AL288" s="268"/>
      <c r="AM288" s="268"/>
    </row>
    <row r="28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85"/>
      <c r="W289" s="268"/>
      <c r="X289" s="268"/>
      <c r="Y289" s="268"/>
      <c r="Z289" s="268"/>
      <c r="AA289" s="268"/>
      <c r="AB289" s="268"/>
      <c r="AC289" s="268"/>
      <c r="AD289" s="268"/>
      <c r="AE289" s="268"/>
      <c r="AF289" s="268"/>
      <c r="AG289" s="268"/>
      <c r="AH289" s="268"/>
      <c r="AI289" s="268"/>
      <c r="AJ289" s="268"/>
      <c r="AK289" s="268"/>
      <c r="AL289" s="268"/>
      <c r="AM289" s="268"/>
    </row>
    <row r="290">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85"/>
      <c r="W290" s="268"/>
      <c r="X290" s="268"/>
      <c r="Y290" s="268"/>
      <c r="Z290" s="268"/>
      <c r="AA290" s="268"/>
      <c r="AB290" s="268"/>
      <c r="AC290" s="268"/>
      <c r="AD290" s="268"/>
      <c r="AE290" s="268"/>
      <c r="AF290" s="268"/>
      <c r="AG290" s="268"/>
      <c r="AH290" s="268"/>
      <c r="AI290" s="268"/>
      <c r="AJ290" s="268"/>
      <c r="AK290" s="268"/>
      <c r="AL290" s="268"/>
      <c r="AM290" s="268"/>
    </row>
    <row r="29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85"/>
      <c r="W291" s="268"/>
      <c r="X291" s="268"/>
      <c r="Y291" s="268"/>
      <c r="Z291" s="268"/>
      <c r="AA291" s="268"/>
      <c r="AB291" s="268"/>
      <c r="AC291" s="268"/>
      <c r="AD291" s="268"/>
      <c r="AE291" s="268"/>
      <c r="AF291" s="268"/>
      <c r="AG291" s="268"/>
      <c r="AH291" s="268"/>
      <c r="AI291" s="268"/>
      <c r="AJ291" s="268"/>
      <c r="AK291" s="268"/>
      <c r="AL291" s="268"/>
      <c r="AM291" s="268"/>
    </row>
    <row r="292">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85"/>
      <c r="W292" s="268"/>
      <c r="X292" s="268"/>
      <c r="Y292" s="268"/>
      <c r="Z292" s="268"/>
      <c r="AA292" s="268"/>
      <c r="AB292" s="268"/>
      <c r="AC292" s="268"/>
      <c r="AD292" s="268"/>
      <c r="AE292" s="268"/>
      <c r="AF292" s="268"/>
      <c r="AG292" s="268"/>
      <c r="AH292" s="268"/>
      <c r="AI292" s="268"/>
      <c r="AJ292" s="268"/>
      <c r="AK292" s="268"/>
      <c r="AL292" s="268"/>
      <c r="AM292" s="268"/>
    </row>
    <row r="293">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85"/>
      <c r="W293" s="268"/>
      <c r="X293" s="268"/>
      <c r="Y293" s="268"/>
      <c r="Z293" s="268"/>
      <c r="AA293" s="268"/>
      <c r="AB293" s="268"/>
      <c r="AC293" s="268"/>
      <c r="AD293" s="268"/>
      <c r="AE293" s="268"/>
      <c r="AF293" s="268"/>
      <c r="AG293" s="268"/>
      <c r="AH293" s="268"/>
      <c r="AI293" s="268"/>
      <c r="AJ293" s="268"/>
      <c r="AK293" s="268"/>
      <c r="AL293" s="268"/>
      <c r="AM293" s="268"/>
    </row>
    <row r="294">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85"/>
      <c r="W294" s="268"/>
      <c r="X294" s="268"/>
      <c r="Y294" s="268"/>
      <c r="Z294" s="268"/>
      <c r="AA294" s="268"/>
      <c r="AB294" s="268"/>
      <c r="AC294" s="268"/>
      <c r="AD294" s="268"/>
      <c r="AE294" s="268"/>
      <c r="AF294" s="268"/>
      <c r="AG294" s="268"/>
      <c r="AH294" s="268"/>
      <c r="AI294" s="268"/>
      <c r="AJ294" s="268"/>
      <c r="AK294" s="268"/>
      <c r="AL294" s="268"/>
      <c r="AM294" s="268"/>
    </row>
    <row r="29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85"/>
      <c r="W295" s="268"/>
      <c r="X295" s="268"/>
      <c r="Y295" s="268"/>
      <c r="Z295" s="268"/>
      <c r="AA295" s="268"/>
      <c r="AB295" s="268"/>
      <c r="AC295" s="268"/>
      <c r="AD295" s="268"/>
      <c r="AE295" s="268"/>
      <c r="AF295" s="268"/>
      <c r="AG295" s="268"/>
      <c r="AH295" s="268"/>
      <c r="AI295" s="268"/>
      <c r="AJ295" s="268"/>
      <c r="AK295" s="268"/>
      <c r="AL295" s="268"/>
      <c r="AM295" s="268"/>
    </row>
    <row r="296">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85"/>
      <c r="W296" s="268"/>
      <c r="X296" s="268"/>
      <c r="Y296" s="268"/>
      <c r="Z296" s="268"/>
      <c r="AA296" s="268"/>
      <c r="AB296" s="268"/>
      <c r="AC296" s="268"/>
      <c r="AD296" s="268"/>
      <c r="AE296" s="268"/>
      <c r="AF296" s="268"/>
      <c r="AG296" s="268"/>
      <c r="AH296" s="268"/>
      <c r="AI296" s="268"/>
      <c r="AJ296" s="268"/>
      <c r="AK296" s="268"/>
      <c r="AL296" s="268"/>
      <c r="AM296" s="268"/>
    </row>
    <row r="297">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85"/>
      <c r="W297" s="268"/>
      <c r="X297" s="268"/>
      <c r="Y297" s="268"/>
      <c r="Z297" s="268"/>
      <c r="AA297" s="268"/>
      <c r="AB297" s="268"/>
      <c r="AC297" s="268"/>
      <c r="AD297" s="268"/>
      <c r="AE297" s="268"/>
      <c r="AF297" s="268"/>
      <c r="AG297" s="268"/>
      <c r="AH297" s="268"/>
      <c r="AI297" s="268"/>
      <c r="AJ297" s="268"/>
      <c r="AK297" s="268"/>
      <c r="AL297" s="268"/>
      <c r="AM297" s="268"/>
    </row>
    <row r="298">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85"/>
      <c r="W298" s="268"/>
      <c r="X298" s="268"/>
      <c r="Y298" s="268"/>
      <c r="Z298" s="268"/>
      <c r="AA298" s="268"/>
      <c r="AB298" s="268"/>
      <c r="AC298" s="268"/>
      <c r="AD298" s="268"/>
      <c r="AE298" s="268"/>
      <c r="AF298" s="268"/>
      <c r="AG298" s="268"/>
      <c r="AH298" s="268"/>
      <c r="AI298" s="268"/>
      <c r="AJ298" s="268"/>
      <c r="AK298" s="268"/>
      <c r="AL298" s="268"/>
      <c r="AM298" s="268"/>
    </row>
    <row r="2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85"/>
      <c r="W299" s="268"/>
      <c r="X299" s="268"/>
      <c r="Y299" s="268"/>
      <c r="Z299" s="268"/>
      <c r="AA299" s="268"/>
      <c r="AB299" s="268"/>
      <c r="AC299" s="268"/>
      <c r="AD299" s="268"/>
      <c r="AE299" s="268"/>
      <c r="AF299" s="268"/>
      <c r="AG299" s="268"/>
      <c r="AH299" s="268"/>
      <c r="AI299" s="268"/>
      <c r="AJ299" s="268"/>
      <c r="AK299" s="268"/>
      <c r="AL299" s="268"/>
      <c r="AM299" s="268"/>
    </row>
    <row r="300">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85"/>
      <c r="W300" s="268"/>
      <c r="X300" s="268"/>
      <c r="Y300" s="268"/>
      <c r="Z300" s="268"/>
      <c r="AA300" s="268"/>
      <c r="AB300" s="268"/>
      <c r="AC300" s="268"/>
      <c r="AD300" s="268"/>
      <c r="AE300" s="268"/>
      <c r="AF300" s="268"/>
      <c r="AG300" s="268"/>
      <c r="AH300" s="268"/>
      <c r="AI300" s="268"/>
      <c r="AJ300" s="268"/>
      <c r="AK300" s="268"/>
      <c r="AL300" s="268"/>
      <c r="AM300" s="268"/>
    </row>
    <row r="30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85"/>
      <c r="W301" s="268"/>
      <c r="X301" s="268"/>
      <c r="Y301" s="268"/>
      <c r="Z301" s="268"/>
      <c r="AA301" s="268"/>
      <c r="AB301" s="268"/>
      <c r="AC301" s="268"/>
      <c r="AD301" s="268"/>
      <c r="AE301" s="268"/>
      <c r="AF301" s="268"/>
      <c r="AG301" s="268"/>
      <c r="AH301" s="268"/>
      <c r="AI301" s="268"/>
      <c r="AJ301" s="268"/>
      <c r="AK301" s="268"/>
      <c r="AL301" s="268"/>
      <c r="AM301" s="268"/>
    </row>
    <row r="302">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85"/>
      <c r="W302" s="268"/>
      <c r="X302" s="268"/>
      <c r="Y302" s="268"/>
      <c r="Z302" s="268"/>
      <c r="AA302" s="268"/>
      <c r="AB302" s="268"/>
      <c r="AC302" s="268"/>
      <c r="AD302" s="268"/>
      <c r="AE302" s="268"/>
      <c r="AF302" s="268"/>
      <c r="AG302" s="268"/>
      <c r="AH302" s="268"/>
      <c r="AI302" s="268"/>
      <c r="AJ302" s="268"/>
      <c r="AK302" s="268"/>
      <c r="AL302" s="268"/>
      <c r="AM302" s="268"/>
    </row>
    <row r="303">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85"/>
      <c r="W303" s="268"/>
      <c r="X303" s="268"/>
      <c r="Y303" s="268"/>
      <c r="Z303" s="268"/>
      <c r="AA303" s="268"/>
      <c r="AB303" s="268"/>
      <c r="AC303" s="268"/>
      <c r="AD303" s="268"/>
      <c r="AE303" s="268"/>
      <c r="AF303" s="268"/>
      <c r="AG303" s="268"/>
      <c r="AH303" s="268"/>
      <c r="AI303" s="268"/>
      <c r="AJ303" s="268"/>
      <c r="AK303" s="268"/>
      <c r="AL303" s="268"/>
      <c r="AM303" s="268"/>
    </row>
    <row r="304">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85"/>
      <c r="W304" s="268"/>
      <c r="X304" s="268"/>
      <c r="Y304" s="268"/>
      <c r="Z304" s="268"/>
      <c r="AA304" s="268"/>
      <c r="AB304" s="268"/>
      <c r="AC304" s="268"/>
      <c r="AD304" s="268"/>
      <c r="AE304" s="268"/>
      <c r="AF304" s="268"/>
      <c r="AG304" s="268"/>
      <c r="AH304" s="268"/>
      <c r="AI304" s="268"/>
      <c r="AJ304" s="268"/>
      <c r="AK304" s="268"/>
      <c r="AL304" s="268"/>
      <c r="AM304" s="268"/>
    </row>
    <row r="305">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85"/>
      <c r="W305" s="268"/>
      <c r="X305" s="268"/>
      <c r="Y305" s="268"/>
      <c r="Z305" s="268"/>
      <c r="AA305" s="268"/>
      <c r="AB305" s="268"/>
      <c r="AC305" s="268"/>
      <c r="AD305" s="268"/>
      <c r="AE305" s="268"/>
      <c r="AF305" s="268"/>
      <c r="AG305" s="268"/>
      <c r="AH305" s="268"/>
      <c r="AI305" s="268"/>
      <c r="AJ305" s="268"/>
      <c r="AK305" s="268"/>
      <c r="AL305" s="268"/>
      <c r="AM305" s="268"/>
    </row>
    <row r="306">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85"/>
      <c r="W306" s="268"/>
      <c r="X306" s="268"/>
      <c r="Y306" s="268"/>
      <c r="Z306" s="268"/>
      <c r="AA306" s="268"/>
      <c r="AB306" s="268"/>
      <c r="AC306" s="268"/>
      <c r="AD306" s="268"/>
      <c r="AE306" s="268"/>
      <c r="AF306" s="268"/>
      <c r="AG306" s="268"/>
      <c r="AH306" s="268"/>
      <c r="AI306" s="268"/>
      <c r="AJ306" s="268"/>
      <c r="AK306" s="268"/>
      <c r="AL306" s="268"/>
      <c r="AM306" s="268"/>
    </row>
    <row r="307">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85"/>
      <c r="W307" s="268"/>
      <c r="X307" s="268"/>
      <c r="Y307" s="268"/>
      <c r="Z307" s="268"/>
      <c r="AA307" s="268"/>
      <c r="AB307" s="268"/>
      <c r="AC307" s="268"/>
      <c r="AD307" s="268"/>
      <c r="AE307" s="268"/>
      <c r="AF307" s="268"/>
      <c r="AG307" s="268"/>
      <c r="AH307" s="268"/>
      <c r="AI307" s="268"/>
      <c r="AJ307" s="268"/>
      <c r="AK307" s="268"/>
      <c r="AL307" s="268"/>
      <c r="AM307" s="268"/>
    </row>
    <row r="308">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85"/>
      <c r="W308" s="268"/>
      <c r="X308" s="268"/>
      <c r="Y308" s="268"/>
      <c r="Z308" s="268"/>
      <c r="AA308" s="268"/>
      <c r="AB308" s="268"/>
      <c r="AC308" s="268"/>
      <c r="AD308" s="268"/>
      <c r="AE308" s="268"/>
      <c r="AF308" s="268"/>
      <c r="AG308" s="268"/>
      <c r="AH308" s="268"/>
      <c r="AI308" s="268"/>
      <c r="AJ308" s="268"/>
      <c r="AK308" s="268"/>
      <c r="AL308" s="268"/>
      <c r="AM308" s="268"/>
    </row>
    <row r="30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85"/>
      <c r="W309" s="268"/>
      <c r="X309" s="268"/>
      <c r="Y309" s="268"/>
      <c r="Z309" s="268"/>
      <c r="AA309" s="268"/>
      <c r="AB309" s="268"/>
      <c r="AC309" s="268"/>
      <c r="AD309" s="268"/>
      <c r="AE309" s="268"/>
      <c r="AF309" s="268"/>
      <c r="AG309" s="268"/>
      <c r="AH309" s="268"/>
      <c r="AI309" s="268"/>
      <c r="AJ309" s="268"/>
      <c r="AK309" s="268"/>
      <c r="AL309" s="268"/>
      <c r="AM309" s="268"/>
    </row>
    <row r="310">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85"/>
      <c r="W310" s="268"/>
      <c r="X310" s="268"/>
      <c r="Y310" s="268"/>
      <c r="Z310" s="268"/>
      <c r="AA310" s="268"/>
      <c r="AB310" s="268"/>
      <c r="AC310" s="268"/>
      <c r="AD310" s="268"/>
      <c r="AE310" s="268"/>
      <c r="AF310" s="268"/>
      <c r="AG310" s="268"/>
      <c r="AH310" s="268"/>
      <c r="AI310" s="268"/>
      <c r="AJ310" s="268"/>
      <c r="AK310" s="268"/>
      <c r="AL310" s="268"/>
      <c r="AM310" s="268"/>
    </row>
    <row r="31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85"/>
      <c r="W311" s="268"/>
      <c r="X311" s="268"/>
      <c r="Y311" s="268"/>
      <c r="Z311" s="268"/>
      <c r="AA311" s="268"/>
      <c r="AB311" s="268"/>
      <c r="AC311" s="268"/>
      <c r="AD311" s="268"/>
      <c r="AE311" s="268"/>
      <c r="AF311" s="268"/>
      <c r="AG311" s="268"/>
      <c r="AH311" s="268"/>
      <c r="AI311" s="268"/>
      <c r="AJ311" s="268"/>
      <c r="AK311" s="268"/>
      <c r="AL311" s="268"/>
      <c r="AM311" s="268"/>
    </row>
    <row r="312">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85"/>
      <c r="W312" s="268"/>
      <c r="X312" s="268"/>
      <c r="Y312" s="268"/>
      <c r="Z312" s="268"/>
      <c r="AA312" s="268"/>
      <c r="AB312" s="268"/>
      <c r="AC312" s="268"/>
      <c r="AD312" s="268"/>
      <c r="AE312" s="268"/>
      <c r="AF312" s="268"/>
      <c r="AG312" s="268"/>
      <c r="AH312" s="268"/>
      <c r="AI312" s="268"/>
      <c r="AJ312" s="268"/>
      <c r="AK312" s="268"/>
      <c r="AL312" s="268"/>
      <c r="AM312" s="268"/>
    </row>
    <row r="313">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85"/>
      <c r="W313" s="268"/>
      <c r="X313" s="268"/>
      <c r="Y313" s="268"/>
      <c r="Z313" s="268"/>
      <c r="AA313" s="268"/>
      <c r="AB313" s="268"/>
      <c r="AC313" s="268"/>
      <c r="AD313" s="268"/>
      <c r="AE313" s="268"/>
      <c r="AF313" s="268"/>
      <c r="AG313" s="268"/>
      <c r="AH313" s="268"/>
      <c r="AI313" s="268"/>
      <c r="AJ313" s="268"/>
      <c r="AK313" s="268"/>
      <c r="AL313" s="268"/>
      <c r="AM313" s="268"/>
    </row>
    <row r="314">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85"/>
      <c r="W314" s="268"/>
      <c r="X314" s="268"/>
      <c r="Y314" s="268"/>
      <c r="Z314" s="268"/>
      <c r="AA314" s="268"/>
      <c r="AB314" s="268"/>
      <c r="AC314" s="268"/>
      <c r="AD314" s="268"/>
      <c r="AE314" s="268"/>
      <c r="AF314" s="268"/>
      <c r="AG314" s="268"/>
      <c r="AH314" s="268"/>
      <c r="AI314" s="268"/>
      <c r="AJ314" s="268"/>
      <c r="AK314" s="268"/>
      <c r="AL314" s="268"/>
      <c r="AM314" s="268"/>
    </row>
    <row r="315">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85"/>
      <c r="W315" s="268"/>
      <c r="X315" s="268"/>
      <c r="Y315" s="268"/>
      <c r="Z315" s="268"/>
      <c r="AA315" s="268"/>
      <c r="AB315" s="268"/>
      <c r="AC315" s="268"/>
      <c r="AD315" s="268"/>
      <c r="AE315" s="268"/>
      <c r="AF315" s="268"/>
      <c r="AG315" s="268"/>
      <c r="AH315" s="268"/>
      <c r="AI315" s="268"/>
      <c r="AJ315" s="268"/>
      <c r="AK315" s="268"/>
      <c r="AL315" s="268"/>
      <c r="AM315" s="268"/>
    </row>
    <row r="316">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85"/>
      <c r="W316" s="268"/>
      <c r="X316" s="268"/>
      <c r="Y316" s="268"/>
      <c r="Z316" s="268"/>
      <c r="AA316" s="268"/>
      <c r="AB316" s="268"/>
      <c r="AC316" s="268"/>
      <c r="AD316" s="268"/>
      <c r="AE316" s="268"/>
      <c r="AF316" s="268"/>
      <c r="AG316" s="268"/>
      <c r="AH316" s="268"/>
      <c r="AI316" s="268"/>
      <c r="AJ316" s="268"/>
      <c r="AK316" s="268"/>
      <c r="AL316" s="268"/>
      <c r="AM316" s="268"/>
    </row>
    <row r="317">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85"/>
      <c r="W317" s="268"/>
      <c r="X317" s="268"/>
      <c r="Y317" s="268"/>
      <c r="Z317" s="268"/>
      <c r="AA317" s="268"/>
      <c r="AB317" s="268"/>
      <c r="AC317" s="268"/>
      <c r="AD317" s="268"/>
      <c r="AE317" s="268"/>
      <c r="AF317" s="268"/>
      <c r="AG317" s="268"/>
      <c r="AH317" s="268"/>
      <c r="AI317" s="268"/>
      <c r="AJ317" s="268"/>
      <c r="AK317" s="268"/>
      <c r="AL317" s="268"/>
      <c r="AM317" s="268"/>
    </row>
    <row r="318">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85"/>
      <c r="W318" s="268"/>
      <c r="X318" s="268"/>
      <c r="Y318" s="268"/>
      <c r="Z318" s="268"/>
      <c r="AA318" s="268"/>
      <c r="AB318" s="268"/>
      <c r="AC318" s="268"/>
      <c r="AD318" s="268"/>
      <c r="AE318" s="268"/>
      <c r="AF318" s="268"/>
      <c r="AG318" s="268"/>
      <c r="AH318" s="268"/>
      <c r="AI318" s="268"/>
      <c r="AJ318" s="268"/>
      <c r="AK318" s="268"/>
      <c r="AL318" s="268"/>
      <c r="AM318" s="268"/>
    </row>
    <row r="31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85"/>
      <c r="W319" s="268"/>
      <c r="X319" s="268"/>
      <c r="Y319" s="268"/>
      <c r="Z319" s="268"/>
      <c r="AA319" s="268"/>
      <c r="AB319" s="268"/>
      <c r="AC319" s="268"/>
      <c r="AD319" s="268"/>
      <c r="AE319" s="268"/>
      <c r="AF319" s="268"/>
      <c r="AG319" s="268"/>
      <c r="AH319" s="268"/>
      <c r="AI319" s="268"/>
      <c r="AJ319" s="268"/>
      <c r="AK319" s="268"/>
      <c r="AL319" s="268"/>
      <c r="AM319" s="268"/>
    </row>
    <row r="320">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85"/>
      <c r="W320" s="268"/>
      <c r="X320" s="268"/>
      <c r="Y320" s="268"/>
      <c r="Z320" s="268"/>
      <c r="AA320" s="268"/>
      <c r="AB320" s="268"/>
      <c r="AC320" s="268"/>
      <c r="AD320" s="268"/>
      <c r="AE320" s="268"/>
      <c r="AF320" s="268"/>
      <c r="AG320" s="268"/>
      <c r="AH320" s="268"/>
      <c r="AI320" s="268"/>
      <c r="AJ320" s="268"/>
      <c r="AK320" s="268"/>
      <c r="AL320" s="268"/>
      <c r="AM320" s="268"/>
    </row>
    <row r="32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85"/>
      <c r="W321" s="268"/>
      <c r="X321" s="268"/>
      <c r="Y321" s="268"/>
      <c r="Z321" s="268"/>
      <c r="AA321" s="268"/>
      <c r="AB321" s="268"/>
      <c r="AC321" s="268"/>
      <c r="AD321" s="268"/>
      <c r="AE321" s="268"/>
      <c r="AF321" s="268"/>
      <c r="AG321" s="268"/>
      <c r="AH321" s="268"/>
      <c r="AI321" s="268"/>
      <c r="AJ321" s="268"/>
      <c r="AK321" s="268"/>
      <c r="AL321" s="268"/>
      <c r="AM321" s="268"/>
    </row>
    <row r="322">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85"/>
      <c r="W322" s="268"/>
      <c r="X322" s="268"/>
      <c r="Y322" s="268"/>
      <c r="Z322" s="268"/>
      <c r="AA322" s="268"/>
      <c r="AB322" s="268"/>
      <c r="AC322" s="268"/>
      <c r="AD322" s="268"/>
      <c r="AE322" s="268"/>
      <c r="AF322" s="268"/>
      <c r="AG322" s="268"/>
      <c r="AH322" s="268"/>
      <c r="AI322" s="268"/>
      <c r="AJ322" s="268"/>
      <c r="AK322" s="268"/>
      <c r="AL322" s="268"/>
      <c r="AM322" s="268"/>
    </row>
    <row r="323">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85"/>
      <c r="W323" s="268"/>
      <c r="X323" s="268"/>
      <c r="Y323" s="268"/>
      <c r="Z323" s="268"/>
      <c r="AA323" s="268"/>
      <c r="AB323" s="268"/>
      <c r="AC323" s="268"/>
      <c r="AD323" s="268"/>
      <c r="AE323" s="268"/>
      <c r="AF323" s="268"/>
      <c r="AG323" s="268"/>
      <c r="AH323" s="268"/>
      <c r="AI323" s="268"/>
      <c r="AJ323" s="268"/>
      <c r="AK323" s="268"/>
      <c r="AL323" s="268"/>
      <c r="AM323" s="268"/>
    </row>
    <row r="324">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85"/>
      <c r="W324" s="268"/>
      <c r="X324" s="268"/>
      <c r="Y324" s="268"/>
      <c r="Z324" s="268"/>
      <c r="AA324" s="268"/>
      <c r="AB324" s="268"/>
      <c r="AC324" s="268"/>
      <c r="AD324" s="268"/>
      <c r="AE324" s="268"/>
      <c r="AF324" s="268"/>
      <c r="AG324" s="268"/>
      <c r="AH324" s="268"/>
      <c r="AI324" s="268"/>
      <c r="AJ324" s="268"/>
      <c r="AK324" s="268"/>
      <c r="AL324" s="268"/>
      <c r="AM324" s="268"/>
    </row>
    <row r="325">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85"/>
      <c r="W325" s="268"/>
      <c r="X325" s="268"/>
      <c r="Y325" s="268"/>
      <c r="Z325" s="268"/>
      <c r="AA325" s="268"/>
      <c r="AB325" s="268"/>
      <c r="AC325" s="268"/>
      <c r="AD325" s="268"/>
      <c r="AE325" s="268"/>
      <c r="AF325" s="268"/>
      <c r="AG325" s="268"/>
      <c r="AH325" s="268"/>
      <c r="AI325" s="268"/>
      <c r="AJ325" s="268"/>
      <c r="AK325" s="268"/>
      <c r="AL325" s="268"/>
      <c r="AM325" s="268"/>
    </row>
    <row r="326">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85"/>
      <c r="W326" s="268"/>
      <c r="X326" s="268"/>
      <c r="Y326" s="268"/>
      <c r="Z326" s="268"/>
      <c r="AA326" s="268"/>
      <c r="AB326" s="268"/>
      <c r="AC326" s="268"/>
      <c r="AD326" s="268"/>
      <c r="AE326" s="268"/>
      <c r="AF326" s="268"/>
      <c r="AG326" s="268"/>
      <c r="AH326" s="268"/>
      <c r="AI326" s="268"/>
      <c r="AJ326" s="268"/>
      <c r="AK326" s="268"/>
      <c r="AL326" s="268"/>
      <c r="AM326" s="268"/>
    </row>
    <row r="327">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85"/>
      <c r="W327" s="268"/>
      <c r="X327" s="268"/>
      <c r="Y327" s="268"/>
      <c r="Z327" s="268"/>
      <c r="AA327" s="268"/>
      <c r="AB327" s="268"/>
      <c r="AC327" s="268"/>
      <c r="AD327" s="268"/>
      <c r="AE327" s="268"/>
      <c r="AF327" s="268"/>
      <c r="AG327" s="268"/>
      <c r="AH327" s="268"/>
      <c r="AI327" s="268"/>
      <c r="AJ327" s="268"/>
      <c r="AK327" s="268"/>
      <c r="AL327" s="268"/>
      <c r="AM327" s="268"/>
    </row>
    <row r="328">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85"/>
      <c r="W328" s="268"/>
      <c r="X328" s="268"/>
      <c r="Y328" s="268"/>
      <c r="Z328" s="268"/>
      <c r="AA328" s="268"/>
      <c r="AB328" s="268"/>
      <c r="AC328" s="268"/>
      <c r="AD328" s="268"/>
      <c r="AE328" s="268"/>
      <c r="AF328" s="268"/>
      <c r="AG328" s="268"/>
      <c r="AH328" s="268"/>
      <c r="AI328" s="268"/>
      <c r="AJ328" s="268"/>
      <c r="AK328" s="268"/>
      <c r="AL328" s="268"/>
      <c r="AM328" s="268"/>
    </row>
    <row r="32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85"/>
      <c r="W329" s="268"/>
      <c r="X329" s="268"/>
      <c r="Y329" s="268"/>
      <c r="Z329" s="268"/>
      <c r="AA329" s="268"/>
      <c r="AB329" s="268"/>
      <c r="AC329" s="268"/>
      <c r="AD329" s="268"/>
      <c r="AE329" s="268"/>
      <c r="AF329" s="268"/>
      <c r="AG329" s="268"/>
      <c r="AH329" s="268"/>
      <c r="AI329" s="268"/>
      <c r="AJ329" s="268"/>
      <c r="AK329" s="268"/>
      <c r="AL329" s="268"/>
      <c r="AM329" s="268"/>
    </row>
    <row r="330">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85"/>
      <c r="W330" s="268"/>
      <c r="X330" s="268"/>
      <c r="Y330" s="268"/>
      <c r="Z330" s="268"/>
      <c r="AA330" s="268"/>
      <c r="AB330" s="268"/>
      <c r="AC330" s="268"/>
      <c r="AD330" s="268"/>
      <c r="AE330" s="268"/>
      <c r="AF330" s="268"/>
      <c r="AG330" s="268"/>
      <c r="AH330" s="268"/>
      <c r="AI330" s="268"/>
      <c r="AJ330" s="268"/>
      <c r="AK330" s="268"/>
      <c r="AL330" s="268"/>
      <c r="AM330" s="268"/>
    </row>
    <row r="33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85"/>
      <c r="W331" s="268"/>
      <c r="X331" s="268"/>
      <c r="Y331" s="268"/>
      <c r="Z331" s="268"/>
      <c r="AA331" s="268"/>
      <c r="AB331" s="268"/>
      <c r="AC331" s="268"/>
      <c r="AD331" s="268"/>
      <c r="AE331" s="268"/>
      <c r="AF331" s="268"/>
      <c r="AG331" s="268"/>
      <c r="AH331" s="268"/>
      <c r="AI331" s="268"/>
      <c r="AJ331" s="268"/>
      <c r="AK331" s="268"/>
      <c r="AL331" s="268"/>
      <c r="AM331" s="268"/>
    </row>
    <row r="332">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85"/>
      <c r="W332" s="268"/>
      <c r="X332" s="268"/>
      <c r="Y332" s="268"/>
      <c r="Z332" s="268"/>
      <c r="AA332" s="268"/>
      <c r="AB332" s="268"/>
      <c r="AC332" s="268"/>
      <c r="AD332" s="268"/>
      <c r="AE332" s="268"/>
      <c r="AF332" s="268"/>
      <c r="AG332" s="268"/>
      <c r="AH332" s="268"/>
      <c r="AI332" s="268"/>
      <c r="AJ332" s="268"/>
      <c r="AK332" s="268"/>
      <c r="AL332" s="268"/>
      <c r="AM332" s="268"/>
    </row>
    <row r="333">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85"/>
      <c r="W333" s="268"/>
      <c r="X333" s="268"/>
      <c r="Y333" s="268"/>
      <c r="Z333" s="268"/>
      <c r="AA333" s="268"/>
      <c r="AB333" s="268"/>
      <c r="AC333" s="268"/>
      <c r="AD333" s="268"/>
      <c r="AE333" s="268"/>
      <c r="AF333" s="268"/>
      <c r="AG333" s="268"/>
      <c r="AH333" s="268"/>
      <c r="AI333" s="268"/>
      <c r="AJ333" s="268"/>
      <c r="AK333" s="268"/>
      <c r="AL333" s="268"/>
      <c r="AM333" s="268"/>
    </row>
    <row r="334">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85"/>
      <c r="W334" s="268"/>
      <c r="X334" s="268"/>
      <c r="Y334" s="268"/>
      <c r="Z334" s="268"/>
      <c r="AA334" s="268"/>
      <c r="AB334" s="268"/>
      <c r="AC334" s="268"/>
      <c r="AD334" s="268"/>
      <c r="AE334" s="268"/>
      <c r="AF334" s="268"/>
      <c r="AG334" s="268"/>
      <c r="AH334" s="268"/>
      <c r="AI334" s="268"/>
      <c r="AJ334" s="268"/>
      <c r="AK334" s="268"/>
      <c r="AL334" s="268"/>
      <c r="AM334" s="268"/>
    </row>
    <row r="335">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85"/>
      <c r="W335" s="268"/>
      <c r="X335" s="268"/>
      <c r="Y335" s="268"/>
      <c r="Z335" s="268"/>
      <c r="AA335" s="268"/>
      <c r="AB335" s="268"/>
      <c r="AC335" s="268"/>
      <c r="AD335" s="268"/>
      <c r="AE335" s="268"/>
      <c r="AF335" s="268"/>
      <c r="AG335" s="268"/>
      <c r="AH335" s="268"/>
      <c r="AI335" s="268"/>
      <c r="AJ335" s="268"/>
      <c r="AK335" s="268"/>
      <c r="AL335" s="268"/>
      <c r="AM335" s="268"/>
    </row>
    <row r="336">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85"/>
      <c r="W336" s="268"/>
      <c r="X336" s="268"/>
      <c r="Y336" s="268"/>
      <c r="Z336" s="268"/>
      <c r="AA336" s="268"/>
      <c r="AB336" s="268"/>
      <c r="AC336" s="268"/>
      <c r="AD336" s="268"/>
      <c r="AE336" s="268"/>
      <c r="AF336" s="268"/>
      <c r="AG336" s="268"/>
      <c r="AH336" s="268"/>
      <c r="AI336" s="268"/>
      <c r="AJ336" s="268"/>
      <c r="AK336" s="268"/>
      <c r="AL336" s="268"/>
      <c r="AM336" s="268"/>
    </row>
    <row r="337">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85"/>
      <c r="W337" s="268"/>
      <c r="X337" s="268"/>
      <c r="Y337" s="268"/>
      <c r="Z337" s="268"/>
      <c r="AA337" s="268"/>
      <c r="AB337" s="268"/>
      <c r="AC337" s="268"/>
      <c r="AD337" s="268"/>
      <c r="AE337" s="268"/>
      <c r="AF337" s="268"/>
      <c r="AG337" s="268"/>
      <c r="AH337" s="268"/>
      <c r="AI337" s="268"/>
      <c r="AJ337" s="268"/>
      <c r="AK337" s="268"/>
      <c r="AL337" s="268"/>
      <c r="AM337" s="268"/>
    </row>
    <row r="338">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85"/>
      <c r="W338" s="268"/>
      <c r="X338" s="268"/>
      <c r="Y338" s="268"/>
      <c r="Z338" s="268"/>
      <c r="AA338" s="268"/>
      <c r="AB338" s="268"/>
      <c r="AC338" s="268"/>
      <c r="AD338" s="268"/>
      <c r="AE338" s="268"/>
      <c r="AF338" s="268"/>
      <c r="AG338" s="268"/>
      <c r="AH338" s="268"/>
      <c r="AI338" s="268"/>
      <c r="AJ338" s="268"/>
      <c r="AK338" s="268"/>
      <c r="AL338" s="268"/>
      <c r="AM338" s="268"/>
    </row>
    <row r="33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85"/>
      <c r="W339" s="268"/>
      <c r="X339" s="268"/>
      <c r="Y339" s="268"/>
      <c r="Z339" s="268"/>
      <c r="AA339" s="268"/>
      <c r="AB339" s="268"/>
      <c r="AC339" s="268"/>
      <c r="AD339" s="268"/>
      <c r="AE339" s="268"/>
      <c r="AF339" s="268"/>
      <c r="AG339" s="268"/>
      <c r="AH339" s="268"/>
      <c r="AI339" s="268"/>
      <c r="AJ339" s="268"/>
      <c r="AK339" s="268"/>
      <c r="AL339" s="268"/>
      <c r="AM339" s="268"/>
    </row>
    <row r="340">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85"/>
      <c r="W340" s="268"/>
      <c r="X340" s="268"/>
      <c r="Y340" s="268"/>
      <c r="Z340" s="268"/>
      <c r="AA340" s="268"/>
      <c r="AB340" s="268"/>
      <c r="AC340" s="268"/>
      <c r="AD340" s="268"/>
      <c r="AE340" s="268"/>
      <c r="AF340" s="268"/>
      <c r="AG340" s="268"/>
      <c r="AH340" s="268"/>
      <c r="AI340" s="268"/>
      <c r="AJ340" s="268"/>
      <c r="AK340" s="268"/>
      <c r="AL340" s="268"/>
      <c r="AM340" s="268"/>
    </row>
    <row r="34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85"/>
      <c r="W341" s="268"/>
      <c r="X341" s="268"/>
      <c r="Y341" s="268"/>
      <c r="Z341" s="268"/>
      <c r="AA341" s="268"/>
      <c r="AB341" s="268"/>
      <c r="AC341" s="268"/>
      <c r="AD341" s="268"/>
      <c r="AE341" s="268"/>
      <c r="AF341" s="268"/>
      <c r="AG341" s="268"/>
      <c r="AH341" s="268"/>
      <c r="AI341" s="268"/>
      <c r="AJ341" s="268"/>
      <c r="AK341" s="268"/>
      <c r="AL341" s="268"/>
      <c r="AM341" s="268"/>
    </row>
    <row r="342">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85"/>
      <c r="W342" s="268"/>
      <c r="X342" s="268"/>
      <c r="Y342" s="268"/>
      <c r="Z342" s="268"/>
      <c r="AA342" s="268"/>
      <c r="AB342" s="268"/>
      <c r="AC342" s="268"/>
      <c r="AD342" s="268"/>
      <c r="AE342" s="268"/>
      <c r="AF342" s="268"/>
      <c r="AG342" s="268"/>
      <c r="AH342" s="268"/>
      <c r="AI342" s="268"/>
      <c r="AJ342" s="268"/>
      <c r="AK342" s="268"/>
      <c r="AL342" s="268"/>
      <c r="AM342" s="268"/>
    </row>
    <row r="343">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85"/>
      <c r="W343" s="268"/>
      <c r="X343" s="268"/>
      <c r="Y343" s="268"/>
      <c r="Z343" s="268"/>
      <c r="AA343" s="268"/>
      <c r="AB343" s="268"/>
      <c r="AC343" s="268"/>
      <c r="AD343" s="268"/>
      <c r="AE343" s="268"/>
      <c r="AF343" s="268"/>
      <c r="AG343" s="268"/>
      <c r="AH343" s="268"/>
      <c r="AI343" s="268"/>
      <c r="AJ343" s="268"/>
      <c r="AK343" s="268"/>
      <c r="AL343" s="268"/>
      <c r="AM343" s="268"/>
    </row>
    <row r="344">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85"/>
      <c r="W344" s="268"/>
      <c r="X344" s="268"/>
      <c r="Y344" s="268"/>
      <c r="Z344" s="268"/>
      <c r="AA344" s="268"/>
      <c r="AB344" s="268"/>
      <c r="AC344" s="268"/>
      <c r="AD344" s="268"/>
      <c r="AE344" s="268"/>
      <c r="AF344" s="268"/>
      <c r="AG344" s="268"/>
      <c r="AH344" s="268"/>
      <c r="AI344" s="268"/>
      <c r="AJ344" s="268"/>
      <c r="AK344" s="268"/>
      <c r="AL344" s="268"/>
      <c r="AM344" s="268"/>
    </row>
    <row r="345">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85"/>
      <c r="W345" s="268"/>
      <c r="X345" s="268"/>
      <c r="Y345" s="268"/>
      <c r="Z345" s="268"/>
      <c r="AA345" s="268"/>
      <c r="AB345" s="268"/>
      <c r="AC345" s="268"/>
      <c r="AD345" s="268"/>
      <c r="AE345" s="268"/>
      <c r="AF345" s="268"/>
      <c r="AG345" s="268"/>
      <c r="AH345" s="268"/>
      <c r="AI345" s="268"/>
      <c r="AJ345" s="268"/>
      <c r="AK345" s="268"/>
      <c r="AL345" s="268"/>
      <c r="AM345" s="268"/>
    </row>
    <row r="346">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85"/>
      <c r="W346" s="268"/>
      <c r="X346" s="268"/>
      <c r="Y346" s="268"/>
      <c r="Z346" s="268"/>
      <c r="AA346" s="268"/>
      <c r="AB346" s="268"/>
      <c r="AC346" s="268"/>
      <c r="AD346" s="268"/>
      <c r="AE346" s="268"/>
      <c r="AF346" s="268"/>
      <c r="AG346" s="268"/>
      <c r="AH346" s="268"/>
      <c r="AI346" s="268"/>
      <c r="AJ346" s="268"/>
      <c r="AK346" s="268"/>
      <c r="AL346" s="268"/>
      <c r="AM346" s="268"/>
    </row>
    <row r="347">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85"/>
      <c r="W347" s="268"/>
      <c r="X347" s="268"/>
      <c r="Y347" s="268"/>
      <c r="Z347" s="268"/>
      <c r="AA347" s="268"/>
      <c r="AB347" s="268"/>
      <c r="AC347" s="268"/>
      <c r="AD347" s="268"/>
      <c r="AE347" s="268"/>
      <c r="AF347" s="268"/>
      <c r="AG347" s="268"/>
      <c r="AH347" s="268"/>
      <c r="AI347" s="268"/>
      <c r="AJ347" s="268"/>
      <c r="AK347" s="268"/>
      <c r="AL347" s="268"/>
      <c r="AM347" s="268"/>
    </row>
    <row r="348">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85"/>
      <c r="W348" s="268"/>
      <c r="X348" s="268"/>
      <c r="Y348" s="268"/>
      <c r="Z348" s="268"/>
      <c r="AA348" s="268"/>
      <c r="AB348" s="268"/>
      <c r="AC348" s="268"/>
      <c r="AD348" s="268"/>
      <c r="AE348" s="268"/>
      <c r="AF348" s="268"/>
      <c r="AG348" s="268"/>
      <c r="AH348" s="268"/>
      <c r="AI348" s="268"/>
      <c r="AJ348" s="268"/>
      <c r="AK348" s="268"/>
      <c r="AL348" s="268"/>
      <c r="AM348" s="268"/>
    </row>
    <row r="34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85"/>
      <c r="W349" s="268"/>
      <c r="X349" s="268"/>
      <c r="Y349" s="268"/>
      <c r="Z349" s="268"/>
      <c r="AA349" s="268"/>
      <c r="AB349" s="268"/>
      <c r="AC349" s="268"/>
      <c r="AD349" s="268"/>
      <c r="AE349" s="268"/>
      <c r="AF349" s="268"/>
      <c r="AG349" s="268"/>
      <c r="AH349" s="268"/>
      <c r="AI349" s="268"/>
      <c r="AJ349" s="268"/>
      <c r="AK349" s="268"/>
      <c r="AL349" s="268"/>
      <c r="AM349" s="268"/>
    </row>
    <row r="350">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85"/>
      <c r="W350" s="268"/>
      <c r="X350" s="268"/>
      <c r="Y350" s="268"/>
      <c r="Z350" s="268"/>
      <c r="AA350" s="268"/>
      <c r="AB350" s="268"/>
      <c r="AC350" s="268"/>
      <c r="AD350" s="268"/>
      <c r="AE350" s="268"/>
      <c r="AF350" s="268"/>
      <c r="AG350" s="268"/>
      <c r="AH350" s="268"/>
      <c r="AI350" s="268"/>
      <c r="AJ350" s="268"/>
      <c r="AK350" s="268"/>
      <c r="AL350" s="268"/>
      <c r="AM350" s="268"/>
    </row>
    <row r="35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85"/>
      <c r="W351" s="268"/>
      <c r="X351" s="268"/>
      <c r="Y351" s="268"/>
      <c r="Z351" s="268"/>
      <c r="AA351" s="268"/>
      <c r="AB351" s="268"/>
      <c r="AC351" s="268"/>
      <c r="AD351" s="268"/>
      <c r="AE351" s="268"/>
      <c r="AF351" s="268"/>
      <c r="AG351" s="268"/>
      <c r="AH351" s="268"/>
      <c r="AI351" s="268"/>
      <c r="AJ351" s="268"/>
      <c r="AK351" s="268"/>
      <c r="AL351" s="268"/>
      <c r="AM351" s="268"/>
    </row>
    <row r="352">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85"/>
      <c r="W352" s="268"/>
      <c r="X352" s="268"/>
      <c r="Y352" s="268"/>
      <c r="Z352" s="268"/>
      <c r="AA352" s="268"/>
      <c r="AB352" s="268"/>
      <c r="AC352" s="268"/>
      <c r="AD352" s="268"/>
      <c r="AE352" s="268"/>
      <c r="AF352" s="268"/>
      <c r="AG352" s="268"/>
      <c r="AH352" s="268"/>
      <c r="AI352" s="268"/>
      <c r="AJ352" s="268"/>
      <c r="AK352" s="268"/>
      <c r="AL352" s="268"/>
      <c r="AM352" s="268"/>
    </row>
    <row r="353">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85"/>
      <c r="W353" s="268"/>
      <c r="X353" s="268"/>
      <c r="Y353" s="268"/>
      <c r="Z353" s="268"/>
      <c r="AA353" s="268"/>
      <c r="AB353" s="268"/>
      <c r="AC353" s="268"/>
      <c r="AD353" s="268"/>
      <c r="AE353" s="268"/>
      <c r="AF353" s="268"/>
      <c r="AG353" s="268"/>
      <c r="AH353" s="268"/>
      <c r="AI353" s="268"/>
      <c r="AJ353" s="268"/>
      <c r="AK353" s="268"/>
      <c r="AL353" s="268"/>
      <c r="AM353" s="268"/>
    </row>
    <row r="354">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85"/>
      <c r="W354" s="268"/>
      <c r="X354" s="268"/>
      <c r="Y354" s="268"/>
      <c r="Z354" s="268"/>
      <c r="AA354" s="268"/>
      <c r="AB354" s="268"/>
      <c r="AC354" s="268"/>
      <c r="AD354" s="268"/>
      <c r="AE354" s="268"/>
      <c r="AF354" s="268"/>
      <c r="AG354" s="268"/>
      <c r="AH354" s="268"/>
      <c r="AI354" s="268"/>
      <c r="AJ354" s="268"/>
      <c r="AK354" s="268"/>
      <c r="AL354" s="268"/>
      <c r="AM354" s="268"/>
    </row>
    <row r="355">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85"/>
      <c r="W355" s="268"/>
      <c r="X355" s="268"/>
      <c r="Y355" s="268"/>
      <c r="Z355" s="268"/>
      <c r="AA355" s="268"/>
      <c r="AB355" s="268"/>
      <c r="AC355" s="268"/>
      <c r="AD355" s="268"/>
      <c r="AE355" s="268"/>
      <c r="AF355" s="268"/>
      <c r="AG355" s="268"/>
      <c r="AH355" s="268"/>
      <c r="AI355" s="268"/>
      <c r="AJ355" s="268"/>
      <c r="AK355" s="268"/>
      <c r="AL355" s="268"/>
      <c r="AM355" s="268"/>
    </row>
    <row r="356">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85"/>
      <c r="W356" s="268"/>
      <c r="X356" s="268"/>
      <c r="Y356" s="268"/>
      <c r="Z356" s="268"/>
      <c r="AA356" s="268"/>
      <c r="AB356" s="268"/>
      <c r="AC356" s="268"/>
      <c r="AD356" s="268"/>
      <c r="AE356" s="268"/>
      <c r="AF356" s="268"/>
      <c r="AG356" s="268"/>
      <c r="AH356" s="268"/>
      <c r="AI356" s="268"/>
      <c r="AJ356" s="268"/>
      <c r="AK356" s="268"/>
      <c r="AL356" s="268"/>
      <c r="AM356" s="268"/>
    </row>
    <row r="357">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85"/>
      <c r="W357" s="268"/>
      <c r="X357" s="268"/>
      <c r="Y357" s="268"/>
      <c r="Z357" s="268"/>
      <c r="AA357" s="268"/>
      <c r="AB357" s="268"/>
      <c r="AC357" s="268"/>
      <c r="AD357" s="268"/>
      <c r="AE357" s="268"/>
      <c r="AF357" s="268"/>
      <c r="AG357" s="268"/>
      <c r="AH357" s="268"/>
      <c r="AI357" s="268"/>
      <c r="AJ357" s="268"/>
      <c r="AK357" s="268"/>
      <c r="AL357" s="268"/>
      <c r="AM357" s="268"/>
    </row>
    <row r="358">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85"/>
      <c r="W358" s="268"/>
      <c r="X358" s="268"/>
      <c r="Y358" s="268"/>
      <c r="Z358" s="268"/>
      <c r="AA358" s="268"/>
      <c r="AB358" s="268"/>
      <c r="AC358" s="268"/>
      <c r="AD358" s="268"/>
      <c r="AE358" s="268"/>
      <c r="AF358" s="268"/>
      <c r="AG358" s="268"/>
      <c r="AH358" s="268"/>
      <c r="AI358" s="268"/>
      <c r="AJ358" s="268"/>
      <c r="AK358" s="268"/>
      <c r="AL358" s="268"/>
      <c r="AM358" s="268"/>
    </row>
    <row r="35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85"/>
      <c r="W359" s="268"/>
      <c r="X359" s="268"/>
      <c r="Y359" s="268"/>
      <c r="Z359" s="268"/>
      <c r="AA359" s="268"/>
      <c r="AB359" s="268"/>
      <c r="AC359" s="268"/>
      <c r="AD359" s="268"/>
      <c r="AE359" s="268"/>
      <c r="AF359" s="268"/>
      <c r="AG359" s="268"/>
      <c r="AH359" s="268"/>
      <c r="AI359" s="268"/>
      <c r="AJ359" s="268"/>
      <c r="AK359" s="268"/>
      <c r="AL359" s="268"/>
      <c r="AM359" s="268"/>
    </row>
    <row r="360">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85"/>
      <c r="W360" s="268"/>
      <c r="X360" s="268"/>
      <c r="Y360" s="268"/>
      <c r="Z360" s="268"/>
      <c r="AA360" s="268"/>
      <c r="AB360" s="268"/>
      <c r="AC360" s="268"/>
      <c r="AD360" s="268"/>
      <c r="AE360" s="268"/>
      <c r="AF360" s="268"/>
      <c r="AG360" s="268"/>
      <c r="AH360" s="268"/>
      <c r="AI360" s="268"/>
      <c r="AJ360" s="268"/>
      <c r="AK360" s="268"/>
      <c r="AL360" s="268"/>
      <c r="AM360" s="268"/>
    </row>
    <row r="36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85"/>
      <c r="W361" s="268"/>
      <c r="X361" s="268"/>
      <c r="Y361" s="268"/>
      <c r="Z361" s="268"/>
      <c r="AA361" s="268"/>
      <c r="AB361" s="268"/>
      <c r="AC361" s="268"/>
      <c r="AD361" s="268"/>
      <c r="AE361" s="268"/>
      <c r="AF361" s="268"/>
      <c r="AG361" s="268"/>
      <c r="AH361" s="268"/>
      <c r="AI361" s="268"/>
      <c r="AJ361" s="268"/>
      <c r="AK361" s="268"/>
      <c r="AL361" s="268"/>
      <c r="AM361" s="268"/>
    </row>
    <row r="362">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85"/>
      <c r="W362" s="268"/>
      <c r="X362" s="268"/>
      <c r="Y362" s="268"/>
      <c r="Z362" s="268"/>
      <c r="AA362" s="268"/>
      <c r="AB362" s="268"/>
      <c r="AC362" s="268"/>
      <c r="AD362" s="268"/>
      <c r="AE362" s="268"/>
      <c r="AF362" s="268"/>
      <c r="AG362" s="268"/>
      <c r="AH362" s="268"/>
      <c r="AI362" s="268"/>
      <c r="AJ362" s="268"/>
      <c r="AK362" s="268"/>
      <c r="AL362" s="268"/>
      <c r="AM362" s="268"/>
    </row>
    <row r="363">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85"/>
      <c r="W363" s="268"/>
      <c r="X363" s="268"/>
      <c r="Y363" s="268"/>
      <c r="Z363" s="268"/>
      <c r="AA363" s="268"/>
      <c r="AB363" s="268"/>
      <c r="AC363" s="268"/>
      <c r="AD363" s="268"/>
      <c r="AE363" s="268"/>
      <c r="AF363" s="268"/>
      <c r="AG363" s="268"/>
      <c r="AH363" s="268"/>
      <c r="AI363" s="268"/>
      <c r="AJ363" s="268"/>
      <c r="AK363" s="268"/>
      <c r="AL363" s="268"/>
      <c r="AM363" s="268"/>
    </row>
    <row r="364">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85"/>
      <c r="W364" s="268"/>
      <c r="X364" s="268"/>
      <c r="Y364" s="268"/>
      <c r="Z364" s="268"/>
      <c r="AA364" s="268"/>
      <c r="AB364" s="268"/>
      <c r="AC364" s="268"/>
      <c r="AD364" s="268"/>
      <c r="AE364" s="268"/>
      <c r="AF364" s="268"/>
      <c r="AG364" s="268"/>
      <c r="AH364" s="268"/>
      <c r="AI364" s="268"/>
      <c r="AJ364" s="268"/>
      <c r="AK364" s="268"/>
      <c r="AL364" s="268"/>
      <c r="AM364" s="268"/>
    </row>
    <row r="365">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85"/>
      <c r="W365" s="268"/>
      <c r="X365" s="268"/>
      <c r="Y365" s="268"/>
      <c r="Z365" s="268"/>
      <c r="AA365" s="268"/>
      <c r="AB365" s="268"/>
      <c r="AC365" s="268"/>
      <c r="AD365" s="268"/>
      <c r="AE365" s="268"/>
      <c r="AF365" s="268"/>
      <c r="AG365" s="268"/>
      <c r="AH365" s="268"/>
      <c r="AI365" s="268"/>
      <c r="AJ365" s="268"/>
      <c r="AK365" s="268"/>
      <c r="AL365" s="268"/>
      <c r="AM365" s="268"/>
    </row>
    <row r="366">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85"/>
      <c r="W366" s="268"/>
      <c r="X366" s="268"/>
      <c r="Y366" s="268"/>
      <c r="Z366" s="268"/>
      <c r="AA366" s="268"/>
      <c r="AB366" s="268"/>
      <c r="AC366" s="268"/>
      <c r="AD366" s="268"/>
      <c r="AE366" s="268"/>
      <c r="AF366" s="268"/>
      <c r="AG366" s="268"/>
      <c r="AH366" s="268"/>
      <c r="AI366" s="268"/>
      <c r="AJ366" s="268"/>
      <c r="AK366" s="268"/>
      <c r="AL366" s="268"/>
      <c r="AM366" s="268"/>
    </row>
    <row r="367">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85"/>
      <c r="W367" s="268"/>
      <c r="X367" s="268"/>
      <c r="Y367" s="268"/>
      <c r="Z367" s="268"/>
      <c r="AA367" s="268"/>
      <c r="AB367" s="268"/>
      <c r="AC367" s="268"/>
      <c r="AD367" s="268"/>
      <c r="AE367" s="268"/>
      <c r="AF367" s="268"/>
      <c r="AG367" s="268"/>
      <c r="AH367" s="268"/>
      <c r="AI367" s="268"/>
      <c r="AJ367" s="268"/>
      <c r="AK367" s="268"/>
      <c r="AL367" s="268"/>
      <c r="AM367" s="268"/>
    </row>
    <row r="368">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85"/>
      <c r="W368" s="268"/>
      <c r="X368" s="268"/>
      <c r="Y368" s="268"/>
      <c r="Z368" s="268"/>
      <c r="AA368" s="268"/>
      <c r="AB368" s="268"/>
      <c r="AC368" s="268"/>
      <c r="AD368" s="268"/>
      <c r="AE368" s="268"/>
      <c r="AF368" s="268"/>
      <c r="AG368" s="268"/>
      <c r="AH368" s="268"/>
      <c r="AI368" s="268"/>
      <c r="AJ368" s="268"/>
      <c r="AK368" s="268"/>
      <c r="AL368" s="268"/>
      <c r="AM368" s="268"/>
    </row>
    <row r="36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85"/>
      <c r="W369" s="268"/>
      <c r="X369" s="268"/>
      <c r="Y369" s="268"/>
      <c r="Z369" s="268"/>
      <c r="AA369" s="268"/>
      <c r="AB369" s="268"/>
      <c r="AC369" s="268"/>
      <c r="AD369" s="268"/>
      <c r="AE369" s="268"/>
      <c r="AF369" s="268"/>
      <c r="AG369" s="268"/>
      <c r="AH369" s="268"/>
      <c r="AI369" s="268"/>
      <c r="AJ369" s="268"/>
      <c r="AK369" s="268"/>
      <c r="AL369" s="268"/>
      <c r="AM369" s="268"/>
    </row>
    <row r="370">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85"/>
      <c r="W370" s="268"/>
      <c r="X370" s="268"/>
      <c r="Y370" s="268"/>
      <c r="Z370" s="268"/>
      <c r="AA370" s="268"/>
      <c r="AB370" s="268"/>
      <c r="AC370" s="268"/>
      <c r="AD370" s="268"/>
      <c r="AE370" s="268"/>
      <c r="AF370" s="268"/>
      <c r="AG370" s="268"/>
      <c r="AH370" s="268"/>
      <c r="AI370" s="268"/>
      <c r="AJ370" s="268"/>
      <c r="AK370" s="268"/>
      <c r="AL370" s="268"/>
      <c r="AM370" s="268"/>
    </row>
    <row r="37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85"/>
      <c r="W371" s="268"/>
      <c r="X371" s="268"/>
      <c r="Y371" s="268"/>
      <c r="Z371" s="268"/>
      <c r="AA371" s="268"/>
      <c r="AB371" s="268"/>
      <c r="AC371" s="268"/>
      <c r="AD371" s="268"/>
      <c r="AE371" s="268"/>
      <c r="AF371" s="268"/>
      <c r="AG371" s="268"/>
      <c r="AH371" s="268"/>
      <c r="AI371" s="268"/>
      <c r="AJ371" s="268"/>
      <c r="AK371" s="268"/>
      <c r="AL371" s="268"/>
      <c r="AM371" s="268"/>
    </row>
    <row r="372">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85"/>
      <c r="W372" s="268"/>
      <c r="X372" s="268"/>
      <c r="Y372" s="268"/>
      <c r="Z372" s="268"/>
      <c r="AA372" s="268"/>
      <c r="AB372" s="268"/>
      <c r="AC372" s="268"/>
      <c r="AD372" s="268"/>
      <c r="AE372" s="268"/>
      <c r="AF372" s="268"/>
      <c r="AG372" s="268"/>
      <c r="AH372" s="268"/>
      <c r="AI372" s="268"/>
      <c r="AJ372" s="268"/>
      <c r="AK372" s="268"/>
      <c r="AL372" s="268"/>
      <c r="AM372" s="268"/>
    </row>
    <row r="373">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85"/>
      <c r="W373" s="268"/>
      <c r="X373" s="268"/>
      <c r="Y373" s="268"/>
      <c r="Z373" s="268"/>
      <c r="AA373" s="268"/>
      <c r="AB373" s="268"/>
      <c r="AC373" s="268"/>
      <c r="AD373" s="268"/>
      <c r="AE373" s="268"/>
      <c r="AF373" s="268"/>
      <c r="AG373" s="268"/>
      <c r="AH373" s="268"/>
      <c r="AI373" s="268"/>
      <c r="AJ373" s="268"/>
      <c r="AK373" s="268"/>
      <c r="AL373" s="268"/>
      <c r="AM373" s="268"/>
    </row>
    <row r="374">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85"/>
      <c r="W374" s="268"/>
      <c r="X374" s="268"/>
      <c r="Y374" s="268"/>
      <c r="Z374" s="268"/>
      <c r="AA374" s="268"/>
      <c r="AB374" s="268"/>
      <c r="AC374" s="268"/>
      <c r="AD374" s="268"/>
      <c r="AE374" s="268"/>
      <c r="AF374" s="268"/>
      <c r="AG374" s="268"/>
      <c r="AH374" s="268"/>
      <c r="AI374" s="268"/>
      <c r="AJ374" s="268"/>
      <c r="AK374" s="268"/>
      <c r="AL374" s="268"/>
      <c r="AM374" s="268"/>
    </row>
    <row r="375">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85"/>
      <c r="W375" s="268"/>
      <c r="X375" s="268"/>
      <c r="Y375" s="268"/>
      <c r="Z375" s="268"/>
      <c r="AA375" s="268"/>
      <c r="AB375" s="268"/>
      <c r="AC375" s="268"/>
      <c r="AD375" s="268"/>
      <c r="AE375" s="268"/>
      <c r="AF375" s="268"/>
      <c r="AG375" s="268"/>
      <c r="AH375" s="268"/>
      <c r="AI375" s="268"/>
      <c r="AJ375" s="268"/>
      <c r="AK375" s="268"/>
      <c r="AL375" s="268"/>
      <c r="AM375" s="268"/>
    </row>
    <row r="376">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85"/>
      <c r="W376" s="268"/>
      <c r="X376" s="268"/>
      <c r="Y376" s="268"/>
      <c r="Z376" s="268"/>
      <c r="AA376" s="268"/>
      <c r="AB376" s="268"/>
      <c r="AC376" s="268"/>
      <c r="AD376" s="268"/>
      <c r="AE376" s="268"/>
      <c r="AF376" s="268"/>
      <c r="AG376" s="268"/>
      <c r="AH376" s="268"/>
      <c r="AI376" s="268"/>
      <c r="AJ376" s="268"/>
      <c r="AK376" s="268"/>
      <c r="AL376" s="268"/>
      <c r="AM376" s="268"/>
    </row>
    <row r="377">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85"/>
      <c r="W377" s="268"/>
      <c r="X377" s="268"/>
      <c r="Y377" s="268"/>
      <c r="Z377" s="268"/>
      <c r="AA377" s="268"/>
      <c r="AB377" s="268"/>
      <c r="AC377" s="268"/>
      <c r="AD377" s="268"/>
      <c r="AE377" s="268"/>
      <c r="AF377" s="268"/>
      <c r="AG377" s="268"/>
      <c r="AH377" s="268"/>
      <c r="AI377" s="268"/>
      <c r="AJ377" s="268"/>
      <c r="AK377" s="268"/>
      <c r="AL377" s="268"/>
      <c r="AM377" s="268"/>
    </row>
    <row r="378">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85"/>
      <c r="W378" s="268"/>
      <c r="X378" s="268"/>
      <c r="Y378" s="268"/>
      <c r="Z378" s="268"/>
      <c r="AA378" s="268"/>
      <c r="AB378" s="268"/>
      <c r="AC378" s="268"/>
      <c r="AD378" s="268"/>
      <c r="AE378" s="268"/>
      <c r="AF378" s="268"/>
      <c r="AG378" s="268"/>
      <c r="AH378" s="268"/>
      <c r="AI378" s="268"/>
      <c r="AJ378" s="268"/>
      <c r="AK378" s="268"/>
      <c r="AL378" s="268"/>
      <c r="AM378" s="268"/>
    </row>
    <row r="37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85"/>
      <c r="W379" s="268"/>
      <c r="X379" s="268"/>
      <c r="Y379" s="268"/>
      <c r="Z379" s="268"/>
      <c r="AA379" s="268"/>
      <c r="AB379" s="268"/>
      <c r="AC379" s="268"/>
      <c r="AD379" s="268"/>
      <c r="AE379" s="268"/>
      <c r="AF379" s="268"/>
      <c r="AG379" s="268"/>
      <c r="AH379" s="268"/>
      <c r="AI379" s="268"/>
      <c r="AJ379" s="268"/>
      <c r="AK379" s="268"/>
      <c r="AL379" s="268"/>
      <c r="AM379" s="268"/>
    </row>
    <row r="380">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85"/>
      <c r="W380" s="268"/>
      <c r="X380" s="268"/>
      <c r="Y380" s="268"/>
      <c r="Z380" s="268"/>
      <c r="AA380" s="268"/>
      <c r="AB380" s="268"/>
      <c r="AC380" s="268"/>
      <c r="AD380" s="268"/>
      <c r="AE380" s="268"/>
      <c r="AF380" s="268"/>
      <c r="AG380" s="268"/>
      <c r="AH380" s="268"/>
      <c r="AI380" s="268"/>
      <c r="AJ380" s="268"/>
      <c r="AK380" s="268"/>
      <c r="AL380" s="268"/>
      <c r="AM380" s="268"/>
    </row>
    <row r="38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85"/>
      <c r="W381" s="268"/>
      <c r="X381" s="268"/>
      <c r="Y381" s="268"/>
      <c r="Z381" s="268"/>
      <c r="AA381" s="268"/>
      <c r="AB381" s="268"/>
      <c r="AC381" s="268"/>
      <c r="AD381" s="268"/>
      <c r="AE381" s="268"/>
      <c r="AF381" s="268"/>
      <c r="AG381" s="268"/>
      <c r="AH381" s="268"/>
      <c r="AI381" s="268"/>
      <c r="AJ381" s="268"/>
      <c r="AK381" s="268"/>
      <c r="AL381" s="268"/>
      <c r="AM381" s="268"/>
    </row>
    <row r="382">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85"/>
      <c r="W382" s="268"/>
      <c r="X382" s="268"/>
      <c r="Y382" s="268"/>
      <c r="Z382" s="268"/>
      <c r="AA382" s="268"/>
      <c r="AB382" s="268"/>
      <c r="AC382" s="268"/>
      <c r="AD382" s="268"/>
      <c r="AE382" s="268"/>
      <c r="AF382" s="268"/>
      <c r="AG382" s="268"/>
      <c r="AH382" s="268"/>
      <c r="AI382" s="268"/>
      <c r="AJ382" s="268"/>
      <c r="AK382" s="268"/>
      <c r="AL382" s="268"/>
      <c r="AM382" s="268"/>
    </row>
    <row r="383">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85"/>
      <c r="W383" s="268"/>
      <c r="X383" s="268"/>
      <c r="Y383" s="268"/>
      <c r="Z383" s="268"/>
      <c r="AA383" s="268"/>
      <c r="AB383" s="268"/>
      <c r="AC383" s="268"/>
      <c r="AD383" s="268"/>
      <c r="AE383" s="268"/>
      <c r="AF383" s="268"/>
      <c r="AG383" s="268"/>
      <c r="AH383" s="268"/>
      <c r="AI383" s="268"/>
      <c r="AJ383" s="268"/>
      <c r="AK383" s="268"/>
      <c r="AL383" s="268"/>
      <c r="AM383" s="268"/>
    </row>
    <row r="384">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85"/>
      <c r="W384" s="268"/>
      <c r="X384" s="268"/>
      <c r="Y384" s="268"/>
      <c r="Z384" s="268"/>
      <c r="AA384" s="268"/>
      <c r="AB384" s="268"/>
      <c r="AC384" s="268"/>
      <c r="AD384" s="268"/>
      <c r="AE384" s="268"/>
      <c r="AF384" s="268"/>
      <c r="AG384" s="268"/>
      <c r="AH384" s="268"/>
      <c r="AI384" s="268"/>
      <c r="AJ384" s="268"/>
      <c r="AK384" s="268"/>
      <c r="AL384" s="268"/>
      <c r="AM384" s="268"/>
    </row>
    <row r="385">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85"/>
      <c r="W385" s="268"/>
      <c r="X385" s="268"/>
      <c r="Y385" s="268"/>
      <c r="Z385" s="268"/>
      <c r="AA385" s="268"/>
      <c r="AB385" s="268"/>
      <c r="AC385" s="268"/>
      <c r="AD385" s="268"/>
      <c r="AE385" s="268"/>
      <c r="AF385" s="268"/>
      <c r="AG385" s="268"/>
      <c r="AH385" s="268"/>
      <c r="AI385" s="268"/>
      <c r="AJ385" s="268"/>
      <c r="AK385" s="268"/>
      <c r="AL385" s="268"/>
      <c r="AM385" s="268"/>
    </row>
    <row r="386">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85"/>
      <c r="W386" s="268"/>
      <c r="X386" s="268"/>
      <c r="Y386" s="268"/>
      <c r="Z386" s="268"/>
      <c r="AA386" s="268"/>
      <c r="AB386" s="268"/>
      <c r="AC386" s="268"/>
      <c r="AD386" s="268"/>
      <c r="AE386" s="268"/>
      <c r="AF386" s="268"/>
      <c r="AG386" s="268"/>
      <c r="AH386" s="268"/>
      <c r="AI386" s="268"/>
      <c r="AJ386" s="268"/>
      <c r="AK386" s="268"/>
      <c r="AL386" s="268"/>
      <c r="AM386" s="268"/>
    </row>
    <row r="387">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85"/>
      <c r="W387" s="268"/>
      <c r="X387" s="268"/>
      <c r="Y387" s="268"/>
      <c r="Z387" s="268"/>
      <c r="AA387" s="268"/>
      <c r="AB387" s="268"/>
      <c r="AC387" s="268"/>
      <c r="AD387" s="268"/>
      <c r="AE387" s="268"/>
      <c r="AF387" s="268"/>
      <c r="AG387" s="268"/>
      <c r="AH387" s="268"/>
      <c r="AI387" s="268"/>
      <c r="AJ387" s="268"/>
      <c r="AK387" s="268"/>
      <c r="AL387" s="268"/>
      <c r="AM387" s="268"/>
    </row>
    <row r="388">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85"/>
      <c r="W388" s="268"/>
      <c r="X388" s="268"/>
      <c r="Y388" s="268"/>
      <c r="Z388" s="268"/>
      <c r="AA388" s="268"/>
      <c r="AB388" s="268"/>
      <c r="AC388" s="268"/>
      <c r="AD388" s="268"/>
      <c r="AE388" s="268"/>
      <c r="AF388" s="268"/>
      <c r="AG388" s="268"/>
      <c r="AH388" s="268"/>
      <c r="AI388" s="268"/>
      <c r="AJ388" s="268"/>
      <c r="AK388" s="268"/>
      <c r="AL388" s="268"/>
      <c r="AM388" s="268"/>
    </row>
    <row r="38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85"/>
      <c r="W389" s="268"/>
      <c r="X389" s="268"/>
      <c r="Y389" s="268"/>
      <c r="Z389" s="268"/>
      <c r="AA389" s="268"/>
      <c r="AB389" s="268"/>
      <c r="AC389" s="268"/>
      <c r="AD389" s="268"/>
      <c r="AE389" s="268"/>
      <c r="AF389" s="268"/>
      <c r="AG389" s="268"/>
      <c r="AH389" s="268"/>
      <c r="AI389" s="268"/>
      <c r="AJ389" s="268"/>
      <c r="AK389" s="268"/>
      <c r="AL389" s="268"/>
      <c r="AM389" s="268"/>
    </row>
    <row r="390">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85"/>
      <c r="W390" s="268"/>
      <c r="X390" s="268"/>
      <c r="Y390" s="268"/>
      <c r="Z390" s="268"/>
      <c r="AA390" s="268"/>
      <c r="AB390" s="268"/>
      <c r="AC390" s="268"/>
      <c r="AD390" s="268"/>
      <c r="AE390" s="268"/>
      <c r="AF390" s="268"/>
      <c r="AG390" s="268"/>
      <c r="AH390" s="268"/>
      <c r="AI390" s="268"/>
      <c r="AJ390" s="268"/>
      <c r="AK390" s="268"/>
      <c r="AL390" s="268"/>
      <c r="AM390" s="268"/>
    </row>
    <row r="39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85"/>
      <c r="W391" s="268"/>
      <c r="X391" s="268"/>
      <c r="Y391" s="268"/>
      <c r="Z391" s="268"/>
      <c r="AA391" s="268"/>
      <c r="AB391" s="268"/>
      <c r="AC391" s="268"/>
      <c r="AD391" s="268"/>
      <c r="AE391" s="268"/>
      <c r="AF391" s="268"/>
      <c r="AG391" s="268"/>
      <c r="AH391" s="268"/>
      <c r="AI391" s="268"/>
      <c r="AJ391" s="268"/>
      <c r="AK391" s="268"/>
      <c r="AL391" s="268"/>
      <c r="AM391" s="268"/>
    </row>
    <row r="392">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85"/>
      <c r="W392" s="268"/>
      <c r="X392" s="268"/>
      <c r="Y392" s="268"/>
      <c r="Z392" s="268"/>
      <c r="AA392" s="268"/>
      <c r="AB392" s="268"/>
      <c r="AC392" s="268"/>
      <c r="AD392" s="268"/>
      <c r="AE392" s="268"/>
      <c r="AF392" s="268"/>
      <c r="AG392" s="268"/>
      <c r="AH392" s="268"/>
      <c r="AI392" s="268"/>
      <c r="AJ392" s="268"/>
      <c r="AK392" s="268"/>
      <c r="AL392" s="268"/>
      <c r="AM392" s="268"/>
    </row>
    <row r="393">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85"/>
      <c r="W393" s="268"/>
      <c r="X393" s="268"/>
      <c r="Y393" s="268"/>
      <c r="Z393" s="268"/>
      <c r="AA393" s="268"/>
      <c r="AB393" s="268"/>
      <c r="AC393" s="268"/>
      <c r="AD393" s="268"/>
      <c r="AE393" s="268"/>
      <c r="AF393" s="268"/>
      <c r="AG393" s="268"/>
      <c r="AH393" s="268"/>
      <c r="AI393" s="268"/>
      <c r="AJ393" s="268"/>
      <c r="AK393" s="268"/>
      <c r="AL393" s="268"/>
      <c r="AM393" s="268"/>
    </row>
    <row r="394">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85"/>
      <c r="W394" s="268"/>
      <c r="X394" s="268"/>
      <c r="Y394" s="268"/>
      <c r="Z394" s="268"/>
      <c r="AA394" s="268"/>
      <c r="AB394" s="268"/>
      <c r="AC394" s="268"/>
      <c r="AD394" s="268"/>
      <c r="AE394" s="268"/>
      <c r="AF394" s="268"/>
      <c r="AG394" s="268"/>
      <c r="AH394" s="268"/>
      <c r="AI394" s="268"/>
      <c r="AJ394" s="268"/>
      <c r="AK394" s="268"/>
      <c r="AL394" s="268"/>
      <c r="AM394" s="268"/>
    </row>
    <row r="395">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85"/>
      <c r="W395" s="268"/>
      <c r="X395" s="268"/>
      <c r="Y395" s="268"/>
      <c r="Z395" s="268"/>
      <c r="AA395" s="268"/>
      <c r="AB395" s="268"/>
      <c r="AC395" s="268"/>
      <c r="AD395" s="268"/>
      <c r="AE395" s="268"/>
      <c r="AF395" s="268"/>
      <c r="AG395" s="268"/>
      <c r="AH395" s="268"/>
      <c r="AI395" s="268"/>
      <c r="AJ395" s="268"/>
      <c r="AK395" s="268"/>
      <c r="AL395" s="268"/>
      <c r="AM395" s="268"/>
    </row>
    <row r="396">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85"/>
      <c r="W396" s="268"/>
      <c r="X396" s="268"/>
      <c r="Y396" s="268"/>
      <c r="Z396" s="268"/>
      <c r="AA396" s="268"/>
      <c r="AB396" s="268"/>
      <c r="AC396" s="268"/>
      <c r="AD396" s="268"/>
      <c r="AE396" s="268"/>
      <c r="AF396" s="268"/>
      <c r="AG396" s="268"/>
      <c r="AH396" s="268"/>
      <c r="AI396" s="268"/>
      <c r="AJ396" s="268"/>
      <c r="AK396" s="268"/>
      <c r="AL396" s="268"/>
      <c r="AM396" s="268"/>
    </row>
    <row r="397">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85"/>
      <c r="W397" s="268"/>
      <c r="X397" s="268"/>
      <c r="Y397" s="268"/>
      <c r="Z397" s="268"/>
      <c r="AA397" s="268"/>
      <c r="AB397" s="268"/>
      <c r="AC397" s="268"/>
      <c r="AD397" s="268"/>
      <c r="AE397" s="268"/>
      <c r="AF397" s="268"/>
      <c r="AG397" s="268"/>
      <c r="AH397" s="268"/>
      <c r="AI397" s="268"/>
      <c r="AJ397" s="268"/>
      <c r="AK397" s="268"/>
      <c r="AL397" s="268"/>
      <c r="AM397" s="268"/>
    </row>
    <row r="398">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85"/>
      <c r="W398" s="268"/>
      <c r="X398" s="268"/>
      <c r="Y398" s="268"/>
      <c r="Z398" s="268"/>
      <c r="AA398" s="268"/>
      <c r="AB398" s="268"/>
      <c r="AC398" s="268"/>
      <c r="AD398" s="268"/>
      <c r="AE398" s="268"/>
      <c r="AF398" s="268"/>
      <c r="AG398" s="268"/>
      <c r="AH398" s="268"/>
      <c r="AI398" s="268"/>
      <c r="AJ398" s="268"/>
      <c r="AK398" s="268"/>
      <c r="AL398" s="268"/>
      <c r="AM398" s="268"/>
    </row>
    <row r="3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85"/>
      <c r="W399" s="268"/>
      <c r="X399" s="268"/>
      <c r="Y399" s="268"/>
      <c r="Z399" s="268"/>
      <c r="AA399" s="268"/>
      <c r="AB399" s="268"/>
      <c r="AC399" s="268"/>
      <c r="AD399" s="268"/>
      <c r="AE399" s="268"/>
      <c r="AF399" s="268"/>
      <c r="AG399" s="268"/>
      <c r="AH399" s="268"/>
      <c r="AI399" s="268"/>
      <c r="AJ399" s="268"/>
      <c r="AK399" s="268"/>
      <c r="AL399" s="268"/>
      <c r="AM399" s="268"/>
    </row>
    <row r="400">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85"/>
      <c r="W400" s="268"/>
      <c r="X400" s="268"/>
      <c r="Y400" s="268"/>
      <c r="Z400" s="268"/>
      <c r="AA400" s="268"/>
      <c r="AB400" s="268"/>
      <c r="AC400" s="268"/>
      <c r="AD400" s="268"/>
      <c r="AE400" s="268"/>
      <c r="AF400" s="268"/>
      <c r="AG400" s="268"/>
      <c r="AH400" s="268"/>
      <c r="AI400" s="268"/>
      <c r="AJ400" s="268"/>
      <c r="AK400" s="268"/>
      <c r="AL400" s="268"/>
      <c r="AM400" s="268"/>
    </row>
    <row r="40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85"/>
      <c r="W401" s="268"/>
      <c r="X401" s="268"/>
      <c r="Y401" s="268"/>
      <c r="Z401" s="268"/>
      <c r="AA401" s="268"/>
      <c r="AB401" s="268"/>
      <c r="AC401" s="268"/>
      <c r="AD401" s="268"/>
      <c r="AE401" s="268"/>
      <c r="AF401" s="268"/>
      <c r="AG401" s="268"/>
      <c r="AH401" s="268"/>
      <c r="AI401" s="268"/>
      <c r="AJ401" s="268"/>
      <c r="AK401" s="268"/>
      <c r="AL401" s="268"/>
      <c r="AM401" s="268"/>
    </row>
    <row r="402">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85"/>
      <c r="W402" s="268"/>
      <c r="X402" s="268"/>
      <c r="Y402" s="268"/>
      <c r="Z402" s="268"/>
      <c r="AA402" s="268"/>
      <c r="AB402" s="268"/>
      <c r="AC402" s="268"/>
      <c r="AD402" s="268"/>
      <c r="AE402" s="268"/>
      <c r="AF402" s="268"/>
      <c r="AG402" s="268"/>
      <c r="AH402" s="268"/>
      <c r="AI402" s="268"/>
      <c r="AJ402" s="268"/>
      <c r="AK402" s="268"/>
      <c r="AL402" s="268"/>
      <c r="AM402" s="268"/>
    </row>
    <row r="403">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85"/>
      <c r="W403" s="268"/>
      <c r="X403" s="268"/>
      <c r="Y403" s="268"/>
      <c r="Z403" s="268"/>
      <c r="AA403" s="268"/>
      <c r="AB403" s="268"/>
      <c r="AC403" s="268"/>
      <c r="AD403" s="268"/>
      <c r="AE403" s="268"/>
      <c r="AF403" s="268"/>
      <c r="AG403" s="268"/>
      <c r="AH403" s="268"/>
      <c r="AI403" s="268"/>
      <c r="AJ403" s="268"/>
      <c r="AK403" s="268"/>
      <c r="AL403" s="268"/>
      <c r="AM403" s="268"/>
    </row>
    <row r="404">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85"/>
      <c r="W404" s="268"/>
      <c r="X404" s="268"/>
      <c r="Y404" s="268"/>
      <c r="Z404" s="268"/>
      <c r="AA404" s="268"/>
      <c r="AB404" s="268"/>
      <c r="AC404" s="268"/>
      <c r="AD404" s="268"/>
      <c r="AE404" s="268"/>
      <c r="AF404" s="268"/>
      <c r="AG404" s="268"/>
      <c r="AH404" s="268"/>
      <c r="AI404" s="268"/>
      <c r="AJ404" s="268"/>
      <c r="AK404" s="268"/>
      <c r="AL404" s="268"/>
      <c r="AM404" s="268"/>
    </row>
    <row r="405">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85"/>
      <c r="W405" s="268"/>
      <c r="X405" s="268"/>
      <c r="Y405" s="268"/>
      <c r="Z405" s="268"/>
      <c r="AA405" s="268"/>
      <c r="AB405" s="268"/>
      <c r="AC405" s="268"/>
      <c r="AD405" s="268"/>
      <c r="AE405" s="268"/>
      <c r="AF405" s="268"/>
      <c r="AG405" s="268"/>
      <c r="AH405" s="268"/>
      <c r="AI405" s="268"/>
      <c r="AJ405" s="268"/>
      <c r="AK405" s="268"/>
      <c r="AL405" s="268"/>
      <c r="AM405" s="268"/>
    </row>
    <row r="406">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85"/>
      <c r="W406" s="268"/>
      <c r="X406" s="268"/>
      <c r="Y406" s="268"/>
      <c r="Z406" s="268"/>
      <c r="AA406" s="268"/>
      <c r="AB406" s="268"/>
      <c r="AC406" s="268"/>
      <c r="AD406" s="268"/>
      <c r="AE406" s="268"/>
      <c r="AF406" s="268"/>
      <c r="AG406" s="268"/>
      <c r="AH406" s="268"/>
      <c r="AI406" s="268"/>
      <c r="AJ406" s="268"/>
      <c r="AK406" s="268"/>
      <c r="AL406" s="268"/>
      <c r="AM406" s="268"/>
    </row>
    <row r="407">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85"/>
      <c r="W407" s="268"/>
      <c r="X407" s="268"/>
      <c r="Y407" s="268"/>
      <c r="Z407" s="268"/>
      <c r="AA407" s="268"/>
      <c r="AB407" s="268"/>
      <c r="AC407" s="268"/>
      <c r="AD407" s="268"/>
      <c r="AE407" s="268"/>
      <c r="AF407" s="268"/>
      <c r="AG407" s="268"/>
      <c r="AH407" s="268"/>
      <c r="AI407" s="268"/>
      <c r="AJ407" s="268"/>
      <c r="AK407" s="268"/>
      <c r="AL407" s="268"/>
      <c r="AM407" s="268"/>
    </row>
    <row r="408">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85"/>
      <c r="W408" s="268"/>
      <c r="X408" s="268"/>
      <c r="Y408" s="268"/>
      <c r="Z408" s="268"/>
      <c r="AA408" s="268"/>
      <c r="AB408" s="268"/>
      <c r="AC408" s="268"/>
      <c r="AD408" s="268"/>
      <c r="AE408" s="268"/>
      <c r="AF408" s="268"/>
      <c r="AG408" s="268"/>
      <c r="AH408" s="268"/>
      <c r="AI408" s="268"/>
      <c r="AJ408" s="268"/>
      <c r="AK408" s="268"/>
      <c r="AL408" s="268"/>
      <c r="AM408" s="268"/>
    </row>
    <row r="40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85"/>
      <c r="W409" s="268"/>
      <c r="X409" s="268"/>
      <c r="Y409" s="268"/>
      <c r="Z409" s="268"/>
      <c r="AA409" s="268"/>
      <c r="AB409" s="268"/>
      <c r="AC409" s="268"/>
      <c r="AD409" s="268"/>
      <c r="AE409" s="268"/>
      <c r="AF409" s="268"/>
      <c r="AG409" s="268"/>
      <c r="AH409" s="268"/>
      <c r="AI409" s="268"/>
      <c r="AJ409" s="268"/>
      <c r="AK409" s="268"/>
      <c r="AL409" s="268"/>
      <c r="AM409" s="268"/>
    </row>
    <row r="410">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85"/>
      <c r="W410" s="268"/>
      <c r="X410" s="268"/>
      <c r="Y410" s="268"/>
      <c r="Z410" s="268"/>
      <c r="AA410" s="268"/>
      <c r="AB410" s="268"/>
      <c r="AC410" s="268"/>
      <c r="AD410" s="268"/>
      <c r="AE410" s="268"/>
      <c r="AF410" s="268"/>
      <c r="AG410" s="268"/>
      <c r="AH410" s="268"/>
      <c r="AI410" s="268"/>
      <c r="AJ410" s="268"/>
      <c r="AK410" s="268"/>
      <c r="AL410" s="268"/>
      <c r="AM410" s="268"/>
    </row>
    <row r="41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85"/>
      <c r="W411" s="268"/>
      <c r="X411" s="268"/>
      <c r="Y411" s="268"/>
      <c r="Z411" s="268"/>
      <c r="AA411" s="268"/>
      <c r="AB411" s="268"/>
      <c r="AC411" s="268"/>
      <c r="AD411" s="268"/>
      <c r="AE411" s="268"/>
      <c r="AF411" s="268"/>
      <c r="AG411" s="268"/>
      <c r="AH411" s="268"/>
      <c r="AI411" s="268"/>
      <c r="AJ411" s="268"/>
      <c r="AK411" s="268"/>
      <c r="AL411" s="268"/>
      <c r="AM411" s="268"/>
    </row>
    <row r="412">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85"/>
      <c r="W412" s="268"/>
      <c r="X412" s="268"/>
      <c r="Y412" s="268"/>
      <c r="Z412" s="268"/>
      <c r="AA412" s="268"/>
      <c r="AB412" s="268"/>
      <c r="AC412" s="268"/>
      <c r="AD412" s="268"/>
      <c r="AE412" s="268"/>
      <c r="AF412" s="268"/>
      <c r="AG412" s="268"/>
      <c r="AH412" s="268"/>
      <c r="AI412" s="268"/>
      <c r="AJ412" s="268"/>
      <c r="AK412" s="268"/>
      <c r="AL412" s="268"/>
      <c r="AM412" s="268"/>
    </row>
    <row r="41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85"/>
      <c r="W413" s="268"/>
      <c r="X413" s="268"/>
      <c r="Y413" s="268"/>
      <c r="Z413" s="268"/>
      <c r="AA413" s="268"/>
      <c r="AB413" s="268"/>
      <c r="AC413" s="268"/>
      <c r="AD413" s="268"/>
      <c r="AE413" s="268"/>
      <c r="AF413" s="268"/>
      <c r="AG413" s="268"/>
      <c r="AH413" s="268"/>
      <c r="AI413" s="268"/>
      <c r="AJ413" s="268"/>
      <c r="AK413" s="268"/>
      <c r="AL413" s="268"/>
      <c r="AM413" s="268"/>
    </row>
    <row r="414">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85"/>
      <c r="W414" s="268"/>
      <c r="X414" s="268"/>
      <c r="Y414" s="268"/>
      <c r="Z414" s="268"/>
      <c r="AA414" s="268"/>
      <c r="AB414" s="268"/>
      <c r="AC414" s="268"/>
      <c r="AD414" s="268"/>
      <c r="AE414" s="268"/>
      <c r="AF414" s="268"/>
      <c r="AG414" s="268"/>
      <c r="AH414" s="268"/>
      <c r="AI414" s="268"/>
      <c r="AJ414" s="268"/>
      <c r="AK414" s="268"/>
      <c r="AL414" s="268"/>
      <c r="AM414" s="268"/>
    </row>
    <row r="415">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85"/>
      <c r="W415" s="268"/>
      <c r="X415" s="268"/>
      <c r="Y415" s="268"/>
      <c r="Z415" s="268"/>
      <c r="AA415" s="268"/>
      <c r="AB415" s="268"/>
      <c r="AC415" s="268"/>
      <c r="AD415" s="268"/>
      <c r="AE415" s="268"/>
      <c r="AF415" s="268"/>
      <c r="AG415" s="268"/>
      <c r="AH415" s="268"/>
      <c r="AI415" s="268"/>
      <c r="AJ415" s="268"/>
      <c r="AK415" s="268"/>
      <c r="AL415" s="268"/>
      <c r="AM415" s="268"/>
    </row>
    <row r="416">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85"/>
      <c r="W416" s="268"/>
      <c r="X416" s="268"/>
      <c r="Y416" s="268"/>
      <c r="Z416" s="268"/>
      <c r="AA416" s="268"/>
      <c r="AB416" s="268"/>
      <c r="AC416" s="268"/>
      <c r="AD416" s="268"/>
      <c r="AE416" s="268"/>
      <c r="AF416" s="268"/>
      <c r="AG416" s="268"/>
      <c r="AH416" s="268"/>
      <c r="AI416" s="268"/>
      <c r="AJ416" s="268"/>
      <c r="AK416" s="268"/>
      <c r="AL416" s="268"/>
      <c r="AM416" s="268"/>
    </row>
    <row r="417">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85"/>
      <c r="W417" s="268"/>
      <c r="X417" s="268"/>
      <c r="Y417" s="268"/>
      <c r="Z417" s="268"/>
      <c r="AA417" s="268"/>
      <c r="AB417" s="268"/>
      <c r="AC417" s="268"/>
      <c r="AD417" s="268"/>
      <c r="AE417" s="268"/>
      <c r="AF417" s="268"/>
      <c r="AG417" s="268"/>
      <c r="AH417" s="268"/>
      <c r="AI417" s="268"/>
      <c r="AJ417" s="268"/>
      <c r="AK417" s="268"/>
      <c r="AL417" s="268"/>
      <c r="AM417" s="268"/>
    </row>
    <row r="418">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85"/>
      <c r="W418" s="268"/>
      <c r="X418" s="268"/>
      <c r="Y418" s="268"/>
      <c r="Z418" s="268"/>
      <c r="AA418" s="268"/>
      <c r="AB418" s="268"/>
      <c r="AC418" s="268"/>
      <c r="AD418" s="268"/>
      <c r="AE418" s="268"/>
      <c r="AF418" s="268"/>
      <c r="AG418" s="268"/>
      <c r="AH418" s="268"/>
      <c r="AI418" s="268"/>
      <c r="AJ418" s="268"/>
      <c r="AK418" s="268"/>
      <c r="AL418" s="268"/>
      <c r="AM418" s="268"/>
    </row>
    <row r="41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85"/>
      <c r="W419" s="268"/>
      <c r="X419" s="268"/>
      <c r="Y419" s="268"/>
      <c r="Z419" s="268"/>
      <c r="AA419" s="268"/>
      <c r="AB419" s="268"/>
      <c r="AC419" s="268"/>
      <c r="AD419" s="268"/>
      <c r="AE419" s="268"/>
      <c r="AF419" s="268"/>
      <c r="AG419" s="268"/>
      <c r="AH419" s="268"/>
      <c r="AI419" s="268"/>
      <c r="AJ419" s="268"/>
      <c r="AK419" s="268"/>
      <c r="AL419" s="268"/>
      <c r="AM419" s="268"/>
    </row>
    <row r="420">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85"/>
      <c r="W420" s="268"/>
      <c r="X420" s="268"/>
      <c r="Y420" s="268"/>
      <c r="Z420" s="268"/>
      <c r="AA420" s="268"/>
      <c r="AB420" s="268"/>
      <c r="AC420" s="268"/>
      <c r="AD420" s="268"/>
      <c r="AE420" s="268"/>
      <c r="AF420" s="268"/>
      <c r="AG420" s="268"/>
      <c r="AH420" s="268"/>
      <c r="AI420" s="268"/>
      <c r="AJ420" s="268"/>
      <c r="AK420" s="268"/>
      <c r="AL420" s="268"/>
      <c r="AM420" s="268"/>
    </row>
    <row r="42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85"/>
      <c r="W421" s="268"/>
      <c r="X421" s="268"/>
      <c r="Y421" s="268"/>
      <c r="Z421" s="268"/>
      <c r="AA421" s="268"/>
      <c r="AB421" s="268"/>
      <c r="AC421" s="268"/>
      <c r="AD421" s="268"/>
      <c r="AE421" s="268"/>
      <c r="AF421" s="268"/>
      <c r="AG421" s="268"/>
      <c r="AH421" s="268"/>
      <c r="AI421" s="268"/>
      <c r="AJ421" s="268"/>
      <c r="AK421" s="268"/>
      <c r="AL421" s="268"/>
      <c r="AM421" s="268"/>
    </row>
    <row r="422">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85"/>
      <c r="W422" s="268"/>
      <c r="X422" s="268"/>
      <c r="Y422" s="268"/>
      <c r="Z422" s="268"/>
      <c r="AA422" s="268"/>
      <c r="AB422" s="268"/>
      <c r="AC422" s="268"/>
      <c r="AD422" s="268"/>
      <c r="AE422" s="268"/>
      <c r="AF422" s="268"/>
      <c r="AG422" s="268"/>
      <c r="AH422" s="268"/>
      <c r="AI422" s="268"/>
      <c r="AJ422" s="268"/>
      <c r="AK422" s="268"/>
      <c r="AL422" s="268"/>
      <c r="AM422" s="268"/>
    </row>
    <row r="42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85"/>
      <c r="W423" s="268"/>
      <c r="X423" s="268"/>
      <c r="Y423" s="268"/>
      <c r="Z423" s="268"/>
      <c r="AA423" s="268"/>
      <c r="AB423" s="268"/>
      <c r="AC423" s="268"/>
      <c r="AD423" s="268"/>
      <c r="AE423" s="268"/>
      <c r="AF423" s="268"/>
      <c r="AG423" s="268"/>
      <c r="AH423" s="268"/>
      <c r="AI423" s="268"/>
      <c r="AJ423" s="268"/>
      <c r="AK423" s="268"/>
      <c r="AL423" s="268"/>
      <c r="AM423" s="268"/>
    </row>
    <row r="424">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85"/>
      <c r="W424" s="268"/>
      <c r="X424" s="268"/>
      <c r="Y424" s="268"/>
      <c r="Z424" s="268"/>
      <c r="AA424" s="268"/>
      <c r="AB424" s="268"/>
      <c r="AC424" s="268"/>
      <c r="AD424" s="268"/>
      <c r="AE424" s="268"/>
      <c r="AF424" s="268"/>
      <c r="AG424" s="268"/>
      <c r="AH424" s="268"/>
      <c r="AI424" s="268"/>
      <c r="AJ424" s="268"/>
      <c r="AK424" s="268"/>
      <c r="AL424" s="268"/>
      <c r="AM424" s="268"/>
    </row>
    <row r="425">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85"/>
      <c r="W425" s="268"/>
      <c r="X425" s="268"/>
      <c r="Y425" s="268"/>
      <c r="Z425" s="268"/>
      <c r="AA425" s="268"/>
      <c r="AB425" s="268"/>
      <c r="AC425" s="268"/>
      <c r="AD425" s="268"/>
      <c r="AE425" s="268"/>
      <c r="AF425" s="268"/>
      <c r="AG425" s="268"/>
      <c r="AH425" s="268"/>
      <c r="AI425" s="268"/>
      <c r="AJ425" s="268"/>
      <c r="AK425" s="268"/>
      <c r="AL425" s="268"/>
      <c r="AM425" s="268"/>
    </row>
    <row r="426">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85"/>
      <c r="W426" s="268"/>
      <c r="X426" s="268"/>
      <c r="Y426" s="268"/>
      <c r="Z426" s="268"/>
      <c r="AA426" s="268"/>
      <c r="AB426" s="268"/>
      <c r="AC426" s="268"/>
      <c r="AD426" s="268"/>
      <c r="AE426" s="268"/>
      <c r="AF426" s="268"/>
      <c r="AG426" s="268"/>
      <c r="AH426" s="268"/>
      <c r="AI426" s="268"/>
      <c r="AJ426" s="268"/>
      <c r="AK426" s="268"/>
      <c r="AL426" s="268"/>
      <c r="AM426" s="268"/>
    </row>
    <row r="427">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85"/>
      <c r="W427" s="268"/>
      <c r="X427" s="268"/>
      <c r="Y427" s="268"/>
      <c r="Z427" s="268"/>
      <c r="AA427" s="268"/>
      <c r="AB427" s="268"/>
      <c r="AC427" s="268"/>
      <c r="AD427" s="268"/>
      <c r="AE427" s="268"/>
      <c r="AF427" s="268"/>
      <c r="AG427" s="268"/>
      <c r="AH427" s="268"/>
      <c r="AI427" s="268"/>
      <c r="AJ427" s="268"/>
      <c r="AK427" s="268"/>
      <c r="AL427" s="268"/>
      <c r="AM427" s="268"/>
    </row>
    <row r="428">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85"/>
      <c r="W428" s="268"/>
      <c r="X428" s="268"/>
      <c r="Y428" s="268"/>
      <c r="Z428" s="268"/>
      <c r="AA428" s="268"/>
      <c r="AB428" s="268"/>
      <c r="AC428" s="268"/>
      <c r="AD428" s="268"/>
      <c r="AE428" s="268"/>
      <c r="AF428" s="268"/>
      <c r="AG428" s="268"/>
      <c r="AH428" s="268"/>
      <c r="AI428" s="268"/>
      <c r="AJ428" s="268"/>
      <c r="AK428" s="268"/>
      <c r="AL428" s="268"/>
      <c r="AM428" s="268"/>
    </row>
    <row r="42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85"/>
      <c r="W429" s="268"/>
      <c r="X429" s="268"/>
      <c r="Y429" s="268"/>
      <c r="Z429" s="268"/>
      <c r="AA429" s="268"/>
      <c r="AB429" s="268"/>
      <c r="AC429" s="268"/>
      <c r="AD429" s="268"/>
      <c r="AE429" s="268"/>
      <c r="AF429" s="268"/>
      <c r="AG429" s="268"/>
      <c r="AH429" s="268"/>
      <c r="AI429" s="268"/>
      <c r="AJ429" s="268"/>
      <c r="AK429" s="268"/>
      <c r="AL429" s="268"/>
      <c r="AM429" s="268"/>
    </row>
    <row r="430">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85"/>
      <c r="W430" s="268"/>
      <c r="X430" s="268"/>
      <c r="Y430" s="268"/>
      <c r="Z430" s="268"/>
      <c r="AA430" s="268"/>
      <c r="AB430" s="268"/>
      <c r="AC430" s="268"/>
      <c r="AD430" s="268"/>
      <c r="AE430" s="268"/>
      <c r="AF430" s="268"/>
      <c r="AG430" s="268"/>
      <c r="AH430" s="268"/>
      <c r="AI430" s="268"/>
      <c r="AJ430" s="268"/>
      <c r="AK430" s="268"/>
      <c r="AL430" s="268"/>
      <c r="AM430" s="268"/>
    </row>
    <row r="43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85"/>
      <c r="W431" s="268"/>
      <c r="X431" s="268"/>
      <c r="Y431" s="268"/>
      <c r="Z431" s="268"/>
      <c r="AA431" s="268"/>
      <c r="AB431" s="268"/>
      <c r="AC431" s="268"/>
      <c r="AD431" s="268"/>
      <c r="AE431" s="268"/>
      <c r="AF431" s="268"/>
      <c r="AG431" s="268"/>
      <c r="AH431" s="268"/>
      <c r="AI431" s="268"/>
      <c r="AJ431" s="268"/>
      <c r="AK431" s="268"/>
      <c r="AL431" s="268"/>
      <c r="AM431" s="268"/>
    </row>
    <row r="432">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85"/>
      <c r="W432" s="268"/>
      <c r="X432" s="268"/>
      <c r="Y432" s="268"/>
      <c r="Z432" s="268"/>
      <c r="AA432" s="268"/>
      <c r="AB432" s="268"/>
      <c r="AC432" s="268"/>
      <c r="AD432" s="268"/>
      <c r="AE432" s="268"/>
      <c r="AF432" s="268"/>
      <c r="AG432" s="268"/>
      <c r="AH432" s="268"/>
      <c r="AI432" s="268"/>
      <c r="AJ432" s="268"/>
      <c r="AK432" s="268"/>
      <c r="AL432" s="268"/>
      <c r="AM432" s="268"/>
    </row>
    <row r="43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85"/>
      <c r="W433" s="268"/>
      <c r="X433" s="268"/>
      <c r="Y433" s="268"/>
      <c r="Z433" s="268"/>
      <c r="AA433" s="268"/>
      <c r="AB433" s="268"/>
      <c r="AC433" s="268"/>
      <c r="AD433" s="268"/>
      <c r="AE433" s="268"/>
      <c r="AF433" s="268"/>
      <c r="AG433" s="268"/>
      <c r="AH433" s="268"/>
      <c r="AI433" s="268"/>
      <c r="AJ433" s="268"/>
      <c r="AK433" s="268"/>
      <c r="AL433" s="268"/>
      <c r="AM433" s="268"/>
    </row>
    <row r="434">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85"/>
      <c r="W434" s="268"/>
      <c r="X434" s="268"/>
      <c r="Y434" s="268"/>
      <c r="Z434" s="268"/>
      <c r="AA434" s="268"/>
      <c r="AB434" s="268"/>
      <c r="AC434" s="268"/>
      <c r="AD434" s="268"/>
      <c r="AE434" s="268"/>
      <c r="AF434" s="268"/>
      <c r="AG434" s="268"/>
      <c r="AH434" s="268"/>
      <c r="AI434" s="268"/>
      <c r="AJ434" s="268"/>
      <c r="AK434" s="268"/>
      <c r="AL434" s="268"/>
      <c r="AM434" s="268"/>
    </row>
    <row r="435">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85"/>
      <c r="W435" s="268"/>
      <c r="X435" s="268"/>
      <c r="Y435" s="268"/>
      <c r="Z435" s="268"/>
      <c r="AA435" s="268"/>
      <c r="AB435" s="268"/>
      <c r="AC435" s="268"/>
      <c r="AD435" s="268"/>
      <c r="AE435" s="268"/>
      <c r="AF435" s="268"/>
      <c r="AG435" s="268"/>
      <c r="AH435" s="268"/>
      <c r="AI435" s="268"/>
      <c r="AJ435" s="268"/>
      <c r="AK435" s="268"/>
      <c r="AL435" s="268"/>
      <c r="AM435" s="268"/>
    </row>
    <row r="436">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85"/>
      <c r="W436" s="268"/>
      <c r="X436" s="268"/>
      <c r="Y436" s="268"/>
      <c r="Z436" s="268"/>
      <c r="AA436" s="268"/>
      <c r="AB436" s="268"/>
      <c r="AC436" s="268"/>
      <c r="AD436" s="268"/>
      <c r="AE436" s="268"/>
      <c r="AF436" s="268"/>
      <c r="AG436" s="268"/>
      <c r="AH436" s="268"/>
      <c r="AI436" s="268"/>
      <c r="AJ436" s="268"/>
      <c r="AK436" s="268"/>
      <c r="AL436" s="268"/>
      <c r="AM436" s="268"/>
    </row>
    <row r="437">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85"/>
      <c r="W437" s="268"/>
      <c r="X437" s="268"/>
      <c r="Y437" s="268"/>
      <c r="Z437" s="268"/>
      <c r="AA437" s="268"/>
      <c r="AB437" s="268"/>
      <c r="AC437" s="268"/>
      <c r="AD437" s="268"/>
      <c r="AE437" s="268"/>
      <c r="AF437" s="268"/>
      <c r="AG437" s="268"/>
      <c r="AH437" s="268"/>
      <c r="AI437" s="268"/>
      <c r="AJ437" s="268"/>
      <c r="AK437" s="268"/>
      <c r="AL437" s="268"/>
      <c r="AM437" s="268"/>
    </row>
    <row r="438">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85"/>
      <c r="W438" s="268"/>
      <c r="X438" s="268"/>
      <c r="Y438" s="268"/>
      <c r="Z438" s="268"/>
      <c r="AA438" s="268"/>
      <c r="AB438" s="268"/>
      <c r="AC438" s="268"/>
      <c r="AD438" s="268"/>
      <c r="AE438" s="268"/>
      <c r="AF438" s="268"/>
      <c r="AG438" s="268"/>
      <c r="AH438" s="268"/>
      <c r="AI438" s="268"/>
      <c r="AJ438" s="268"/>
      <c r="AK438" s="268"/>
      <c r="AL438" s="268"/>
      <c r="AM438" s="268"/>
    </row>
    <row r="43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85"/>
      <c r="W439" s="268"/>
      <c r="X439" s="268"/>
      <c r="Y439" s="268"/>
      <c r="Z439" s="268"/>
      <c r="AA439" s="268"/>
      <c r="AB439" s="268"/>
      <c r="AC439" s="268"/>
      <c r="AD439" s="268"/>
      <c r="AE439" s="268"/>
      <c r="AF439" s="268"/>
      <c r="AG439" s="268"/>
      <c r="AH439" s="268"/>
      <c r="AI439" s="268"/>
      <c r="AJ439" s="268"/>
      <c r="AK439" s="268"/>
      <c r="AL439" s="268"/>
      <c r="AM439" s="268"/>
    </row>
    <row r="440">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85"/>
      <c r="W440" s="268"/>
      <c r="X440" s="268"/>
      <c r="Y440" s="268"/>
      <c r="Z440" s="268"/>
      <c r="AA440" s="268"/>
      <c r="AB440" s="268"/>
      <c r="AC440" s="268"/>
      <c r="AD440" s="268"/>
      <c r="AE440" s="268"/>
      <c r="AF440" s="268"/>
      <c r="AG440" s="268"/>
      <c r="AH440" s="268"/>
      <c r="AI440" s="268"/>
      <c r="AJ440" s="268"/>
      <c r="AK440" s="268"/>
      <c r="AL440" s="268"/>
      <c r="AM440" s="268"/>
    </row>
    <row r="44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85"/>
      <c r="W441" s="268"/>
      <c r="X441" s="268"/>
      <c r="Y441" s="268"/>
      <c r="Z441" s="268"/>
      <c r="AA441" s="268"/>
      <c r="AB441" s="268"/>
      <c r="AC441" s="268"/>
      <c r="AD441" s="268"/>
      <c r="AE441" s="268"/>
      <c r="AF441" s="268"/>
      <c r="AG441" s="268"/>
      <c r="AH441" s="268"/>
      <c r="AI441" s="268"/>
      <c r="AJ441" s="268"/>
      <c r="AK441" s="268"/>
      <c r="AL441" s="268"/>
      <c r="AM441" s="268"/>
    </row>
    <row r="442">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85"/>
      <c r="W442" s="268"/>
      <c r="X442" s="268"/>
      <c r="Y442" s="268"/>
      <c r="Z442" s="268"/>
      <c r="AA442" s="268"/>
      <c r="AB442" s="268"/>
      <c r="AC442" s="268"/>
      <c r="AD442" s="268"/>
      <c r="AE442" s="268"/>
      <c r="AF442" s="268"/>
      <c r="AG442" s="268"/>
      <c r="AH442" s="268"/>
      <c r="AI442" s="268"/>
      <c r="AJ442" s="268"/>
      <c r="AK442" s="268"/>
      <c r="AL442" s="268"/>
      <c r="AM442" s="268"/>
    </row>
    <row r="44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85"/>
      <c r="W443" s="268"/>
      <c r="X443" s="268"/>
      <c r="Y443" s="268"/>
      <c r="Z443" s="268"/>
      <c r="AA443" s="268"/>
      <c r="AB443" s="268"/>
      <c r="AC443" s="268"/>
      <c r="AD443" s="268"/>
      <c r="AE443" s="268"/>
      <c r="AF443" s="268"/>
      <c r="AG443" s="268"/>
      <c r="AH443" s="268"/>
      <c r="AI443" s="268"/>
      <c r="AJ443" s="268"/>
      <c r="AK443" s="268"/>
      <c r="AL443" s="268"/>
      <c r="AM443" s="268"/>
    </row>
    <row r="444">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85"/>
      <c r="W444" s="268"/>
      <c r="X444" s="268"/>
      <c r="Y444" s="268"/>
      <c r="Z444" s="268"/>
      <c r="AA444" s="268"/>
      <c r="AB444" s="268"/>
      <c r="AC444" s="268"/>
      <c r="AD444" s="268"/>
      <c r="AE444" s="268"/>
      <c r="AF444" s="268"/>
      <c r="AG444" s="268"/>
      <c r="AH444" s="268"/>
      <c r="AI444" s="268"/>
      <c r="AJ444" s="268"/>
      <c r="AK444" s="268"/>
      <c r="AL444" s="268"/>
      <c r="AM444" s="268"/>
    </row>
    <row r="445">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85"/>
      <c r="W445" s="268"/>
      <c r="X445" s="268"/>
      <c r="Y445" s="268"/>
      <c r="Z445" s="268"/>
      <c r="AA445" s="268"/>
      <c r="AB445" s="268"/>
      <c r="AC445" s="268"/>
      <c r="AD445" s="268"/>
      <c r="AE445" s="268"/>
      <c r="AF445" s="268"/>
      <c r="AG445" s="268"/>
      <c r="AH445" s="268"/>
      <c r="AI445" s="268"/>
      <c r="AJ445" s="268"/>
      <c r="AK445" s="268"/>
      <c r="AL445" s="268"/>
      <c r="AM445" s="268"/>
    </row>
    <row r="446">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85"/>
      <c r="W446" s="268"/>
      <c r="X446" s="268"/>
      <c r="Y446" s="268"/>
      <c r="Z446" s="268"/>
      <c r="AA446" s="268"/>
      <c r="AB446" s="268"/>
      <c r="AC446" s="268"/>
      <c r="AD446" s="268"/>
      <c r="AE446" s="268"/>
      <c r="AF446" s="268"/>
      <c r="AG446" s="268"/>
      <c r="AH446" s="268"/>
      <c r="AI446" s="268"/>
      <c r="AJ446" s="268"/>
      <c r="AK446" s="268"/>
      <c r="AL446" s="268"/>
      <c r="AM446" s="268"/>
    </row>
    <row r="447">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85"/>
      <c r="W447" s="268"/>
      <c r="X447" s="268"/>
      <c r="Y447" s="268"/>
      <c r="Z447" s="268"/>
      <c r="AA447" s="268"/>
      <c r="AB447" s="268"/>
      <c r="AC447" s="268"/>
      <c r="AD447" s="268"/>
      <c r="AE447" s="268"/>
      <c r="AF447" s="268"/>
      <c r="AG447" s="268"/>
      <c r="AH447" s="268"/>
      <c r="AI447" s="268"/>
      <c r="AJ447" s="268"/>
      <c r="AK447" s="268"/>
      <c r="AL447" s="268"/>
      <c r="AM447" s="268"/>
    </row>
    <row r="448">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85"/>
      <c r="W448" s="268"/>
      <c r="X448" s="268"/>
      <c r="Y448" s="268"/>
      <c r="Z448" s="268"/>
      <c r="AA448" s="268"/>
      <c r="AB448" s="268"/>
      <c r="AC448" s="268"/>
      <c r="AD448" s="268"/>
      <c r="AE448" s="268"/>
      <c r="AF448" s="268"/>
      <c r="AG448" s="268"/>
      <c r="AH448" s="268"/>
      <c r="AI448" s="268"/>
      <c r="AJ448" s="268"/>
      <c r="AK448" s="268"/>
      <c r="AL448" s="268"/>
      <c r="AM448" s="268"/>
    </row>
    <row r="44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85"/>
      <c r="W449" s="268"/>
      <c r="X449" s="268"/>
      <c r="Y449" s="268"/>
      <c r="Z449" s="268"/>
      <c r="AA449" s="268"/>
      <c r="AB449" s="268"/>
      <c r="AC449" s="268"/>
      <c r="AD449" s="268"/>
      <c r="AE449" s="268"/>
      <c r="AF449" s="268"/>
      <c r="AG449" s="268"/>
      <c r="AH449" s="268"/>
      <c r="AI449" s="268"/>
      <c r="AJ449" s="268"/>
      <c r="AK449" s="268"/>
      <c r="AL449" s="268"/>
      <c r="AM449" s="268"/>
    </row>
    <row r="450">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85"/>
      <c r="W450" s="268"/>
      <c r="X450" s="268"/>
      <c r="Y450" s="268"/>
      <c r="Z450" s="268"/>
      <c r="AA450" s="268"/>
      <c r="AB450" s="268"/>
      <c r="AC450" s="268"/>
      <c r="AD450" s="268"/>
      <c r="AE450" s="268"/>
      <c r="AF450" s="268"/>
      <c r="AG450" s="268"/>
      <c r="AH450" s="268"/>
      <c r="AI450" s="268"/>
      <c r="AJ450" s="268"/>
      <c r="AK450" s="268"/>
      <c r="AL450" s="268"/>
      <c r="AM450" s="268"/>
    </row>
    <row r="45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85"/>
      <c r="W451" s="268"/>
      <c r="X451" s="268"/>
      <c r="Y451" s="268"/>
      <c r="Z451" s="268"/>
      <c r="AA451" s="268"/>
      <c r="AB451" s="268"/>
      <c r="AC451" s="268"/>
      <c r="AD451" s="268"/>
      <c r="AE451" s="268"/>
      <c r="AF451" s="268"/>
      <c r="AG451" s="268"/>
      <c r="AH451" s="268"/>
      <c r="AI451" s="268"/>
      <c r="AJ451" s="268"/>
      <c r="AK451" s="268"/>
      <c r="AL451" s="268"/>
      <c r="AM451" s="268"/>
    </row>
    <row r="452">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85"/>
      <c r="W452" s="268"/>
      <c r="X452" s="268"/>
      <c r="Y452" s="268"/>
      <c r="Z452" s="268"/>
      <c r="AA452" s="268"/>
      <c r="AB452" s="268"/>
      <c r="AC452" s="268"/>
      <c r="AD452" s="268"/>
      <c r="AE452" s="268"/>
      <c r="AF452" s="268"/>
      <c r="AG452" s="268"/>
      <c r="AH452" s="268"/>
      <c r="AI452" s="268"/>
      <c r="AJ452" s="268"/>
      <c r="AK452" s="268"/>
      <c r="AL452" s="268"/>
      <c r="AM452" s="268"/>
    </row>
    <row r="45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85"/>
      <c r="W453" s="268"/>
      <c r="X453" s="268"/>
      <c r="Y453" s="268"/>
      <c r="Z453" s="268"/>
      <c r="AA453" s="268"/>
      <c r="AB453" s="268"/>
      <c r="AC453" s="268"/>
      <c r="AD453" s="268"/>
      <c r="AE453" s="268"/>
      <c r="AF453" s="268"/>
      <c r="AG453" s="268"/>
      <c r="AH453" s="268"/>
      <c r="AI453" s="268"/>
      <c r="AJ453" s="268"/>
      <c r="AK453" s="268"/>
      <c r="AL453" s="268"/>
      <c r="AM453" s="268"/>
    </row>
    <row r="454">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85"/>
      <c r="W454" s="268"/>
      <c r="X454" s="268"/>
      <c r="Y454" s="268"/>
      <c r="Z454" s="268"/>
      <c r="AA454" s="268"/>
      <c r="AB454" s="268"/>
      <c r="AC454" s="268"/>
      <c r="AD454" s="268"/>
      <c r="AE454" s="268"/>
      <c r="AF454" s="268"/>
      <c r="AG454" s="268"/>
      <c r="AH454" s="268"/>
      <c r="AI454" s="268"/>
      <c r="AJ454" s="268"/>
      <c r="AK454" s="268"/>
      <c r="AL454" s="268"/>
      <c r="AM454" s="268"/>
    </row>
    <row r="455">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85"/>
      <c r="W455" s="268"/>
      <c r="X455" s="268"/>
      <c r="Y455" s="268"/>
      <c r="Z455" s="268"/>
      <c r="AA455" s="268"/>
      <c r="AB455" s="268"/>
      <c r="AC455" s="268"/>
      <c r="AD455" s="268"/>
      <c r="AE455" s="268"/>
      <c r="AF455" s="268"/>
      <c r="AG455" s="268"/>
      <c r="AH455" s="268"/>
      <c r="AI455" s="268"/>
      <c r="AJ455" s="268"/>
      <c r="AK455" s="268"/>
      <c r="AL455" s="268"/>
      <c r="AM455" s="268"/>
    </row>
    <row r="456">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85"/>
      <c r="W456" s="268"/>
      <c r="X456" s="268"/>
      <c r="Y456" s="268"/>
      <c r="Z456" s="268"/>
      <c r="AA456" s="268"/>
      <c r="AB456" s="268"/>
      <c r="AC456" s="268"/>
      <c r="AD456" s="268"/>
      <c r="AE456" s="268"/>
      <c r="AF456" s="268"/>
      <c r="AG456" s="268"/>
      <c r="AH456" s="268"/>
      <c r="AI456" s="268"/>
      <c r="AJ456" s="268"/>
      <c r="AK456" s="268"/>
      <c r="AL456" s="268"/>
      <c r="AM456" s="268"/>
    </row>
    <row r="457">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85"/>
      <c r="W457" s="268"/>
      <c r="X457" s="268"/>
      <c r="Y457" s="268"/>
      <c r="Z457" s="268"/>
      <c r="AA457" s="268"/>
      <c r="AB457" s="268"/>
      <c r="AC457" s="268"/>
      <c r="AD457" s="268"/>
      <c r="AE457" s="268"/>
      <c r="AF457" s="268"/>
      <c r="AG457" s="268"/>
      <c r="AH457" s="268"/>
      <c r="AI457" s="268"/>
      <c r="AJ457" s="268"/>
      <c r="AK457" s="268"/>
      <c r="AL457" s="268"/>
      <c r="AM457" s="268"/>
    </row>
    <row r="458">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85"/>
      <c r="W458" s="268"/>
      <c r="X458" s="268"/>
      <c r="Y458" s="268"/>
      <c r="Z458" s="268"/>
      <c r="AA458" s="268"/>
      <c r="AB458" s="268"/>
      <c r="AC458" s="268"/>
      <c r="AD458" s="268"/>
      <c r="AE458" s="268"/>
      <c r="AF458" s="268"/>
      <c r="AG458" s="268"/>
      <c r="AH458" s="268"/>
      <c r="AI458" s="268"/>
      <c r="AJ458" s="268"/>
      <c r="AK458" s="268"/>
      <c r="AL458" s="268"/>
      <c r="AM458" s="268"/>
    </row>
    <row r="45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85"/>
      <c r="W459" s="268"/>
      <c r="X459" s="268"/>
      <c r="Y459" s="268"/>
      <c r="Z459" s="268"/>
      <c r="AA459" s="268"/>
      <c r="AB459" s="268"/>
      <c r="AC459" s="268"/>
      <c r="AD459" s="268"/>
      <c r="AE459" s="268"/>
      <c r="AF459" s="268"/>
      <c r="AG459" s="268"/>
      <c r="AH459" s="268"/>
      <c r="AI459" s="268"/>
      <c r="AJ459" s="268"/>
      <c r="AK459" s="268"/>
      <c r="AL459" s="268"/>
      <c r="AM459" s="268"/>
    </row>
    <row r="460">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85"/>
      <c r="W460" s="268"/>
      <c r="X460" s="268"/>
      <c r="Y460" s="268"/>
      <c r="Z460" s="268"/>
      <c r="AA460" s="268"/>
      <c r="AB460" s="268"/>
      <c r="AC460" s="268"/>
      <c r="AD460" s="268"/>
      <c r="AE460" s="268"/>
      <c r="AF460" s="268"/>
      <c r="AG460" s="268"/>
      <c r="AH460" s="268"/>
      <c r="AI460" s="268"/>
      <c r="AJ460" s="268"/>
      <c r="AK460" s="268"/>
      <c r="AL460" s="268"/>
      <c r="AM460" s="268"/>
    </row>
    <row r="46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85"/>
      <c r="W461" s="268"/>
      <c r="X461" s="268"/>
      <c r="Y461" s="268"/>
      <c r="Z461" s="268"/>
      <c r="AA461" s="268"/>
      <c r="AB461" s="268"/>
      <c r="AC461" s="268"/>
      <c r="AD461" s="268"/>
      <c r="AE461" s="268"/>
      <c r="AF461" s="268"/>
      <c r="AG461" s="268"/>
      <c r="AH461" s="268"/>
      <c r="AI461" s="268"/>
      <c r="AJ461" s="268"/>
      <c r="AK461" s="268"/>
      <c r="AL461" s="268"/>
      <c r="AM461" s="268"/>
    </row>
    <row r="462">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85"/>
      <c r="W462" s="268"/>
      <c r="X462" s="268"/>
      <c r="Y462" s="268"/>
      <c r="Z462" s="268"/>
      <c r="AA462" s="268"/>
      <c r="AB462" s="268"/>
      <c r="AC462" s="268"/>
      <c r="AD462" s="268"/>
      <c r="AE462" s="268"/>
      <c r="AF462" s="268"/>
      <c r="AG462" s="268"/>
      <c r="AH462" s="268"/>
      <c r="AI462" s="268"/>
      <c r="AJ462" s="268"/>
      <c r="AK462" s="268"/>
      <c r="AL462" s="268"/>
      <c r="AM462" s="268"/>
    </row>
    <row r="46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85"/>
      <c r="W463" s="268"/>
      <c r="X463" s="268"/>
      <c r="Y463" s="268"/>
      <c r="Z463" s="268"/>
      <c r="AA463" s="268"/>
      <c r="AB463" s="268"/>
      <c r="AC463" s="268"/>
      <c r="AD463" s="268"/>
      <c r="AE463" s="268"/>
      <c r="AF463" s="268"/>
      <c r="AG463" s="268"/>
      <c r="AH463" s="268"/>
      <c r="AI463" s="268"/>
      <c r="AJ463" s="268"/>
      <c r="AK463" s="268"/>
      <c r="AL463" s="268"/>
      <c r="AM463" s="268"/>
    </row>
    <row r="464">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85"/>
      <c r="W464" s="268"/>
      <c r="X464" s="268"/>
      <c r="Y464" s="268"/>
      <c r="Z464" s="268"/>
      <c r="AA464" s="268"/>
      <c r="AB464" s="268"/>
      <c r="AC464" s="268"/>
      <c r="AD464" s="268"/>
      <c r="AE464" s="268"/>
      <c r="AF464" s="268"/>
      <c r="AG464" s="268"/>
      <c r="AH464" s="268"/>
      <c r="AI464" s="268"/>
      <c r="AJ464" s="268"/>
      <c r="AK464" s="268"/>
      <c r="AL464" s="268"/>
      <c r="AM464" s="268"/>
    </row>
    <row r="465">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85"/>
      <c r="W465" s="268"/>
      <c r="X465" s="268"/>
      <c r="Y465" s="268"/>
      <c r="Z465" s="268"/>
      <c r="AA465" s="268"/>
      <c r="AB465" s="268"/>
      <c r="AC465" s="268"/>
      <c r="AD465" s="268"/>
      <c r="AE465" s="268"/>
      <c r="AF465" s="268"/>
      <c r="AG465" s="268"/>
      <c r="AH465" s="268"/>
      <c r="AI465" s="268"/>
      <c r="AJ465" s="268"/>
      <c r="AK465" s="268"/>
      <c r="AL465" s="268"/>
      <c r="AM465" s="268"/>
    </row>
    <row r="466">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85"/>
      <c r="W466" s="268"/>
      <c r="X466" s="268"/>
      <c r="Y466" s="268"/>
      <c r="Z466" s="268"/>
      <c r="AA466" s="268"/>
      <c r="AB466" s="268"/>
      <c r="AC466" s="268"/>
      <c r="AD466" s="268"/>
      <c r="AE466" s="268"/>
      <c r="AF466" s="268"/>
      <c r="AG466" s="268"/>
      <c r="AH466" s="268"/>
      <c r="AI466" s="268"/>
      <c r="AJ466" s="268"/>
      <c r="AK466" s="268"/>
      <c r="AL466" s="268"/>
      <c r="AM466" s="268"/>
    </row>
    <row r="467">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85"/>
      <c r="W467" s="268"/>
      <c r="X467" s="268"/>
      <c r="Y467" s="268"/>
      <c r="Z467" s="268"/>
      <c r="AA467" s="268"/>
      <c r="AB467" s="268"/>
      <c r="AC467" s="268"/>
      <c r="AD467" s="268"/>
      <c r="AE467" s="268"/>
      <c r="AF467" s="268"/>
      <c r="AG467" s="268"/>
      <c r="AH467" s="268"/>
      <c r="AI467" s="268"/>
      <c r="AJ467" s="268"/>
      <c r="AK467" s="268"/>
      <c r="AL467" s="268"/>
      <c r="AM467" s="268"/>
    </row>
    <row r="468">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85"/>
      <c r="W468" s="268"/>
      <c r="X468" s="268"/>
      <c r="Y468" s="268"/>
      <c r="Z468" s="268"/>
      <c r="AA468" s="268"/>
      <c r="AB468" s="268"/>
      <c r="AC468" s="268"/>
      <c r="AD468" s="268"/>
      <c r="AE468" s="268"/>
      <c r="AF468" s="268"/>
      <c r="AG468" s="268"/>
      <c r="AH468" s="268"/>
      <c r="AI468" s="268"/>
      <c r="AJ468" s="268"/>
      <c r="AK468" s="268"/>
      <c r="AL468" s="268"/>
      <c r="AM468" s="268"/>
    </row>
    <row r="46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85"/>
      <c r="W469" s="268"/>
      <c r="X469" s="268"/>
      <c r="Y469" s="268"/>
      <c r="Z469" s="268"/>
      <c r="AA469" s="268"/>
      <c r="AB469" s="268"/>
      <c r="AC469" s="268"/>
      <c r="AD469" s="268"/>
      <c r="AE469" s="268"/>
      <c r="AF469" s="268"/>
      <c r="AG469" s="268"/>
      <c r="AH469" s="268"/>
      <c r="AI469" s="268"/>
      <c r="AJ469" s="268"/>
      <c r="AK469" s="268"/>
      <c r="AL469" s="268"/>
      <c r="AM469" s="268"/>
    </row>
    <row r="470">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85"/>
      <c r="W470" s="268"/>
      <c r="X470" s="268"/>
      <c r="Y470" s="268"/>
      <c r="Z470" s="268"/>
      <c r="AA470" s="268"/>
      <c r="AB470" s="268"/>
      <c r="AC470" s="268"/>
      <c r="AD470" s="268"/>
      <c r="AE470" s="268"/>
      <c r="AF470" s="268"/>
      <c r="AG470" s="268"/>
      <c r="AH470" s="268"/>
      <c r="AI470" s="268"/>
      <c r="AJ470" s="268"/>
      <c r="AK470" s="268"/>
      <c r="AL470" s="268"/>
      <c r="AM470" s="268"/>
    </row>
    <row r="47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85"/>
      <c r="W471" s="268"/>
      <c r="X471" s="268"/>
      <c r="Y471" s="268"/>
      <c r="Z471" s="268"/>
      <c r="AA471" s="268"/>
      <c r="AB471" s="268"/>
      <c r="AC471" s="268"/>
      <c r="AD471" s="268"/>
      <c r="AE471" s="268"/>
      <c r="AF471" s="268"/>
      <c r="AG471" s="268"/>
      <c r="AH471" s="268"/>
      <c r="AI471" s="268"/>
      <c r="AJ471" s="268"/>
      <c r="AK471" s="268"/>
      <c r="AL471" s="268"/>
      <c r="AM471" s="268"/>
    </row>
    <row r="472">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85"/>
      <c r="W472" s="268"/>
      <c r="X472" s="268"/>
      <c r="Y472" s="268"/>
      <c r="Z472" s="268"/>
      <c r="AA472" s="268"/>
      <c r="AB472" s="268"/>
      <c r="AC472" s="268"/>
      <c r="AD472" s="268"/>
      <c r="AE472" s="268"/>
      <c r="AF472" s="268"/>
      <c r="AG472" s="268"/>
      <c r="AH472" s="268"/>
      <c r="AI472" s="268"/>
      <c r="AJ472" s="268"/>
      <c r="AK472" s="268"/>
      <c r="AL472" s="268"/>
      <c r="AM472" s="268"/>
    </row>
    <row r="47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85"/>
      <c r="W473" s="268"/>
      <c r="X473" s="268"/>
      <c r="Y473" s="268"/>
      <c r="Z473" s="268"/>
      <c r="AA473" s="268"/>
      <c r="AB473" s="268"/>
      <c r="AC473" s="268"/>
      <c r="AD473" s="268"/>
      <c r="AE473" s="268"/>
      <c r="AF473" s="268"/>
      <c r="AG473" s="268"/>
      <c r="AH473" s="268"/>
      <c r="AI473" s="268"/>
      <c r="AJ473" s="268"/>
      <c r="AK473" s="268"/>
      <c r="AL473" s="268"/>
      <c r="AM473" s="268"/>
    </row>
    <row r="474">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85"/>
      <c r="W474" s="268"/>
      <c r="X474" s="268"/>
      <c r="Y474" s="268"/>
      <c r="Z474" s="268"/>
      <c r="AA474" s="268"/>
      <c r="AB474" s="268"/>
      <c r="AC474" s="268"/>
      <c r="AD474" s="268"/>
      <c r="AE474" s="268"/>
      <c r="AF474" s="268"/>
      <c r="AG474" s="268"/>
      <c r="AH474" s="268"/>
      <c r="AI474" s="268"/>
      <c r="AJ474" s="268"/>
      <c r="AK474" s="268"/>
      <c r="AL474" s="268"/>
      <c r="AM474" s="268"/>
    </row>
    <row r="475">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85"/>
      <c r="W475" s="268"/>
      <c r="X475" s="268"/>
      <c r="Y475" s="268"/>
      <c r="Z475" s="268"/>
      <c r="AA475" s="268"/>
      <c r="AB475" s="268"/>
      <c r="AC475" s="268"/>
      <c r="AD475" s="268"/>
      <c r="AE475" s="268"/>
      <c r="AF475" s="268"/>
      <c r="AG475" s="268"/>
      <c r="AH475" s="268"/>
      <c r="AI475" s="268"/>
      <c r="AJ475" s="268"/>
      <c r="AK475" s="268"/>
      <c r="AL475" s="268"/>
      <c r="AM475" s="268"/>
    </row>
    <row r="476">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85"/>
      <c r="W476" s="268"/>
      <c r="X476" s="268"/>
      <c r="Y476" s="268"/>
      <c r="Z476" s="268"/>
      <c r="AA476" s="268"/>
      <c r="AB476" s="268"/>
      <c r="AC476" s="268"/>
      <c r="AD476" s="268"/>
      <c r="AE476" s="268"/>
      <c r="AF476" s="268"/>
      <c r="AG476" s="268"/>
      <c r="AH476" s="268"/>
      <c r="AI476" s="268"/>
      <c r="AJ476" s="268"/>
      <c r="AK476" s="268"/>
      <c r="AL476" s="268"/>
      <c r="AM476" s="268"/>
    </row>
    <row r="477">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85"/>
      <c r="W477" s="268"/>
      <c r="X477" s="268"/>
      <c r="Y477" s="268"/>
      <c r="Z477" s="268"/>
      <c r="AA477" s="268"/>
      <c r="AB477" s="268"/>
      <c r="AC477" s="268"/>
      <c r="AD477" s="268"/>
      <c r="AE477" s="268"/>
      <c r="AF477" s="268"/>
      <c r="AG477" s="268"/>
      <c r="AH477" s="268"/>
      <c r="AI477" s="268"/>
      <c r="AJ477" s="268"/>
      <c r="AK477" s="268"/>
      <c r="AL477" s="268"/>
      <c r="AM477" s="268"/>
    </row>
    <row r="478">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85"/>
      <c r="W478" s="268"/>
      <c r="X478" s="268"/>
      <c r="Y478" s="268"/>
      <c r="Z478" s="268"/>
      <c r="AA478" s="268"/>
      <c r="AB478" s="268"/>
      <c r="AC478" s="268"/>
      <c r="AD478" s="268"/>
      <c r="AE478" s="268"/>
      <c r="AF478" s="268"/>
      <c r="AG478" s="268"/>
      <c r="AH478" s="268"/>
      <c r="AI478" s="268"/>
      <c r="AJ478" s="268"/>
      <c r="AK478" s="268"/>
      <c r="AL478" s="268"/>
      <c r="AM478" s="268"/>
    </row>
    <row r="47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85"/>
      <c r="W479" s="268"/>
      <c r="X479" s="268"/>
      <c r="Y479" s="268"/>
      <c r="Z479" s="268"/>
      <c r="AA479" s="268"/>
      <c r="AB479" s="268"/>
      <c r="AC479" s="268"/>
      <c r="AD479" s="268"/>
      <c r="AE479" s="268"/>
      <c r="AF479" s="268"/>
      <c r="AG479" s="268"/>
      <c r="AH479" s="268"/>
      <c r="AI479" s="268"/>
      <c r="AJ479" s="268"/>
      <c r="AK479" s="268"/>
      <c r="AL479" s="268"/>
      <c r="AM479" s="268"/>
    </row>
    <row r="480">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85"/>
      <c r="W480" s="268"/>
      <c r="X480" s="268"/>
      <c r="Y480" s="268"/>
      <c r="Z480" s="268"/>
      <c r="AA480" s="268"/>
      <c r="AB480" s="268"/>
      <c r="AC480" s="268"/>
      <c r="AD480" s="268"/>
      <c r="AE480" s="268"/>
      <c r="AF480" s="268"/>
      <c r="AG480" s="268"/>
      <c r="AH480" s="268"/>
      <c r="AI480" s="268"/>
      <c r="AJ480" s="268"/>
      <c r="AK480" s="268"/>
      <c r="AL480" s="268"/>
      <c r="AM480" s="268"/>
    </row>
    <row r="48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85"/>
      <c r="W481" s="268"/>
      <c r="X481" s="268"/>
      <c r="Y481" s="268"/>
      <c r="Z481" s="268"/>
      <c r="AA481" s="268"/>
      <c r="AB481" s="268"/>
      <c r="AC481" s="268"/>
      <c r="AD481" s="268"/>
      <c r="AE481" s="268"/>
      <c r="AF481" s="268"/>
      <c r="AG481" s="268"/>
      <c r="AH481" s="268"/>
      <c r="AI481" s="268"/>
      <c r="AJ481" s="268"/>
      <c r="AK481" s="268"/>
      <c r="AL481" s="268"/>
      <c r="AM481" s="268"/>
    </row>
    <row r="482">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85"/>
      <c r="W482" s="268"/>
      <c r="X482" s="268"/>
      <c r="Y482" s="268"/>
      <c r="Z482" s="268"/>
      <c r="AA482" s="268"/>
      <c r="AB482" s="268"/>
      <c r="AC482" s="268"/>
      <c r="AD482" s="268"/>
      <c r="AE482" s="268"/>
      <c r="AF482" s="268"/>
      <c r="AG482" s="268"/>
      <c r="AH482" s="268"/>
      <c r="AI482" s="268"/>
      <c r="AJ482" s="268"/>
      <c r="AK482" s="268"/>
      <c r="AL482" s="268"/>
      <c r="AM482" s="268"/>
    </row>
    <row r="48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85"/>
      <c r="W483" s="268"/>
      <c r="X483" s="268"/>
      <c r="Y483" s="268"/>
      <c r="Z483" s="268"/>
      <c r="AA483" s="268"/>
      <c r="AB483" s="268"/>
      <c r="AC483" s="268"/>
      <c r="AD483" s="268"/>
      <c r="AE483" s="268"/>
      <c r="AF483" s="268"/>
      <c r="AG483" s="268"/>
      <c r="AH483" s="268"/>
      <c r="AI483" s="268"/>
      <c r="AJ483" s="268"/>
      <c r="AK483" s="268"/>
      <c r="AL483" s="268"/>
      <c r="AM483" s="268"/>
    </row>
    <row r="484">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85"/>
      <c r="W484" s="268"/>
      <c r="X484" s="268"/>
      <c r="Y484" s="268"/>
      <c r="Z484" s="268"/>
      <c r="AA484" s="268"/>
      <c r="AB484" s="268"/>
      <c r="AC484" s="268"/>
      <c r="AD484" s="268"/>
      <c r="AE484" s="268"/>
      <c r="AF484" s="268"/>
      <c r="AG484" s="268"/>
      <c r="AH484" s="268"/>
      <c r="AI484" s="268"/>
      <c r="AJ484" s="268"/>
      <c r="AK484" s="268"/>
      <c r="AL484" s="268"/>
      <c r="AM484" s="268"/>
    </row>
    <row r="485">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85"/>
      <c r="W485" s="268"/>
      <c r="X485" s="268"/>
      <c r="Y485" s="268"/>
      <c r="Z485" s="268"/>
      <c r="AA485" s="268"/>
      <c r="AB485" s="268"/>
      <c r="AC485" s="268"/>
      <c r="AD485" s="268"/>
      <c r="AE485" s="268"/>
      <c r="AF485" s="268"/>
      <c r="AG485" s="268"/>
      <c r="AH485" s="268"/>
      <c r="AI485" s="268"/>
      <c r="AJ485" s="268"/>
      <c r="AK485" s="268"/>
      <c r="AL485" s="268"/>
      <c r="AM485" s="268"/>
    </row>
    <row r="486">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85"/>
      <c r="W486" s="268"/>
      <c r="X486" s="268"/>
      <c r="Y486" s="268"/>
      <c r="Z486" s="268"/>
      <c r="AA486" s="268"/>
      <c r="AB486" s="268"/>
      <c r="AC486" s="268"/>
      <c r="AD486" s="268"/>
      <c r="AE486" s="268"/>
      <c r="AF486" s="268"/>
      <c r="AG486" s="268"/>
      <c r="AH486" s="268"/>
      <c r="AI486" s="268"/>
      <c r="AJ486" s="268"/>
      <c r="AK486" s="268"/>
      <c r="AL486" s="268"/>
      <c r="AM486" s="268"/>
    </row>
    <row r="487">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85"/>
      <c r="W487" s="268"/>
      <c r="X487" s="268"/>
      <c r="Y487" s="268"/>
      <c r="Z487" s="268"/>
      <c r="AA487" s="268"/>
      <c r="AB487" s="268"/>
      <c r="AC487" s="268"/>
      <c r="AD487" s="268"/>
      <c r="AE487" s="268"/>
      <c r="AF487" s="268"/>
      <c r="AG487" s="268"/>
      <c r="AH487" s="268"/>
      <c r="AI487" s="268"/>
      <c r="AJ487" s="268"/>
      <c r="AK487" s="268"/>
      <c r="AL487" s="268"/>
      <c r="AM487" s="268"/>
    </row>
    <row r="488">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85"/>
      <c r="W488" s="268"/>
      <c r="X488" s="268"/>
      <c r="Y488" s="268"/>
      <c r="Z488" s="268"/>
      <c r="AA488" s="268"/>
      <c r="AB488" s="268"/>
      <c r="AC488" s="268"/>
      <c r="AD488" s="268"/>
      <c r="AE488" s="268"/>
      <c r="AF488" s="268"/>
      <c r="AG488" s="268"/>
      <c r="AH488" s="268"/>
      <c r="AI488" s="268"/>
      <c r="AJ488" s="268"/>
      <c r="AK488" s="268"/>
      <c r="AL488" s="268"/>
      <c r="AM488" s="268"/>
    </row>
    <row r="48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85"/>
      <c r="W489" s="268"/>
      <c r="X489" s="268"/>
      <c r="Y489" s="268"/>
      <c r="Z489" s="268"/>
      <c r="AA489" s="268"/>
      <c r="AB489" s="268"/>
      <c r="AC489" s="268"/>
      <c r="AD489" s="268"/>
      <c r="AE489" s="268"/>
      <c r="AF489" s="268"/>
      <c r="AG489" s="268"/>
      <c r="AH489" s="268"/>
      <c r="AI489" s="268"/>
      <c r="AJ489" s="268"/>
      <c r="AK489" s="268"/>
      <c r="AL489" s="268"/>
      <c r="AM489" s="268"/>
    </row>
    <row r="490">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85"/>
      <c r="W490" s="268"/>
      <c r="X490" s="268"/>
      <c r="Y490" s="268"/>
      <c r="Z490" s="268"/>
      <c r="AA490" s="268"/>
      <c r="AB490" s="268"/>
      <c r="AC490" s="268"/>
      <c r="AD490" s="268"/>
      <c r="AE490" s="268"/>
      <c r="AF490" s="268"/>
      <c r="AG490" s="268"/>
      <c r="AH490" s="268"/>
      <c r="AI490" s="268"/>
      <c r="AJ490" s="268"/>
      <c r="AK490" s="268"/>
      <c r="AL490" s="268"/>
      <c r="AM490" s="268"/>
    </row>
    <row r="49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85"/>
      <c r="W491" s="268"/>
      <c r="X491" s="268"/>
      <c r="Y491" s="268"/>
      <c r="Z491" s="268"/>
      <c r="AA491" s="268"/>
      <c r="AB491" s="268"/>
      <c r="AC491" s="268"/>
      <c r="AD491" s="268"/>
      <c r="AE491" s="268"/>
      <c r="AF491" s="268"/>
      <c r="AG491" s="268"/>
      <c r="AH491" s="268"/>
      <c r="AI491" s="268"/>
      <c r="AJ491" s="268"/>
      <c r="AK491" s="268"/>
      <c r="AL491" s="268"/>
      <c r="AM491" s="268"/>
    </row>
    <row r="492">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85"/>
      <c r="W492" s="268"/>
      <c r="X492" s="268"/>
      <c r="Y492" s="268"/>
      <c r="Z492" s="268"/>
      <c r="AA492" s="268"/>
      <c r="AB492" s="268"/>
      <c r="AC492" s="268"/>
      <c r="AD492" s="268"/>
      <c r="AE492" s="268"/>
      <c r="AF492" s="268"/>
      <c r="AG492" s="268"/>
      <c r="AH492" s="268"/>
      <c r="AI492" s="268"/>
      <c r="AJ492" s="268"/>
      <c r="AK492" s="268"/>
      <c r="AL492" s="268"/>
      <c r="AM492" s="268"/>
    </row>
    <row r="49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85"/>
      <c r="W493" s="268"/>
      <c r="X493" s="268"/>
      <c r="Y493" s="268"/>
      <c r="Z493" s="268"/>
      <c r="AA493" s="268"/>
      <c r="AB493" s="268"/>
      <c r="AC493" s="268"/>
      <c r="AD493" s="268"/>
      <c r="AE493" s="268"/>
      <c r="AF493" s="268"/>
      <c r="AG493" s="268"/>
      <c r="AH493" s="268"/>
      <c r="AI493" s="268"/>
      <c r="AJ493" s="268"/>
      <c r="AK493" s="268"/>
      <c r="AL493" s="268"/>
      <c r="AM493" s="268"/>
    </row>
    <row r="494">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85"/>
      <c r="W494" s="268"/>
      <c r="X494" s="268"/>
      <c r="Y494" s="268"/>
      <c r="Z494" s="268"/>
      <c r="AA494" s="268"/>
      <c r="AB494" s="268"/>
      <c r="AC494" s="268"/>
      <c r="AD494" s="268"/>
      <c r="AE494" s="268"/>
      <c r="AF494" s="268"/>
      <c r="AG494" s="268"/>
      <c r="AH494" s="268"/>
      <c r="AI494" s="268"/>
      <c r="AJ494" s="268"/>
      <c r="AK494" s="268"/>
      <c r="AL494" s="268"/>
      <c r="AM494" s="268"/>
    </row>
    <row r="495">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85"/>
      <c r="W495" s="268"/>
      <c r="X495" s="268"/>
      <c r="Y495" s="268"/>
      <c r="Z495" s="268"/>
      <c r="AA495" s="268"/>
      <c r="AB495" s="268"/>
      <c r="AC495" s="268"/>
      <c r="AD495" s="268"/>
      <c r="AE495" s="268"/>
      <c r="AF495" s="268"/>
      <c r="AG495" s="268"/>
      <c r="AH495" s="268"/>
      <c r="AI495" s="268"/>
      <c r="AJ495" s="268"/>
      <c r="AK495" s="268"/>
      <c r="AL495" s="268"/>
      <c r="AM495" s="268"/>
    </row>
    <row r="496">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85"/>
      <c r="W496" s="268"/>
      <c r="X496" s="268"/>
      <c r="Y496" s="268"/>
      <c r="Z496" s="268"/>
      <c r="AA496" s="268"/>
      <c r="AB496" s="268"/>
      <c r="AC496" s="268"/>
      <c r="AD496" s="268"/>
      <c r="AE496" s="268"/>
      <c r="AF496" s="268"/>
      <c r="AG496" s="268"/>
      <c r="AH496" s="268"/>
      <c r="AI496" s="268"/>
      <c r="AJ496" s="268"/>
      <c r="AK496" s="268"/>
      <c r="AL496" s="268"/>
      <c r="AM496" s="268"/>
    </row>
    <row r="497">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85"/>
      <c r="W497" s="268"/>
      <c r="X497" s="268"/>
      <c r="Y497" s="268"/>
      <c r="Z497" s="268"/>
      <c r="AA497" s="268"/>
      <c r="AB497" s="268"/>
      <c r="AC497" s="268"/>
      <c r="AD497" s="268"/>
      <c r="AE497" s="268"/>
      <c r="AF497" s="268"/>
      <c r="AG497" s="268"/>
      <c r="AH497" s="268"/>
      <c r="AI497" s="268"/>
      <c r="AJ497" s="268"/>
      <c r="AK497" s="268"/>
      <c r="AL497" s="268"/>
      <c r="AM497" s="268"/>
    </row>
    <row r="498">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85"/>
      <c r="W498" s="268"/>
      <c r="X498" s="268"/>
      <c r="Y498" s="268"/>
      <c r="Z498" s="268"/>
      <c r="AA498" s="268"/>
      <c r="AB498" s="268"/>
      <c r="AC498" s="268"/>
      <c r="AD498" s="268"/>
      <c r="AE498" s="268"/>
      <c r="AF498" s="268"/>
      <c r="AG498" s="268"/>
      <c r="AH498" s="268"/>
      <c r="AI498" s="268"/>
      <c r="AJ498" s="268"/>
      <c r="AK498" s="268"/>
      <c r="AL498" s="268"/>
      <c r="AM498" s="268"/>
    </row>
    <row r="4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85"/>
      <c r="W499" s="268"/>
      <c r="X499" s="268"/>
      <c r="Y499" s="268"/>
      <c r="Z499" s="268"/>
      <c r="AA499" s="268"/>
      <c r="AB499" s="268"/>
      <c r="AC499" s="268"/>
      <c r="AD499" s="268"/>
      <c r="AE499" s="268"/>
      <c r="AF499" s="268"/>
      <c r="AG499" s="268"/>
      <c r="AH499" s="268"/>
      <c r="AI499" s="268"/>
      <c r="AJ499" s="268"/>
      <c r="AK499" s="268"/>
      <c r="AL499" s="268"/>
      <c r="AM499" s="268"/>
    </row>
    <row r="500">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85"/>
      <c r="W500" s="268"/>
      <c r="X500" s="268"/>
      <c r="Y500" s="268"/>
      <c r="Z500" s="268"/>
      <c r="AA500" s="268"/>
      <c r="AB500" s="268"/>
      <c r="AC500" s="268"/>
      <c r="AD500" s="268"/>
      <c r="AE500" s="268"/>
      <c r="AF500" s="268"/>
      <c r="AG500" s="268"/>
      <c r="AH500" s="268"/>
      <c r="AI500" s="268"/>
      <c r="AJ500" s="268"/>
      <c r="AK500" s="268"/>
      <c r="AL500" s="268"/>
      <c r="AM500" s="268"/>
    </row>
    <row r="50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85"/>
      <c r="W501" s="268"/>
      <c r="X501" s="268"/>
      <c r="Y501" s="268"/>
      <c r="Z501" s="268"/>
      <c r="AA501" s="268"/>
      <c r="AB501" s="268"/>
      <c r="AC501" s="268"/>
      <c r="AD501" s="268"/>
      <c r="AE501" s="268"/>
      <c r="AF501" s="268"/>
      <c r="AG501" s="268"/>
      <c r="AH501" s="268"/>
      <c r="AI501" s="268"/>
      <c r="AJ501" s="268"/>
      <c r="AK501" s="268"/>
      <c r="AL501" s="268"/>
      <c r="AM501" s="268"/>
    </row>
    <row r="502">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85"/>
      <c r="W502" s="268"/>
      <c r="X502" s="268"/>
      <c r="Y502" s="268"/>
      <c r="Z502" s="268"/>
      <c r="AA502" s="268"/>
      <c r="AB502" s="268"/>
      <c r="AC502" s="268"/>
      <c r="AD502" s="268"/>
      <c r="AE502" s="268"/>
      <c r="AF502" s="268"/>
      <c r="AG502" s="268"/>
      <c r="AH502" s="268"/>
      <c r="AI502" s="268"/>
      <c r="AJ502" s="268"/>
      <c r="AK502" s="268"/>
      <c r="AL502" s="268"/>
      <c r="AM502" s="268"/>
    </row>
    <row r="5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85"/>
      <c r="W503" s="268"/>
      <c r="X503" s="268"/>
      <c r="Y503" s="268"/>
      <c r="Z503" s="268"/>
      <c r="AA503" s="268"/>
      <c r="AB503" s="268"/>
      <c r="AC503" s="268"/>
      <c r="AD503" s="268"/>
      <c r="AE503" s="268"/>
      <c r="AF503" s="268"/>
      <c r="AG503" s="268"/>
      <c r="AH503" s="268"/>
      <c r="AI503" s="268"/>
      <c r="AJ503" s="268"/>
      <c r="AK503" s="268"/>
      <c r="AL503" s="268"/>
      <c r="AM503" s="268"/>
    </row>
    <row r="504">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85"/>
      <c r="W504" s="268"/>
      <c r="X504" s="268"/>
      <c r="Y504" s="268"/>
      <c r="Z504" s="268"/>
      <c r="AA504" s="268"/>
      <c r="AB504" s="268"/>
      <c r="AC504" s="268"/>
      <c r="AD504" s="268"/>
      <c r="AE504" s="268"/>
      <c r="AF504" s="268"/>
      <c r="AG504" s="268"/>
      <c r="AH504" s="268"/>
      <c r="AI504" s="268"/>
      <c r="AJ504" s="268"/>
      <c r="AK504" s="268"/>
      <c r="AL504" s="268"/>
      <c r="AM504" s="268"/>
    </row>
    <row r="505">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85"/>
      <c r="W505" s="268"/>
      <c r="X505" s="268"/>
      <c r="Y505" s="268"/>
      <c r="Z505" s="268"/>
      <c r="AA505" s="268"/>
      <c r="AB505" s="268"/>
      <c r="AC505" s="268"/>
      <c r="AD505" s="268"/>
      <c r="AE505" s="268"/>
      <c r="AF505" s="268"/>
      <c r="AG505" s="268"/>
      <c r="AH505" s="268"/>
      <c r="AI505" s="268"/>
      <c r="AJ505" s="268"/>
      <c r="AK505" s="268"/>
      <c r="AL505" s="268"/>
      <c r="AM505" s="268"/>
    </row>
    <row r="506">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85"/>
      <c r="W506" s="268"/>
      <c r="X506" s="268"/>
      <c r="Y506" s="268"/>
      <c r="Z506" s="268"/>
      <c r="AA506" s="268"/>
      <c r="AB506" s="268"/>
      <c r="AC506" s="268"/>
      <c r="AD506" s="268"/>
      <c r="AE506" s="268"/>
      <c r="AF506" s="268"/>
      <c r="AG506" s="268"/>
      <c r="AH506" s="268"/>
      <c r="AI506" s="268"/>
      <c r="AJ506" s="268"/>
      <c r="AK506" s="268"/>
      <c r="AL506" s="268"/>
      <c r="AM506" s="268"/>
    </row>
    <row r="507">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85"/>
      <c r="W507" s="268"/>
      <c r="X507" s="268"/>
      <c r="Y507" s="268"/>
      <c r="Z507" s="268"/>
      <c r="AA507" s="268"/>
      <c r="AB507" s="268"/>
      <c r="AC507" s="268"/>
      <c r="AD507" s="268"/>
      <c r="AE507" s="268"/>
      <c r="AF507" s="268"/>
      <c r="AG507" s="268"/>
      <c r="AH507" s="268"/>
      <c r="AI507" s="268"/>
      <c r="AJ507" s="268"/>
      <c r="AK507" s="268"/>
      <c r="AL507" s="268"/>
      <c r="AM507" s="268"/>
    </row>
    <row r="508">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85"/>
      <c r="W508" s="268"/>
      <c r="X508" s="268"/>
      <c r="Y508" s="268"/>
      <c r="Z508" s="268"/>
      <c r="AA508" s="268"/>
      <c r="AB508" s="268"/>
      <c r="AC508" s="268"/>
      <c r="AD508" s="268"/>
      <c r="AE508" s="268"/>
      <c r="AF508" s="268"/>
      <c r="AG508" s="268"/>
      <c r="AH508" s="268"/>
      <c r="AI508" s="268"/>
      <c r="AJ508" s="268"/>
      <c r="AK508" s="268"/>
      <c r="AL508" s="268"/>
      <c r="AM508" s="268"/>
    </row>
    <row r="50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85"/>
      <c r="W509" s="268"/>
      <c r="X509" s="268"/>
      <c r="Y509" s="268"/>
      <c r="Z509" s="268"/>
      <c r="AA509" s="268"/>
      <c r="AB509" s="268"/>
      <c r="AC509" s="268"/>
      <c r="AD509" s="268"/>
      <c r="AE509" s="268"/>
      <c r="AF509" s="268"/>
      <c r="AG509" s="268"/>
      <c r="AH509" s="268"/>
      <c r="AI509" s="268"/>
      <c r="AJ509" s="268"/>
      <c r="AK509" s="268"/>
      <c r="AL509" s="268"/>
      <c r="AM509" s="268"/>
    </row>
    <row r="510">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85"/>
      <c r="W510" s="268"/>
      <c r="X510" s="268"/>
      <c r="Y510" s="268"/>
      <c r="Z510" s="268"/>
      <c r="AA510" s="268"/>
      <c r="AB510" s="268"/>
      <c r="AC510" s="268"/>
      <c r="AD510" s="268"/>
      <c r="AE510" s="268"/>
      <c r="AF510" s="268"/>
      <c r="AG510" s="268"/>
      <c r="AH510" s="268"/>
      <c r="AI510" s="268"/>
      <c r="AJ510" s="268"/>
      <c r="AK510" s="268"/>
      <c r="AL510" s="268"/>
      <c r="AM510" s="268"/>
    </row>
    <row r="51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85"/>
      <c r="W511" s="268"/>
      <c r="X511" s="268"/>
      <c r="Y511" s="268"/>
      <c r="Z511" s="268"/>
      <c r="AA511" s="268"/>
      <c r="AB511" s="268"/>
      <c r="AC511" s="268"/>
      <c r="AD511" s="268"/>
      <c r="AE511" s="268"/>
      <c r="AF511" s="268"/>
      <c r="AG511" s="268"/>
      <c r="AH511" s="268"/>
      <c r="AI511" s="268"/>
      <c r="AJ511" s="268"/>
      <c r="AK511" s="268"/>
      <c r="AL511" s="268"/>
      <c r="AM511" s="268"/>
    </row>
    <row r="512">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85"/>
      <c r="W512" s="268"/>
      <c r="X512" s="268"/>
      <c r="Y512" s="268"/>
      <c r="Z512" s="268"/>
      <c r="AA512" s="268"/>
      <c r="AB512" s="268"/>
      <c r="AC512" s="268"/>
      <c r="AD512" s="268"/>
      <c r="AE512" s="268"/>
      <c r="AF512" s="268"/>
      <c r="AG512" s="268"/>
      <c r="AH512" s="268"/>
      <c r="AI512" s="268"/>
      <c r="AJ512" s="268"/>
      <c r="AK512" s="268"/>
      <c r="AL512" s="268"/>
      <c r="AM512" s="268"/>
    </row>
    <row r="51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85"/>
      <c r="W513" s="268"/>
      <c r="X513" s="268"/>
      <c r="Y513" s="268"/>
      <c r="Z513" s="268"/>
      <c r="AA513" s="268"/>
      <c r="AB513" s="268"/>
      <c r="AC513" s="268"/>
      <c r="AD513" s="268"/>
      <c r="AE513" s="268"/>
      <c r="AF513" s="268"/>
      <c r="AG513" s="268"/>
      <c r="AH513" s="268"/>
      <c r="AI513" s="268"/>
      <c r="AJ513" s="268"/>
      <c r="AK513" s="268"/>
      <c r="AL513" s="268"/>
      <c r="AM513" s="268"/>
    </row>
    <row r="514">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85"/>
      <c r="W514" s="268"/>
      <c r="X514" s="268"/>
      <c r="Y514" s="268"/>
      <c r="Z514" s="268"/>
      <c r="AA514" s="268"/>
      <c r="AB514" s="268"/>
      <c r="AC514" s="268"/>
      <c r="AD514" s="268"/>
      <c r="AE514" s="268"/>
      <c r="AF514" s="268"/>
      <c r="AG514" s="268"/>
      <c r="AH514" s="268"/>
      <c r="AI514" s="268"/>
      <c r="AJ514" s="268"/>
      <c r="AK514" s="268"/>
      <c r="AL514" s="268"/>
      <c r="AM514" s="268"/>
    </row>
    <row r="515">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85"/>
      <c r="W515" s="268"/>
      <c r="X515" s="268"/>
      <c r="Y515" s="268"/>
      <c r="Z515" s="268"/>
      <c r="AA515" s="268"/>
      <c r="AB515" s="268"/>
      <c r="AC515" s="268"/>
      <c r="AD515" s="268"/>
      <c r="AE515" s="268"/>
      <c r="AF515" s="268"/>
      <c r="AG515" s="268"/>
      <c r="AH515" s="268"/>
      <c r="AI515" s="268"/>
      <c r="AJ515" s="268"/>
      <c r="AK515" s="268"/>
      <c r="AL515" s="268"/>
      <c r="AM515" s="268"/>
    </row>
    <row r="516">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85"/>
      <c r="W516" s="268"/>
      <c r="X516" s="268"/>
      <c r="Y516" s="268"/>
      <c r="Z516" s="268"/>
      <c r="AA516" s="268"/>
      <c r="AB516" s="268"/>
      <c r="AC516" s="268"/>
      <c r="AD516" s="268"/>
      <c r="AE516" s="268"/>
      <c r="AF516" s="268"/>
      <c r="AG516" s="268"/>
      <c r="AH516" s="268"/>
      <c r="AI516" s="268"/>
      <c r="AJ516" s="268"/>
      <c r="AK516" s="268"/>
      <c r="AL516" s="268"/>
      <c r="AM516" s="268"/>
    </row>
    <row r="517">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85"/>
      <c r="W517" s="268"/>
      <c r="X517" s="268"/>
      <c r="Y517" s="268"/>
      <c r="Z517" s="268"/>
      <c r="AA517" s="268"/>
      <c r="AB517" s="268"/>
      <c r="AC517" s="268"/>
      <c r="AD517" s="268"/>
      <c r="AE517" s="268"/>
      <c r="AF517" s="268"/>
      <c r="AG517" s="268"/>
      <c r="AH517" s="268"/>
      <c r="AI517" s="268"/>
      <c r="AJ517" s="268"/>
      <c r="AK517" s="268"/>
      <c r="AL517" s="268"/>
      <c r="AM517" s="268"/>
    </row>
    <row r="518">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85"/>
      <c r="W518" s="268"/>
      <c r="X518" s="268"/>
      <c r="Y518" s="268"/>
      <c r="Z518" s="268"/>
      <c r="AA518" s="268"/>
      <c r="AB518" s="268"/>
      <c r="AC518" s="268"/>
      <c r="AD518" s="268"/>
      <c r="AE518" s="268"/>
      <c r="AF518" s="268"/>
      <c r="AG518" s="268"/>
      <c r="AH518" s="268"/>
      <c r="AI518" s="268"/>
      <c r="AJ518" s="268"/>
      <c r="AK518" s="268"/>
      <c r="AL518" s="268"/>
      <c r="AM518" s="268"/>
    </row>
    <row r="51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85"/>
      <c r="W519" s="268"/>
      <c r="X519" s="268"/>
      <c r="Y519" s="268"/>
      <c r="Z519" s="268"/>
      <c r="AA519" s="268"/>
      <c r="AB519" s="268"/>
      <c r="AC519" s="268"/>
      <c r="AD519" s="268"/>
      <c r="AE519" s="268"/>
      <c r="AF519" s="268"/>
      <c r="AG519" s="268"/>
      <c r="AH519" s="268"/>
      <c r="AI519" s="268"/>
      <c r="AJ519" s="268"/>
      <c r="AK519" s="268"/>
      <c r="AL519" s="268"/>
      <c r="AM519" s="268"/>
    </row>
    <row r="520">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85"/>
      <c r="W520" s="268"/>
      <c r="X520" s="268"/>
      <c r="Y520" s="268"/>
      <c r="Z520" s="268"/>
      <c r="AA520" s="268"/>
      <c r="AB520" s="268"/>
      <c r="AC520" s="268"/>
      <c r="AD520" s="268"/>
      <c r="AE520" s="268"/>
      <c r="AF520" s="268"/>
      <c r="AG520" s="268"/>
      <c r="AH520" s="268"/>
      <c r="AI520" s="268"/>
      <c r="AJ520" s="268"/>
      <c r="AK520" s="268"/>
      <c r="AL520" s="268"/>
      <c r="AM520" s="268"/>
    </row>
    <row r="52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85"/>
      <c r="W521" s="268"/>
      <c r="X521" s="268"/>
      <c r="Y521" s="268"/>
      <c r="Z521" s="268"/>
      <c r="AA521" s="268"/>
      <c r="AB521" s="268"/>
      <c r="AC521" s="268"/>
      <c r="AD521" s="268"/>
      <c r="AE521" s="268"/>
      <c r="AF521" s="268"/>
      <c r="AG521" s="268"/>
      <c r="AH521" s="268"/>
      <c r="AI521" s="268"/>
      <c r="AJ521" s="268"/>
      <c r="AK521" s="268"/>
      <c r="AL521" s="268"/>
      <c r="AM521" s="268"/>
    </row>
    <row r="522">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85"/>
      <c r="W522" s="268"/>
      <c r="X522" s="268"/>
      <c r="Y522" s="268"/>
      <c r="Z522" s="268"/>
      <c r="AA522" s="268"/>
      <c r="AB522" s="268"/>
      <c r="AC522" s="268"/>
      <c r="AD522" s="268"/>
      <c r="AE522" s="268"/>
      <c r="AF522" s="268"/>
      <c r="AG522" s="268"/>
      <c r="AH522" s="268"/>
      <c r="AI522" s="268"/>
      <c r="AJ522" s="268"/>
      <c r="AK522" s="268"/>
      <c r="AL522" s="268"/>
      <c r="AM522" s="268"/>
    </row>
    <row r="52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85"/>
      <c r="W523" s="268"/>
      <c r="X523" s="268"/>
      <c r="Y523" s="268"/>
      <c r="Z523" s="268"/>
      <c r="AA523" s="268"/>
      <c r="AB523" s="268"/>
      <c r="AC523" s="268"/>
      <c r="AD523" s="268"/>
      <c r="AE523" s="268"/>
      <c r="AF523" s="268"/>
      <c r="AG523" s="268"/>
      <c r="AH523" s="268"/>
      <c r="AI523" s="268"/>
      <c r="AJ523" s="268"/>
      <c r="AK523" s="268"/>
      <c r="AL523" s="268"/>
      <c r="AM523" s="268"/>
    </row>
    <row r="524">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85"/>
      <c r="W524" s="268"/>
      <c r="X524" s="268"/>
      <c r="Y524" s="268"/>
      <c r="Z524" s="268"/>
      <c r="AA524" s="268"/>
      <c r="AB524" s="268"/>
      <c r="AC524" s="268"/>
      <c r="AD524" s="268"/>
      <c r="AE524" s="268"/>
      <c r="AF524" s="268"/>
      <c r="AG524" s="268"/>
      <c r="AH524" s="268"/>
      <c r="AI524" s="268"/>
      <c r="AJ524" s="268"/>
      <c r="AK524" s="268"/>
      <c r="AL524" s="268"/>
      <c r="AM524" s="268"/>
    </row>
    <row r="525">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85"/>
      <c r="W525" s="268"/>
      <c r="X525" s="268"/>
      <c r="Y525" s="268"/>
      <c r="Z525" s="268"/>
      <c r="AA525" s="268"/>
      <c r="AB525" s="268"/>
      <c r="AC525" s="268"/>
      <c r="AD525" s="268"/>
      <c r="AE525" s="268"/>
      <c r="AF525" s="268"/>
      <c r="AG525" s="268"/>
      <c r="AH525" s="268"/>
      <c r="AI525" s="268"/>
      <c r="AJ525" s="268"/>
      <c r="AK525" s="268"/>
      <c r="AL525" s="268"/>
      <c r="AM525" s="268"/>
    </row>
    <row r="526">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85"/>
      <c r="W526" s="268"/>
      <c r="X526" s="268"/>
      <c r="Y526" s="268"/>
      <c r="Z526" s="268"/>
      <c r="AA526" s="268"/>
      <c r="AB526" s="268"/>
      <c r="AC526" s="268"/>
      <c r="AD526" s="268"/>
      <c r="AE526" s="268"/>
      <c r="AF526" s="268"/>
      <c r="AG526" s="268"/>
      <c r="AH526" s="268"/>
      <c r="AI526" s="268"/>
      <c r="AJ526" s="268"/>
      <c r="AK526" s="268"/>
      <c r="AL526" s="268"/>
      <c r="AM526" s="268"/>
    </row>
    <row r="527">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85"/>
      <c r="W527" s="268"/>
      <c r="X527" s="268"/>
      <c r="Y527" s="268"/>
      <c r="Z527" s="268"/>
      <c r="AA527" s="268"/>
      <c r="AB527" s="268"/>
      <c r="AC527" s="268"/>
      <c r="AD527" s="268"/>
      <c r="AE527" s="268"/>
      <c r="AF527" s="268"/>
      <c r="AG527" s="268"/>
      <c r="AH527" s="268"/>
      <c r="AI527" s="268"/>
      <c r="AJ527" s="268"/>
      <c r="AK527" s="268"/>
      <c r="AL527" s="268"/>
      <c r="AM527" s="268"/>
    </row>
    <row r="528">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85"/>
      <c r="W528" s="268"/>
      <c r="X528" s="268"/>
      <c r="Y528" s="268"/>
      <c r="Z528" s="268"/>
      <c r="AA528" s="268"/>
      <c r="AB528" s="268"/>
      <c r="AC528" s="268"/>
      <c r="AD528" s="268"/>
      <c r="AE528" s="268"/>
      <c r="AF528" s="268"/>
      <c r="AG528" s="268"/>
      <c r="AH528" s="268"/>
      <c r="AI528" s="268"/>
      <c r="AJ528" s="268"/>
      <c r="AK528" s="268"/>
      <c r="AL528" s="268"/>
      <c r="AM528" s="268"/>
    </row>
    <row r="52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85"/>
      <c r="W529" s="268"/>
      <c r="X529" s="268"/>
      <c r="Y529" s="268"/>
      <c r="Z529" s="268"/>
      <c r="AA529" s="268"/>
      <c r="AB529" s="268"/>
      <c r="AC529" s="268"/>
      <c r="AD529" s="268"/>
      <c r="AE529" s="268"/>
      <c r="AF529" s="268"/>
      <c r="AG529" s="268"/>
      <c r="AH529" s="268"/>
      <c r="AI529" s="268"/>
      <c r="AJ529" s="268"/>
      <c r="AK529" s="268"/>
      <c r="AL529" s="268"/>
      <c r="AM529" s="268"/>
    </row>
    <row r="530">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85"/>
      <c r="W530" s="268"/>
      <c r="X530" s="268"/>
      <c r="Y530" s="268"/>
      <c r="Z530" s="268"/>
      <c r="AA530" s="268"/>
      <c r="AB530" s="268"/>
      <c r="AC530" s="268"/>
      <c r="AD530" s="268"/>
      <c r="AE530" s="268"/>
      <c r="AF530" s="268"/>
      <c r="AG530" s="268"/>
      <c r="AH530" s="268"/>
      <c r="AI530" s="268"/>
      <c r="AJ530" s="268"/>
      <c r="AK530" s="268"/>
      <c r="AL530" s="268"/>
      <c r="AM530" s="268"/>
    </row>
    <row r="53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85"/>
      <c r="W531" s="268"/>
      <c r="X531" s="268"/>
      <c r="Y531" s="268"/>
      <c r="Z531" s="268"/>
      <c r="AA531" s="268"/>
      <c r="AB531" s="268"/>
      <c r="AC531" s="268"/>
      <c r="AD531" s="268"/>
      <c r="AE531" s="268"/>
      <c r="AF531" s="268"/>
      <c r="AG531" s="268"/>
      <c r="AH531" s="268"/>
      <c r="AI531" s="268"/>
      <c r="AJ531" s="268"/>
      <c r="AK531" s="268"/>
      <c r="AL531" s="268"/>
      <c r="AM531" s="268"/>
    </row>
    <row r="532">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85"/>
      <c r="W532" s="268"/>
      <c r="X532" s="268"/>
      <c r="Y532" s="268"/>
      <c r="Z532" s="268"/>
      <c r="AA532" s="268"/>
      <c r="AB532" s="268"/>
      <c r="AC532" s="268"/>
      <c r="AD532" s="268"/>
      <c r="AE532" s="268"/>
      <c r="AF532" s="268"/>
      <c r="AG532" s="268"/>
      <c r="AH532" s="268"/>
      <c r="AI532" s="268"/>
      <c r="AJ532" s="268"/>
      <c r="AK532" s="268"/>
      <c r="AL532" s="268"/>
      <c r="AM532" s="268"/>
    </row>
    <row r="53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85"/>
      <c r="W533" s="268"/>
      <c r="X533" s="268"/>
      <c r="Y533" s="268"/>
      <c r="Z533" s="268"/>
      <c r="AA533" s="268"/>
      <c r="AB533" s="268"/>
      <c r="AC533" s="268"/>
      <c r="AD533" s="268"/>
      <c r="AE533" s="268"/>
      <c r="AF533" s="268"/>
      <c r="AG533" s="268"/>
      <c r="AH533" s="268"/>
      <c r="AI533" s="268"/>
      <c r="AJ533" s="268"/>
      <c r="AK533" s="268"/>
      <c r="AL533" s="268"/>
      <c r="AM533" s="268"/>
    </row>
    <row r="534">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85"/>
      <c r="W534" s="268"/>
      <c r="X534" s="268"/>
      <c r="Y534" s="268"/>
      <c r="Z534" s="268"/>
      <c r="AA534" s="268"/>
      <c r="AB534" s="268"/>
      <c r="AC534" s="268"/>
      <c r="AD534" s="268"/>
      <c r="AE534" s="268"/>
      <c r="AF534" s="268"/>
      <c r="AG534" s="268"/>
      <c r="AH534" s="268"/>
      <c r="AI534" s="268"/>
      <c r="AJ534" s="268"/>
      <c r="AK534" s="268"/>
      <c r="AL534" s="268"/>
      <c r="AM534" s="268"/>
    </row>
    <row r="535">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85"/>
      <c r="W535" s="268"/>
      <c r="X535" s="268"/>
      <c r="Y535" s="268"/>
      <c r="Z535" s="268"/>
      <c r="AA535" s="268"/>
      <c r="AB535" s="268"/>
      <c r="AC535" s="268"/>
      <c r="AD535" s="268"/>
      <c r="AE535" s="268"/>
      <c r="AF535" s="268"/>
      <c r="AG535" s="268"/>
      <c r="AH535" s="268"/>
      <c r="AI535" s="268"/>
      <c r="AJ535" s="268"/>
      <c r="AK535" s="268"/>
      <c r="AL535" s="268"/>
      <c r="AM535" s="268"/>
    </row>
    <row r="536">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85"/>
      <c r="W536" s="268"/>
      <c r="X536" s="268"/>
      <c r="Y536" s="268"/>
      <c r="Z536" s="268"/>
      <c r="AA536" s="268"/>
      <c r="AB536" s="268"/>
      <c r="AC536" s="268"/>
      <c r="AD536" s="268"/>
      <c r="AE536" s="268"/>
      <c r="AF536" s="268"/>
      <c r="AG536" s="268"/>
      <c r="AH536" s="268"/>
      <c r="AI536" s="268"/>
      <c r="AJ536" s="268"/>
      <c r="AK536" s="268"/>
      <c r="AL536" s="268"/>
      <c r="AM536" s="268"/>
    </row>
    <row r="537">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85"/>
      <c r="W537" s="268"/>
      <c r="X537" s="268"/>
      <c r="Y537" s="268"/>
      <c r="Z537" s="268"/>
      <c r="AA537" s="268"/>
      <c r="AB537" s="268"/>
      <c r="AC537" s="268"/>
      <c r="AD537" s="268"/>
      <c r="AE537" s="268"/>
      <c r="AF537" s="268"/>
      <c r="AG537" s="268"/>
      <c r="AH537" s="268"/>
      <c r="AI537" s="268"/>
      <c r="AJ537" s="268"/>
      <c r="AK537" s="268"/>
      <c r="AL537" s="268"/>
      <c r="AM537" s="268"/>
    </row>
    <row r="538">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85"/>
      <c r="W538" s="268"/>
      <c r="X538" s="268"/>
      <c r="Y538" s="268"/>
      <c r="Z538" s="268"/>
      <c r="AA538" s="268"/>
      <c r="AB538" s="268"/>
      <c r="AC538" s="268"/>
      <c r="AD538" s="268"/>
      <c r="AE538" s="268"/>
      <c r="AF538" s="268"/>
      <c r="AG538" s="268"/>
      <c r="AH538" s="268"/>
      <c r="AI538" s="268"/>
      <c r="AJ538" s="268"/>
      <c r="AK538" s="268"/>
      <c r="AL538" s="268"/>
      <c r="AM538" s="268"/>
    </row>
    <row r="53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85"/>
      <c r="W539" s="268"/>
      <c r="X539" s="268"/>
      <c r="Y539" s="268"/>
      <c r="Z539" s="268"/>
      <c r="AA539" s="268"/>
      <c r="AB539" s="268"/>
      <c r="AC539" s="268"/>
      <c r="AD539" s="268"/>
      <c r="AE539" s="268"/>
      <c r="AF539" s="268"/>
      <c r="AG539" s="268"/>
      <c r="AH539" s="268"/>
      <c r="AI539" s="268"/>
      <c r="AJ539" s="268"/>
      <c r="AK539" s="268"/>
      <c r="AL539" s="268"/>
      <c r="AM539" s="268"/>
    </row>
    <row r="540">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85"/>
      <c r="W540" s="268"/>
      <c r="X540" s="268"/>
      <c r="Y540" s="268"/>
      <c r="Z540" s="268"/>
      <c r="AA540" s="268"/>
      <c r="AB540" s="268"/>
      <c r="AC540" s="268"/>
      <c r="AD540" s="268"/>
      <c r="AE540" s="268"/>
      <c r="AF540" s="268"/>
      <c r="AG540" s="268"/>
      <c r="AH540" s="268"/>
      <c r="AI540" s="268"/>
      <c r="AJ540" s="268"/>
      <c r="AK540" s="268"/>
      <c r="AL540" s="268"/>
      <c r="AM540" s="268"/>
    </row>
    <row r="54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85"/>
      <c r="W541" s="268"/>
      <c r="X541" s="268"/>
      <c r="Y541" s="268"/>
      <c r="Z541" s="268"/>
      <c r="AA541" s="268"/>
      <c r="AB541" s="268"/>
      <c r="AC541" s="268"/>
      <c r="AD541" s="268"/>
      <c r="AE541" s="268"/>
      <c r="AF541" s="268"/>
      <c r="AG541" s="268"/>
      <c r="AH541" s="268"/>
      <c r="AI541" s="268"/>
      <c r="AJ541" s="268"/>
      <c r="AK541" s="268"/>
      <c r="AL541" s="268"/>
      <c r="AM541" s="268"/>
    </row>
    <row r="542">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85"/>
      <c r="W542" s="268"/>
      <c r="X542" s="268"/>
      <c r="Y542" s="268"/>
      <c r="Z542" s="268"/>
      <c r="AA542" s="268"/>
      <c r="AB542" s="268"/>
      <c r="AC542" s="268"/>
      <c r="AD542" s="268"/>
      <c r="AE542" s="268"/>
      <c r="AF542" s="268"/>
      <c r="AG542" s="268"/>
      <c r="AH542" s="268"/>
      <c r="AI542" s="268"/>
      <c r="AJ542" s="268"/>
      <c r="AK542" s="268"/>
      <c r="AL542" s="268"/>
      <c r="AM542" s="268"/>
    </row>
    <row r="54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85"/>
      <c r="W543" s="268"/>
      <c r="X543" s="268"/>
      <c r="Y543" s="268"/>
      <c r="Z543" s="268"/>
      <c r="AA543" s="268"/>
      <c r="AB543" s="268"/>
      <c r="AC543" s="268"/>
      <c r="AD543" s="268"/>
      <c r="AE543" s="268"/>
      <c r="AF543" s="268"/>
      <c r="AG543" s="268"/>
      <c r="AH543" s="268"/>
      <c r="AI543" s="268"/>
      <c r="AJ543" s="268"/>
      <c r="AK543" s="268"/>
      <c r="AL543" s="268"/>
      <c r="AM543" s="268"/>
    </row>
    <row r="544">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85"/>
      <c r="W544" s="268"/>
      <c r="X544" s="268"/>
      <c r="Y544" s="268"/>
      <c r="Z544" s="268"/>
      <c r="AA544" s="268"/>
      <c r="AB544" s="268"/>
      <c r="AC544" s="268"/>
      <c r="AD544" s="268"/>
      <c r="AE544" s="268"/>
      <c r="AF544" s="268"/>
      <c r="AG544" s="268"/>
      <c r="AH544" s="268"/>
      <c r="AI544" s="268"/>
      <c r="AJ544" s="268"/>
      <c r="AK544" s="268"/>
      <c r="AL544" s="268"/>
      <c r="AM544" s="268"/>
    </row>
    <row r="545">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85"/>
      <c r="W545" s="268"/>
      <c r="X545" s="268"/>
      <c r="Y545" s="268"/>
      <c r="Z545" s="268"/>
      <c r="AA545" s="268"/>
      <c r="AB545" s="268"/>
      <c r="AC545" s="268"/>
      <c r="AD545" s="268"/>
      <c r="AE545" s="268"/>
      <c r="AF545" s="268"/>
      <c r="AG545" s="268"/>
      <c r="AH545" s="268"/>
      <c r="AI545" s="268"/>
      <c r="AJ545" s="268"/>
      <c r="AK545" s="268"/>
      <c r="AL545" s="268"/>
      <c r="AM545" s="268"/>
    </row>
    <row r="546">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85"/>
      <c r="W546" s="268"/>
      <c r="X546" s="268"/>
      <c r="Y546" s="268"/>
      <c r="Z546" s="268"/>
      <c r="AA546" s="268"/>
      <c r="AB546" s="268"/>
      <c r="AC546" s="268"/>
      <c r="AD546" s="268"/>
      <c r="AE546" s="268"/>
      <c r="AF546" s="268"/>
      <c r="AG546" s="268"/>
      <c r="AH546" s="268"/>
      <c r="AI546" s="268"/>
      <c r="AJ546" s="268"/>
      <c r="AK546" s="268"/>
      <c r="AL546" s="268"/>
      <c r="AM546" s="268"/>
    </row>
    <row r="547">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85"/>
      <c r="W547" s="268"/>
      <c r="X547" s="268"/>
      <c r="Y547" s="268"/>
      <c r="Z547" s="268"/>
      <c r="AA547" s="268"/>
      <c r="AB547" s="268"/>
      <c r="AC547" s="268"/>
      <c r="AD547" s="268"/>
      <c r="AE547" s="268"/>
      <c r="AF547" s="268"/>
      <c r="AG547" s="268"/>
      <c r="AH547" s="268"/>
      <c r="AI547" s="268"/>
      <c r="AJ547" s="268"/>
      <c r="AK547" s="268"/>
      <c r="AL547" s="268"/>
      <c r="AM547" s="268"/>
    </row>
    <row r="548">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85"/>
      <c r="W548" s="268"/>
      <c r="X548" s="268"/>
      <c r="Y548" s="268"/>
      <c r="Z548" s="268"/>
      <c r="AA548" s="268"/>
      <c r="AB548" s="268"/>
      <c r="AC548" s="268"/>
      <c r="AD548" s="268"/>
      <c r="AE548" s="268"/>
      <c r="AF548" s="268"/>
      <c r="AG548" s="268"/>
      <c r="AH548" s="268"/>
      <c r="AI548" s="268"/>
      <c r="AJ548" s="268"/>
      <c r="AK548" s="268"/>
      <c r="AL548" s="268"/>
      <c r="AM548" s="268"/>
    </row>
    <row r="54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85"/>
      <c r="W549" s="268"/>
      <c r="X549" s="268"/>
      <c r="Y549" s="268"/>
      <c r="Z549" s="268"/>
      <c r="AA549" s="268"/>
      <c r="AB549" s="268"/>
      <c r="AC549" s="268"/>
      <c r="AD549" s="268"/>
      <c r="AE549" s="268"/>
      <c r="AF549" s="268"/>
      <c r="AG549" s="268"/>
      <c r="AH549" s="268"/>
      <c r="AI549" s="268"/>
      <c r="AJ549" s="268"/>
      <c r="AK549" s="268"/>
      <c r="AL549" s="268"/>
      <c r="AM549" s="268"/>
    </row>
    <row r="550">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85"/>
      <c r="W550" s="268"/>
      <c r="X550" s="268"/>
      <c r="Y550" s="268"/>
      <c r="Z550" s="268"/>
      <c r="AA550" s="268"/>
      <c r="AB550" s="268"/>
      <c r="AC550" s="268"/>
      <c r="AD550" s="268"/>
      <c r="AE550" s="268"/>
      <c r="AF550" s="268"/>
      <c r="AG550" s="268"/>
      <c r="AH550" s="268"/>
      <c r="AI550" s="268"/>
      <c r="AJ550" s="268"/>
      <c r="AK550" s="268"/>
      <c r="AL550" s="268"/>
      <c r="AM550" s="268"/>
    </row>
    <row r="55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85"/>
      <c r="W551" s="268"/>
      <c r="X551" s="268"/>
      <c r="Y551" s="268"/>
      <c r="Z551" s="268"/>
      <c r="AA551" s="268"/>
      <c r="AB551" s="268"/>
      <c r="AC551" s="268"/>
      <c r="AD551" s="268"/>
      <c r="AE551" s="268"/>
      <c r="AF551" s="268"/>
      <c r="AG551" s="268"/>
      <c r="AH551" s="268"/>
      <c r="AI551" s="268"/>
      <c r="AJ551" s="268"/>
      <c r="AK551" s="268"/>
      <c r="AL551" s="268"/>
      <c r="AM551" s="268"/>
    </row>
    <row r="552">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85"/>
      <c r="W552" s="268"/>
      <c r="X552" s="268"/>
      <c r="Y552" s="268"/>
      <c r="Z552" s="268"/>
      <c r="AA552" s="268"/>
      <c r="AB552" s="268"/>
      <c r="AC552" s="268"/>
      <c r="AD552" s="268"/>
      <c r="AE552" s="268"/>
      <c r="AF552" s="268"/>
      <c r="AG552" s="268"/>
      <c r="AH552" s="268"/>
      <c r="AI552" s="268"/>
      <c r="AJ552" s="268"/>
      <c r="AK552" s="268"/>
      <c r="AL552" s="268"/>
      <c r="AM552" s="268"/>
    </row>
    <row r="55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85"/>
      <c r="W553" s="268"/>
      <c r="X553" s="268"/>
      <c r="Y553" s="268"/>
      <c r="Z553" s="268"/>
      <c r="AA553" s="268"/>
      <c r="AB553" s="268"/>
      <c r="AC553" s="268"/>
      <c r="AD553" s="268"/>
      <c r="AE553" s="268"/>
      <c r="AF553" s="268"/>
      <c r="AG553" s="268"/>
      <c r="AH553" s="268"/>
      <c r="AI553" s="268"/>
      <c r="AJ553" s="268"/>
      <c r="AK553" s="268"/>
      <c r="AL553" s="268"/>
      <c r="AM553" s="268"/>
    </row>
    <row r="554">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85"/>
      <c r="W554" s="268"/>
      <c r="X554" s="268"/>
      <c r="Y554" s="268"/>
      <c r="Z554" s="268"/>
      <c r="AA554" s="268"/>
      <c r="AB554" s="268"/>
      <c r="AC554" s="268"/>
      <c r="AD554" s="268"/>
      <c r="AE554" s="268"/>
      <c r="AF554" s="268"/>
      <c r="AG554" s="268"/>
      <c r="AH554" s="268"/>
      <c r="AI554" s="268"/>
      <c r="AJ554" s="268"/>
      <c r="AK554" s="268"/>
      <c r="AL554" s="268"/>
      <c r="AM554" s="268"/>
    </row>
    <row r="555">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85"/>
      <c r="W555" s="268"/>
      <c r="X555" s="268"/>
      <c r="Y555" s="268"/>
      <c r="Z555" s="268"/>
      <c r="AA555" s="268"/>
      <c r="AB555" s="268"/>
      <c r="AC555" s="268"/>
      <c r="AD555" s="268"/>
      <c r="AE555" s="268"/>
      <c r="AF555" s="268"/>
      <c r="AG555" s="268"/>
      <c r="AH555" s="268"/>
      <c r="AI555" s="268"/>
      <c r="AJ555" s="268"/>
      <c r="AK555" s="268"/>
      <c r="AL555" s="268"/>
      <c r="AM555" s="268"/>
    </row>
    <row r="556">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85"/>
      <c r="W556" s="268"/>
      <c r="X556" s="268"/>
      <c r="Y556" s="268"/>
      <c r="Z556" s="268"/>
      <c r="AA556" s="268"/>
      <c r="AB556" s="268"/>
      <c r="AC556" s="268"/>
      <c r="AD556" s="268"/>
      <c r="AE556" s="268"/>
      <c r="AF556" s="268"/>
      <c r="AG556" s="268"/>
      <c r="AH556" s="268"/>
      <c r="AI556" s="268"/>
      <c r="AJ556" s="268"/>
      <c r="AK556" s="268"/>
      <c r="AL556" s="268"/>
      <c r="AM556" s="268"/>
    </row>
    <row r="557">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85"/>
      <c r="W557" s="268"/>
      <c r="X557" s="268"/>
      <c r="Y557" s="268"/>
      <c r="Z557" s="268"/>
      <c r="AA557" s="268"/>
      <c r="AB557" s="268"/>
      <c r="AC557" s="268"/>
      <c r="AD557" s="268"/>
      <c r="AE557" s="268"/>
      <c r="AF557" s="268"/>
      <c r="AG557" s="268"/>
      <c r="AH557" s="268"/>
      <c r="AI557" s="268"/>
      <c r="AJ557" s="268"/>
      <c r="AK557" s="268"/>
      <c r="AL557" s="268"/>
      <c r="AM557" s="268"/>
    </row>
    <row r="558">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85"/>
      <c r="W558" s="268"/>
      <c r="X558" s="268"/>
      <c r="Y558" s="268"/>
      <c r="Z558" s="268"/>
      <c r="AA558" s="268"/>
      <c r="AB558" s="268"/>
      <c r="AC558" s="268"/>
      <c r="AD558" s="268"/>
      <c r="AE558" s="268"/>
      <c r="AF558" s="268"/>
      <c r="AG558" s="268"/>
      <c r="AH558" s="268"/>
      <c r="AI558" s="268"/>
      <c r="AJ558" s="268"/>
      <c r="AK558" s="268"/>
      <c r="AL558" s="268"/>
      <c r="AM558" s="268"/>
    </row>
    <row r="55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85"/>
      <c r="W559" s="268"/>
      <c r="X559" s="268"/>
      <c r="Y559" s="268"/>
      <c r="Z559" s="268"/>
      <c r="AA559" s="268"/>
      <c r="AB559" s="268"/>
      <c r="AC559" s="268"/>
      <c r="AD559" s="268"/>
      <c r="AE559" s="268"/>
      <c r="AF559" s="268"/>
      <c r="AG559" s="268"/>
      <c r="AH559" s="268"/>
      <c r="AI559" s="268"/>
      <c r="AJ559" s="268"/>
      <c r="AK559" s="268"/>
      <c r="AL559" s="268"/>
      <c r="AM559" s="268"/>
    </row>
    <row r="560">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85"/>
      <c r="W560" s="268"/>
      <c r="X560" s="268"/>
      <c r="Y560" s="268"/>
      <c r="Z560" s="268"/>
      <c r="AA560" s="268"/>
      <c r="AB560" s="268"/>
      <c r="AC560" s="268"/>
      <c r="AD560" s="268"/>
      <c r="AE560" s="268"/>
      <c r="AF560" s="268"/>
      <c r="AG560" s="268"/>
      <c r="AH560" s="268"/>
      <c r="AI560" s="268"/>
      <c r="AJ560" s="268"/>
      <c r="AK560" s="268"/>
      <c r="AL560" s="268"/>
      <c r="AM560" s="268"/>
    </row>
    <row r="56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85"/>
      <c r="W561" s="268"/>
      <c r="X561" s="268"/>
      <c r="Y561" s="268"/>
      <c r="Z561" s="268"/>
      <c r="AA561" s="268"/>
      <c r="AB561" s="268"/>
      <c r="AC561" s="268"/>
      <c r="AD561" s="268"/>
      <c r="AE561" s="268"/>
      <c r="AF561" s="268"/>
      <c r="AG561" s="268"/>
      <c r="AH561" s="268"/>
      <c r="AI561" s="268"/>
      <c r="AJ561" s="268"/>
      <c r="AK561" s="268"/>
      <c r="AL561" s="268"/>
      <c r="AM561" s="268"/>
    </row>
    <row r="562">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85"/>
      <c r="W562" s="268"/>
      <c r="X562" s="268"/>
      <c r="Y562" s="268"/>
      <c r="Z562" s="268"/>
      <c r="AA562" s="268"/>
      <c r="AB562" s="268"/>
      <c r="AC562" s="268"/>
      <c r="AD562" s="268"/>
      <c r="AE562" s="268"/>
      <c r="AF562" s="268"/>
      <c r="AG562" s="268"/>
      <c r="AH562" s="268"/>
      <c r="AI562" s="268"/>
      <c r="AJ562" s="268"/>
      <c r="AK562" s="268"/>
      <c r="AL562" s="268"/>
      <c r="AM562" s="268"/>
    </row>
    <row r="56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85"/>
      <c r="W563" s="268"/>
      <c r="X563" s="268"/>
      <c r="Y563" s="268"/>
      <c r="Z563" s="268"/>
      <c r="AA563" s="268"/>
      <c r="AB563" s="268"/>
      <c r="AC563" s="268"/>
      <c r="AD563" s="268"/>
      <c r="AE563" s="268"/>
      <c r="AF563" s="268"/>
      <c r="AG563" s="268"/>
      <c r="AH563" s="268"/>
      <c r="AI563" s="268"/>
      <c r="AJ563" s="268"/>
      <c r="AK563" s="268"/>
      <c r="AL563" s="268"/>
      <c r="AM563" s="268"/>
    </row>
    <row r="564">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85"/>
      <c r="W564" s="268"/>
      <c r="X564" s="268"/>
      <c r="Y564" s="268"/>
      <c r="Z564" s="268"/>
      <c r="AA564" s="268"/>
      <c r="AB564" s="268"/>
      <c r="AC564" s="268"/>
      <c r="AD564" s="268"/>
      <c r="AE564" s="268"/>
      <c r="AF564" s="268"/>
      <c r="AG564" s="268"/>
      <c r="AH564" s="268"/>
      <c r="AI564" s="268"/>
      <c r="AJ564" s="268"/>
      <c r="AK564" s="268"/>
      <c r="AL564" s="268"/>
      <c r="AM564" s="268"/>
    </row>
    <row r="565">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85"/>
      <c r="W565" s="268"/>
      <c r="X565" s="268"/>
      <c r="Y565" s="268"/>
      <c r="Z565" s="268"/>
      <c r="AA565" s="268"/>
      <c r="AB565" s="268"/>
      <c r="AC565" s="268"/>
      <c r="AD565" s="268"/>
      <c r="AE565" s="268"/>
      <c r="AF565" s="268"/>
      <c r="AG565" s="268"/>
      <c r="AH565" s="268"/>
      <c r="AI565" s="268"/>
      <c r="AJ565" s="268"/>
      <c r="AK565" s="268"/>
      <c r="AL565" s="268"/>
      <c r="AM565" s="268"/>
    </row>
    <row r="566">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85"/>
      <c r="W566" s="268"/>
      <c r="X566" s="268"/>
      <c r="Y566" s="268"/>
      <c r="Z566" s="268"/>
      <c r="AA566" s="268"/>
      <c r="AB566" s="268"/>
      <c r="AC566" s="268"/>
      <c r="AD566" s="268"/>
      <c r="AE566" s="268"/>
      <c r="AF566" s="268"/>
      <c r="AG566" s="268"/>
      <c r="AH566" s="268"/>
      <c r="AI566" s="268"/>
      <c r="AJ566" s="268"/>
      <c r="AK566" s="268"/>
      <c r="AL566" s="268"/>
      <c r="AM566" s="268"/>
    </row>
    <row r="567">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85"/>
      <c r="W567" s="268"/>
      <c r="X567" s="268"/>
      <c r="Y567" s="268"/>
      <c r="Z567" s="268"/>
      <c r="AA567" s="268"/>
      <c r="AB567" s="268"/>
      <c r="AC567" s="268"/>
      <c r="AD567" s="268"/>
      <c r="AE567" s="268"/>
      <c r="AF567" s="268"/>
      <c r="AG567" s="268"/>
      <c r="AH567" s="268"/>
      <c r="AI567" s="268"/>
      <c r="AJ567" s="268"/>
      <c r="AK567" s="268"/>
      <c r="AL567" s="268"/>
      <c r="AM567" s="268"/>
    </row>
    <row r="568">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85"/>
      <c r="W568" s="268"/>
      <c r="X568" s="268"/>
      <c r="Y568" s="268"/>
      <c r="Z568" s="268"/>
      <c r="AA568" s="268"/>
      <c r="AB568" s="268"/>
      <c r="AC568" s="268"/>
      <c r="AD568" s="268"/>
      <c r="AE568" s="268"/>
      <c r="AF568" s="268"/>
      <c r="AG568" s="268"/>
      <c r="AH568" s="268"/>
      <c r="AI568" s="268"/>
      <c r="AJ568" s="268"/>
      <c r="AK568" s="268"/>
      <c r="AL568" s="268"/>
      <c r="AM568" s="268"/>
    </row>
    <row r="56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85"/>
      <c r="W569" s="268"/>
      <c r="X569" s="268"/>
      <c r="Y569" s="268"/>
      <c r="Z569" s="268"/>
      <c r="AA569" s="268"/>
      <c r="AB569" s="268"/>
      <c r="AC569" s="268"/>
      <c r="AD569" s="268"/>
      <c r="AE569" s="268"/>
      <c r="AF569" s="268"/>
      <c r="AG569" s="268"/>
      <c r="AH569" s="268"/>
      <c r="AI569" s="268"/>
      <c r="AJ569" s="268"/>
      <c r="AK569" s="268"/>
      <c r="AL569" s="268"/>
      <c r="AM569" s="268"/>
    </row>
    <row r="570">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85"/>
      <c r="W570" s="268"/>
      <c r="X570" s="268"/>
      <c r="Y570" s="268"/>
      <c r="Z570" s="268"/>
      <c r="AA570" s="268"/>
      <c r="AB570" s="268"/>
      <c r="AC570" s="268"/>
      <c r="AD570" s="268"/>
      <c r="AE570" s="268"/>
      <c r="AF570" s="268"/>
      <c r="AG570" s="268"/>
      <c r="AH570" s="268"/>
      <c r="AI570" s="268"/>
      <c r="AJ570" s="268"/>
      <c r="AK570" s="268"/>
      <c r="AL570" s="268"/>
      <c r="AM570" s="268"/>
    </row>
    <row r="57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85"/>
      <c r="W571" s="268"/>
      <c r="X571" s="268"/>
      <c r="Y571" s="268"/>
      <c r="Z571" s="268"/>
      <c r="AA571" s="268"/>
      <c r="AB571" s="268"/>
      <c r="AC571" s="268"/>
      <c r="AD571" s="268"/>
      <c r="AE571" s="268"/>
      <c r="AF571" s="268"/>
      <c r="AG571" s="268"/>
      <c r="AH571" s="268"/>
      <c r="AI571" s="268"/>
      <c r="AJ571" s="268"/>
      <c r="AK571" s="268"/>
      <c r="AL571" s="268"/>
      <c r="AM571" s="268"/>
    </row>
    <row r="572">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85"/>
      <c r="W572" s="268"/>
      <c r="X572" s="268"/>
      <c r="Y572" s="268"/>
      <c r="Z572" s="268"/>
      <c r="AA572" s="268"/>
      <c r="AB572" s="268"/>
      <c r="AC572" s="268"/>
      <c r="AD572" s="268"/>
      <c r="AE572" s="268"/>
      <c r="AF572" s="268"/>
      <c r="AG572" s="268"/>
      <c r="AH572" s="268"/>
      <c r="AI572" s="268"/>
      <c r="AJ572" s="268"/>
      <c r="AK572" s="268"/>
      <c r="AL572" s="268"/>
      <c r="AM572" s="268"/>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7.63"/>
    <col customWidth="1" min="23" max="23" width="26.63"/>
    <col hidden="1" min="25" max="48" width="12.63"/>
  </cols>
  <sheetData>
    <row r="1">
      <c r="A1" s="83"/>
      <c r="B1" s="1" t="s">
        <v>711</v>
      </c>
      <c r="C1" s="83"/>
    </row>
    <row r="2">
      <c r="A2" s="269"/>
      <c r="B2" s="270" t="s">
        <v>712</v>
      </c>
      <c r="C2" s="269"/>
    </row>
    <row r="3">
      <c r="A3" s="269"/>
      <c r="B3" s="271"/>
      <c r="C3" s="269"/>
    </row>
    <row r="4">
      <c r="A4" s="269"/>
      <c r="B4" s="271"/>
      <c r="C4" s="269"/>
    </row>
    <row r="5">
      <c r="A5" s="83"/>
      <c r="B5" s="1" t="s">
        <v>189</v>
      </c>
      <c r="C5" s="83"/>
    </row>
    <row r="6">
      <c r="A6" s="20">
        <v>1.0</v>
      </c>
      <c r="B6" s="27" t="str">
        <f t="array" ref="B6">INDEX('Playoffs Calc'!T5,0)</f>
        <v>NE</v>
      </c>
      <c r="C6" s="33" t="str">
        <f t="shared" ref="C6:C12" si="1">IF(B6="KC",IMAGE("https://logodownload.org/wp-content/uploads/2020/09/kansas-city-chiefs-logo.png"),IF(B6="LV",IMAGE("https://logodownload.org/wp-content/uploads/2020/09/las-vegas-raiders-logo-1-564x599.png"),IF(B6="DEN",IMAGE("https://logodownload.org/wp-content/uploads/2020/07/denver-broncos-logo-0.png"),IF(B6="LAC",IMAGE("https://logosmarcas.net/wp-content/uploads/2020/07/Los-Angeles-Chargers-logo.png"),IF(B6="BUF",IMAGE("https://logos-download.com/wp-content/uploads/2018/03/Buffalo_Bills_logo_blue.png"),IF(B6="MIA",IMAGE("https://logos-world.net/wp-content/uploads/2020/05/Miami-Dolphins-Logo.png"),IF(B6="NYJ",IMAGE("https://logos-world.net/wp-content/uploads/2020/07/New-York-Jets-Logo.png"),IF(B6="NE",IMAGE("https://purepng.com/public/uploads/large/new-england-patriots-logo-symbol-ucp.png"),IF(B6="BAL",IMAGE("https://1000logos.net/wp-content/uploads/2016/10/Baltimore-Ravens-Logo.png"),IF(B6="CLE",IMAGE("https://logos-world.net/wp-content/uploads/2020/05/Cleveland-Browns-Logo-2006-2014.png"),IF(B6="PIT",IMAGE("https://1000logos.net/wp-content/uploads/2017/06/Pittsburgh-Steelers-Logo.png"),IF(B6="CIN",IMAGE("https://logos-world.net/wp-content/uploads/2020/05/Cincinnati-Bengals-Logo.png"),IF(B6="HOU",IMAGE("https://cdn.wallpapersafari.com/15/25/Jnl2Yc.png"),IF(B6="JAX",IMAGE("https://1000logos.net/wp-content/uploads/2018/07/Jacksonville-Jaguars-Logo-1536x960.png"),IF(B6="IND",IMAGE("https://1000logos.net/wp-content/uploads/2016/12/Indianapolis-Colts-Logo-2048x1280.png"),IF(B6="TEN",IMAGE("https://img-s-msn-com.akamaized.net/tenant/amp/entityid/AA1YwbtK.img?w=720&amp;h=720&amp;m=6"),IF(B6="SF",IMAGE("https://logodownload.org/wp-content/uploads/2020/09/san-francisco-49ers-logo-2048x1220.png"),IF(B6="LAR",IMAGE("https://1000logos.net/wp-content/uploads/2018/07/Rams-Logo.png"),IF(B6="SEA",IMAGE("https://cdn.freebiesupply.com/images/large/2x/seattle-seahawks-logo-transparent.png"),IF(B6="AZ",IMAGE("https://logos-world.net/wp-content/uploads/2020/05/Arizona-Cardinals-Logo.png"),IF(B6="DAL",IMAGE("https://www.freepnglogos.com/uploads/dallas-cowboys-logo-22.png"),IF(B6="PHI",IMAGE("https://1000logos.net/wp-content/uploads/2017/05/Philadelphia-Eagles-Logo.png"),IF(B6="NYG",IMAGE("https://logosmarcas.net/wp-content/uploads/2020/07/New-York-Giants-Logo.png"),IF(B6="WSH",IMAGE("https://logodownload.org/wp-content/uploads/2020/09/washington-commanders-logo.png"),IF(B6="DET",IMAGE("https://logos-world.net/wp-content/uploads/2020/05/Detroit-Lions-Logo-2017-Present.png"),IF(B6="GB",IMAGE("https://logodownload.org/wp-content/uploads/2020/07/green-bay-packers-logo-1.png"),IF(B6="MIN",IMAGE("https://1000logos.net/wp-content/uploads/2017/06/Minnesota-Vikings-Logo-1965.png"),IF(B6="CHI",IMAGE("https://logos-world.net/wp-content/uploads/2020/05/Chicago-Bears-logo.png"),IF(B6="TB",IMAGE("https://logodownload.org/wp-content/uploads/2020/09/tampa-bay-buccaneers-logo.png"),IF(B6="NO",IMAGE("https://1000logos.net/wp-content/uploads/2017/04/New-Orleans-Saints-Logo.png"),IF(B6="ATL",IMAGE("https://logodownload.org/wp-content/uploads/2020/07/atlanta-falcons-logo-0.png"),IF(B6="CAR",IMAGE("https://logos-download.com/wp-content/uploads/2018/02/Carolina_Panthers_logo_blue.png"),""))))))))))))))))))))))))))))))))</f>
        <v/>
      </c>
    </row>
    <row r="7">
      <c r="A7" s="20">
        <v>2.0</v>
      </c>
      <c r="B7" s="27" t="str">
        <f t="array" ref="B7">INDEX('Playoffs Calc'!T6,0)</f>
        <v>DEN</v>
      </c>
      <c r="C7" s="33" t="str">
        <f t="shared" si="1"/>
        <v/>
      </c>
    </row>
    <row r="8">
      <c r="A8" s="20">
        <v>3.0</v>
      </c>
      <c r="B8" s="27" t="str">
        <f t="array" ref="B8">INDEX('Playoffs Calc'!T7,0)</f>
        <v>BAL</v>
      </c>
      <c r="C8" s="33" t="str">
        <f t="shared" si="1"/>
        <v/>
      </c>
    </row>
    <row r="9">
      <c r="A9" s="20">
        <v>4.0</v>
      </c>
      <c r="B9" s="27" t="str">
        <f t="array" ref="B9">INDEX('Playoffs Calc'!T8,0)</f>
        <v>HOU</v>
      </c>
      <c r="C9" s="33" t="str">
        <f t="shared" si="1"/>
        <v/>
      </c>
    </row>
    <row r="10">
      <c r="A10" s="20">
        <v>5.0</v>
      </c>
      <c r="B10" s="27" t="str">
        <f t="array" ref="B10">INDEX('Playoffs Calc'!T9,0)</f>
        <v>BUF</v>
      </c>
      <c r="C10" s="33" t="str">
        <f t="shared" si="1"/>
        <v/>
      </c>
    </row>
    <row r="11">
      <c r="A11" s="20">
        <v>6.0</v>
      </c>
      <c r="B11" s="27" t="str">
        <f t="array" ref="B11">INDEX('Playoffs Calc'!T10,0)</f>
        <v>CIN</v>
      </c>
      <c r="C11" s="33" t="str">
        <f t="shared" si="1"/>
        <v/>
      </c>
    </row>
    <row r="12">
      <c r="A12" s="20">
        <v>7.0</v>
      </c>
      <c r="B12" s="27" t="str">
        <f t="array" ref="B12">INDEX('Playoffs Calc'!T11,0)</f>
        <v>KC</v>
      </c>
      <c r="C12" s="33" t="str">
        <f t="shared" si="1"/>
        <v/>
      </c>
    </row>
    <row r="13">
      <c r="A13" s="8"/>
      <c r="B13" s="8"/>
      <c r="C13" s="8"/>
    </row>
    <row r="14">
      <c r="A14" s="269"/>
      <c r="B14" s="272"/>
      <c r="C14" s="269"/>
    </row>
    <row r="15">
      <c r="A15" s="83"/>
      <c r="B15" s="1" t="s">
        <v>713</v>
      </c>
      <c r="C15" s="83"/>
      <c r="D15" s="1" t="s">
        <v>714</v>
      </c>
      <c r="E15" s="1" t="s">
        <v>715</v>
      </c>
      <c r="G15" s="83"/>
      <c r="H15" s="1" t="s">
        <v>716</v>
      </c>
      <c r="I15" s="83"/>
      <c r="J15" s="1" t="s">
        <v>714</v>
      </c>
      <c r="K15" s="1" t="s">
        <v>715</v>
      </c>
      <c r="M15" s="83"/>
      <c r="N15" s="1" t="s">
        <v>717</v>
      </c>
      <c r="O15" s="83"/>
      <c r="P15" s="1" t="s">
        <v>714</v>
      </c>
      <c r="Q15" s="1" t="s">
        <v>715</v>
      </c>
      <c r="R15" s="40"/>
      <c r="S15" s="40"/>
      <c r="T15" s="40"/>
      <c r="U15" s="40"/>
      <c r="V15" s="40"/>
      <c r="W15" s="40"/>
      <c r="X15" s="40"/>
      <c r="Y15" s="40"/>
      <c r="Z15" s="40"/>
    </row>
    <row r="16">
      <c r="E16" s="27"/>
      <c r="K16" s="27"/>
    </row>
    <row r="17">
      <c r="A17" s="20" t="s">
        <v>718</v>
      </c>
      <c r="B17" s="27" t="str">
        <f t="array" ref="B17">INDEX(B6,0)</f>
        <v>NE</v>
      </c>
      <c r="C17" s="33" t="str">
        <f>IF(B17="KC",IMAGE("https://logodownload.org/wp-content/uploads/2020/09/kansas-city-chiefs-logo.png"),IF(B17="LV",IMAGE("https://logodownload.org/wp-content/uploads/2020/09/las-vegas-raiders-logo-1-564x599.png"),IF(B17="DEN",IMAGE("https://logodownload.org/wp-content/uploads/2020/07/denver-broncos-logo-0.png"),IF(B17="LAC",IMAGE("https://logosmarcas.net/wp-content/uploads/2020/07/Los-Angeles-Chargers-logo.png"),IF(B17="BUF",IMAGE("https://logos-download.com/wp-content/uploads/2018/03/Buffalo_Bills_logo_blue.png"),IF(B17="MIA",IMAGE("https://logos-world.net/wp-content/uploads/2020/05/Miami-Dolphins-Logo.png"),IF(B17="NYJ",IMAGE("https://logos-world.net/wp-content/uploads/2020/07/New-York-Jets-Logo.png"),IF(B17="NE",IMAGE("https://purepng.com/public/uploads/large/new-england-patriots-logo-symbol-ucp.png"),IF(B17="BAL",IMAGE("https://1000logos.net/wp-content/uploads/2016/10/Baltimore-Ravens-Logo.png"),IF(B17="CLE",IMAGE("https://logos-world.net/wp-content/uploads/2020/05/Cleveland-Browns-Logo-2006-2014.png"),IF(B17="PIT",IMAGE("https://1000logos.net/wp-content/uploads/2017/06/Pittsburgh-Steelers-Logo.png"),IF(B17="CIN",IMAGE("https://logos-world.net/wp-content/uploads/2020/05/Cincinnati-Bengals-Logo.png"),IF(B17="HOU",IMAGE("https://cdn.wallpapersafari.com/15/25/Jnl2Yc.png"),IF(B17="JAX",IMAGE("https://1000logos.net/wp-content/uploads/2018/07/Jacksonville-Jaguars-Logo-1536x960.png"),IF(B17="IND",IMAGE("https://1000logos.net/wp-content/uploads/2016/12/Indianapolis-Colts-Logo-2048x1280.png"),IF(B17="TEN",IMAGE("https://img-s-msn-com.akamaized.net/tenant/amp/entityid/AA1YwbtK.img?w=720&amp;h=720&amp;m=6"),IF(B17="SF",IMAGE("https://logodownload.org/wp-content/uploads/2020/09/san-francisco-49ers-logo-2048x1220.png"),IF(B17="LAR",IMAGE("https://1000logos.net/wp-content/uploads/2018/07/Rams-Logo.png"),IF(B17="SEA",IMAGE("https://cdn.freebiesupply.com/images/large/2x/seattle-seahawks-logo-transparent.png"),IF(B17="AZ",IMAGE("https://logos-world.net/wp-content/uploads/2020/05/Arizona-Cardinals-Logo.png"),IF(B17="DAL",IMAGE("https://www.freepnglogos.com/uploads/dallas-cowboys-logo-22.png"),IF(B17="PHI",IMAGE("https://1000logos.net/wp-content/uploads/2017/05/Philadelphia-Eagles-Logo.png"),IF(B17="NYG",IMAGE("https://logosmarcas.net/wp-content/uploads/2020/07/New-York-Giants-Logo.png"),IF(B17="WSH",IMAGE("https://logodownload.org/wp-content/uploads/2020/09/washington-commanders-logo.png"),IF(B17="DET",IMAGE("https://logos-world.net/wp-content/uploads/2020/05/Detroit-Lions-Logo-2017-Present.png"),IF(B17="GB",IMAGE("https://logodownload.org/wp-content/uploads/2020/07/green-bay-packers-logo-1.png"),IF(B17="MIN",IMAGE("https://1000logos.net/wp-content/uploads/2017/06/Minnesota-Vikings-Logo-1965.png"),IF(B17="CHI",IMAGE("https://logos-world.net/wp-content/uploads/2020/05/Chicago-Bears-logo.png"),IF(B17="TB",IMAGE("https://logodownload.org/wp-content/uploads/2020/09/tampa-bay-buccaneers-logo.png"),IF(B17="NO",IMAGE("https://1000logos.net/wp-content/uploads/2017/04/New-Orleans-Saints-Logo.png"),IF(B17="ATL",IMAGE("https://logodownload.org/wp-content/uploads/2020/07/atlanta-falcons-logo-0.png"),IF(B17="CAR",IMAGE("https://logos-download.com/wp-content/uploads/2018/02/Carolina_Panthers_logo_blue.png"),""))))))))))))))))))))))))))))))))</f>
        <v/>
      </c>
      <c r="E17" s="27"/>
      <c r="G17" s="31">
        <f t="array" ref="G17:H17">INDEX(AC20:AD20,0)</f>
        <v>7</v>
      </c>
      <c r="H17" s="27" t="s">
        <v>40</v>
      </c>
      <c r="I17" s="33" t="str">
        <f t="shared" ref="I17:I18" si="2">IF(H17="KC",IMAGE("https://logodownload.org/wp-content/uploads/2020/09/kansas-city-chiefs-logo.png"),IF(H17="LV",IMAGE("https://logodownload.org/wp-content/uploads/2020/09/las-vegas-raiders-logo-1-564x599.png"),IF(H17="DEN",IMAGE("https://logodownload.org/wp-content/uploads/2020/07/denver-broncos-logo-0.png"),IF(H17="LAC",IMAGE("https://logosmarcas.net/wp-content/uploads/2020/07/Los-Angeles-Chargers-logo.png"),IF(H17="BUF",IMAGE("https://logos-download.com/wp-content/uploads/2018/03/Buffalo_Bills_logo_blue.png"),IF(H17="MIA",IMAGE("https://logos-world.net/wp-content/uploads/2020/05/Miami-Dolphins-Logo.png"),IF(H17="NYJ",IMAGE("https://logos-world.net/wp-content/uploads/2020/07/New-York-Jets-Logo.png"),IF(H17="NE",IMAGE("https://purepng.com/public/uploads/large/new-england-patriots-logo-symbol-ucp.png"),IF(H17="BAL",IMAGE("https://1000logos.net/wp-content/uploads/2016/10/Baltimore-Ravens-Logo.png"),IF(H17="CLE",IMAGE("https://logos-world.net/wp-content/uploads/2020/05/Cleveland-Browns-Logo-2006-2014.png"),IF(H17="PIT",IMAGE("https://1000logos.net/wp-content/uploads/2017/06/Pittsburgh-Steelers-Logo.png"),IF(H17="CIN",IMAGE("https://logos-world.net/wp-content/uploads/2020/05/Cincinnati-Bengals-Logo.png"),IF(H17="HOU",IMAGE("https://cdn.wallpapersafari.com/15/25/Jnl2Yc.png"),IF(H17="JAX",IMAGE("https://1000logos.net/wp-content/uploads/2018/07/Jacksonville-Jaguars-Logo-1536x960.png"),IF(H17="IND",IMAGE("https://1000logos.net/wp-content/uploads/2016/12/Indianapolis-Colts-Logo-2048x1280.png"),IF(H17="TEN",IMAGE("https://img-s-msn-com.akamaized.net/tenant/amp/entityid/AA1YwbtK.img?w=720&amp;h=720&amp;m=6"),IF(H17="SF",IMAGE("https://logodownload.org/wp-content/uploads/2020/09/san-francisco-49ers-logo-2048x1220.png"),IF(H17="LAR",IMAGE("https://1000logos.net/wp-content/uploads/2018/07/Rams-Logo.png"),IF(H17="SEA",IMAGE("https://cdn.freebiesupply.com/images/large/2x/seattle-seahawks-logo-transparent.png"),IF(H17="AZ",IMAGE("https://logos-world.net/wp-content/uploads/2020/05/Arizona-Cardinals-Logo.png"),IF(H17="DAL",IMAGE("https://www.freepnglogos.com/uploads/dallas-cowboys-logo-22.png"),IF(H17="PHI",IMAGE("https://1000logos.net/wp-content/uploads/2017/05/Philadelphia-Eagles-Logo.png"),IF(H17="NYG",IMAGE("https://logosmarcas.net/wp-content/uploads/2020/07/New-York-Giants-Logo.png"),IF(H17="WSH",IMAGE("https://logodownload.org/wp-content/uploads/2020/09/washington-commanders-logo.png"),IF(H17="DET",IMAGE("https://logos-world.net/wp-content/uploads/2020/05/Detroit-Lions-Logo-2017-Present.png"),IF(H17="GB",IMAGE("https://logodownload.org/wp-content/uploads/2020/07/green-bay-packers-logo-1.png"),IF(H17="MIN",IMAGE("https://1000logos.net/wp-content/uploads/2017/06/Minnesota-Vikings-Logo-1965.png"),IF(H17="CHI",IMAGE("https://logos-world.net/wp-content/uploads/2020/05/Chicago-Bears-logo.png"),IF(H17="TB",IMAGE("https://logodownload.org/wp-content/uploads/2020/09/tampa-bay-buccaneers-logo.png"),IF(H17="NO",IMAGE("https://1000logos.net/wp-content/uploads/2017/04/New-Orleans-Saints-Logo.png"),IF(H17="ATL",IMAGE("https://logodownload.org/wp-content/uploads/2020/07/atlanta-falcons-logo-0.png"),IF(H17="CAR",IMAGE("https://logos-download.com/wp-content/uploads/2018/02/Carolina_Panthers_logo_blue.png"),""))))))))))))))))))))))))))))))))</f>
        <v/>
      </c>
      <c r="J17" s="273" t="b">
        <v>0</v>
      </c>
      <c r="K17" s="40">
        <v>17.0</v>
      </c>
      <c r="M17" s="31">
        <f t="array" ref="M17:N17">INDEX(AG18:AH18,0)</f>
        <v>3</v>
      </c>
      <c r="N17" s="27" t="s">
        <v>131</v>
      </c>
      <c r="O17" s="33" t="str">
        <f t="shared" ref="O17:O18" si="3">IF(N17="KC",IMAGE("https://logodownload.org/wp-content/uploads/2020/09/kansas-city-chiefs-logo.png"),IF(N17="LV",IMAGE("https://logodownload.org/wp-content/uploads/2020/09/las-vegas-raiders-logo-1-564x599.png"),IF(N17="DEN",IMAGE("https://logodownload.org/wp-content/uploads/2020/07/denver-broncos-logo-0.png"),IF(N17="LAC",IMAGE("https://logosmarcas.net/wp-content/uploads/2020/07/Los-Angeles-Chargers-logo.png"),IF(N17="BUF",IMAGE("https://logos-download.com/wp-content/uploads/2018/03/Buffalo_Bills_logo_blue.png"),IF(N17="MIA",IMAGE("https://logos-world.net/wp-content/uploads/2020/05/Miami-Dolphins-Logo.png"),IF(N17="NYJ",IMAGE("https://logos-world.net/wp-content/uploads/2020/07/New-York-Jets-Logo.png"),IF(N17="NE",IMAGE("https://purepng.com/public/uploads/large/new-england-patriots-logo-symbol-ucp.png"),IF(N17="BAL",IMAGE("https://1000logos.net/wp-content/uploads/2016/10/Baltimore-Ravens-Logo.png"),IF(N17="CLE",IMAGE("https://logos-world.net/wp-content/uploads/2020/05/Cleveland-Browns-Logo-2006-2014.png"),IF(N17="PIT",IMAGE("https://1000logos.net/wp-content/uploads/2017/06/Pittsburgh-Steelers-Logo.png"),IF(N17="CIN",IMAGE("https://logos-world.net/wp-content/uploads/2020/05/Cincinnati-Bengals-Logo.png"),IF(N17="HOU",IMAGE("https://cdn.wallpapersafari.com/15/25/Jnl2Yc.png"),IF(N17="JAX",IMAGE("https://1000logos.net/wp-content/uploads/2018/07/Jacksonville-Jaguars-Logo-1536x960.png"),IF(N17="IND",IMAGE("https://1000logos.net/wp-content/uploads/2016/12/Indianapolis-Colts-Logo-2048x1280.png"),IF(N17="TEN",IMAGE("https://img-s-msn-com.akamaized.net/tenant/amp/entityid/AA1YwbtK.img?w=720&amp;h=720&amp;m=6"),IF(N17="SF",IMAGE("https://logodownload.org/wp-content/uploads/2020/09/san-francisco-49ers-logo-2048x1220.png"),IF(N17="LAR",IMAGE("https://1000logos.net/wp-content/uploads/2018/07/Rams-Logo.png"),IF(N17="SEA",IMAGE("https://cdn.freebiesupply.com/images/large/2x/seattle-seahawks-logo-transparent.png"),IF(N17="AZ",IMAGE("https://logos-world.net/wp-content/uploads/2020/05/Arizona-Cardinals-Logo.png"),IF(N17="DAL",IMAGE("https://www.freepnglogos.com/uploads/dallas-cowboys-logo-22.png"),IF(N17="PHI",IMAGE("https://1000logos.net/wp-content/uploads/2017/05/Philadelphia-Eagles-Logo.png"),IF(N17="NYG",IMAGE("https://logosmarcas.net/wp-content/uploads/2020/07/New-York-Giants-Logo.png"),IF(N17="WSH",IMAGE("https://logodownload.org/wp-content/uploads/2020/09/washington-commanders-logo.png"),IF(N17="DET",IMAGE("https://logos-world.net/wp-content/uploads/2020/05/Detroit-Lions-Logo-2017-Present.png"),IF(N17="GB",IMAGE("https://logodownload.org/wp-content/uploads/2020/07/green-bay-packers-logo-1.png"),IF(N17="MIN",IMAGE("https://1000logos.net/wp-content/uploads/2017/06/Minnesota-Vikings-Logo-1965.png"),IF(N17="CHI",IMAGE("https://logos-world.net/wp-content/uploads/2020/05/Chicago-Bears-logo.png"),IF(N17="TB",IMAGE("https://logodownload.org/wp-content/uploads/2020/09/tampa-bay-buccaneers-logo.png"),IF(N17="NO",IMAGE("https://1000logos.net/wp-content/uploads/2017/04/New-Orleans-Saints-Logo.png"),IF(N17="ATL",IMAGE("https://logodownload.org/wp-content/uploads/2020/07/atlanta-falcons-logo-0.png"),IF(N17="CAR",IMAGE("https://logos-download.com/wp-content/uploads/2018/02/Carolina_Panthers_logo_blue.png"),""))))))))))))))))))))))))))))))))</f>
        <v/>
      </c>
      <c r="P17" s="273" t="b">
        <v>1</v>
      </c>
      <c r="Q17" s="40">
        <v>20.0</v>
      </c>
      <c r="R17" s="40"/>
      <c r="S17" s="40"/>
      <c r="T17" s="40"/>
      <c r="U17" s="40"/>
      <c r="V17" s="40"/>
      <c r="W17" s="40"/>
      <c r="X17" s="40"/>
      <c r="Y17" s="40"/>
      <c r="Z17" s="40"/>
      <c r="AA17" s="40">
        <v>1.0</v>
      </c>
      <c r="AB17" s="40" t="str">
        <f t="array" ref="AB17">INDEX(B17,0)</f>
        <v>NE</v>
      </c>
      <c r="AC17" s="27">
        <f t="array" ref="AC17:AD26">SORT(AA17:AB26,1,TRUE)</f>
        <v>1</v>
      </c>
      <c r="AD17" s="27" t="s">
        <v>126</v>
      </c>
      <c r="AE17" s="27" t="str">
        <f t="array" ref="AE17">IF(AND(J17=TRUE,J18&lt;&gt;TRUE),INDEX(G17:H17,0),"")</f>
        <v/>
      </c>
      <c r="AF17" s="27"/>
      <c r="AG17" s="27">
        <f t="array" ref="AG17:AH21">SORT(AE17:AF21,1,TRUE)</f>
        <v>1</v>
      </c>
      <c r="AH17" s="27" t="s">
        <v>126</v>
      </c>
      <c r="AI17" s="27">
        <f t="shared" ref="AI17:AI18" si="4">IF(AND(P17=TRUE,P18&lt;&gt;TRUE),INDEX(M17:N17,0),"")</f>
        <v>3</v>
      </c>
      <c r="AJ17" s="27" t="s">
        <v>131</v>
      </c>
      <c r="AK17" s="27">
        <f t="array" ref="AK17:AL18">SORT(AI17:AJ18,1,TRUE)</f>
        <v>3</v>
      </c>
      <c r="AL17" s="27" t="s">
        <v>131</v>
      </c>
    </row>
    <row r="18">
      <c r="E18" s="27"/>
      <c r="G18" s="31">
        <f t="array" ref="G18:H18">INDEX(AC17:AD17,0)</f>
        <v>1</v>
      </c>
      <c r="H18" s="27" t="s">
        <v>126</v>
      </c>
      <c r="I18" s="33" t="str">
        <f t="shared" si="2"/>
        <v/>
      </c>
      <c r="J18" s="273" t="b">
        <v>1</v>
      </c>
      <c r="K18" s="40">
        <v>20.0</v>
      </c>
      <c r="M18" s="31">
        <f t="array" ref="M18:N18">INDEX(AG17:AH17,0)</f>
        <v>1</v>
      </c>
      <c r="N18" s="27" t="s">
        <v>126</v>
      </c>
      <c r="O18" s="33" t="str">
        <f t="shared" si="3"/>
        <v/>
      </c>
      <c r="P18" s="273" t="b">
        <v>0</v>
      </c>
      <c r="Q18" s="40">
        <v>17.0</v>
      </c>
      <c r="R18" s="40"/>
      <c r="S18" s="40"/>
      <c r="T18" s="40"/>
      <c r="U18" s="40"/>
      <c r="V18" s="40"/>
      <c r="W18" s="40"/>
      <c r="X18" s="40"/>
      <c r="Y18" s="40"/>
      <c r="Z18" s="40"/>
      <c r="AC18" s="27">
        <v>3.0</v>
      </c>
      <c r="AD18" s="27" t="s">
        <v>131</v>
      </c>
      <c r="AE18" s="27">
        <f t="array" ref="AE18:AF18">IF(AND(J18=TRUE,J17&lt;&gt;TRUE),INDEX(G18:H18,0),"")</f>
        <v>1</v>
      </c>
      <c r="AF18" s="27" t="s">
        <v>126</v>
      </c>
      <c r="AG18" s="27">
        <v>3.0</v>
      </c>
      <c r="AH18" s="27" t="s">
        <v>131</v>
      </c>
      <c r="AI18" s="27" t="str">
        <f t="shared" si="4"/>
        <v/>
      </c>
      <c r="AJ18" s="27"/>
      <c r="AK18" s="274" t="s">
        <v>706</v>
      </c>
      <c r="AL18" s="274"/>
    </row>
    <row r="19">
      <c r="A19" s="20">
        <v>7.0</v>
      </c>
      <c r="B19" s="27" t="str">
        <f t="array" ref="B19">INDEX(B12,0)</f>
        <v>KC</v>
      </c>
      <c r="C19" s="33" t="str">
        <f t="shared" ref="C19:C20" si="5">IF(B19="KC",IMAGE("https://logodownload.org/wp-content/uploads/2020/09/kansas-city-chiefs-logo.png"),IF(B19="LV",IMAGE("https://logodownload.org/wp-content/uploads/2020/09/las-vegas-raiders-logo-1-564x599.png"),IF(B19="DEN",IMAGE("https://logodownload.org/wp-content/uploads/2020/07/denver-broncos-logo-0.png"),IF(B19="LAC",IMAGE("https://logosmarcas.net/wp-content/uploads/2020/07/Los-Angeles-Chargers-logo.png"),IF(B19="BUF",IMAGE("https://logos-download.com/wp-content/uploads/2018/03/Buffalo_Bills_logo_blue.png"),IF(B19="MIA",IMAGE("https://logos-world.net/wp-content/uploads/2020/05/Miami-Dolphins-Logo.png"),IF(B19="NYJ",IMAGE("https://logos-world.net/wp-content/uploads/2020/07/New-York-Jets-Logo.png"),IF(B19="NE",IMAGE("https://purepng.com/public/uploads/large/new-england-patriots-logo-symbol-ucp.png"),IF(B19="BAL",IMAGE("https://1000logos.net/wp-content/uploads/2016/10/Baltimore-Ravens-Logo.png"),IF(B19="CLE",IMAGE("https://logos-world.net/wp-content/uploads/2020/05/Cleveland-Browns-Logo-2006-2014.png"),IF(B19="PIT",IMAGE("https://1000logos.net/wp-content/uploads/2017/06/Pittsburgh-Steelers-Logo.png"),IF(B19="CIN",IMAGE("https://logos-world.net/wp-content/uploads/2020/05/Cincinnati-Bengals-Logo.png"),IF(B19="HOU",IMAGE("https://cdn.wallpapersafari.com/15/25/Jnl2Yc.png"),IF(B19="JAX",IMAGE("https://1000logos.net/wp-content/uploads/2018/07/Jacksonville-Jaguars-Logo-1536x960.png"),IF(B19="IND",IMAGE("https://1000logos.net/wp-content/uploads/2016/12/Indianapolis-Colts-Logo-2048x1280.png"),IF(B19="TEN",IMAGE("https://img-s-msn-com.akamaized.net/tenant/amp/entityid/AA1YwbtK.img?w=720&amp;h=720&amp;m=6"),IF(B19="SF",IMAGE("https://logodownload.org/wp-content/uploads/2020/09/san-francisco-49ers-logo-2048x1220.png"),IF(B19="LAR",IMAGE("https://1000logos.net/wp-content/uploads/2018/07/Rams-Logo.png"),IF(B19="SEA",IMAGE("https://cdn.freebiesupply.com/images/large/2x/seattle-seahawks-logo-transparent.png"),IF(B19="AZ",IMAGE("https://logos-world.net/wp-content/uploads/2020/05/Arizona-Cardinals-Logo.png"),IF(B19="DAL",IMAGE("https://www.freepnglogos.com/uploads/dallas-cowboys-logo-22.png"),IF(B19="PHI",IMAGE("https://1000logos.net/wp-content/uploads/2017/05/Philadelphia-Eagles-Logo.png"),IF(B19="NYG",IMAGE("https://logosmarcas.net/wp-content/uploads/2020/07/New-York-Giants-Logo.png"),IF(B19="WSH",IMAGE("https://logodownload.org/wp-content/uploads/2020/09/washington-commanders-logo.png"),IF(B19="DET",IMAGE("https://logos-world.net/wp-content/uploads/2020/05/Detroit-Lions-Logo-2017-Present.png"),IF(B19="GB",IMAGE("https://logodownload.org/wp-content/uploads/2020/07/green-bay-packers-logo-1.png"),IF(B19="MIN",IMAGE("https://1000logos.net/wp-content/uploads/2017/06/Minnesota-Vikings-Logo-1965.png"),IF(B19="CHI",IMAGE("https://logos-world.net/wp-content/uploads/2020/05/Chicago-Bears-logo.png"),IF(B19="TB",IMAGE("https://logodownload.org/wp-content/uploads/2020/09/tampa-bay-buccaneers-logo.png"),IF(B19="NO",IMAGE("https://1000logos.net/wp-content/uploads/2017/04/New-Orleans-Saints-Logo.png"),IF(B19="ATL",IMAGE("https://logodownload.org/wp-content/uploads/2020/07/atlanta-falcons-logo-0.png"),IF(B19="CAR",IMAGE("https://logos-download.com/wp-content/uploads/2018/02/Carolina_Panthers_logo_blue.png"),""))))))))))))))))))))))))))))))))</f>
        <v/>
      </c>
      <c r="D19" s="275" t="b">
        <v>1</v>
      </c>
      <c r="E19" s="40">
        <v>20.0</v>
      </c>
      <c r="G19" s="27"/>
      <c r="H19" s="27"/>
      <c r="K19" s="27"/>
      <c r="AA19" s="27">
        <f t="array" ref="AA19:AB19">IF(AND(D19=TRUE,D20&lt;&gt;TRUE),INDEX(A19:B19,0),"")</f>
        <v>7</v>
      </c>
      <c r="AB19" s="27" t="s">
        <v>40</v>
      </c>
      <c r="AC19" s="27">
        <v>4.0</v>
      </c>
      <c r="AD19" s="27" t="s">
        <v>163</v>
      </c>
      <c r="AE19" s="27"/>
      <c r="AF19" s="27"/>
      <c r="AG19" s="274" t="s">
        <v>706</v>
      </c>
      <c r="AH19" s="274"/>
    </row>
    <row r="20">
      <c r="A20" s="20">
        <v>2.0</v>
      </c>
      <c r="B20" s="27" t="str">
        <f t="array" ref="B20">INDEX(B7,0)</f>
        <v>DEN</v>
      </c>
      <c r="C20" s="33" t="str">
        <f t="shared" si="5"/>
        <v/>
      </c>
      <c r="D20" s="275" t="b">
        <v>0</v>
      </c>
      <c r="E20" s="40">
        <v>17.0</v>
      </c>
      <c r="G20" s="31">
        <f t="array" ref="G20:H20">INDEX(AC19:AD19,0)</f>
        <v>4</v>
      </c>
      <c r="H20" s="27" t="s">
        <v>163</v>
      </c>
      <c r="I20" s="33" t="str">
        <f t="shared" ref="I20:I21" si="6">IF(H20="KC",IMAGE("https://logodownload.org/wp-content/uploads/2020/09/kansas-city-chiefs-logo.png"),IF(H20="LV",IMAGE("https://logodownload.org/wp-content/uploads/2020/09/las-vegas-raiders-logo-1-564x599.png"),IF(H20="DEN",IMAGE("https://logodownload.org/wp-content/uploads/2020/07/denver-broncos-logo-0.png"),IF(H20="LAC",IMAGE("https://logosmarcas.net/wp-content/uploads/2020/07/Los-Angeles-Chargers-logo.png"),IF(H20="BUF",IMAGE("https://logos-download.com/wp-content/uploads/2018/03/Buffalo_Bills_logo_blue.png"),IF(H20="MIA",IMAGE("https://logos-world.net/wp-content/uploads/2020/05/Miami-Dolphins-Logo.png"),IF(H20="NYJ",IMAGE("https://logos-world.net/wp-content/uploads/2020/07/New-York-Jets-Logo.png"),IF(H20="NE",IMAGE("https://purepng.com/public/uploads/large/new-england-patriots-logo-symbol-ucp.png"),IF(H20="BAL",IMAGE("https://1000logos.net/wp-content/uploads/2016/10/Baltimore-Ravens-Logo.png"),IF(H20="CLE",IMAGE("https://logos-world.net/wp-content/uploads/2020/05/Cleveland-Browns-Logo-2006-2014.png"),IF(H20="PIT",IMAGE("https://1000logos.net/wp-content/uploads/2017/06/Pittsburgh-Steelers-Logo.png"),IF(H20="CIN",IMAGE("https://logos-world.net/wp-content/uploads/2020/05/Cincinnati-Bengals-Logo.png"),IF(H20="HOU",IMAGE("https://cdn.wallpapersafari.com/15/25/Jnl2Yc.png"),IF(H20="JAX",IMAGE("https://1000logos.net/wp-content/uploads/2018/07/Jacksonville-Jaguars-Logo-1536x960.png"),IF(H20="IND",IMAGE("https://1000logos.net/wp-content/uploads/2016/12/Indianapolis-Colts-Logo-2048x1280.png"),IF(H20="TEN",IMAGE("https://img-s-msn-com.akamaized.net/tenant/amp/entityid/AA1YwbtK.img?w=720&amp;h=720&amp;m=6"),IF(H20="SF",IMAGE("https://logodownload.org/wp-content/uploads/2020/09/san-francisco-49ers-logo-2048x1220.png"),IF(H20="LAR",IMAGE("https://1000logos.net/wp-content/uploads/2018/07/Rams-Logo.png"),IF(H20="SEA",IMAGE("https://cdn.freebiesupply.com/images/large/2x/seattle-seahawks-logo-transparent.png"),IF(H20="AZ",IMAGE("https://logos-world.net/wp-content/uploads/2020/05/Arizona-Cardinals-Logo.png"),IF(H20="DAL",IMAGE("https://www.freepnglogos.com/uploads/dallas-cowboys-logo-22.png"),IF(H20="PHI",IMAGE("https://1000logos.net/wp-content/uploads/2017/05/Philadelphia-Eagles-Logo.png"),IF(H20="NYG",IMAGE("https://logosmarcas.net/wp-content/uploads/2020/07/New-York-Giants-Logo.png"),IF(H20="WSH",IMAGE("https://logodownload.org/wp-content/uploads/2020/09/washington-commanders-logo.png"),IF(H20="DET",IMAGE("https://logos-world.net/wp-content/uploads/2020/05/Detroit-Lions-Logo-2017-Present.png"),IF(H20="GB",IMAGE("https://logodownload.org/wp-content/uploads/2020/07/green-bay-packers-logo-1.png"),IF(H20="MIN",IMAGE("https://1000logos.net/wp-content/uploads/2017/06/Minnesota-Vikings-Logo-1965.png"),IF(H20="CHI",IMAGE("https://logos-world.net/wp-content/uploads/2020/05/Chicago-Bears-logo.png"),IF(H20="TB",IMAGE("https://logodownload.org/wp-content/uploads/2020/09/tampa-bay-buccaneers-logo.png"),IF(H20="NO",IMAGE("https://1000logos.net/wp-content/uploads/2017/04/New-Orleans-Saints-Logo.png"),IF(H20="ATL",IMAGE("https://logodownload.org/wp-content/uploads/2020/07/atlanta-falcons-logo-0.png"),IF(H20="CAR",IMAGE("https://logos-download.com/wp-content/uploads/2018/02/Carolina_Panthers_logo_blue.png"),""))))))))))))))))))))))))))))))))</f>
        <v/>
      </c>
      <c r="J20" s="273" t="b">
        <v>0</v>
      </c>
      <c r="K20" s="40">
        <v>17.0</v>
      </c>
      <c r="M20" s="8"/>
      <c r="N20" s="8"/>
      <c r="O20" s="8"/>
      <c r="P20" s="8"/>
      <c r="Q20" s="8"/>
      <c r="AA20" s="27" t="str">
        <f t="array" ref="AA20">IF(AND(D20=TRUE,D19&lt;&gt;TRUE),INDEX(A20:B20,0),"")</f>
        <v/>
      </c>
      <c r="AB20" s="27"/>
      <c r="AC20" s="27">
        <v>7.0</v>
      </c>
      <c r="AD20" s="27" t="s">
        <v>40</v>
      </c>
      <c r="AE20" s="27" t="str">
        <f t="array" ref="AE20">IF(AND(J20=TRUE,J21&lt;&gt;TRUE),INDEX(G20:H20,0),"")</f>
        <v/>
      </c>
      <c r="AF20" s="27"/>
      <c r="AG20" s="274" t="s">
        <v>706</v>
      </c>
      <c r="AH20" s="274"/>
    </row>
    <row r="21">
      <c r="E21" s="27"/>
      <c r="G21" s="31">
        <f t="array" ref="G21:H21">INDEX(AC18:AD18,0)</f>
        <v>3</v>
      </c>
      <c r="H21" s="27" t="s">
        <v>131</v>
      </c>
      <c r="I21" s="33" t="str">
        <f t="shared" si="6"/>
        <v/>
      </c>
      <c r="J21" s="273" t="b">
        <v>1</v>
      </c>
      <c r="K21" s="40">
        <v>20.0</v>
      </c>
      <c r="AC21" s="274" t="s">
        <v>706</v>
      </c>
      <c r="AD21" s="274"/>
      <c r="AE21" s="27">
        <f t="array" ref="AE21:AF21">IF(AND(J21=TRUE,J20&lt;&gt;TRUE),INDEX(G21:H21,0),"")</f>
        <v>3</v>
      </c>
      <c r="AF21" s="27" t="s">
        <v>131</v>
      </c>
      <c r="AG21" s="274"/>
      <c r="AH21" s="274"/>
    </row>
    <row r="22">
      <c r="A22" s="20">
        <v>6.0</v>
      </c>
      <c r="B22" s="27" t="str">
        <f t="array" ref="B22">INDEX(B11,0)</f>
        <v>CIN</v>
      </c>
      <c r="C22" s="33" t="str">
        <f t="shared" ref="C22:C23" si="7">IF(B22="KC",IMAGE("https://logodownload.org/wp-content/uploads/2020/09/kansas-city-chiefs-logo.png"),IF(B22="LV",IMAGE("https://logodownload.org/wp-content/uploads/2020/09/las-vegas-raiders-logo-1-564x599.png"),IF(B22="DEN",IMAGE("https://logodownload.org/wp-content/uploads/2020/07/denver-broncos-logo-0.png"),IF(B22="LAC",IMAGE("https://logosmarcas.net/wp-content/uploads/2020/07/Los-Angeles-Chargers-logo.png"),IF(B22="BUF",IMAGE("https://logos-download.com/wp-content/uploads/2018/03/Buffalo_Bills_logo_blue.png"),IF(B22="MIA",IMAGE("https://logos-world.net/wp-content/uploads/2020/05/Miami-Dolphins-Logo.png"),IF(B22="NYJ",IMAGE("https://logos-world.net/wp-content/uploads/2020/07/New-York-Jets-Logo.png"),IF(B22="NE",IMAGE("https://purepng.com/public/uploads/large/new-england-patriots-logo-symbol-ucp.png"),IF(B22="BAL",IMAGE("https://1000logos.net/wp-content/uploads/2016/10/Baltimore-Ravens-Logo.png"),IF(B22="CLE",IMAGE("https://logos-world.net/wp-content/uploads/2020/05/Cleveland-Browns-Logo-2006-2014.png"),IF(B22="PIT",IMAGE("https://1000logos.net/wp-content/uploads/2017/06/Pittsburgh-Steelers-Logo.png"),IF(B22="CIN",IMAGE("https://logos-world.net/wp-content/uploads/2020/05/Cincinnati-Bengals-Logo.png"),IF(B22="HOU",IMAGE("https://cdn.wallpapersafari.com/15/25/Jnl2Yc.png"),IF(B22="JAX",IMAGE("https://1000logos.net/wp-content/uploads/2018/07/Jacksonville-Jaguars-Logo-1536x960.png"),IF(B22="IND",IMAGE("https://1000logos.net/wp-content/uploads/2016/12/Indianapolis-Colts-Logo-2048x1280.png"),IF(B22="TEN",IMAGE("https://img-s-msn-com.akamaized.net/tenant/amp/entityid/AA1YwbtK.img?w=720&amp;h=720&amp;m=6"),IF(B22="SF",IMAGE("https://logodownload.org/wp-content/uploads/2020/09/san-francisco-49ers-logo-2048x1220.png"),IF(B22="LAR",IMAGE("https://1000logos.net/wp-content/uploads/2018/07/Rams-Logo.png"),IF(B22="SEA",IMAGE("https://cdn.freebiesupply.com/images/large/2x/seattle-seahawks-logo-transparent.png"),IF(B22="AZ",IMAGE("https://logos-world.net/wp-content/uploads/2020/05/Arizona-Cardinals-Logo.png"),IF(B22="DAL",IMAGE("https://www.freepnglogos.com/uploads/dallas-cowboys-logo-22.png"),IF(B22="PHI",IMAGE("https://1000logos.net/wp-content/uploads/2017/05/Philadelphia-Eagles-Logo.png"),IF(B22="NYG",IMAGE("https://logosmarcas.net/wp-content/uploads/2020/07/New-York-Giants-Logo.png"),IF(B22="WSH",IMAGE("https://logodownload.org/wp-content/uploads/2020/09/washington-commanders-logo.png"),IF(B22="DET",IMAGE("https://logos-world.net/wp-content/uploads/2020/05/Detroit-Lions-Logo-2017-Present.png"),IF(B22="GB",IMAGE("https://logodownload.org/wp-content/uploads/2020/07/green-bay-packers-logo-1.png"),IF(B22="MIN",IMAGE("https://1000logos.net/wp-content/uploads/2017/06/Minnesota-Vikings-Logo-1965.png"),IF(B22="CHI",IMAGE("https://logos-world.net/wp-content/uploads/2020/05/Chicago-Bears-logo.png"),IF(B22="TB",IMAGE("https://logodownload.org/wp-content/uploads/2020/09/tampa-bay-buccaneers-logo.png"),IF(B22="NO",IMAGE("https://1000logos.net/wp-content/uploads/2017/04/New-Orleans-Saints-Logo.png"),IF(B22="ATL",IMAGE("https://logodownload.org/wp-content/uploads/2020/07/atlanta-falcons-logo-0.png"),IF(B22="CAR",IMAGE("https://logos-download.com/wp-content/uploads/2018/02/Carolina_Panthers_logo_blue.png"),""))))))))))))))))))))))))))))))))</f>
        <v/>
      </c>
      <c r="D22" s="275" t="b">
        <v>0</v>
      </c>
      <c r="E22" s="40">
        <v>17.0</v>
      </c>
      <c r="K22" s="27"/>
      <c r="AA22" s="27" t="str">
        <f t="array" ref="AA22">IF(AND(D22=TRUE,D23&lt;&gt;TRUE),INDEX(A22:B22,0),"")</f>
        <v/>
      </c>
      <c r="AB22" s="27"/>
      <c r="AC22" s="274" t="s">
        <v>706</v>
      </c>
      <c r="AD22" s="274"/>
    </row>
    <row r="23">
      <c r="A23" s="20">
        <v>3.0</v>
      </c>
      <c r="B23" s="27" t="str">
        <f t="array" ref="B23">INDEX(B8,0)</f>
        <v>BAL</v>
      </c>
      <c r="C23" s="33" t="str">
        <f t="shared" si="7"/>
        <v/>
      </c>
      <c r="D23" s="275" t="b">
        <v>1</v>
      </c>
      <c r="E23" s="40">
        <v>20.0</v>
      </c>
      <c r="G23" s="8"/>
      <c r="H23" s="8"/>
      <c r="I23" s="8"/>
      <c r="J23" s="8"/>
      <c r="K23" s="8"/>
      <c r="AA23" s="27">
        <f t="array" ref="AA23:AB23">IF(AND(D23=TRUE,D22&lt;&gt;TRUE),INDEX(A23:B23,0),"")</f>
        <v>3</v>
      </c>
      <c r="AB23" s="27" t="s">
        <v>131</v>
      </c>
      <c r="AC23" s="274" t="s">
        <v>706</v>
      </c>
      <c r="AD23" s="274"/>
    </row>
    <row r="24">
      <c r="E24" s="27"/>
      <c r="AC24" s="274"/>
      <c r="AD24" s="274"/>
    </row>
    <row r="25">
      <c r="A25" s="20">
        <v>5.0</v>
      </c>
      <c r="B25" s="27" t="str">
        <f t="array" ref="B25">INDEX(B10,0)</f>
        <v>BUF</v>
      </c>
      <c r="C25" s="33" t="str">
        <f t="shared" ref="C25:C26" si="8">IF(B25="KC",IMAGE("https://logodownload.org/wp-content/uploads/2020/09/kansas-city-chiefs-logo.png"),IF(B25="LV",IMAGE("https://logodownload.org/wp-content/uploads/2020/09/las-vegas-raiders-logo-1-564x599.png"),IF(B25="DEN",IMAGE("https://logodownload.org/wp-content/uploads/2020/07/denver-broncos-logo-0.png"),IF(B25="LAC",IMAGE("https://logosmarcas.net/wp-content/uploads/2020/07/Los-Angeles-Chargers-logo.png"),IF(B25="BUF",IMAGE("https://logos-download.com/wp-content/uploads/2018/03/Buffalo_Bills_logo_blue.png"),IF(B25="MIA",IMAGE("https://logos-world.net/wp-content/uploads/2020/05/Miami-Dolphins-Logo.png"),IF(B25="NYJ",IMAGE("https://logos-world.net/wp-content/uploads/2020/07/New-York-Jets-Logo.png"),IF(B25="NE",IMAGE("https://purepng.com/public/uploads/large/new-england-patriots-logo-symbol-ucp.png"),IF(B25="BAL",IMAGE("https://1000logos.net/wp-content/uploads/2016/10/Baltimore-Ravens-Logo.png"),IF(B25="CLE",IMAGE("https://logos-world.net/wp-content/uploads/2020/05/Cleveland-Browns-Logo-2006-2014.png"),IF(B25="PIT",IMAGE("https://1000logos.net/wp-content/uploads/2017/06/Pittsburgh-Steelers-Logo.png"),IF(B25="CIN",IMAGE("https://logos-world.net/wp-content/uploads/2020/05/Cincinnati-Bengals-Logo.png"),IF(B25="HOU",IMAGE("https://cdn.wallpapersafari.com/15/25/Jnl2Yc.png"),IF(B25="JAX",IMAGE("https://1000logos.net/wp-content/uploads/2018/07/Jacksonville-Jaguars-Logo-1536x960.png"),IF(B25="IND",IMAGE("https://1000logos.net/wp-content/uploads/2016/12/Indianapolis-Colts-Logo-2048x1280.png"),IF(B25="TEN",IMAGE("https://img-s-msn-com.akamaized.net/tenant/amp/entityid/AA1YwbtK.img?w=720&amp;h=720&amp;m=6"),IF(B25="SF",IMAGE("https://logodownload.org/wp-content/uploads/2020/09/san-francisco-49ers-logo-2048x1220.png"),IF(B25="LAR",IMAGE("https://1000logos.net/wp-content/uploads/2018/07/Rams-Logo.png"),IF(B25="SEA",IMAGE("https://cdn.freebiesupply.com/images/large/2x/seattle-seahawks-logo-transparent.png"),IF(B25="AZ",IMAGE("https://logos-world.net/wp-content/uploads/2020/05/Arizona-Cardinals-Logo.png"),IF(B25="DAL",IMAGE("https://www.freepnglogos.com/uploads/dallas-cowboys-logo-22.png"),IF(B25="PHI",IMAGE("https://1000logos.net/wp-content/uploads/2017/05/Philadelphia-Eagles-Logo.png"),IF(B25="NYG",IMAGE("https://logosmarcas.net/wp-content/uploads/2020/07/New-York-Giants-Logo.png"),IF(B25="WSH",IMAGE("https://logodownload.org/wp-content/uploads/2020/09/washington-commanders-logo.png"),IF(B25="DET",IMAGE("https://logos-world.net/wp-content/uploads/2020/05/Detroit-Lions-Logo-2017-Present.png"),IF(B25="GB",IMAGE("https://logodownload.org/wp-content/uploads/2020/07/green-bay-packers-logo-1.png"),IF(B25="MIN",IMAGE("https://1000logos.net/wp-content/uploads/2017/06/Minnesota-Vikings-Logo-1965.png"),IF(B25="CHI",IMAGE("https://logos-world.net/wp-content/uploads/2020/05/Chicago-Bears-logo.png"),IF(B25="TB",IMAGE("https://logodownload.org/wp-content/uploads/2020/09/tampa-bay-buccaneers-logo.png"),IF(B25="NO",IMAGE("https://1000logos.net/wp-content/uploads/2017/04/New-Orleans-Saints-Logo.png"),IF(B25="ATL",IMAGE("https://logodownload.org/wp-content/uploads/2020/07/atlanta-falcons-logo-0.png"),IF(B25="CAR",IMAGE("https://logos-download.com/wp-content/uploads/2018/02/Carolina_Panthers_logo_blue.png"),""))))))))))))))))))))))))))))))))</f>
        <v/>
      </c>
      <c r="D25" s="275" t="b">
        <v>0</v>
      </c>
      <c r="E25" s="40">
        <v>17.0</v>
      </c>
      <c r="AA25" s="27" t="str">
        <f t="array" ref="AA25">IF(AND(D25=TRUE,D26&lt;&gt;TRUE),INDEX(A25:B25,0),"")</f>
        <v/>
      </c>
      <c r="AB25" s="27"/>
      <c r="AC25" s="274"/>
      <c r="AD25" s="274"/>
    </row>
    <row r="26">
      <c r="A26" s="20">
        <v>4.0</v>
      </c>
      <c r="B26" s="27" t="str">
        <f t="array" ref="B26">INDEX(B9,0)</f>
        <v>HOU</v>
      </c>
      <c r="C26" s="33" t="str">
        <f t="shared" si="8"/>
        <v/>
      </c>
      <c r="D26" s="275" t="b">
        <v>1</v>
      </c>
      <c r="E26" s="40">
        <v>20.0</v>
      </c>
      <c r="AA26" s="27">
        <f t="array" ref="AA26:AB26">IF(AND(D26=TRUE,D25&lt;&gt;TRUE),INDEX(A26:B26,0),"")</f>
        <v>4</v>
      </c>
      <c r="AB26" s="27" t="s">
        <v>163</v>
      </c>
      <c r="AC26" s="274"/>
      <c r="AD26" s="274"/>
    </row>
    <row r="27">
      <c r="E27" s="27"/>
      <c r="R27" s="83"/>
      <c r="S27" s="1" t="s">
        <v>719</v>
      </c>
      <c r="T27" s="83"/>
      <c r="U27" s="1" t="s">
        <v>714</v>
      </c>
      <c r="V27" s="1" t="s">
        <v>715</v>
      </c>
      <c r="W27" s="1" t="s">
        <v>720</v>
      </c>
    </row>
    <row r="28">
      <c r="A28" s="8"/>
      <c r="B28" s="8"/>
      <c r="C28" s="8"/>
      <c r="D28" s="8"/>
      <c r="E28" s="8"/>
      <c r="W28" s="270" t="s">
        <v>712</v>
      </c>
    </row>
    <row r="29">
      <c r="R29" s="31">
        <f t="array" ref="R29:S29">INDEX(AK17:AL17,0)</f>
        <v>3</v>
      </c>
      <c r="S29" s="27" t="s">
        <v>131</v>
      </c>
      <c r="T29" s="33" t="str">
        <f t="shared" ref="T29:T30" si="9">IF(S29="KC",IMAGE("https://logodownload.org/wp-content/uploads/2020/09/kansas-city-chiefs-logo.png"),IF(S29="LV",IMAGE("https://logodownload.org/wp-content/uploads/2020/09/las-vegas-raiders-logo-1-564x599.png"),IF(S29="DEN",IMAGE("https://logodownload.org/wp-content/uploads/2020/07/denver-broncos-logo-0.png"),IF(S29="LAC",IMAGE("https://logosmarcas.net/wp-content/uploads/2020/07/Los-Angeles-Chargers-logo.png"),IF(S29="BUF",IMAGE("https://logos-download.com/wp-content/uploads/2018/03/Buffalo_Bills_logo_blue.png"),IF(S29="MIA",IMAGE("https://logos-world.net/wp-content/uploads/2020/05/Miami-Dolphins-Logo.png"),IF(S29="NYJ",IMAGE("https://logos-world.net/wp-content/uploads/2020/07/New-York-Jets-Logo.png"),IF(S29="NE",IMAGE("https://purepng.com/public/uploads/large/new-england-patriots-logo-symbol-ucp.png"),IF(S29="BAL",IMAGE("https://1000logos.net/wp-content/uploads/2016/10/Baltimore-Ravens-Logo.png"),IF(S29="CLE",IMAGE("https://logos-world.net/wp-content/uploads/2020/05/Cleveland-Browns-Logo-2006-2014.png"),IF(S29="PIT",IMAGE("https://1000logos.net/wp-content/uploads/2017/06/Pittsburgh-Steelers-Logo.png"),IF(S29="CIN",IMAGE("https://logos-world.net/wp-content/uploads/2020/05/Cincinnati-Bengals-Logo.png"),IF(S29="HOU",IMAGE("https://cdn.wallpapersafari.com/15/25/Jnl2Yc.png"),IF(S29="JAX",IMAGE("https://1000logos.net/wp-content/uploads/2018/07/Jacksonville-Jaguars-Logo-1536x960.png"),IF(S29="IND",IMAGE("https://1000logos.net/wp-content/uploads/2016/12/Indianapolis-Colts-Logo-2048x1280.png"),IF(S29="TEN",IMAGE("https://img-s-msn-com.akamaized.net/tenant/amp/entityid/AA1YwbtK.img?w=720&amp;h=720&amp;m=6"),IF(S29="SF",IMAGE("https://logodownload.org/wp-content/uploads/2020/09/san-francisco-49ers-logo-2048x1220.png"),IF(S29="LAR",IMAGE("https://1000logos.net/wp-content/uploads/2018/07/Rams-Logo.png"),IF(S29="SEA",IMAGE("https://cdn.freebiesupply.com/images/large/2x/seattle-seahawks-logo-transparent.png"),IF(S29="AZ",IMAGE("https://logos-world.net/wp-content/uploads/2020/05/Arizona-Cardinals-Logo.png"),IF(S29="DAL",IMAGE("https://www.freepnglogos.com/uploads/dallas-cowboys-logo-22.png"),IF(S29="PHI",IMAGE("https://1000logos.net/wp-content/uploads/2017/05/Philadelphia-Eagles-Logo.png"),IF(S29="NYG",IMAGE("https://logosmarcas.net/wp-content/uploads/2020/07/New-York-Giants-Logo.png"),IF(S29="WSH",IMAGE("https://logodownload.org/wp-content/uploads/2020/09/washington-commanders-logo.png"),IF(S29="DET",IMAGE("https://logos-world.net/wp-content/uploads/2020/05/Detroit-Lions-Logo-2017-Present.png"),IF(S29="GB",IMAGE("https://logodownload.org/wp-content/uploads/2020/07/green-bay-packers-logo-1.png"),IF(S29="MIN",IMAGE("https://1000logos.net/wp-content/uploads/2017/06/Minnesota-Vikings-Logo-1965.png"),IF(S29="CHI",IMAGE("https://logos-world.net/wp-content/uploads/2020/05/Chicago-Bears-logo.png"),IF(S29="TB",IMAGE("https://logodownload.org/wp-content/uploads/2020/09/tampa-bay-buccaneers-logo.png"),IF(S29="NO",IMAGE("https://1000logos.net/wp-content/uploads/2017/04/New-Orleans-Saints-Logo.png"),IF(S29="ATL",IMAGE("https://logodownload.org/wp-content/uploads/2020/07/atlanta-falcons-logo-0.png"),IF(S29="CAR",IMAGE("https://logos-download.com/wp-content/uploads/2018/02/Carolina_Panthers_logo_blue.png"),""))))))))))))))))))))))))))))))))</f>
        <v/>
      </c>
      <c r="U29" s="273" t="b">
        <v>0</v>
      </c>
      <c r="V29" s="40">
        <v>17.0</v>
      </c>
    </row>
    <row r="30">
      <c r="A30" s="83"/>
      <c r="B30" s="1" t="s">
        <v>190</v>
      </c>
      <c r="C30" s="83"/>
      <c r="R30" s="31">
        <f t="array" ref="R30:S30">INDEX(AK42:AL42,0)</f>
        <v>2</v>
      </c>
      <c r="S30" s="27" t="s">
        <v>110</v>
      </c>
      <c r="T30" s="33" t="str">
        <f t="shared" si="9"/>
        <v/>
      </c>
      <c r="U30" s="273" t="b">
        <v>1</v>
      </c>
      <c r="V30" s="40">
        <v>20.0</v>
      </c>
    </row>
    <row r="31">
      <c r="A31" s="20">
        <v>1.0</v>
      </c>
      <c r="B31" s="27" t="str">
        <f t="array" ref="B31">INDEX('Playoffs Calc'!T18,0)</f>
        <v>PHI</v>
      </c>
      <c r="C31" s="33" t="str">
        <f t="shared" ref="C31:C37" si="10">IF(B31="KC",IMAGE("https://logodownload.org/wp-content/uploads/2020/09/kansas-city-chiefs-logo.png"),IF(B31="LV",IMAGE("https://logodownload.org/wp-content/uploads/2020/09/las-vegas-raiders-logo-1-564x599.png"),IF(B31="DEN",IMAGE("https://logodownload.org/wp-content/uploads/2020/07/denver-broncos-logo-0.png"),IF(B31="LAC",IMAGE("https://logosmarcas.net/wp-content/uploads/2020/07/Los-Angeles-Chargers-logo.png"),IF(B31="BUF",IMAGE("https://logos-download.com/wp-content/uploads/2018/03/Buffalo_Bills_logo_blue.png"),IF(B31="MIA",IMAGE("https://logos-world.net/wp-content/uploads/2020/05/Miami-Dolphins-Logo.png"),IF(B31="NYJ",IMAGE("https://logos-world.net/wp-content/uploads/2020/07/New-York-Jets-Logo.png"),IF(B31="NE",IMAGE("https://purepng.com/public/uploads/large/new-england-patriots-logo-symbol-ucp.png"),IF(B31="BAL",IMAGE("https://1000logos.net/wp-content/uploads/2016/10/Baltimore-Ravens-Logo.png"),IF(B31="CLE",IMAGE("https://logos-world.net/wp-content/uploads/2020/05/Cleveland-Browns-Logo-2006-2014.png"),IF(B31="PIT",IMAGE("https://1000logos.net/wp-content/uploads/2017/06/Pittsburgh-Steelers-Logo.png"),IF(B31="CIN",IMAGE("https://logos-world.net/wp-content/uploads/2020/05/Cincinnati-Bengals-Logo.png"),IF(B31="HOU",IMAGE("https://cdn.wallpapersafari.com/15/25/Jnl2Yc.png"),IF(B31="JAX",IMAGE("https://1000logos.net/wp-content/uploads/2018/07/Jacksonville-Jaguars-Logo-1536x960.png"),IF(B31="IND",IMAGE("https://1000logos.net/wp-content/uploads/2016/12/Indianapolis-Colts-Logo-2048x1280.png"),IF(B31="TEN",IMAGE("https://img-s-msn-com.akamaized.net/tenant/amp/entityid/AA1YwbtK.img?w=720&amp;h=720&amp;m=6"),IF(B31="SF",IMAGE("https://logodownload.org/wp-content/uploads/2020/09/san-francisco-49ers-logo-2048x1220.png"),IF(B31="LAR",IMAGE("https://1000logos.net/wp-content/uploads/2018/07/Rams-Logo.png"),IF(B31="SEA",IMAGE("https://cdn.freebiesupply.com/images/large/2x/seattle-seahawks-logo-transparent.png"),IF(B31="AZ",IMAGE("https://logos-world.net/wp-content/uploads/2020/05/Arizona-Cardinals-Logo.png"),IF(B31="DAL",IMAGE("https://www.freepnglogos.com/uploads/dallas-cowboys-logo-22.png"),IF(B31="PHI",IMAGE("https://1000logos.net/wp-content/uploads/2017/05/Philadelphia-Eagles-Logo.png"),IF(B31="NYG",IMAGE("https://logosmarcas.net/wp-content/uploads/2020/07/New-York-Giants-Logo.png"),IF(B31="WSH",IMAGE("https://logodownload.org/wp-content/uploads/2020/09/washington-commanders-logo.png"),IF(B31="DET",IMAGE("https://logos-world.net/wp-content/uploads/2020/05/Detroit-Lions-Logo-2017-Present.png"),IF(B31="GB",IMAGE("https://logodownload.org/wp-content/uploads/2020/07/green-bay-packers-logo-1.png"),IF(B31="MIN",IMAGE("https://1000logos.net/wp-content/uploads/2017/06/Minnesota-Vikings-Logo-1965.png"),IF(B31="CHI",IMAGE("https://logos-world.net/wp-content/uploads/2020/05/Chicago-Bears-logo.png"),IF(B31="TB",IMAGE("https://logodownload.org/wp-content/uploads/2020/09/tampa-bay-buccaneers-logo.png"),IF(B31="NO",IMAGE("https://1000logos.net/wp-content/uploads/2017/04/New-Orleans-Saints-Logo.png"),IF(B31="ATL",IMAGE("https://logodownload.org/wp-content/uploads/2020/07/atlanta-falcons-logo-0.png"),IF(B31="CAR",IMAGE("https://logos-download.com/wp-content/uploads/2018/02/Carolina_Panthers_logo_blue.png"),""))))))))))))))))))))))))))))))))</f>
        <v/>
      </c>
    </row>
    <row r="32">
      <c r="A32" s="20">
        <v>2.0</v>
      </c>
      <c r="B32" s="27" t="str">
        <f t="array" ref="B32">INDEX('Playoffs Calc'!T19,0)</f>
        <v>LAR</v>
      </c>
      <c r="C32" s="33" t="str">
        <f t="shared" si="10"/>
        <v/>
      </c>
      <c r="R32" s="8"/>
      <c r="S32" s="8"/>
      <c r="T32" s="8"/>
      <c r="U32" s="8"/>
      <c r="V32" s="8"/>
      <c r="W32" s="8"/>
    </row>
    <row r="33">
      <c r="A33" s="20">
        <v>3.0</v>
      </c>
      <c r="B33" s="27" t="str">
        <f t="array" ref="B33">INDEX('Playoffs Calc'!T20,0)</f>
        <v>DET</v>
      </c>
      <c r="C33" s="33" t="str">
        <f t="shared" si="10"/>
        <v/>
      </c>
    </row>
    <row r="34">
      <c r="A34" s="20">
        <v>4.0</v>
      </c>
      <c r="B34" s="27" t="str">
        <f t="array" ref="B34">INDEX('Playoffs Calc'!T21,0)</f>
        <v>NO</v>
      </c>
      <c r="C34" s="33" t="str">
        <f t="shared" si="10"/>
        <v/>
      </c>
    </row>
    <row r="35">
      <c r="A35" s="20">
        <v>5.0</v>
      </c>
      <c r="B35" s="27" t="str">
        <f t="array" ref="B35">INDEX('Playoffs Calc'!T22,0)</f>
        <v>SEA</v>
      </c>
      <c r="C35" s="33" t="str">
        <f t="shared" si="10"/>
        <v/>
      </c>
    </row>
    <row r="36">
      <c r="A36" s="20">
        <v>6.0</v>
      </c>
      <c r="B36" s="27" t="str">
        <f t="array" ref="B36">INDEX('Playoffs Calc'!T23,0)</f>
        <v>DAL</v>
      </c>
      <c r="C36" s="33" t="str">
        <f t="shared" si="10"/>
        <v/>
      </c>
    </row>
    <row r="37">
      <c r="A37" s="20">
        <v>7.0</v>
      </c>
      <c r="B37" s="27" t="str">
        <f t="array" ref="B37">INDEX('Playoffs Calc'!T24,0)</f>
        <v>CHI</v>
      </c>
      <c r="C37" s="33" t="str">
        <f t="shared" si="10"/>
        <v/>
      </c>
    </row>
    <row r="38">
      <c r="A38" s="8"/>
      <c r="B38" s="8"/>
      <c r="C38" s="8"/>
    </row>
    <row r="40">
      <c r="A40" s="83"/>
      <c r="B40" s="1" t="s">
        <v>721</v>
      </c>
      <c r="C40" s="83"/>
      <c r="D40" s="1" t="s">
        <v>714</v>
      </c>
      <c r="E40" s="1" t="s">
        <v>715</v>
      </c>
      <c r="G40" s="83"/>
      <c r="H40" s="1" t="s">
        <v>722</v>
      </c>
      <c r="I40" s="83"/>
      <c r="J40" s="1" t="s">
        <v>714</v>
      </c>
      <c r="K40" s="1" t="s">
        <v>715</v>
      </c>
      <c r="M40" s="83"/>
      <c r="N40" s="1" t="s">
        <v>723</v>
      </c>
      <c r="O40" s="83"/>
      <c r="P40" s="1" t="s">
        <v>714</v>
      </c>
      <c r="Q40" s="1" t="s">
        <v>715</v>
      </c>
      <c r="R40" s="40"/>
      <c r="S40" s="40"/>
      <c r="T40" s="40"/>
      <c r="U40" s="40"/>
      <c r="V40" s="40"/>
      <c r="W40" s="40"/>
      <c r="X40" s="40"/>
      <c r="Y40" s="40"/>
      <c r="Z40" s="40"/>
    </row>
    <row r="42">
      <c r="A42" s="20" t="s">
        <v>718</v>
      </c>
      <c r="B42" s="27" t="str">
        <f t="array" ref="B42">INDEX(B31,0)</f>
        <v>PHI</v>
      </c>
      <c r="C42" s="33" t="str">
        <f>IF(B42="KC",IMAGE("https://logodownload.org/wp-content/uploads/2020/09/kansas-city-chiefs-logo.png"),IF(B42="LV",IMAGE("https://logodownload.org/wp-content/uploads/2020/09/las-vegas-raiders-logo-1-564x599.png"),IF(B42="DEN",IMAGE("https://logodownload.org/wp-content/uploads/2020/07/denver-broncos-logo-0.png"),IF(B42="LAC",IMAGE("https://logosmarcas.net/wp-content/uploads/2020/07/Los-Angeles-Chargers-logo.png"),IF(B42="BUF",IMAGE("https://logos-download.com/wp-content/uploads/2018/03/Buffalo_Bills_logo_blue.png"),IF(B42="MIA",IMAGE("https://logos-world.net/wp-content/uploads/2020/05/Miami-Dolphins-Logo.png"),IF(B42="NYJ",IMAGE("https://logos-world.net/wp-content/uploads/2020/07/New-York-Jets-Logo.png"),IF(B42="NE",IMAGE("https://purepng.com/public/uploads/large/new-england-patriots-logo-symbol-ucp.png"),IF(B42="BAL",IMAGE("https://1000logos.net/wp-content/uploads/2016/10/Baltimore-Ravens-Logo.png"),IF(B42="CLE",IMAGE("https://logos-world.net/wp-content/uploads/2020/05/Cleveland-Browns-Logo-2006-2014.png"),IF(B42="PIT",IMAGE("https://1000logos.net/wp-content/uploads/2017/06/Pittsburgh-Steelers-Logo.png"),IF(B42="CIN",IMAGE("https://logos-world.net/wp-content/uploads/2020/05/Cincinnati-Bengals-Logo.png"),IF(B42="HOU",IMAGE("https://cdn.wallpapersafari.com/15/25/Jnl2Yc.png"),IF(B42="JAX",IMAGE("https://1000logos.net/wp-content/uploads/2018/07/Jacksonville-Jaguars-Logo-1536x960.png"),IF(B42="IND",IMAGE("https://1000logos.net/wp-content/uploads/2016/12/Indianapolis-Colts-Logo-2048x1280.png"),IF(B42="TEN",IMAGE("https://img-s-msn-com.akamaized.net/tenant/amp/entityid/AA1YwbtK.img?w=720&amp;h=720&amp;m=6"),IF(B42="SF",IMAGE("https://logodownload.org/wp-content/uploads/2020/09/san-francisco-49ers-logo-2048x1220.png"),IF(B42="LAR",IMAGE("https://1000logos.net/wp-content/uploads/2018/07/Rams-Logo.png"),IF(B42="SEA",IMAGE("https://cdn.freebiesupply.com/images/large/2x/seattle-seahawks-logo-transparent.png"),IF(B42="AZ",IMAGE("https://logos-world.net/wp-content/uploads/2020/05/Arizona-Cardinals-Logo.png"),IF(B42="DAL",IMAGE("https://www.freepnglogos.com/uploads/dallas-cowboys-logo-22.png"),IF(B42="PHI",IMAGE("https://1000logos.net/wp-content/uploads/2017/05/Philadelphia-Eagles-Logo.png"),IF(B42="NYG",IMAGE("https://logosmarcas.net/wp-content/uploads/2020/07/New-York-Giants-Logo.png"),IF(B42="WSH",IMAGE("https://logodownload.org/wp-content/uploads/2020/09/washington-commanders-logo.png"),IF(B42="DET",IMAGE("https://logos-world.net/wp-content/uploads/2020/05/Detroit-Lions-Logo-2017-Present.png"),IF(B42="GB",IMAGE("https://logodownload.org/wp-content/uploads/2020/07/green-bay-packers-logo-1.png"),IF(B42="MIN",IMAGE("https://1000logos.net/wp-content/uploads/2017/06/Minnesota-Vikings-Logo-1965.png"),IF(B42="CHI",IMAGE("https://logos-world.net/wp-content/uploads/2020/05/Chicago-Bears-logo.png"),IF(B42="TB",IMAGE("https://logodownload.org/wp-content/uploads/2020/09/tampa-bay-buccaneers-logo.png"),IF(B42="NO",IMAGE("https://1000logos.net/wp-content/uploads/2017/04/New-Orleans-Saints-Logo.png"),IF(B42="ATL",IMAGE("https://logodownload.org/wp-content/uploads/2020/07/atlanta-falcons-logo-0.png"),IF(B42="CAR",IMAGE("https://logos-download.com/wp-content/uploads/2018/02/Carolina_Panthers_logo_blue.png"),""))))))))))))))))))))))))))))))))</f>
        <v/>
      </c>
      <c r="G42" s="31">
        <f t="array" ref="G42:H42">INDEX(AC45:AD45,0)</f>
        <v>6</v>
      </c>
      <c r="H42" s="27" t="s">
        <v>118</v>
      </c>
      <c r="I42" s="33" t="str">
        <f t="shared" ref="I42:I43" si="11">IF(H42="KC",IMAGE("https://logodownload.org/wp-content/uploads/2020/09/kansas-city-chiefs-logo.png"),IF(H42="LV",IMAGE("https://logodownload.org/wp-content/uploads/2020/09/las-vegas-raiders-logo-1-564x599.png"),IF(H42="DEN",IMAGE("https://logodownload.org/wp-content/uploads/2020/07/denver-broncos-logo-0.png"),IF(H42="LAC",IMAGE("https://logosmarcas.net/wp-content/uploads/2020/07/Los-Angeles-Chargers-logo.png"),IF(H42="BUF",IMAGE("https://logos-download.com/wp-content/uploads/2018/03/Buffalo_Bills_logo_blue.png"),IF(H42="MIA",IMAGE("https://logos-world.net/wp-content/uploads/2020/05/Miami-Dolphins-Logo.png"),IF(H42="NYJ",IMAGE("https://logos-world.net/wp-content/uploads/2020/07/New-York-Jets-Logo.png"),IF(H42="NE",IMAGE("https://purepng.com/public/uploads/large/new-england-patriots-logo-symbol-ucp.png"),IF(H42="BAL",IMAGE("https://1000logos.net/wp-content/uploads/2016/10/Baltimore-Ravens-Logo.png"),IF(H42="CLE",IMAGE("https://logos-world.net/wp-content/uploads/2020/05/Cleveland-Browns-Logo-2006-2014.png"),IF(H42="PIT",IMAGE("https://1000logos.net/wp-content/uploads/2017/06/Pittsburgh-Steelers-Logo.png"),IF(H42="CIN",IMAGE("https://logos-world.net/wp-content/uploads/2020/05/Cincinnati-Bengals-Logo.png"),IF(H42="HOU",IMAGE("https://cdn.wallpapersafari.com/15/25/Jnl2Yc.png"),IF(H42="JAX",IMAGE("https://1000logos.net/wp-content/uploads/2018/07/Jacksonville-Jaguars-Logo-1536x960.png"),IF(H42="IND",IMAGE("https://1000logos.net/wp-content/uploads/2016/12/Indianapolis-Colts-Logo-2048x1280.png"),IF(H42="TEN",IMAGE("https://img-s-msn-com.akamaized.net/tenant/amp/entityid/AA1YwbtK.img?w=720&amp;h=720&amp;m=6"),IF(H42="SF",IMAGE("https://logodownload.org/wp-content/uploads/2020/09/san-francisco-49ers-logo-2048x1220.png"),IF(H42="LAR",IMAGE("https://1000logos.net/wp-content/uploads/2018/07/Rams-Logo.png"),IF(H42="SEA",IMAGE("https://cdn.freebiesupply.com/images/large/2x/seattle-seahawks-logo-transparent.png"),IF(H42="AZ",IMAGE("https://logos-world.net/wp-content/uploads/2020/05/Arizona-Cardinals-Logo.png"),IF(H42="DAL",IMAGE("https://www.freepnglogos.com/uploads/dallas-cowboys-logo-22.png"),IF(H42="PHI",IMAGE("https://1000logos.net/wp-content/uploads/2017/05/Philadelphia-Eagles-Logo.png"),IF(H42="NYG",IMAGE("https://logosmarcas.net/wp-content/uploads/2020/07/New-York-Giants-Logo.png"),IF(H42="WSH",IMAGE("https://logodownload.org/wp-content/uploads/2020/09/washington-commanders-logo.png"),IF(H42="DET",IMAGE("https://logos-world.net/wp-content/uploads/2020/05/Detroit-Lions-Logo-2017-Present.png"),IF(H42="GB",IMAGE("https://logodownload.org/wp-content/uploads/2020/07/green-bay-packers-logo-1.png"),IF(H42="MIN",IMAGE("https://1000logos.net/wp-content/uploads/2017/06/Minnesota-Vikings-Logo-1965.png"),IF(H42="CHI",IMAGE("https://logos-world.net/wp-content/uploads/2020/05/Chicago-Bears-logo.png"),IF(H42="TB",IMAGE("https://logodownload.org/wp-content/uploads/2020/09/tampa-bay-buccaneers-logo.png"),IF(H42="NO",IMAGE("https://1000logos.net/wp-content/uploads/2017/04/New-Orleans-Saints-Logo.png"),IF(H42="ATL",IMAGE("https://logodownload.org/wp-content/uploads/2020/07/atlanta-falcons-logo-0.png"),IF(H42="CAR",IMAGE("https://logos-download.com/wp-content/uploads/2018/02/Carolina_Panthers_logo_blue.png"),""))))))))))))))))))))))))))))))))</f>
        <v/>
      </c>
      <c r="J42" s="273" t="b">
        <v>0</v>
      </c>
      <c r="K42" s="40">
        <v>17.0</v>
      </c>
      <c r="M42" s="31">
        <f t="array" ref="M42:N42">INDEX(AG43:AH43,0)</f>
        <v>2</v>
      </c>
      <c r="N42" s="27" t="s">
        <v>110</v>
      </c>
      <c r="O42" s="33" t="str">
        <f t="shared" ref="O42:O43" si="12">IF(N42="KC",IMAGE("https://logodownload.org/wp-content/uploads/2020/09/kansas-city-chiefs-logo.png"),IF(N42="LV",IMAGE("https://logodownload.org/wp-content/uploads/2020/09/las-vegas-raiders-logo-1-564x599.png"),IF(N42="DEN",IMAGE("https://logodownload.org/wp-content/uploads/2020/07/denver-broncos-logo-0.png"),IF(N42="LAC",IMAGE("https://logosmarcas.net/wp-content/uploads/2020/07/Los-Angeles-Chargers-logo.png"),IF(N42="BUF",IMAGE("https://logos-download.com/wp-content/uploads/2018/03/Buffalo_Bills_logo_blue.png"),IF(N42="MIA",IMAGE("https://logos-world.net/wp-content/uploads/2020/05/Miami-Dolphins-Logo.png"),IF(N42="NYJ",IMAGE("https://logos-world.net/wp-content/uploads/2020/07/New-York-Jets-Logo.png"),IF(N42="NE",IMAGE("https://purepng.com/public/uploads/large/new-england-patriots-logo-symbol-ucp.png"),IF(N42="BAL",IMAGE("https://1000logos.net/wp-content/uploads/2016/10/Baltimore-Ravens-Logo.png"),IF(N42="CLE",IMAGE("https://logos-world.net/wp-content/uploads/2020/05/Cleveland-Browns-Logo-2006-2014.png"),IF(N42="PIT",IMAGE("https://1000logos.net/wp-content/uploads/2017/06/Pittsburgh-Steelers-Logo.png"),IF(N42="CIN",IMAGE("https://logos-world.net/wp-content/uploads/2020/05/Cincinnati-Bengals-Logo.png"),IF(N42="HOU",IMAGE("https://cdn.wallpapersafari.com/15/25/Jnl2Yc.png"),IF(N42="JAX",IMAGE("https://1000logos.net/wp-content/uploads/2018/07/Jacksonville-Jaguars-Logo-1536x960.png"),IF(N42="IND",IMAGE("https://1000logos.net/wp-content/uploads/2016/12/Indianapolis-Colts-Logo-2048x1280.png"),IF(N42="TEN",IMAGE("https://img-s-msn-com.akamaized.net/tenant/amp/entityid/AA1YwbtK.img?w=720&amp;h=720&amp;m=6"),IF(N42="SF",IMAGE("https://logodownload.org/wp-content/uploads/2020/09/san-francisco-49ers-logo-2048x1220.png"),IF(N42="LAR",IMAGE("https://1000logos.net/wp-content/uploads/2018/07/Rams-Logo.png"),IF(N42="SEA",IMAGE("https://cdn.freebiesupply.com/images/large/2x/seattle-seahawks-logo-transparent.png"),IF(N42="AZ",IMAGE("https://logos-world.net/wp-content/uploads/2020/05/Arizona-Cardinals-Logo.png"),IF(N42="DAL",IMAGE("https://www.freepnglogos.com/uploads/dallas-cowboys-logo-22.png"),IF(N42="PHI",IMAGE("https://1000logos.net/wp-content/uploads/2017/05/Philadelphia-Eagles-Logo.png"),IF(N42="NYG",IMAGE("https://logosmarcas.net/wp-content/uploads/2020/07/New-York-Giants-Logo.png"),IF(N42="WSH",IMAGE("https://logodownload.org/wp-content/uploads/2020/09/washington-commanders-logo.png"),IF(N42="DET",IMAGE("https://logos-world.net/wp-content/uploads/2020/05/Detroit-Lions-Logo-2017-Present.png"),IF(N42="GB",IMAGE("https://logodownload.org/wp-content/uploads/2020/07/green-bay-packers-logo-1.png"),IF(N42="MIN",IMAGE("https://1000logos.net/wp-content/uploads/2017/06/Minnesota-Vikings-Logo-1965.png"),IF(N42="CHI",IMAGE("https://logos-world.net/wp-content/uploads/2020/05/Chicago-Bears-logo.png"),IF(N42="TB",IMAGE("https://logodownload.org/wp-content/uploads/2020/09/tampa-bay-buccaneers-logo.png"),IF(N42="NO",IMAGE("https://1000logos.net/wp-content/uploads/2017/04/New-Orleans-Saints-Logo.png"),IF(N42="ATL",IMAGE("https://logodownload.org/wp-content/uploads/2020/07/atlanta-falcons-logo-0.png"),IF(N42="CAR",IMAGE("https://logos-download.com/wp-content/uploads/2018/02/Carolina_Panthers_logo_blue.png"),""))))))))))))))))))))))))))))))))</f>
        <v/>
      </c>
      <c r="P42" s="273" t="b">
        <v>1</v>
      </c>
      <c r="Q42" s="40">
        <v>20.0</v>
      </c>
      <c r="R42" s="40"/>
      <c r="S42" s="40"/>
      <c r="T42" s="40"/>
      <c r="U42" s="40"/>
      <c r="V42" s="40"/>
      <c r="W42" s="40"/>
      <c r="X42" s="40"/>
      <c r="Y42" s="40"/>
      <c r="Z42" s="40"/>
      <c r="AA42" s="40">
        <v>1.0</v>
      </c>
      <c r="AB42" s="27" t="str">
        <f t="array" ref="AB42">INDEX(B42,0)</f>
        <v>PHI</v>
      </c>
      <c r="AC42" s="27">
        <f t="array" ref="AC42:AD51">SORT(AA42:AB51,1,TRUE)</f>
        <v>1</v>
      </c>
      <c r="AD42" s="27" t="s">
        <v>121</v>
      </c>
      <c r="AE42" s="27" t="str">
        <f t="array" ref="AE42">IF(AND(J42=TRUE,J43&lt;&gt;TRUE),INDEX(G42:H42,0),"")</f>
        <v/>
      </c>
      <c r="AF42" s="27"/>
      <c r="AG42" s="27">
        <f t="array" ref="AG42:AH46">SORT(AE42:AF46,1,TRUE)</f>
        <v>1</v>
      </c>
      <c r="AH42" s="27" t="s">
        <v>121</v>
      </c>
      <c r="AI42" s="27">
        <f t="shared" ref="AI42:AI43" si="13">IF(AND(P42=TRUE,P43&lt;&gt;TRUE),INDEX(M42:N42,0),"")</f>
        <v>2</v>
      </c>
      <c r="AJ42" s="27" t="s">
        <v>110</v>
      </c>
      <c r="AK42" s="27">
        <f t="array" ref="AK42:AL43">SORT(AI42:AJ43,1,TRUE)</f>
        <v>2</v>
      </c>
      <c r="AL42" s="27" t="s">
        <v>110</v>
      </c>
    </row>
    <row r="43">
      <c r="B43" s="27"/>
      <c r="G43" s="31">
        <f t="array" ref="G43:H43">INDEX(AC42:AD42,0)</f>
        <v>1</v>
      </c>
      <c r="H43" s="27" t="s">
        <v>121</v>
      </c>
      <c r="I43" s="33" t="str">
        <f t="shared" si="11"/>
        <v/>
      </c>
      <c r="J43" s="273" t="b">
        <v>1</v>
      </c>
      <c r="K43" s="40">
        <v>20.0</v>
      </c>
      <c r="M43" s="31">
        <f t="array" ref="M43:N43">INDEX(AG42:AH42,0)</f>
        <v>1</v>
      </c>
      <c r="N43" s="27" t="s">
        <v>121</v>
      </c>
      <c r="O43" s="33" t="str">
        <f t="shared" si="12"/>
        <v/>
      </c>
      <c r="P43" s="273" t="b">
        <v>0</v>
      </c>
      <c r="Q43" s="40">
        <v>17.0</v>
      </c>
      <c r="R43" s="40"/>
      <c r="S43" s="40"/>
      <c r="T43" s="40"/>
      <c r="U43" s="40"/>
      <c r="V43" s="40"/>
      <c r="W43" s="40"/>
      <c r="X43" s="40"/>
      <c r="Y43" s="40"/>
      <c r="Z43" s="40"/>
      <c r="AA43" s="27"/>
      <c r="AB43" s="27"/>
      <c r="AC43" s="27">
        <v>2.0</v>
      </c>
      <c r="AD43" s="27" t="s">
        <v>110</v>
      </c>
      <c r="AE43" s="27">
        <f t="array" ref="AE43:AF43">IF(AND(J43=TRUE,J42&lt;&gt;TRUE),INDEX(G43:H43,0),"")</f>
        <v>1</v>
      </c>
      <c r="AF43" s="27" t="s">
        <v>121</v>
      </c>
      <c r="AG43" s="27">
        <v>2.0</v>
      </c>
      <c r="AH43" s="27" t="s">
        <v>110</v>
      </c>
      <c r="AI43" s="27" t="str">
        <f t="shared" si="13"/>
        <v/>
      </c>
      <c r="AJ43" s="27"/>
      <c r="AK43" s="274" t="s">
        <v>706</v>
      </c>
      <c r="AL43" s="274"/>
    </row>
    <row r="44">
      <c r="A44" s="20">
        <v>7.0</v>
      </c>
      <c r="B44" s="27" t="str">
        <f t="array" ref="B44">INDEX(B37,0)</f>
        <v>CHI</v>
      </c>
      <c r="C44" s="33" t="str">
        <f t="shared" ref="C44:C45" si="14">IF(B44="KC",IMAGE("https://logodownload.org/wp-content/uploads/2020/09/kansas-city-chiefs-logo.png"),IF(B44="LV",IMAGE("https://logodownload.org/wp-content/uploads/2020/09/las-vegas-raiders-logo-1-564x599.png"),IF(B44="DEN",IMAGE("https://logodownload.org/wp-content/uploads/2020/07/denver-broncos-logo-0.png"),IF(B44="LAC",IMAGE("https://logosmarcas.net/wp-content/uploads/2020/07/Los-Angeles-Chargers-logo.png"),IF(B44="BUF",IMAGE("https://logos-download.com/wp-content/uploads/2018/03/Buffalo_Bills_logo_blue.png"),IF(B44="MIA",IMAGE("https://logos-world.net/wp-content/uploads/2020/05/Miami-Dolphins-Logo.png"),IF(B44="NYJ",IMAGE("https://logos-world.net/wp-content/uploads/2020/07/New-York-Jets-Logo.png"),IF(B44="NE",IMAGE("https://purepng.com/public/uploads/large/new-england-patriots-logo-symbol-ucp.png"),IF(B44="BAL",IMAGE("https://1000logos.net/wp-content/uploads/2016/10/Baltimore-Ravens-Logo.png"),IF(B44="CLE",IMAGE("https://logos-world.net/wp-content/uploads/2020/05/Cleveland-Browns-Logo-2006-2014.png"),IF(B44="PIT",IMAGE("https://1000logos.net/wp-content/uploads/2017/06/Pittsburgh-Steelers-Logo.png"),IF(B44="CIN",IMAGE("https://logos-world.net/wp-content/uploads/2020/05/Cincinnati-Bengals-Logo.png"),IF(B44="HOU",IMAGE("https://cdn.wallpapersafari.com/15/25/Jnl2Yc.png"),IF(B44="JAX",IMAGE("https://1000logos.net/wp-content/uploads/2018/07/Jacksonville-Jaguars-Logo-1536x960.png"),IF(B44="IND",IMAGE("https://1000logos.net/wp-content/uploads/2016/12/Indianapolis-Colts-Logo-2048x1280.png"),IF(B44="TEN",IMAGE("https://img-s-msn-com.akamaized.net/tenant/amp/entityid/AA1YwbtK.img?w=720&amp;h=720&amp;m=6"),IF(B44="SF",IMAGE("https://logodownload.org/wp-content/uploads/2020/09/san-francisco-49ers-logo-2048x1220.png"),IF(B44="LAR",IMAGE("https://1000logos.net/wp-content/uploads/2018/07/Rams-Logo.png"),IF(B44="SEA",IMAGE("https://cdn.freebiesupply.com/images/large/2x/seattle-seahawks-logo-transparent.png"),IF(B44="AZ",IMAGE("https://logos-world.net/wp-content/uploads/2020/05/Arizona-Cardinals-Logo.png"),IF(B44="DAL",IMAGE("https://www.freepnglogos.com/uploads/dallas-cowboys-logo-22.png"),IF(B44="PHI",IMAGE("https://1000logos.net/wp-content/uploads/2017/05/Philadelphia-Eagles-Logo.png"),IF(B44="NYG",IMAGE("https://logosmarcas.net/wp-content/uploads/2020/07/New-York-Giants-Logo.png"),IF(B44="WSH",IMAGE("https://logodownload.org/wp-content/uploads/2020/09/washington-commanders-logo.png"),IF(B44="DET",IMAGE("https://logos-world.net/wp-content/uploads/2020/05/Detroit-Lions-Logo-2017-Present.png"),IF(B44="GB",IMAGE("https://logodownload.org/wp-content/uploads/2020/07/green-bay-packers-logo-1.png"),IF(B44="MIN",IMAGE("https://1000logos.net/wp-content/uploads/2017/06/Minnesota-Vikings-Logo-1965.png"),IF(B44="CHI",IMAGE("https://logos-world.net/wp-content/uploads/2020/05/Chicago-Bears-logo.png"),IF(B44="TB",IMAGE("https://logodownload.org/wp-content/uploads/2020/09/tampa-bay-buccaneers-logo.png"),IF(B44="NO",IMAGE("https://1000logos.net/wp-content/uploads/2017/04/New-Orleans-Saints-Logo.png"),IF(B44="ATL",IMAGE("https://logodownload.org/wp-content/uploads/2020/07/atlanta-falcons-logo-0.png"),IF(B44="CAR",IMAGE("https://logos-download.com/wp-content/uploads/2018/02/Carolina_Panthers_logo_blue.png"),""))))))))))))))))))))))))))))))))</f>
        <v/>
      </c>
      <c r="D44" s="273" t="b">
        <v>0</v>
      </c>
      <c r="E44" s="40">
        <v>17.0</v>
      </c>
      <c r="G44" s="27"/>
      <c r="H44" s="27"/>
      <c r="K44" s="27"/>
      <c r="AA44" s="27" t="str">
        <f t="array" ref="AA44">IF(AND(D44=TRUE,D45&lt;&gt;TRUE),INDEX(A44:B44,0),"")</f>
        <v/>
      </c>
      <c r="AB44" s="27"/>
      <c r="AC44" s="27">
        <v>5.0</v>
      </c>
      <c r="AD44" s="27" t="s">
        <v>109</v>
      </c>
      <c r="AE44" s="27"/>
      <c r="AF44" s="27"/>
      <c r="AG44" s="27" t="s">
        <v>706</v>
      </c>
      <c r="AH44" s="27"/>
    </row>
    <row r="45">
      <c r="A45" s="20">
        <v>2.0</v>
      </c>
      <c r="B45" s="27" t="str">
        <f t="array" ref="B45">INDEX(B32,0)</f>
        <v>LAR</v>
      </c>
      <c r="C45" s="33" t="str">
        <f t="shared" si="14"/>
        <v/>
      </c>
      <c r="D45" s="273" t="b">
        <v>1</v>
      </c>
      <c r="E45" s="40">
        <v>20.0</v>
      </c>
      <c r="G45" s="31">
        <f t="array" ref="G45:H45">INDEX(AC44:AD44,0)</f>
        <v>5</v>
      </c>
      <c r="H45" s="27" t="s">
        <v>109</v>
      </c>
      <c r="I45" s="33" t="str">
        <f t="shared" ref="I45:I46" si="15">IF(H45="KC",IMAGE("https://logodownload.org/wp-content/uploads/2020/09/kansas-city-chiefs-logo.png"),IF(H45="LV",IMAGE("https://logodownload.org/wp-content/uploads/2020/09/las-vegas-raiders-logo-1-564x599.png"),IF(H45="DEN",IMAGE("https://logodownload.org/wp-content/uploads/2020/07/denver-broncos-logo-0.png"),IF(H45="LAC",IMAGE("https://logosmarcas.net/wp-content/uploads/2020/07/Los-Angeles-Chargers-logo.png"),IF(H45="BUF",IMAGE("https://logos-download.com/wp-content/uploads/2018/03/Buffalo_Bills_logo_blue.png"),IF(H45="MIA",IMAGE("https://logos-world.net/wp-content/uploads/2020/05/Miami-Dolphins-Logo.png"),IF(H45="NYJ",IMAGE("https://logos-world.net/wp-content/uploads/2020/07/New-York-Jets-Logo.png"),IF(H45="NE",IMAGE("https://purepng.com/public/uploads/large/new-england-patriots-logo-symbol-ucp.png"),IF(H45="BAL",IMAGE("https://1000logos.net/wp-content/uploads/2016/10/Baltimore-Ravens-Logo.png"),IF(H45="CLE",IMAGE("https://logos-world.net/wp-content/uploads/2020/05/Cleveland-Browns-Logo-2006-2014.png"),IF(H45="PIT",IMAGE("https://1000logos.net/wp-content/uploads/2017/06/Pittsburgh-Steelers-Logo.png"),IF(H45="CIN",IMAGE("https://logos-world.net/wp-content/uploads/2020/05/Cincinnati-Bengals-Logo.png"),IF(H45="HOU",IMAGE("https://cdn.wallpapersafari.com/15/25/Jnl2Yc.png"),IF(H45="JAX",IMAGE("https://1000logos.net/wp-content/uploads/2018/07/Jacksonville-Jaguars-Logo-1536x960.png"),IF(H45="IND",IMAGE("https://1000logos.net/wp-content/uploads/2016/12/Indianapolis-Colts-Logo-2048x1280.png"),IF(H45="TEN",IMAGE("https://img-s-msn-com.akamaized.net/tenant/amp/entityid/AA1YwbtK.img?w=720&amp;h=720&amp;m=6"),IF(H45="SF",IMAGE("https://logodownload.org/wp-content/uploads/2020/09/san-francisco-49ers-logo-2048x1220.png"),IF(H45="LAR",IMAGE("https://1000logos.net/wp-content/uploads/2018/07/Rams-Logo.png"),IF(H45="SEA",IMAGE("https://cdn.freebiesupply.com/images/large/2x/seattle-seahawks-logo-transparent.png"),IF(H45="AZ",IMAGE("https://logos-world.net/wp-content/uploads/2020/05/Arizona-Cardinals-Logo.png"),IF(H45="DAL",IMAGE("https://www.freepnglogos.com/uploads/dallas-cowboys-logo-22.png"),IF(H45="PHI",IMAGE("https://1000logos.net/wp-content/uploads/2017/05/Philadelphia-Eagles-Logo.png"),IF(H45="NYG",IMAGE("https://logosmarcas.net/wp-content/uploads/2020/07/New-York-Giants-Logo.png"),IF(H45="WSH",IMAGE("https://logodownload.org/wp-content/uploads/2020/09/washington-commanders-logo.png"),IF(H45="DET",IMAGE("https://logos-world.net/wp-content/uploads/2020/05/Detroit-Lions-Logo-2017-Present.png"),IF(H45="GB",IMAGE("https://logodownload.org/wp-content/uploads/2020/07/green-bay-packers-logo-1.png"),IF(H45="MIN",IMAGE("https://1000logos.net/wp-content/uploads/2017/06/Minnesota-Vikings-Logo-1965.png"),IF(H45="CHI",IMAGE("https://logos-world.net/wp-content/uploads/2020/05/Chicago-Bears-logo.png"),IF(H45="TB",IMAGE("https://logodownload.org/wp-content/uploads/2020/09/tampa-bay-buccaneers-logo.png"),IF(H45="NO",IMAGE("https://1000logos.net/wp-content/uploads/2017/04/New-Orleans-Saints-Logo.png"),IF(H45="ATL",IMAGE("https://logodownload.org/wp-content/uploads/2020/07/atlanta-falcons-logo-0.png"),IF(H45="CAR",IMAGE("https://logos-download.com/wp-content/uploads/2018/02/Carolina_Panthers_logo_blue.png"),""))))))))))))))))))))))))))))))))</f>
        <v/>
      </c>
      <c r="J45" s="273" t="b">
        <v>0</v>
      </c>
      <c r="K45" s="40">
        <v>17.0</v>
      </c>
      <c r="M45" s="8"/>
      <c r="N45" s="8"/>
      <c r="O45" s="8"/>
      <c r="P45" s="8"/>
      <c r="Q45" s="8"/>
      <c r="AA45" s="27">
        <f t="array" ref="AA45:AB45">IF(AND(D45=TRUE,D44&lt;&gt;TRUE),INDEX(A45:B45,0),"")</f>
        <v>2</v>
      </c>
      <c r="AB45" s="27" t="s">
        <v>110</v>
      </c>
      <c r="AC45" s="27">
        <v>6.0</v>
      </c>
      <c r="AD45" s="27" t="s">
        <v>118</v>
      </c>
      <c r="AE45" s="27" t="str">
        <f t="array" ref="AE45">IF(AND(J45=TRUE,J46&lt;&gt;TRUE),INDEX(G45:H45,0),"")</f>
        <v/>
      </c>
      <c r="AF45" s="27"/>
      <c r="AG45" s="27" t="s">
        <v>706</v>
      </c>
      <c r="AH45" s="27"/>
    </row>
    <row r="46">
      <c r="B46" s="27"/>
      <c r="E46" s="27"/>
      <c r="G46" s="31">
        <f t="array" ref="G46:H46">INDEX(AC43:AD43,0)</f>
        <v>2</v>
      </c>
      <c r="H46" s="27" t="s">
        <v>110</v>
      </c>
      <c r="I46" s="33" t="str">
        <f t="shared" si="15"/>
        <v/>
      </c>
      <c r="J46" s="273" t="b">
        <v>1</v>
      </c>
      <c r="K46" s="40">
        <v>20.0</v>
      </c>
      <c r="AA46" s="27"/>
      <c r="AB46" s="27"/>
      <c r="AC46" s="274" t="s">
        <v>706</v>
      </c>
      <c r="AD46" s="274"/>
      <c r="AE46" s="27">
        <f t="array" ref="AE46:AF46">IF(AND(J46=TRUE,J45&lt;&gt;TRUE),INDEX(G46:H46,0),"")</f>
        <v>2</v>
      </c>
      <c r="AF46" s="27" t="s">
        <v>110</v>
      </c>
      <c r="AG46" s="27"/>
      <c r="AH46" s="27"/>
    </row>
    <row r="47">
      <c r="A47" s="20">
        <v>6.0</v>
      </c>
      <c r="B47" s="27" t="str">
        <f t="array" ref="B47">INDEX(B36,0)</f>
        <v>DAL</v>
      </c>
      <c r="C47" s="33" t="str">
        <f t="shared" ref="C47:C48" si="16">IF(B47="KC",IMAGE("https://logodownload.org/wp-content/uploads/2020/09/kansas-city-chiefs-logo.png"),IF(B47="LV",IMAGE("https://logodownload.org/wp-content/uploads/2020/09/las-vegas-raiders-logo-1-564x599.png"),IF(B47="DEN",IMAGE("https://logodownload.org/wp-content/uploads/2020/07/denver-broncos-logo-0.png"),IF(B47="LAC",IMAGE("https://logosmarcas.net/wp-content/uploads/2020/07/Los-Angeles-Chargers-logo.png"),IF(B47="BUF",IMAGE("https://logos-download.com/wp-content/uploads/2018/03/Buffalo_Bills_logo_blue.png"),IF(B47="MIA",IMAGE("https://logos-world.net/wp-content/uploads/2020/05/Miami-Dolphins-Logo.png"),IF(B47="NYJ",IMAGE("https://logos-world.net/wp-content/uploads/2020/07/New-York-Jets-Logo.png"),IF(B47="NE",IMAGE("https://purepng.com/public/uploads/large/new-england-patriots-logo-symbol-ucp.png"),IF(B47="BAL",IMAGE("https://1000logos.net/wp-content/uploads/2016/10/Baltimore-Ravens-Logo.png"),IF(B47="CLE",IMAGE("https://logos-world.net/wp-content/uploads/2020/05/Cleveland-Browns-Logo-2006-2014.png"),IF(B47="PIT",IMAGE("https://1000logos.net/wp-content/uploads/2017/06/Pittsburgh-Steelers-Logo.png"),IF(B47="CIN",IMAGE("https://logos-world.net/wp-content/uploads/2020/05/Cincinnati-Bengals-Logo.png"),IF(B47="HOU",IMAGE("https://cdn.wallpapersafari.com/15/25/Jnl2Yc.png"),IF(B47="JAX",IMAGE("https://1000logos.net/wp-content/uploads/2018/07/Jacksonville-Jaguars-Logo-1536x960.png"),IF(B47="IND",IMAGE("https://1000logos.net/wp-content/uploads/2016/12/Indianapolis-Colts-Logo-2048x1280.png"),IF(B47="TEN",IMAGE("https://img-s-msn-com.akamaized.net/tenant/amp/entityid/AA1YwbtK.img?w=720&amp;h=720&amp;m=6"),IF(B47="SF",IMAGE("https://logodownload.org/wp-content/uploads/2020/09/san-francisco-49ers-logo-2048x1220.png"),IF(B47="LAR",IMAGE("https://1000logos.net/wp-content/uploads/2018/07/Rams-Logo.png"),IF(B47="SEA",IMAGE("https://cdn.freebiesupply.com/images/large/2x/seattle-seahawks-logo-transparent.png"),IF(B47="AZ",IMAGE("https://logos-world.net/wp-content/uploads/2020/05/Arizona-Cardinals-Logo.png"),IF(B47="DAL",IMAGE("https://www.freepnglogos.com/uploads/dallas-cowboys-logo-22.png"),IF(B47="PHI",IMAGE("https://1000logos.net/wp-content/uploads/2017/05/Philadelphia-Eagles-Logo.png"),IF(B47="NYG",IMAGE("https://logosmarcas.net/wp-content/uploads/2020/07/New-York-Giants-Logo.png"),IF(B47="WSH",IMAGE("https://logodownload.org/wp-content/uploads/2020/09/washington-commanders-logo.png"),IF(B47="DET",IMAGE("https://logos-world.net/wp-content/uploads/2020/05/Detroit-Lions-Logo-2017-Present.png"),IF(B47="GB",IMAGE("https://logodownload.org/wp-content/uploads/2020/07/green-bay-packers-logo-1.png"),IF(B47="MIN",IMAGE("https://1000logos.net/wp-content/uploads/2017/06/Minnesota-Vikings-Logo-1965.png"),IF(B47="CHI",IMAGE("https://logos-world.net/wp-content/uploads/2020/05/Chicago-Bears-logo.png"),IF(B47="TB",IMAGE("https://logodownload.org/wp-content/uploads/2020/09/tampa-bay-buccaneers-logo.png"),IF(B47="NO",IMAGE("https://1000logos.net/wp-content/uploads/2017/04/New-Orleans-Saints-Logo.png"),IF(B47="ATL",IMAGE("https://logodownload.org/wp-content/uploads/2020/07/atlanta-falcons-logo-0.png"),IF(B47="CAR",IMAGE("https://logos-download.com/wp-content/uploads/2018/02/Carolina_Panthers_logo_blue.png"),""))))))))))))))))))))))))))))))))</f>
        <v/>
      </c>
      <c r="D47" s="273" t="b">
        <v>1</v>
      </c>
      <c r="E47" s="40">
        <v>20.0</v>
      </c>
      <c r="AA47" s="27">
        <f t="array" ref="AA47:AB47">IF(AND(D47=TRUE,D48&lt;&gt;TRUE),INDEX(A47:B47,0),"")</f>
        <v>6</v>
      </c>
      <c r="AB47" s="27" t="s">
        <v>118</v>
      </c>
      <c r="AC47" s="274" t="s">
        <v>706</v>
      </c>
      <c r="AD47" s="274"/>
    </row>
    <row r="48">
      <c r="A48" s="20">
        <v>3.0</v>
      </c>
      <c r="B48" s="27" t="str">
        <f t="array" ref="B48">INDEX(B33,0)</f>
        <v>DET</v>
      </c>
      <c r="C48" s="33" t="str">
        <f t="shared" si="16"/>
        <v/>
      </c>
      <c r="D48" s="273" t="b">
        <v>0</v>
      </c>
      <c r="E48" s="40">
        <v>17.0</v>
      </c>
      <c r="G48" s="8"/>
      <c r="H48" s="8"/>
      <c r="I48" s="8"/>
      <c r="J48" s="8"/>
      <c r="K48" s="8"/>
      <c r="AA48" s="27" t="str">
        <f t="array" ref="AA48">IF(AND(D48=TRUE,D47&lt;&gt;TRUE),INDEX(A48:B48,0),"")</f>
        <v/>
      </c>
      <c r="AB48" s="27"/>
      <c r="AC48" s="274" t="s">
        <v>706</v>
      </c>
      <c r="AD48" s="274"/>
    </row>
    <row r="49">
      <c r="B49" s="27"/>
      <c r="E49" s="27"/>
      <c r="AA49" s="27"/>
      <c r="AB49" s="27"/>
      <c r="AC49" s="274"/>
      <c r="AD49" s="274"/>
    </row>
    <row r="50">
      <c r="A50" s="20">
        <v>5.0</v>
      </c>
      <c r="B50" s="27" t="str">
        <f t="array" ref="B50">INDEX(B35,0)</f>
        <v>SEA</v>
      </c>
      <c r="C50" s="33" t="str">
        <f t="shared" ref="C50:C51" si="17">IF(B50="KC",IMAGE("https://logodownload.org/wp-content/uploads/2020/09/kansas-city-chiefs-logo.png"),IF(B50="LV",IMAGE("https://logodownload.org/wp-content/uploads/2020/09/las-vegas-raiders-logo-1-564x599.png"),IF(B50="DEN",IMAGE("https://logodownload.org/wp-content/uploads/2020/07/denver-broncos-logo-0.png"),IF(B50="LAC",IMAGE("https://logosmarcas.net/wp-content/uploads/2020/07/Los-Angeles-Chargers-logo.png"),IF(B50="BUF",IMAGE("https://logos-download.com/wp-content/uploads/2018/03/Buffalo_Bills_logo_blue.png"),IF(B50="MIA",IMAGE("https://logos-world.net/wp-content/uploads/2020/05/Miami-Dolphins-Logo.png"),IF(B50="NYJ",IMAGE("https://logos-world.net/wp-content/uploads/2020/07/New-York-Jets-Logo.png"),IF(B50="NE",IMAGE("https://purepng.com/public/uploads/large/new-england-patriots-logo-symbol-ucp.png"),IF(B50="BAL",IMAGE("https://1000logos.net/wp-content/uploads/2016/10/Baltimore-Ravens-Logo.png"),IF(B50="CLE",IMAGE("https://logos-world.net/wp-content/uploads/2020/05/Cleveland-Browns-Logo-2006-2014.png"),IF(B50="PIT",IMAGE("https://1000logos.net/wp-content/uploads/2017/06/Pittsburgh-Steelers-Logo.png"),IF(B50="CIN",IMAGE("https://logos-world.net/wp-content/uploads/2020/05/Cincinnati-Bengals-Logo.png"),IF(B50="HOU",IMAGE("https://cdn.wallpapersafari.com/15/25/Jnl2Yc.png"),IF(B50="JAX",IMAGE("https://1000logos.net/wp-content/uploads/2018/07/Jacksonville-Jaguars-Logo-1536x960.png"),IF(B50="IND",IMAGE("https://1000logos.net/wp-content/uploads/2016/12/Indianapolis-Colts-Logo-2048x1280.png"),IF(B50="TEN",IMAGE("https://img-s-msn-com.akamaized.net/tenant/amp/entityid/AA1YwbtK.img?w=720&amp;h=720&amp;m=6"),IF(B50="SF",IMAGE("https://logodownload.org/wp-content/uploads/2020/09/san-francisco-49ers-logo-2048x1220.png"),IF(B50="LAR",IMAGE("https://1000logos.net/wp-content/uploads/2018/07/Rams-Logo.png"),IF(B50="SEA",IMAGE("https://cdn.freebiesupply.com/images/large/2x/seattle-seahawks-logo-transparent.png"),IF(B50="AZ",IMAGE("https://logos-world.net/wp-content/uploads/2020/05/Arizona-Cardinals-Logo.png"),IF(B50="DAL",IMAGE("https://www.freepnglogos.com/uploads/dallas-cowboys-logo-22.png"),IF(B50="PHI",IMAGE("https://1000logos.net/wp-content/uploads/2017/05/Philadelphia-Eagles-Logo.png"),IF(B50="NYG",IMAGE("https://logosmarcas.net/wp-content/uploads/2020/07/New-York-Giants-Logo.png"),IF(B50="WSH",IMAGE("https://logodownload.org/wp-content/uploads/2020/09/washington-commanders-logo.png"),IF(B50="DET",IMAGE("https://logos-world.net/wp-content/uploads/2020/05/Detroit-Lions-Logo-2017-Present.png"),IF(B50="GB",IMAGE("https://logodownload.org/wp-content/uploads/2020/07/green-bay-packers-logo-1.png"),IF(B50="MIN",IMAGE("https://1000logos.net/wp-content/uploads/2017/06/Minnesota-Vikings-Logo-1965.png"),IF(B50="CHI",IMAGE("https://logos-world.net/wp-content/uploads/2020/05/Chicago-Bears-logo.png"),IF(B50="TB",IMAGE("https://logodownload.org/wp-content/uploads/2020/09/tampa-bay-buccaneers-logo.png"),IF(B50="NO",IMAGE("https://1000logos.net/wp-content/uploads/2017/04/New-Orleans-Saints-Logo.png"),IF(B50="ATL",IMAGE("https://logodownload.org/wp-content/uploads/2020/07/atlanta-falcons-logo-0.png"),IF(B50="CAR",IMAGE("https://logos-download.com/wp-content/uploads/2018/02/Carolina_Panthers_logo_blue.png"),""))))))))))))))))))))))))))))))))</f>
        <v/>
      </c>
      <c r="D50" s="273" t="b">
        <v>1</v>
      </c>
      <c r="E50" s="40">
        <v>20.0</v>
      </c>
      <c r="AA50" s="27">
        <f t="array" ref="AA50:AB50">IF(AND(D50=TRUE,D51&lt;&gt;TRUE),INDEX(A50:B50,0),"")</f>
        <v>5</v>
      </c>
      <c r="AB50" s="27" t="s">
        <v>109</v>
      </c>
      <c r="AC50" s="274"/>
      <c r="AD50" s="274"/>
    </row>
    <row r="51">
      <c r="A51" s="20">
        <v>4.0</v>
      </c>
      <c r="B51" s="27" t="str">
        <f t="array" ref="B51">INDEX(B34,0)</f>
        <v>NO</v>
      </c>
      <c r="C51" s="33" t="str">
        <f t="shared" si="17"/>
        <v/>
      </c>
      <c r="D51" s="273" t="b">
        <v>0</v>
      </c>
      <c r="E51" s="40">
        <v>17.0</v>
      </c>
      <c r="AA51" s="27" t="str">
        <f t="array" ref="AA51">IF(AND(D51=TRUE,D50&lt;&gt;TRUE),INDEX(A51:B51,0),"")</f>
        <v/>
      </c>
      <c r="AB51" s="27"/>
      <c r="AC51" s="274"/>
      <c r="AD51" s="274"/>
    </row>
    <row r="53">
      <c r="A53" s="8"/>
      <c r="B53" s="8"/>
      <c r="C53" s="8"/>
      <c r="D53" s="8"/>
      <c r="E53" s="8"/>
    </row>
  </sheetData>
  <drawing r:id="rId1"/>
</worksheet>
</file>